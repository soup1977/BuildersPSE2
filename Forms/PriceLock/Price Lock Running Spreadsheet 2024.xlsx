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uilderswarehouseneco-my.sharepoint.com/personal/craig_builderscorp_com/Documents/Attachments/"/>
    </mc:Choice>
  </mc:AlternateContent>
  <xr:revisionPtr revIDLastSave="1" documentId="13_ncr:1_{3C68E50A-3BAD-4ADF-841C-F76760615C19}" xr6:coauthVersionLast="47" xr6:coauthVersionMax="47" xr10:uidLastSave="{C484831D-EE5D-43FE-A73C-181A95A932D2}"/>
  <bookViews>
    <workbookView xWindow="57480" yWindow="7635" windowWidth="29040" windowHeight="15720" activeTab="3" xr2:uid="{00000000-000D-0000-FFFF-FFFF00000000}"/>
  </bookViews>
  <sheets>
    <sheet name="Sheet1" sheetId="3" r:id="rId1"/>
    <sheet name="317421 - P1024 (2)" sheetId="25" r:id="rId2"/>
    <sheet name="317421 - P1024" sheetId="24" r:id="rId3"/>
    <sheet name="316556 - P0924" sheetId="23" r:id="rId4"/>
    <sheet name="315805 - P0824" sheetId="22" r:id="rId5"/>
    <sheet name="315019 - P0724" sheetId="21" r:id="rId6"/>
    <sheet name="314020 - P0624" sheetId="20" r:id="rId7"/>
    <sheet name="310785 - P0524" sheetId="19" r:id="rId8"/>
    <sheet name="305245 - P0424" sheetId="18" r:id="rId9"/>
    <sheet name="301055 - P0324" sheetId="17" r:id="rId10"/>
    <sheet name="297195 - P0224" sheetId="16" r:id="rId11"/>
    <sheet name="294130 - P0124" sheetId="15" r:id="rId12"/>
    <sheet name="290710 - P1223" sheetId="14" r:id="rId13"/>
  </sheets>
  <definedNames>
    <definedName name="_xlnm._FilterDatabase" localSheetId="12" hidden="1">'290710 - P1223'!$A$1:$M$426</definedName>
    <definedName name="_xlnm._FilterDatabase" localSheetId="11" hidden="1">'294130 - P0124'!$A$1:$M$426</definedName>
    <definedName name="_xlnm._FilterDatabase" localSheetId="10" hidden="1">'297195 - P0224'!$A$1:$M$426</definedName>
    <definedName name="_xlnm._FilterDatabase" localSheetId="9" hidden="1">'301055 - P0324'!$A$1:$M$426</definedName>
    <definedName name="_xlnm._FilterDatabase" localSheetId="8" hidden="1">'305245 - P0424'!$A$1:$M$426</definedName>
    <definedName name="_xlnm._FilterDatabase" localSheetId="7" hidden="1">'310785 - P0524'!$A$1:$M$426</definedName>
    <definedName name="_xlnm._FilterDatabase" localSheetId="6" hidden="1">'314020 - P0624'!$A$1:$M$426</definedName>
    <definedName name="_xlnm._FilterDatabase" localSheetId="5" hidden="1">'315019 - P0724'!$A$1:$M$426</definedName>
    <definedName name="_xlnm._FilterDatabase" localSheetId="4" hidden="1">'315805 - P0824'!$A$1:$M$426</definedName>
    <definedName name="_xlnm._FilterDatabase" localSheetId="3" hidden="1">'316556 - P0924'!$A$1:$M$426</definedName>
    <definedName name="_xlnm._FilterDatabase" localSheetId="2" hidden="1">'317421 - P1024'!$A$1:$M$426</definedName>
    <definedName name="_xlnm._FilterDatabase" localSheetId="1" hidden="1">'317421 - P1024 (2)'!$A$1:$M$426</definedName>
    <definedName name="Z_DC9996DF_48F6_4AB0_B648_0F43AEEB90FA_.wvu.FilterData" localSheetId="12" hidden="1">'290710 - P1223'!$A$1:$M$426</definedName>
    <definedName name="Z_DC9996DF_48F6_4AB0_B648_0F43AEEB90FA_.wvu.FilterData" localSheetId="11" hidden="1">'294130 - P0124'!$A$1:$M$426</definedName>
    <definedName name="Z_DC9996DF_48F6_4AB0_B648_0F43AEEB90FA_.wvu.FilterData" localSheetId="10" hidden="1">'297195 - P0224'!$A$1:$M$426</definedName>
    <definedName name="Z_DC9996DF_48F6_4AB0_B648_0F43AEEB90FA_.wvu.FilterData" localSheetId="9" hidden="1">'301055 - P0324'!$A$1:$M$426</definedName>
    <definedName name="Z_DC9996DF_48F6_4AB0_B648_0F43AEEB90FA_.wvu.FilterData" localSheetId="8" hidden="1">'305245 - P0424'!$A$1:$M$426</definedName>
    <definedName name="Z_DC9996DF_48F6_4AB0_B648_0F43AEEB90FA_.wvu.FilterData" localSheetId="7" hidden="1">'310785 - P0524'!$A$1:$M$426</definedName>
    <definedName name="Z_DC9996DF_48F6_4AB0_B648_0F43AEEB90FA_.wvu.FilterData" localSheetId="6" hidden="1">'314020 - P0624'!$A$1:$M$426</definedName>
    <definedName name="Z_DC9996DF_48F6_4AB0_B648_0F43AEEB90FA_.wvu.FilterData" localSheetId="5" hidden="1">'315019 - P0724'!$A$1:$M$426</definedName>
    <definedName name="Z_DC9996DF_48F6_4AB0_B648_0F43AEEB90FA_.wvu.FilterData" localSheetId="4" hidden="1">'315805 - P0824'!$A$1:$M$426</definedName>
    <definedName name="Z_DC9996DF_48F6_4AB0_B648_0F43AEEB90FA_.wvu.FilterData" localSheetId="3" hidden="1">'316556 - P0924'!$A$1:$M$426</definedName>
    <definedName name="Z_DC9996DF_48F6_4AB0_B648_0F43AEEB90FA_.wvu.FilterData" localSheetId="2" hidden="1">'317421 - P1024'!$A$1:$M$426</definedName>
    <definedName name="Z_DC9996DF_48F6_4AB0_B648_0F43AEEB90FA_.wvu.FilterData" localSheetId="1" hidden="1">'317421 - P1024 (2)'!$A$1:$M$426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23" l="1"/>
  <c r="F90" i="25"/>
  <c r="J149" i="25"/>
  <c r="J88" i="25"/>
  <c r="J87" i="25"/>
  <c r="J86" i="25"/>
  <c r="J89" i="25" s="1"/>
  <c r="J85" i="25"/>
  <c r="J82" i="25"/>
  <c r="J81" i="25"/>
  <c r="J80" i="25"/>
  <c r="J83" i="25" s="1"/>
  <c r="J79" i="25"/>
  <c r="J76" i="25"/>
  <c r="J75" i="25"/>
  <c r="J74" i="25"/>
  <c r="J77" i="25" s="1"/>
  <c r="J73" i="25"/>
  <c r="J70" i="25"/>
  <c r="J69" i="25"/>
  <c r="J68" i="25"/>
  <c r="J67" i="25"/>
  <c r="J71" i="25" s="1"/>
  <c r="J66" i="25"/>
  <c r="J62" i="25"/>
  <c r="J61" i="25"/>
  <c r="J60" i="25"/>
  <c r="J58" i="25"/>
  <c r="J57" i="25"/>
  <c r="J56" i="25"/>
  <c r="J55" i="25"/>
  <c r="J53" i="25"/>
  <c r="J52" i="25"/>
  <c r="J51" i="25"/>
  <c r="J48" i="25"/>
  <c r="J47" i="25"/>
  <c r="J46" i="25"/>
  <c r="J45" i="25"/>
  <c r="J44" i="25"/>
  <c r="J43" i="25"/>
  <c r="J49" i="25" s="1"/>
  <c r="J40" i="25"/>
  <c r="J39" i="25"/>
  <c r="J38" i="25"/>
  <c r="J37" i="25"/>
  <c r="J36" i="25"/>
  <c r="J35" i="25"/>
  <c r="J41" i="25" s="1"/>
  <c r="J413" i="25"/>
  <c r="J412" i="25"/>
  <c r="J411" i="25"/>
  <c r="J410" i="25"/>
  <c r="J409" i="25"/>
  <c r="J408" i="25"/>
  <c r="J407" i="25"/>
  <c r="J406" i="25"/>
  <c r="J405" i="25"/>
  <c r="J404" i="25"/>
  <c r="J403" i="25"/>
  <c r="J402" i="25"/>
  <c r="J401" i="25"/>
  <c r="J400" i="25"/>
  <c r="J399" i="25"/>
  <c r="J398" i="25"/>
  <c r="J397" i="25"/>
  <c r="J396" i="25"/>
  <c r="J394" i="25"/>
  <c r="J393" i="25"/>
  <c r="J392" i="25"/>
  <c r="J391" i="25"/>
  <c r="J390" i="25"/>
  <c r="J389" i="25"/>
  <c r="J388" i="25"/>
  <c r="J387" i="25"/>
  <c r="J386" i="25"/>
  <c r="J385" i="25"/>
  <c r="J384" i="25"/>
  <c r="J383" i="25"/>
  <c r="J382" i="25"/>
  <c r="J381" i="25"/>
  <c r="J380" i="25"/>
  <c r="J379" i="25"/>
  <c r="J378" i="25"/>
  <c r="J377" i="25"/>
  <c r="J376" i="25"/>
  <c r="J375" i="25"/>
  <c r="J374" i="25"/>
  <c r="J373" i="25"/>
  <c r="J372" i="25"/>
  <c r="J371" i="25"/>
  <c r="J370" i="25"/>
  <c r="J369" i="25"/>
  <c r="J368" i="25"/>
  <c r="J367" i="25"/>
  <c r="J366" i="25"/>
  <c r="J365" i="25"/>
  <c r="J364" i="25"/>
  <c r="J363" i="25"/>
  <c r="J362" i="25"/>
  <c r="J361" i="25"/>
  <c r="J360" i="25"/>
  <c r="J358" i="25"/>
  <c r="J356" i="25"/>
  <c r="J355" i="25"/>
  <c r="J354" i="25"/>
  <c r="J353" i="25"/>
  <c r="J352" i="25"/>
  <c r="J351" i="25"/>
  <c r="J350" i="25"/>
  <c r="J349" i="25"/>
  <c r="J345" i="25"/>
  <c r="J344" i="25"/>
  <c r="J343" i="25"/>
  <c r="J342" i="25"/>
  <c r="J341" i="25"/>
  <c r="J340" i="25"/>
  <c r="J339" i="25"/>
  <c r="J338" i="25"/>
  <c r="J337" i="25"/>
  <c r="J336" i="25"/>
  <c r="J335" i="25"/>
  <c r="J334" i="25"/>
  <c r="J333" i="25"/>
  <c r="J332" i="25"/>
  <c r="J331" i="25"/>
  <c r="J330" i="25"/>
  <c r="J329" i="25"/>
  <c r="J328" i="25"/>
  <c r="J327" i="25"/>
  <c r="J326" i="25"/>
  <c r="J325" i="25"/>
  <c r="J324" i="25"/>
  <c r="J323" i="25"/>
  <c r="J322" i="25"/>
  <c r="J321" i="25"/>
  <c r="J320" i="25"/>
  <c r="J319" i="25"/>
  <c r="J318" i="25"/>
  <c r="J317" i="25"/>
  <c r="J316" i="25"/>
  <c r="J315" i="25"/>
  <c r="J314" i="25"/>
  <c r="J313" i="25"/>
  <c r="J312" i="25"/>
  <c r="J311" i="25"/>
  <c r="J310" i="25"/>
  <c r="J309" i="25"/>
  <c r="J308" i="25"/>
  <c r="J307" i="25"/>
  <c r="J306" i="25"/>
  <c r="J305" i="25"/>
  <c r="J304" i="25"/>
  <c r="J303" i="25"/>
  <c r="J302" i="25"/>
  <c r="J301" i="25"/>
  <c r="J300" i="25"/>
  <c r="J299" i="25"/>
  <c r="J298" i="25"/>
  <c r="J295" i="25"/>
  <c r="J294" i="25"/>
  <c r="J293" i="25"/>
  <c r="J292" i="25"/>
  <c r="J291" i="25"/>
  <c r="J290" i="25"/>
  <c r="J289" i="25"/>
  <c r="J288" i="25"/>
  <c r="J287" i="25"/>
  <c r="J286" i="25"/>
  <c r="J285" i="25"/>
  <c r="J284" i="25"/>
  <c r="J283" i="25"/>
  <c r="J282" i="25"/>
  <c r="J281" i="25"/>
  <c r="J280" i="25"/>
  <c r="J279" i="25"/>
  <c r="J278" i="25"/>
  <c r="J277" i="25"/>
  <c r="J276" i="25"/>
  <c r="J275" i="25"/>
  <c r="J274" i="25"/>
  <c r="J273" i="25"/>
  <c r="J272" i="25"/>
  <c r="J271" i="25"/>
  <c r="J270" i="25"/>
  <c r="J269" i="25"/>
  <c r="J268" i="25"/>
  <c r="J267" i="25"/>
  <c r="J266" i="25"/>
  <c r="J265" i="25"/>
  <c r="J264" i="25"/>
  <c r="J263" i="25"/>
  <c r="J262" i="25"/>
  <c r="J261" i="25"/>
  <c r="J259" i="25"/>
  <c r="J258" i="25"/>
  <c r="J257" i="25"/>
  <c r="J256" i="25"/>
  <c r="J255" i="25"/>
  <c r="J254" i="25"/>
  <c r="J253" i="25"/>
  <c r="J252" i="25"/>
  <c r="J251" i="25"/>
  <c r="J248" i="25"/>
  <c r="J247" i="25"/>
  <c r="J246" i="25"/>
  <c r="J245" i="25"/>
  <c r="J244" i="25"/>
  <c r="J241" i="25"/>
  <c r="J240" i="25"/>
  <c r="J239" i="25"/>
  <c r="J238" i="25"/>
  <c r="J237" i="25"/>
  <c r="J236" i="25"/>
  <c r="J235" i="25"/>
  <c r="J234" i="25"/>
  <c r="J233" i="25"/>
  <c r="J232" i="25"/>
  <c r="J231" i="25"/>
  <c r="J230" i="25"/>
  <c r="J229" i="25"/>
  <c r="J228" i="25"/>
  <c r="J227" i="25"/>
  <c r="J226" i="25"/>
  <c r="J225" i="25"/>
  <c r="J224" i="25"/>
  <c r="J223" i="25"/>
  <c r="J222" i="25"/>
  <c r="J221" i="25"/>
  <c r="J220" i="25"/>
  <c r="J219" i="25"/>
  <c r="J218" i="25"/>
  <c r="J217" i="25"/>
  <c r="J216" i="25"/>
  <c r="J215" i="25"/>
  <c r="J214" i="25"/>
  <c r="J213" i="25"/>
  <c r="J212" i="25"/>
  <c r="J211" i="25"/>
  <c r="J210" i="25"/>
  <c r="J209" i="25"/>
  <c r="J208" i="25"/>
  <c r="J207" i="25"/>
  <c r="J206" i="25"/>
  <c r="J205" i="25"/>
  <c r="J204" i="25"/>
  <c r="J203" i="25"/>
  <c r="J202" i="25"/>
  <c r="J201" i="25"/>
  <c r="J200" i="25"/>
  <c r="J199" i="25"/>
  <c r="J198" i="25"/>
  <c r="J197" i="25"/>
  <c r="J196" i="25"/>
  <c r="J195" i="25"/>
  <c r="J194" i="25"/>
  <c r="J190" i="25"/>
  <c r="J187" i="25"/>
  <c r="J183" i="25"/>
  <c r="J164" i="25"/>
  <c r="J163" i="25"/>
  <c r="J162" i="25"/>
  <c r="J161" i="25"/>
  <c r="J160" i="25"/>
  <c r="J159" i="25"/>
  <c r="J158" i="25"/>
  <c r="J155" i="25"/>
  <c r="J148" i="25"/>
  <c r="J142" i="25"/>
  <c r="J141" i="25"/>
  <c r="J140" i="25"/>
  <c r="J139" i="25"/>
  <c r="J138" i="25"/>
  <c r="J136" i="25"/>
  <c r="J134" i="25"/>
  <c r="J133" i="25"/>
  <c r="J132" i="25"/>
  <c r="J126" i="25"/>
  <c r="J124" i="25"/>
  <c r="J123" i="25"/>
  <c r="J120" i="25"/>
  <c r="J118" i="25"/>
  <c r="J115" i="25"/>
  <c r="J114" i="25"/>
  <c r="J113" i="25"/>
  <c r="J111" i="25"/>
  <c r="J110" i="25"/>
  <c r="J23" i="25"/>
  <c r="J22" i="25"/>
  <c r="J21" i="25"/>
  <c r="J15" i="25"/>
  <c r="J14" i="25"/>
  <c r="J9" i="25"/>
  <c r="J8" i="25"/>
  <c r="J7" i="25"/>
  <c r="J6" i="25"/>
  <c r="J5" i="25"/>
  <c r="J4" i="25"/>
  <c r="H425" i="25" l="1"/>
  <c r="G425" i="25"/>
  <c r="H424" i="25"/>
  <c r="G424" i="25"/>
  <c r="H423" i="25"/>
  <c r="G423" i="25"/>
  <c r="H422" i="25"/>
  <c r="G422" i="25"/>
  <c r="H421" i="25"/>
  <c r="G421" i="25"/>
  <c r="H420" i="25"/>
  <c r="G420" i="25"/>
  <c r="H419" i="25"/>
  <c r="G419" i="25"/>
  <c r="H418" i="25"/>
  <c r="G418" i="25"/>
  <c r="H417" i="25"/>
  <c r="G417" i="25"/>
  <c r="H416" i="25"/>
  <c r="G416" i="25"/>
  <c r="P413" i="25"/>
  <c r="O413" i="25"/>
  <c r="H413" i="25"/>
  <c r="G413" i="25"/>
  <c r="P412" i="25"/>
  <c r="O412" i="25"/>
  <c r="H412" i="25"/>
  <c r="L412" i="25" s="1"/>
  <c r="G412" i="25"/>
  <c r="P411" i="25"/>
  <c r="O411" i="25"/>
  <c r="L411" i="25"/>
  <c r="H411" i="25"/>
  <c r="G411" i="25"/>
  <c r="P410" i="25"/>
  <c r="O410" i="25"/>
  <c r="L410" i="25"/>
  <c r="K410" i="25"/>
  <c r="H410" i="25"/>
  <c r="G410" i="25"/>
  <c r="P409" i="25"/>
  <c r="O409" i="25"/>
  <c r="K409" i="25"/>
  <c r="H409" i="25"/>
  <c r="G409" i="25"/>
  <c r="P408" i="25"/>
  <c r="O408" i="25"/>
  <c r="H408" i="25"/>
  <c r="K408" i="25" s="1"/>
  <c r="G408" i="25"/>
  <c r="P407" i="25"/>
  <c r="O407" i="25"/>
  <c r="L407" i="25"/>
  <c r="H407" i="25"/>
  <c r="G407" i="25"/>
  <c r="P406" i="25"/>
  <c r="O406" i="25"/>
  <c r="H406" i="25"/>
  <c r="G406" i="25"/>
  <c r="P405" i="25"/>
  <c r="O405" i="25"/>
  <c r="K405" i="25"/>
  <c r="H405" i="25"/>
  <c r="G405" i="25"/>
  <c r="P404" i="25"/>
  <c r="O404" i="25"/>
  <c r="H404" i="25"/>
  <c r="G404" i="25"/>
  <c r="P403" i="25"/>
  <c r="O403" i="25"/>
  <c r="L403" i="25"/>
  <c r="K403" i="25"/>
  <c r="H403" i="25"/>
  <c r="G403" i="25"/>
  <c r="P402" i="25"/>
  <c r="O402" i="25"/>
  <c r="H402" i="25"/>
  <c r="G402" i="25"/>
  <c r="P401" i="25"/>
  <c r="O401" i="25"/>
  <c r="H401" i="25"/>
  <c r="G401" i="25"/>
  <c r="P400" i="25"/>
  <c r="O400" i="25"/>
  <c r="H400" i="25"/>
  <c r="K400" i="25" s="1"/>
  <c r="G400" i="25"/>
  <c r="P399" i="25"/>
  <c r="O399" i="25"/>
  <c r="K399" i="25"/>
  <c r="L399" i="25"/>
  <c r="H399" i="25"/>
  <c r="G399" i="25"/>
  <c r="P398" i="25"/>
  <c r="O398" i="25"/>
  <c r="H398" i="25"/>
  <c r="G398" i="25"/>
  <c r="P397" i="25"/>
  <c r="O397" i="25"/>
  <c r="L397" i="25"/>
  <c r="K397" i="25"/>
  <c r="H397" i="25"/>
  <c r="G397" i="25"/>
  <c r="P396" i="25"/>
  <c r="O396" i="25"/>
  <c r="H396" i="25"/>
  <c r="G396" i="25"/>
  <c r="P394" i="25"/>
  <c r="O394" i="25"/>
  <c r="L394" i="25"/>
  <c r="K394" i="25"/>
  <c r="H394" i="25"/>
  <c r="G394" i="25"/>
  <c r="P393" i="25"/>
  <c r="O393" i="25"/>
  <c r="H393" i="25"/>
  <c r="G393" i="25"/>
  <c r="P392" i="25"/>
  <c r="O392" i="25"/>
  <c r="L392" i="25"/>
  <c r="K392" i="25"/>
  <c r="H392" i="25"/>
  <c r="G392" i="25"/>
  <c r="P391" i="25"/>
  <c r="O391" i="25"/>
  <c r="H391" i="25"/>
  <c r="L391" i="25" s="1"/>
  <c r="G391" i="25"/>
  <c r="P390" i="25"/>
  <c r="O390" i="25"/>
  <c r="L390" i="25"/>
  <c r="K390" i="25"/>
  <c r="H390" i="25"/>
  <c r="G390" i="25"/>
  <c r="P389" i="25"/>
  <c r="O389" i="25"/>
  <c r="H389" i="25"/>
  <c r="G389" i="25"/>
  <c r="P388" i="25"/>
  <c r="O388" i="25"/>
  <c r="H388" i="25"/>
  <c r="G388" i="25"/>
  <c r="P387" i="25"/>
  <c r="O387" i="25"/>
  <c r="H387" i="25"/>
  <c r="G387" i="25"/>
  <c r="P386" i="25"/>
  <c r="O386" i="25"/>
  <c r="K386" i="25"/>
  <c r="L386" i="25"/>
  <c r="H386" i="25"/>
  <c r="G386" i="25"/>
  <c r="P385" i="25"/>
  <c r="O385" i="25"/>
  <c r="K385" i="25"/>
  <c r="L385" i="25"/>
  <c r="H385" i="25"/>
  <c r="G385" i="25"/>
  <c r="P384" i="25"/>
  <c r="O384" i="25"/>
  <c r="H384" i="25"/>
  <c r="G384" i="25"/>
  <c r="P383" i="25"/>
  <c r="O383" i="25"/>
  <c r="L383" i="25"/>
  <c r="H383" i="25"/>
  <c r="K383" i="25" s="1"/>
  <c r="G383" i="25"/>
  <c r="P382" i="25"/>
  <c r="O382" i="25"/>
  <c r="H382" i="25"/>
  <c r="K382" i="25" s="1"/>
  <c r="G382" i="25"/>
  <c r="P381" i="25"/>
  <c r="O381" i="25"/>
  <c r="H381" i="25"/>
  <c r="G381" i="25"/>
  <c r="P380" i="25"/>
  <c r="O380" i="25"/>
  <c r="H380" i="25"/>
  <c r="K380" i="25" s="1"/>
  <c r="G380" i="25"/>
  <c r="P379" i="25"/>
  <c r="O379" i="25"/>
  <c r="H379" i="25"/>
  <c r="L379" i="25" s="1"/>
  <c r="G379" i="25"/>
  <c r="P378" i="25"/>
  <c r="O378" i="25"/>
  <c r="L378" i="25"/>
  <c r="K378" i="25"/>
  <c r="H378" i="25"/>
  <c r="G378" i="25"/>
  <c r="P377" i="25"/>
  <c r="O377" i="25"/>
  <c r="H377" i="25"/>
  <c r="G377" i="25"/>
  <c r="P376" i="25"/>
  <c r="O376" i="25"/>
  <c r="L376" i="25"/>
  <c r="K376" i="25"/>
  <c r="H376" i="25"/>
  <c r="G376" i="25"/>
  <c r="P375" i="25"/>
  <c r="O375" i="25"/>
  <c r="H375" i="25"/>
  <c r="G375" i="25"/>
  <c r="P374" i="25"/>
  <c r="O374" i="25"/>
  <c r="L374" i="25"/>
  <c r="K374" i="25"/>
  <c r="H374" i="25"/>
  <c r="G374" i="25"/>
  <c r="P373" i="25"/>
  <c r="O373" i="25"/>
  <c r="L373" i="25"/>
  <c r="K373" i="25"/>
  <c r="H373" i="25"/>
  <c r="G373" i="25"/>
  <c r="P372" i="25"/>
  <c r="O372" i="25"/>
  <c r="H372" i="25"/>
  <c r="G372" i="25"/>
  <c r="P371" i="25"/>
  <c r="O371" i="25"/>
  <c r="L371" i="25"/>
  <c r="K371" i="25"/>
  <c r="H371" i="25"/>
  <c r="G371" i="25"/>
  <c r="P370" i="25"/>
  <c r="O370" i="25"/>
  <c r="L370" i="25"/>
  <c r="H370" i="25"/>
  <c r="G370" i="25"/>
  <c r="P369" i="25"/>
  <c r="O369" i="25"/>
  <c r="K369" i="25"/>
  <c r="H369" i="25"/>
  <c r="G369" i="25"/>
  <c r="P368" i="25"/>
  <c r="O368" i="25"/>
  <c r="H368" i="25"/>
  <c r="G368" i="25"/>
  <c r="P367" i="25"/>
  <c r="O367" i="25"/>
  <c r="H367" i="25"/>
  <c r="K367" i="25" s="1"/>
  <c r="G367" i="25"/>
  <c r="P366" i="25"/>
  <c r="O366" i="25"/>
  <c r="H366" i="25"/>
  <c r="G366" i="25"/>
  <c r="P365" i="25"/>
  <c r="O365" i="25"/>
  <c r="H365" i="25"/>
  <c r="G365" i="25"/>
  <c r="P364" i="25"/>
  <c r="O364" i="25"/>
  <c r="H364" i="25"/>
  <c r="G364" i="25"/>
  <c r="P363" i="25"/>
  <c r="O363" i="25"/>
  <c r="H363" i="25"/>
  <c r="L363" i="25" s="1"/>
  <c r="G363" i="25"/>
  <c r="P362" i="25"/>
  <c r="O362" i="25"/>
  <c r="L362" i="25"/>
  <c r="K362" i="25"/>
  <c r="H362" i="25"/>
  <c r="G362" i="25"/>
  <c r="P361" i="25"/>
  <c r="O361" i="25"/>
  <c r="H361" i="25"/>
  <c r="G361" i="25"/>
  <c r="P360" i="25"/>
  <c r="O360" i="25"/>
  <c r="H360" i="25"/>
  <c r="G360" i="25"/>
  <c r="P358" i="25"/>
  <c r="O358" i="25"/>
  <c r="H358" i="25"/>
  <c r="G358" i="25"/>
  <c r="P356" i="25"/>
  <c r="O356" i="25"/>
  <c r="H356" i="25"/>
  <c r="G356" i="25"/>
  <c r="P355" i="25"/>
  <c r="O355" i="25"/>
  <c r="L355" i="25"/>
  <c r="K355" i="25"/>
  <c r="H355" i="25"/>
  <c r="G355" i="25"/>
  <c r="P354" i="25"/>
  <c r="O354" i="25"/>
  <c r="H354" i="25"/>
  <c r="K354" i="25" s="1"/>
  <c r="G354" i="25"/>
  <c r="P353" i="25"/>
  <c r="O353" i="25"/>
  <c r="L353" i="25"/>
  <c r="H353" i="25"/>
  <c r="K353" i="25" s="1"/>
  <c r="G353" i="25"/>
  <c r="P352" i="25"/>
  <c r="O352" i="25"/>
  <c r="H352" i="25"/>
  <c r="L352" i="25" s="1"/>
  <c r="G352" i="25"/>
  <c r="P351" i="25"/>
  <c r="O351" i="25"/>
  <c r="H351" i="25"/>
  <c r="G351" i="25"/>
  <c r="P350" i="25"/>
  <c r="O350" i="25"/>
  <c r="H350" i="25"/>
  <c r="L350" i="25" s="1"/>
  <c r="G350" i="25"/>
  <c r="P349" i="25"/>
  <c r="O349" i="25"/>
  <c r="H349" i="25"/>
  <c r="G349" i="25"/>
  <c r="P348" i="25"/>
  <c r="O348" i="25"/>
  <c r="P345" i="25"/>
  <c r="O345" i="25"/>
  <c r="H345" i="25"/>
  <c r="G345" i="25"/>
  <c r="P344" i="25"/>
  <c r="O344" i="25"/>
  <c r="L344" i="25"/>
  <c r="H344" i="25"/>
  <c r="K344" i="25" s="1"/>
  <c r="G344" i="25"/>
  <c r="P343" i="25"/>
  <c r="O343" i="25"/>
  <c r="H343" i="25"/>
  <c r="L343" i="25" s="1"/>
  <c r="G343" i="25"/>
  <c r="P342" i="25"/>
  <c r="O342" i="25"/>
  <c r="L342" i="25"/>
  <c r="K342" i="25"/>
  <c r="H342" i="25"/>
  <c r="G342" i="25"/>
  <c r="P341" i="25"/>
  <c r="O341" i="25"/>
  <c r="H341" i="25"/>
  <c r="G341" i="25"/>
  <c r="P340" i="25"/>
  <c r="O340" i="25"/>
  <c r="H340" i="25"/>
  <c r="G340" i="25"/>
  <c r="P339" i="25"/>
  <c r="O339" i="25"/>
  <c r="H339" i="25"/>
  <c r="G339" i="25"/>
  <c r="P338" i="25"/>
  <c r="O338" i="25"/>
  <c r="K338" i="25"/>
  <c r="L338" i="25"/>
  <c r="H338" i="25"/>
  <c r="G338" i="25"/>
  <c r="P337" i="25"/>
  <c r="O337" i="25"/>
  <c r="L337" i="25"/>
  <c r="H337" i="25"/>
  <c r="G337" i="25"/>
  <c r="P336" i="25"/>
  <c r="O336" i="25"/>
  <c r="L336" i="25"/>
  <c r="K336" i="25"/>
  <c r="H336" i="25"/>
  <c r="G336" i="25"/>
  <c r="P335" i="25"/>
  <c r="O335" i="25"/>
  <c r="L335" i="25"/>
  <c r="K335" i="25"/>
  <c r="H335" i="25"/>
  <c r="G335" i="25"/>
  <c r="P334" i="25"/>
  <c r="O334" i="25"/>
  <c r="H334" i="25"/>
  <c r="G334" i="25"/>
  <c r="P333" i="25"/>
  <c r="O333" i="25"/>
  <c r="H333" i="25"/>
  <c r="G333" i="25"/>
  <c r="P332" i="25"/>
  <c r="O332" i="25"/>
  <c r="H332" i="25"/>
  <c r="G332" i="25"/>
  <c r="P331" i="25"/>
  <c r="O331" i="25"/>
  <c r="K331" i="25"/>
  <c r="L331" i="25"/>
  <c r="H331" i="25"/>
  <c r="G331" i="25"/>
  <c r="P330" i="25"/>
  <c r="O330" i="25"/>
  <c r="H330" i="25"/>
  <c r="G330" i="25"/>
  <c r="P329" i="25"/>
  <c r="O329" i="25"/>
  <c r="L329" i="25"/>
  <c r="K329" i="25"/>
  <c r="H329" i="25"/>
  <c r="G329" i="25"/>
  <c r="P328" i="25"/>
  <c r="O328" i="25"/>
  <c r="H328" i="25"/>
  <c r="G328" i="25"/>
  <c r="P327" i="25"/>
  <c r="O327" i="25"/>
  <c r="H327" i="25"/>
  <c r="G327" i="25"/>
  <c r="P326" i="25"/>
  <c r="O326" i="25"/>
  <c r="H326" i="25"/>
  <c r="G326" i="25"/>
  <c r="P325" i="25"/>
  <c r="O325" i="25"/>
  <c r="H325" i="25"/>
  <c r="G325" i="25"/>
  <c r="P324" i="25"/>
  <c r="O324" i="25"/>
  <c r="L324" i="25"/>
  <c r="K324" i="25"/>
  <c r="H324" i="25"/>
  <c r="G324" i="25"/>
  <c r="P323" i="25"/>
  <c r="O323" i="25"/>
  <c r="L323" i="25"/>
  <c r="K323" i="25"/>
  <c r="H323" i="25"/>
  <c r="G323" i="25"/>
  <c r="P322" i="25"/>
  <c r="O322" i="25"/>
  <c r="H322" i="25"/>
  <c r="L322" i="25" s="1"/>
  <c r="G322" i="25"/>
  <c r="P321" i="25"/>
  <c r="O321" i="25"/>
  <c r="H321" i="25"/>
  <c r="G321" i="25"/>
  <c r="P320" i="25"/>
  <c r="O320" i="25"/>
  <c r="H320" i="25"/>
  <c r="G320" i="25"/>
  <c r="P319" i="25"/>
  <c r="O319" i="25"/>
  <c r="L319" i="25"/>
  <c r="H319" i="25"/>
  <c r="G319" i="25"/>
  <c r="P318" i="25"/>
  <c r="O318" i="25"/>
  <c r="L318" i="25"/>
  <c r="K318" i="25"/>
  <c r="H318" i="25"/>
  <c r="G318" i="25"/>
  <c r="P317" i="25"/>
  <c r="O317" i="25"/>
  <c r="H317" i="25"/>
  <c r="G317" i="25"/>
  <c r="P316" i="25"/>
  <c r="O316" i="25"/>
  <c r="L316" i="25"/>
  <c r="K316" i="25"/>
  <c r="H316" i="25"/>
  <c r="G316" i="25"/>
  <c r="P315" i="25"/>
  <c r="O315" i="25"/>
  <c r="L315" i="25"/>
  <c r="K315" i="25"/>
  <c r="H315" i="25"/>
  <c r="G315" i="25"/>
  <c r="P314" i="25"/>
  <c r="O314" i="25"/>
  <c r="L314" i="25"/>
  <c r="K314" i="25"/>
  <c r="H314" i="25"/>
  <c r="G314" i="25"/>
  <c r="P313" i="25"/>
  <c r="O313" i="25"/>
  <c r="L313" i="25"/>
  <c r="K313" i="25"/>
  <c r="H313" i="25"/>
  <c r="G313" i="25"/>
  <c r="P312" i="25"/>
  <c r="O312" i="25"/>
  <c r="H312" i="25"/>
  <c r="G312" i="25"/>
  <c r="P311" i="25"/>
  <c r="O311" i="25"/>
  <c r="L311" i="25"/>
  <c r="K311" i="25"/>
  <c r="H311" i="25"/>
  <c r="G311" i="25"/>
  <c r="P310" i="25"/>
  <c r="O310" i="25"/>
  <c r="L310" i="25"/>
  <c r="H310" i="25"/>
  <c r="G310" i="25"/>
  <c r="P309" i="25"/>
  <c r="O309" i="25"/>
  <c r="L309" i="25"/>
  <c r="K309" i="25"/>
  <c r="H309" i="25"/>
  <c r="G309" i="25"/>
  <c r="P308" i="25"/>
  <c r="O308" i="25"/>
  <c r="H308" i="25"/>
  <c r="G308" i="25"/>
  <c r="P307" i="25"/>
  <c r="O307" i="25"/>
  <c r="L307" i="25"/>
  <c r="K307" i="25"/>
  <c r="H307" i="25"/>
  <c r="G307" i="25"/>
  <c r="P306" i="25"/>
  <c r="O306" i="25"/>
  <c r="H306" i="25"/>
  <c r="G306" i="25"/>
  <c r="P305" i="25"/>
  <c r="O305" i="25"/>
  <c r="H305" i="25"/>
  <c r="G305" i="25"/>
  <c r="P304" i="25"/>
  <c r="O304" i="25"/>
  <c r="H304" i="25"/>
  <c r="G304" i="25"/>
  <c r="P303" i="25"/>
  <c r="O303" i="25"/>
  <c r="H303" i="25"/>
  <c r="G303" i="25"/>
  <c r="P302" i="25"/>
  <c r="O302" i="25"/>
  <c r="L302" i="25"/>
  <c r="K302" i="25"/>
  <c r="H302" i="25"/>
  <c r="G302" i="25"/>
  <c r="P301" i="25"/>
  <c r="O301" i="25"/>
  <c r="H301" i="25"/>
  <c r="G301" i="25"/>
  <c r="P300" i="25"/>
  <c r="O300" i="25"/>
  <c r="H300" i="25"/>
  <c r="G300" i="25"/>
  <c r="P299" i="25"/>
  <c r="O299" i="25"/>
  <c r="H299" i="25"/>
  <c r="G299" i="25"/>
  <c r="P298" i="25"/>
  <c r="O298" i="25"/>
  <c r="L298" i="25"/>
  <c r="H298" i="25"/>
  <c r="G298" i="25"/>
  <c r="P295" i="25"/>
  <c r="O295" i="25"/>
  <c r="L295" i="25"/>
  <c r="K295" i="25"/>
  <c r="H295" i="25"/>
  <c r="G295" i="25"/>
  <c r="P294" i="25"/>
  <c r="O294" i="25"/>
  <c r="H294" i="25"/>
  <c r="G294" i="25"/>
  <c r="P293" i="25"/>
  <c r="O293" i="25"/>
  <c r="H293" i="25"/>
  <c r="G293" i="25"/>
  <c r="P292" i="25"/>
  <c r="O292" i="25"/>
  <c r="H292" i="25"/>
  <c r="G292" i="25"/>
  <c r="P291" i="25"/>
  <c r="O291" i="25"/>
  <c r="H291" i="25"/>
  <c r="G291" i="25"/>
  <c r="P290" i="25"/>
  <c r="O290" i="25"/>
  <c r="L290" i="25"/>
  <c r="H290" i="25"/>
  <c r="G290" i="25"/>
  <c r="P289" i="25"/>
  <c r="O289" i="25"/>
  <c r="H289" i="25"/>
  <c r="K289" i="25" s="1"/>
  <c r="G289" i="25"/>
  <c r="P288" i="25"/>
  <c r="O288" i="25"/>
  <c r="H288" i="25"/>
  <c r="K288" i="25" s="1"/>
  <c r="G288" i="25"/>
  <c r="P287" i="25"/>
  <c r="O287" i="25"/>
  <c r="K287" i="25"/>
  <c r="H287" i="25"/>
  <c r="L287" i="25" s="1"/>
  <c r="G287" i="25"/>
  <c r="P286" i="25"/>
  <c r="O286" i="25"/>
  <c r="H286" i="25"/>
  <c r="G286" i="25"/>
  <c r="P285" i="25"/>
  <c r="O285" i="25"/>
  <c r="H285" i="25"/>
  <c r="G285" i="25"/>
  <c r="P284" i="25"/>
  <c r="O284" i="25"/>
  <c r="H284" i="25"/>
  <c r="L284" i="25" s="1"/>
  <c r="G284" i="25"/>
  <c r="P283" i="25"/>
  <c r="O283" i="25"/>
  <c r="L283" i="25"/>
  <c r="K283" i="25"/>
  <c r="H283" i="25"/>
  <c r="G283" i="25"/>
  <c r="P282" i="25"/>
  <c r="O282" i="25"/>
  <c r="L282" i="25"/>
  <c r="H282" i="25"/>
  <c r="G282" i="25"/>
  <c r="P281" i="25"/>
  <c r="O281" i="25"/>
  <c r="H281" i="25"/>
  <c r="G281" i="25"/>
  <c r="P280" i="25"/>
  <c r="O280" i="25"/>
  <c r="H280" i="25"/>
  <c r="G280" i="25"/>
  <c r="P279" i="25"/>
  <c r="O279" i="25"/>
  <c r="K279" i="25"/>
  <c r="L279" i="25"/>
  <c r="H279" i="25"/>
  <c r="G279" i="25"/>
  <c r="P278" i="25"/>
  <c r="O278" i="25"/>
  <c r="L278" i="25"/>
  <c r="H278" i="25"/>
  <c r="G278" i="25"/>
  <c r="P277" i="25"/>
  <c r="O277" i="25"/>
  <c r="H277" i="25"/>
  <c r="G277" i="25"/>
  <c r="P276" i="25"/>
  <c r="O276" i="25"/>
  <c r="H276" i="25"/>
  <c r="K276" i="25" s="1"/>
  <c r="G276" i="25"/>
  <c r="P275" i="25"/>
  <c r="O275" i="25"/>
  <c r="H275" i="25"/>
  <c r="K275" i="25" s="1"/>
  <c r="G275" i="25"/>
  <c r="P274" i="25"/>
  <c r="O274" i="25"/>
  <c r="H274" i="25"/>
  <c r="G274" i="25"/>
  <c r="P273" i="25"/>
  <c r="O273" i="25"/>
  <c r="H273" i="25"/>
  <c r="K273" i="25" s="1"/>
  <c r="G273" i="25"/>
  <c r="P272" i="25"/>
  <c r="O272" i="25"/>
  <c r="L272" i="25"/>
  <c r="K272" i="25"/>
  <c r="H272" i="25"/>
  <c r="G272" i="25"/>
  <c r="P271" i="25"/>
  <c r="O271" i="25"/>
  <c r="L271" i="25"/>
  <c r="K271" i="25"/>
  <c r="H271" i="25"/>
  <c r="G271" i="25"/>
  <c r="P270" i="25"/>
  <c r="O270" i="25"/>
  <c r="K270" i="25"/>
  <c r="L270" i="25"/>
  <c r="H270" i="25"/>
  <c r="G270" i="25"/>
  <c r="P269" i="25"/>
  <c r="O269" i="25"/>
  <c r="H269" i="25"/>
  <c r="G269" i="25"/>
  <c r="P268" i="25"/>
  <c r="O268" i="25"/>
  <c r="H268" i="25"/>
  <c r="G268" i="25"/>
  <c r="P267" i="25"/>
  <c r="O267" i="25"/>
  <c r="L267" i="25"/>
  <c r="H267" i="25"/>
  <c r="G267" i="25"/>
  <c r="P266" i="25"/>
  <c r="O266" i="25"/>
  <c r="L266" i="25"/>
  <c r="K266" i="25"/>
  <c r="H266" i="25"/>
  <c r="G266" i="25"/>
  <c r="P265" i="25"/>
  <c r="O265" i="25"/>
  <c r="H265" i="25"/>
  <c r="G265" i="25"/>
  <c r="P264" i="25"/>
  <c r="O264" i="25"/>
  <c r="L264" i="25"/>
  <c r="H264" i="25"/>
  <c r="K264" i="25" s="1"/>
  <c r="G264" i="25"/>
  <c r="P263" i="25"/>
  <c r="O263" i="25"/>
  <c r="H263" i="25"/>
  <c r="G263" i="25"/>
  <c r="P262" i="25"/>
  <c r="O262" i="25"/>
  <c r="H262" i="25"/>
  <c r="G262" i="25"/>
  <c r="P261" i="25"/>
  <c r="O261" i="25"/>
  <c r="H261" i="25"/>
  <c r="G261" i="25"/>
  <c r="P260" i="25"/>
  <c r="O260" i="25"/>
  <c r="L260" i="25"/>
  <c r="K260" i="25"/>
  <c r="H260" i="25"/>
  <c r="G260" i="25"/>
  <c r="P259" i="25"/>
  <c r="O259" i="25"/>
  <c r="L259" i="25"/>
  <c r="K259" i="25"/>
  <c r="H259" i="25"/>
  <c r="G259" i="25"/>
  <c r="P258" i="25"/>
  <c r="O258" i="25"/>
  <c r="H258" i="25"/>
  <c r="G258" i="25"/>
  <c r="P257" i="25"/>
  <c r="O257" i="25"/>
  <c r="H257" i="25"/>
  <c r="G257" i="25"/>
  <c r="P256" i="25"/>
  <c r="O256" i="25"/>
  <c r="L256" i="25"/>
  <c r="K256" i="25"/>
  <c r="H256" i="25"/>
  <c r="G256" i="25"/>
  <c r="P255" i="25"/>
  <c r="O255" i="25"/>
  <c r="H255" i="25"/>
  <c r="G255" i="25"/>
  <c r="P254" i="25"/>
  <c r="O254" i="25"/>
  <c r="L254" i="25"/>
  <c r="K254" i="25"/>
  <c r="H254" i="25"/>
  <c r="G254" i="25"/>
  <c r="P253" i="25"/>
  <c r="O253" i="25"/>
  <c r="H253" i="25"/>
  <c r="G253" i="25"/>
  <c r="P252" i="25"/>
  <c r="O252" i="25"/>
  <c r="L252" i="25"/>
  <c r="H252" i="25"/>
  <c r="K252" i="25" s="1"/>
  <c r="G252" i="25"/>
  <c r="P251" i="25"/>
  <c r="O251" i="25"/>
  <c r="H251" i="25"/>
  <c r="G251" i="25"/>
  <c r="H249" i="25"/>
  <c r="P248" i="25"/>
  <c r="O248" i="25"/>
  <c r="L248" i="25"/>
  <c r="H248" i="25"/>
  <c r="G248" i="25"/>
  <c r="P247" i="25"/>
  <c r="O247" i="25"/>
  <c r="H247" i="25"/>
  <c r="G247" i="25"/>
  <c r="P246" i="25"/>
  <c r="O246" i="25"/>
  <c r="H246" i="25"/>
  <c r="G246" i="25"/>
  <c r="P245" i="25"/>
  <c r="O245" i="25"/>
  <c r="H245" i="25"/>
  <c r="K245" i="25" s="1"/>
  <c r="G245" i="25"/>
  <c r="P244" i="25"/>
  <c r="O244" i="25"/>
  <c r="H244" i="25"/>
  <c r="G244" i="25"/>
  <c r="P243" i="25"/>
  <c r="O243" i="25"/>
  <c r="P241" i="25"/>
  <c r="O241" i="25"/>
  <c r="K241" i="25"/>
  <c r="H241" i="25"/>
  <c r="G241" i="25"/>
  <c r="P240" i="25"/>
  <c r="O240" i="25"/>
  <c r="L240" i="25"/>
  <c r="K240" i="25"/>
  <c r="H240" i="25"/>
  <c r="G240" i="25"/>
  <c r="P239" i="25"/>
  <c r="O239" i="25"/>
  <c r="H239" i="25"/>
  <c r="G239" i="25"/>
  <c r="P238" i="25"/>
  <c r="O238" i="25"/>
  <c r="H238" i="25"/>
  <c r="G238" i="25"/>
  <c r="P237" i="25"/>
  <c r="O237" i="25"/>
  <c r="H237" i="25"/>
  <c r="K237" i="25" s="1"/>
  <c r="G237" i="25"/>
  <c r="P236" i="25"/>
  <c r="O236" i="25"/>
  <c r="L236" i="25"/>
  <c r="K236" i="25"/>
  <c r="H236" i="25"/>
  <c r="G236" i="25"/>
  <c r="P235" i="25"/>
  <c r="O235" i="25"/>
  <c r="L235" i="25"/>
  <c r="K235" i="25"/>
  <c r="H235" i="25"/>
  <c r="G235" i="25"/>
  <c r="P234" i="25"/>
  <c r="O234" i="25"/>
  <c r="H234" i="25"/>
  <c r="G234" i="25"/>
  <c r="P233" i="25"/>
  <c r="O233" i="25"/>
  <c r="H233" i="25"/>
  <c r="G233" i="25"/>
  <c r="P232" i="25"/>
  <c r="O232" i="25"/>
  <c r="K232" i="25"/>
  <c r="L232" i="25"/>
  <c r="H232" i="25"/>
  <c r="G232" i="25"/>
  <c r="P231" i="25"/>
  <c r="O231" i="25"/>
  <c r="K231" i="25"/>
  <c r="L231" i="25"/>
  <c r="H231" i="25"/>
  <c r="G231" i="25"/>
  <c r="P230" i="25"/>
  <c r="O230" i="25"/>
  <c r="L230" i="25"/>
  <c r="K230" i="25"/>
  <c r="H230" i="25"/>
  <c r="G230" i="25"/>
  <c r="P229" i="25"/>
  <c r="O229" i="25"/>
  <c r="H229" i="25"/>
  <c r="G229" i="25"/>
  <c r="P228" i="25"/>
  <c r="O228" i="25"/>
  <c r="L228" i="25"/>
  <c r="K228" i="25"/>
  <c r="H228" i="25"/>
  <c r="G228" i="25"/>
  <c r="P227" i="25"/>
  <c r="O227" i="25"/>
  <c r="H227" i="25"/>
  <c r="L227" i="25" s="1"/>
  <c r="G227" i="25"/>
  <c r="P226" i="25"/>
  <c r="O226" i="25"/>
  <c r="H226" i="25"/>
  <c r="G226" i="25"/>
  <c r="P225" i="25"/>
  <c r="O225" i="25"/>
  <c r="H225" i="25"/>
  <c r="L225" i="25" s="1"/>
  <c r="G225" i="25"/>
  <c r="P224" i="25"/>
  <c r="O224" i="25"/>
  <c r="H224" i="25"/>
  <c r="G224" i="25"/>
  <c r="P223" i="25"/>
  <c r="O223" i="25"/>
  <c r="L223" i="25"/>
  <c r="K223" i="25"/>
  <c r="H223" i="25"/>
  <c r="G223" i="25"/>
  <c r="P222" i="25"/>
  <c r="O222" i="25"/>
  <c r="H222" i="25"/>
  <c r="G222" i="25"/>
  <c r="P221" i="25"/>
  <c r="O221" i="25"/>
  <c r="H221" i="25"/>
  <c r="G221" i="25"/>
  <c r="P220" i="25"/>
  <c r="O220" i="25"/>
  <c r="H220" i="25"/>
  <c r="G220" i="25"/>
  <c r="P219" i="25"/>
  <c r="O219" i="25"/>
  <c r="K219" i="25"/>
  <c r="L219" i="25"/>
  <c r="H219" i="25"/>
  <c r="G219" i="25"/>
  <c r="P218" i="25"/>
  <c r="O218" i="25"/>
  <c r="H218" i="25"/>
  <c r="G218" i="25"/>
  <c r="P217" i="25"/>
  <c r="O217" i="25"/>
  <c r="H217" i="25"/>
  <c r="G217" i="25"/>
  <c r="P216" i="25"/>
  <c r="O216" i="25"/>
  <c r="H216" i="25"/>
  <c r="K216" i="25" s="1"/>
  <c r="G216" i="25"/>
  <c r="P215" i="25"/>
  <c r="O215" i="25"/>
  <c r="L215" i="25"/>
  <c r="H215" i="25"/>
  <c r="K215" i="25" s="1"/>
  <c r="G215" i="25"/>
  <c r="P214" i="25"/>
  <c r="O214" i="25"/>
  <c r="H214" i="25"/>
  <c r="G214" i="25"/>
  <c r="P213" i="25"/>
  <c r="O213" i="25"/>
  <c r="L213" i="25"/>
  <c r="H213" i="25"/>
  <c r="K213" i="25" s="1"/>
  <c r="G213" i="25"/>
  <c r="P212" i="25"/>
  <c r="O212" i="25"/>
  <c r="L212" i="25"/>
  <c r="K212" i="25"/>
  <c r="H212" i="25"/>
  <c r="G212" i="25"/>
  <c r="P211" i="25"/>
  <c r="O211" i="25"/>
  <c r="L211" i="25"/>
  <c r="K211" i="25"/>
  <c r="H211" i="25"/>
  <c r="G211" i="25"/>
  <c r="P210" i="25"/>
  <c r="O210" i="25"/>
  <c r="K210" i="25"/>
  <c r="L210" i="25"/>
  <c r="H210" i="25"/>
  <c r="G210" i="25"/>
  <c r="P209" i="25"/>
  <c r="O209" i="25"/>
  <c r="H209" i="25"/>
  <c r="G209" i="25"/>
  <c r="P208" i="25"/>
  <c r="O208" i="25"/>
  <c r="L208" i="25"/>
  <c r="H208" i="25"/>
  <c r="G208" i="25"/>
  <c r="P207" i="25"/>
  <c r="O207" i="25"/>
  <c r="L207" i="25"/>
  <c r="H207" i="25"/>
  <c r="G207" i="25"/>
  <c r="P206" i="25"/>
  <c r="O206" i="25"/>
  <c r="L206" i="25"/>
  <c r="K206" i="25"/>
  <c r="H206" i="25"/>
  <c r="G206" i="25"/>
  <c r="P205" i="25"/>
  <c r="O205" i="25"/>
  <c r="H205" i="25"/>
  <c r="G205" i="25"/>
  <c r="P204" i="25"/>
  <c r="O204" i="25"/>
  <c r="L204" i="25"/>
  <c r="H204" i="25"/>
  <c r="K204" i="25" s="1"/>
  <c r="G204" i="25"/>
  <c r="P203" i="25"/>
  <c r="O203" i="25"/>
  <c r="H203" i="25"/>
  <c r="G203" i="25"/>
  <c r="P202" i="25"/>
  <c r="O202" i="25"/>
  <c r="H202" i="25"/>
  <c r="G202" i="25"/>
  <c r="P201" i="25"/>
  <c r="O201" i="25"/>
  <c r="H201" i="25"/>
  <c r="G201" i="25"/>
  <c r="P200" i="25"/>
  <c r="O200" i="25"/>
  <c r="L200" i="25"/>
  <c r="K200" i="25"/>
  <c r="H200" i="25"/>
  <c r="G200" i="25"/>
  <c r="P199" i="25"/>
  <c r="O199" i="25"/>
  <c r="L199" i="25"/>
  <c r="K199" i="25"/>
  <c r="H199" i="25"/>
  <c r="G199" i="25"/>
  <c r="P198" i="25"/>
  <c r="O198" i="25"/>
  <c r="H198" i="25"/>
  <c r="G198" i="25"/>
  <c r="P197" i="25"/>
  <c r="O197" i="25"/>
  <c r="H197" i="25"/>
  <c r="G197" i="25"/>
  <c r="P196" i="25"/>
  <c r="O196" i="25"/>
  <c r="L196" i="25"/>
  <c r="K196" i="25"/>
  <c r="H196" i="25"/>
  <c r="G196" i="25"/>
  <c r="P195" i="25"/>
  <c r="O195" i="25"/>
  <c r="H195" i="25"/>
  <c r="G195" i="25"/>
  <c r="P194" i="25"/>
  <c r="O194" i="25"/>
  <c r="L194" i="25"/>
  <c r="K194" i="25"/>
  <c r="H194" i="25"/>
  <c r="G194" i="25"/>
  <c r="P191" i="25"/>
  <c r="O191" i="25"/>
  <c r="H191" i="25"/>
  <c r="G191" i="25"/>
  <c r="P190" i="25"/>
  <c r="O190" i="25"/>
  <c r="H190" i="25"/>
  <c r="G190" i="25"/>
  <c r="P189" i="25"/>
  <c r="O189" i="25"/>
  <c r="H189" i="25"/>
  <c r="G189" i="25"/>
  <c r="P188" i="25"/>
  <c r="O188" i="25"/>
  <c r="K188" i="25"/>
  <c r="L188" i="25"/>
  <c r="H188" i="25"/>
  <c r="G188" i="25"/>
  <c r="P187" i="25"/>
  <c r="O187" i="25"/>
  <c r="K187" i="25"/>
  <c r="L187" i="25"/>
  <c r="H187" i="25"/>
  <c r="G187" i="25"/>
  <c r="P186" i="25"/>
  <c r="O186" i="25"/>
  <c r="H186" i="25"/>
  <c r="G186" i="25"/>
  <c r="P185" i="25"/>
  <c r="O185" i="25"/>
  <c r="H185" i="25"/>
  <c r="G185" i="25"/>
  <c r="P184" i="25"/>
  <c r="O184" i="25"/>
  <c r="H184" i="25"/>
  <c r="K184" i="25" s="1"/>
  <c r="G184" i="25"/>
  <c r="P183" i="25"/>
  <c r="O183" i="25"/>
  <c r="H183" i="25"/>
  <c r="G183" i="25"/>
  <c r="P182" i="25"/>
  <c r="O182" i="25"/>
  <c r="L182" i="25"/>
  <c r="H182" i="25"/>
  <c r="K182" i="25" s="1"/>
  <c r="G182" i="25"/>
  <c r="P181" i="25"/>
  <c r="O181" i="25"/>
  <c r="H181" i="25"/>
  <c r="K181" i="25" s="1"/>
  <c r="G181" i="25"/>
  <c r="P180" i="25"/>
  <c r="O180" i="25"/>
  <c r="H180" i="25"/>
  <c r="J180" i="25" s="1"/>
  <c r="L180" i="25" s="1"/>
  <c r="G180" i="25"/>
  <c r="P179" i="25"/>
  <c r="O179" i="25"/>
  <c r="H179" i="25"/>
  <c r="J179" i="25" s="1"/>
  <c r="G179" i="25"/>
  <c r="P178" i="25"/>
  <c r="O178" i="25"/>
  <c r="H178" i="25"/>
  <c r="J178" i="25" s="1"/>
  <c r="G178" i="25"/>
  <c r="P177" i="25"/>
  <c r="O177" i="25"/>
  <c r="H177" i="25"/>
  <c r="J177" i="25" s="1"/>
  <c r="G177" i="25"/>
  <c r="P176" i="25"/>
  <c r="O176" i="25"/>
  <c r="H176" i="25"/>
  <c r="J176" i="25" s="1"/>
  <c r="L176" i="25" s="1"/>
  <c r="G176" i="25"/>
  <c r="P175" i="25"/>
  <c r="O175" i="25"/>
  <c r="H175" i="25"/>
  <c r="J175" i="25" s="1"/>
  <c r="L175" i="25" s="1"/>
  <c r="G175" i="25"/>
  <c r="P174" i="25"/>
  <c r="O174" i="25"/>
  <c r="H174" i="25"/>
  <c r="J174" i="25" s="1"/>
  <c r="G174" i="25"/>
  <c r="P173" i="25"/>
  <c r="O173" i="25"/>
  <c r="H173" i="25"/>
  <c r="G173" i="25"/>
  <c r="P172" i="25"/>
  <c r="O172" i="25"/>
  <c r="H172" i="25"/>
  <c r="J172" i="25" s="1"/>
  <c r="L172" i="25" s="1"/>
  <c r="G172" i="25"/>
  <c r="P171" i="25"/>
  <c r="O171" i="25"/>
  <c r="H171" i="25"/>
  <c r="J171" i="25" s="1"/>
  <c r="G171" i="25"/>
  <c r="P170" i="25"/>
  <c r="O170" i="25"/>
  <c r="L170" i="25"/>
  <c r="H170" i="25"/>
  <c r="J170" i="25" s="1"/>
  <c r="K170" i="25" s="1"/>
  <c r="G170" i="25"/>
  <c r="P169" i="25"/>
  <c r="O169" i="25"/>
  <c r="H169" i="25"/>
  <c r="J169" i="25" s="1"/>
  <c r="L169" i="25" s="1"/>
  <c r="G169" i="25"/>
  <c r="P168" i="25"/>
  <c r="O168" i="25"/>
  <c r="H168" i="25"/>
  <c r="J168" i="25" s="1"/>
  <c r="L168" i="25" s="1"/>
  <c r="G168" i="25"/>
  <c r="P167" i="25"/>
  <c r="O167" i="25"/>
  <c r="H167" i="25"/>
  <c r="J167" i="25" s="1"/>
  <c r="G167" i="25"/>
  <c r="P164" i="25"/>
  <c r="O164" i="25"/>
  <c r="H164" i="25"/>
  <c r="G164" i="25"/>
  <c r="P163" i="25"/>
  <c r="O163" i="25"/>
  <c r="H163" i="25"/>
  <c r="G163" i="25"/>
  <c r="P162" i="25"/>
  <c r="O162" i="25"/>
  <c r="K162" i="25"/>
  <c r="L162" i="25"/>
  <c r="H162" i="25"/>
  <c r="G162" i="25"/>
  <c r="P161" i="25"/>
  <c r="O161" i="25"/>
  <c r="L161" i="25"/>
  <c r="H161" i="25"/>
  <c r="G161" i="25"/>
  <c r="P160" i="25"/>
  <c r="O160" i="25"/>
  <c r="H160" i="25"/>
  <c r="G160" i="25"/>
  <c r="P159" i="25"/>
  <c r="O159" i="25"/>
  <c r="H159" i="25"/>
  <c r="K159" i="25" s="1"/>
  <c r="G159" i="25"/>
  <c r="P158" i="25"/>
  <c r="O158" i="25"/>
  <c r="H158" i="25"/>
  <c r="G158" i="25"/>
  <c r="P155" i="25"/>
  <c r="O155" i="25"/>
  <c r="L155" i="25"/>
  <c r="H155" i="25"/>
  <c r="G155" i="25"/>
  <c r="P154" i="25"/>
  <c r="O154" i="25"/>
  <c r="L154" i="25"/>
  <c r="K154" i="25"/>
  <c r="H154" i="25"/>
  <c r="G154" i="25"/>
  <c r="P153" i="25"/>
  <c r="O153" i="25"/>
  <c r="H153" i="25"/>
  <c r="G153" i="25"/>
  <c r="P152" i="25"/>
  <c r="O152" i="25"/>
  <c r="L152" i="25"/>
  <c r="H152" i="25"/>
  <c r="K152" i="25" s="1"/>
  <c r="G152" i="25"/>
  <c r="P151" i="25"/>
  <c r="O151" i="25"/>
  <c r="H151" i="25"/>
  <c r="G151" i="25"/>
  <c r="P150" i="25"/>
  <c r="O150" i="25"/>
  <c r="H150" i="25"/>
  <c r="G150" i="25"/>
  <c r="P149" i="25"/>
  <c r="O149" i="25"/>
  <c r="H149" i="25"/>
  <c r="G149" i="25"/>
  <c r="P148" i="25"/>
  <c r="O148" i="25"/>
  <c r="H148" i="25"/>
  <c r="G148" i="25"/>
  <c r="P147" i="25"/>
  <c r="O147" i="25"/>
  <c r="L147" i="25"/>
  <c r="K147" i="25"/>
  <c r="H147" i="25"/>
  <c r="G147" i="25"/>
  <c r="P146" i="25"/>
  <c r="O146" i="25"/>
  <c r="H146" i="25"/>
  <c r="G146" i="25"/>
  <c r="P145" i="25"/>
  <c r="O145" i="25"/>
  <c r="H145" i="25"/>
  <c r="G145" i="25"/>
  <c r="P144" i="25"/>
  <c r="O144" i="25"/>
  <c r="H144" i="25"/>
  <c r="L144" i="25" s="1"/>
  <c r="G144" i="25"/>
  <c r="P143" i="25"/>
  <c r="O143" i="25"/>
  <c r="K143" i="25"/>
  <c r="L143" i="25"/>
  <c r="H143" i="25"/>
  <c r="G143" i="25"/>
  <c r="P142" i="25"/>
  <c r="O142" i="25"/>
  <c r="K142" i="25"/>
  <c r="H142" i="25"/>
  <c r="G142" i="25"/>
  <c r="P141" i="25"/>
  <c r="O141" i="25"/>
  <c r="L141" i="25"/>
  <c r="K141" i="25"/>
  <c r="H141" i="25"/>
  <c r="G141" i="25"/>
  <c r="P140" i="25"/>
  <c r="O140" i="25"/>
  <c r="H140" i="25"/>
  <c r="G140" i="25"/>
  <c r="P139" i="25"/>
  <c r="O139" i="25"/>
  <c r="L139" i="25"/>
  <c r="K139" i="25"/>
  <c r="H139" i="25"/>
  <c r="G139" i="25"/>
  <c r="P138" i="25"/>
  <c r="O138" i="25"/>
  <c r="H138" i="25"/>
  <c r="G138" i="25"/>
  <c r="P137" i="25"/>
  <c r="O137" i="25"/>
  <c r="L137" i="25"/>
  <c r="H137" i="25"/>
  <c r="G137" i="25"/>
  <c r="P136" i="25"/>
  <c r="O136" i="25"/>
  <c r="H136" i="25"/>
  <c r="L136" i="25" s="1"/>
  <c r="G136" i="25"/>
  <c r="P135" i="25"/>
  <c r="O135" i="25"/>
  <c r="L135" i="25"/>
  <c r="K135" i="25"/>
  <c r="H135" i="25"/>
  <c r="G135" i="25"/>
  <c r="P134" i="25"/>
  <c r="O134" i="25"/>
  <c r="H134" i="25"/>
  <c r="G134" i="25"/>
  <c r="P133" i="25"/>
  <c r="O133" i="25"/>
  <c r="H133" i="25"/>
  <c r="G133" i="25"/>
  <c r="P132" i="25"/>
  <c r="O132" i="25"/>
  <c r="H132" i="25"/>
  <c r="G132" i="25"/>
  <c r="P131" i="25"/>
  <c r="O131" i="25"/>
  <c r="L131" i="25"/>
  <c r="H131" i="25"/>
  <c r="G131" i="25"/>
  <c r="P130" i="25"/>
  <c r="O130" i="25"/>
  <c r="L130" i="25"/>
  <c r="H130" i="25"/>
  <c r="G130" i="25"/>
  <c r="P129" i="25"/>
  <c r="O129" i="25"/>
  <c r="L129" i="25"/>
  <c r="K129" i="25"/>
  <c r="H129" i="25"/>
  <c r="G129" i="25"/>
  <c r="P128" i="25"/>
  <c r="O128" i="25"/>
  <c r="H128" i="25"/>
  <c r="K128" i="25" s="1"/>
  <c r="G128" i="25"/>
  <c r="P127" i="25"/>
  <c r="O127" i="25"/>
  <c r="L127" i="25"/>
  <c r="K127" i="25"/>
  <c r="H127" i="25"/>
  <c r="G127" i="25"/>
  <c r="P126" i="25"/>
  <c r="O126" i="25"/>
  <c r="H126" i="25"/>
  <c r="G126" i="25"/>
  <c r="P125" i="25"/>
  <c r="O125" i="25"/>
  <c r="L125" i="25"/>
  <c r="K125" i="25"/>
  <c r="H125" i="25"/>
  <c r="G125" i="25"/>
  <c r="P124" i="25"/>
  <c r="O124" i="25"/>
  <c r="H124" i="25"/>
  <c r="L124" i="25" s="1"/>
  <c r="G124" i="25"/>
  <c r="P123" i="25"/>
  <c r="O123" i="25"/>
  <c r="L123" i="25"/>
  <c r="K123" i="25"/>
  <c r="H123" i="25"/>
  <c r="G123" i="25"/>
  <c r="P122" i="25"/>
  <c r="O122" i="25"/>
  <c r="H122" i="25"/>
  <c r="G122" i="25"/>
  <c r="P121" i="25"/>
  <c r="O121" i="25"/>
  <c r="H121" i="25"/>
  <c r="G121" i="25"/>
  <c r="P120" i="25"/>
  <c r="O120" i="25"/>
  <c r="H120" i="25"/>
  <c r="G120" i="25"/>
  <c r="P119" i="25"/>
  <c r="O119" i="25"/>
  <c r="K119" i="25"/>
  <c r="L119" i="25"/>
  <c r="H119" i="25"/>
  <c r="G119" i="25"/>
  <c r="P118" i="25"/>
  <c r="O118" i="25"/>
  <c r="L118" i="25"/>
  <c r="K118" i="25"/>
  <c r="H118" i="25"/>
  <c r="G118" i="25"/>
  <c r="P115" i="25"/>
  <c r="O115" i="25"/>
  <c r="H115" i="25"/>
  <c r="G115" i="25"/>
  <c r="P114" i="25"/>
  <c r="O114" i="25"/>
  <c r="H114" i="25"/>
  <c r="G114" i="25"/>
  <c r="P113" i="25"/>
  <c r="O113" i="25"/>
  <c r="L113" i="25"/>
  <c r="H113" i="25"/>
  <c r="G113" i="25"/>
  <c r="P112" i="25"/>
  <c r="O112" i="25"/>
  <c r="H112" i="25"/>
  <c r="L112" i="25" s="1"/>
  <c r="G112" i="25"/>
  <c r="P111" i="25"/>
  <c r="O111" i="25"/>
  <c r="L111" i="25"/>
  <c r="K111" i="25"/>
  <c r="H111" i="25"/>
  <c r="G111" i="25"/>
  <c r="P110" i="25"/>
  <c r="O110" i="25"/>
  <c r="H110" i="25"/>
  <c r="G110" i="25"/>
  <c r="P109" i="25"/>
  <c r="O109" i="25"/>
  <c r="H109" i="25"/>
  <c r="G109" i="25"/>
  <c r="P108" i="25"/>
  <c r="O108" i="25"/>
  <c r="H108" i="25"/>
  <c r="G108" i="25"/>
  <c r="P107" i="25"/>
  <c r="O107" i="25"/>
  <c r="L107" i="25"/>
  <c r="H107" i="25"/>
  <c r="G107" i="25"/>
  <c r="P106" i="25"/>
  <c r="O106" i="25"/>
  <c r="L106" i="25"/>
  <c r="H106" i="25"/>
  <c r="G106" i="25"/>
  <c r="P105" i="25"/>
  <c r="O105" i="25"/>
  <c r="H105" i="25"/>
  <c r="J105" i="25" s="1"/>
  <c r="G105" i="25"/>
  <c r="P104" i="25"/>
  <c r="O104" i="25"/>
  <c r="H104" i="25"/>
  <c r="G104" i="25"/>
  <c r="P101" i="25"/>
  <c r="O101" i="25"/>
  <c r="H101" i="25"/>
  <c r="J101" i="25" s="1"/>
  <c r="L101" i="25" s="1"/>
  <c r="G101" i="25"/>
  <c r="P100" i="25"/>
  <c r="O100" i="25"/>
  <c r="H100" i="25"/>
  <c r="J100" i="25" s="1"/>
  <c r="K100" i="25" s="1"/>
  <c r="G100" i="25"/>
  <c r="P99" i="25"/>
  <c r="O99" i="25"/>
  <c r="H99" i="25"/>
  <c r="J99" i="25" s="1"/>
  <c r="L99" i="25" s="1"/>
  <c r="G99" i="25"/>
  <c r="P98" i="25"/>
  <c r="O98" i="25"/>
  <c r="H98" i="25"/>
  <c r="J98" i="25" s="1"/>
  <c r="L98" i="25" s="1"/>
  <c r="G98" i="25"/>
  <c r="P97" i="25"/>
  <c r="O97" i="25"/>
  <c r="L97" i="25"/>
  <c r="K97" i="25"/>
  <c r="H97" i="25"/>
  <c r="G97" i="25"/>
  <c r="P96" i="25"/>
  <c r="O96" i="25"/>
  <c r="H96" i="25"/>
  <c r="L96" i="25" s="1"/>
  <c r="G96" i="25"/>
  <c r="P95" i="25"/>
  <c r="O95" i="25"/>
  <c r="H95" i="25"/>
  <c r="K95" i="25" s="1"/>
  <c r="G95" i="25"/>
  <c r="P94" i="25"/>
  <c r="O94" i="25"/>
  <c r="H94" i="25"/>
  <c r="L94" i="25" s="1"/>
  <c r="G94" i="25"/>
  <c r="P93" i="25"/>
  <c r="O93" i="25"/>
  <c r="H93" i="25"/>
  <c r="G93" i="25"/>
  <c r="P92" i="25"/>
  <c r="O92" i="25"/>
  <c r="P90" i="25"/>
  <c r="O90" i="25"/>
  <c r="L90" i="25"/>
  <c r="H90" i="25"/>
  <c r="J90" i="25" s="1"/>
  <c r="K90" i="25" s="1"/>
  <c r="G90" i="25"/>
  <c r="P89" i="25"/>
  <c r="O89" i="25"/>
  <c r="P88" i="25"/>
  <c r="O88" i="25"/>
  <c r="F88" i="25"/>
  <c r="H88" i="25" s="1"/>
  <c r="L88" i="25" s="1"/>
  <c r="P87" i="25"/>
  <c r="O87" i="25"/>
  <c r="F87" i="25"/>
  <c r="H87" i="25" s="1"/>
  <c r="L87" i="25" s="1"/>
  <c r="P86" i="25"/>
  <c r="O86" i="25"/>
  <c r="F86" i="25"/>
  <c r="G86" i="25" s="1"/>
  <c r="P85" i="25"/>
  <c r="O85" i="25"/>
  <c r="F85" i="25"/>
  <c r="H85" i="25" s="1"/>
  <c r="P84" i="25"/>
  <c r="O84" i="25"/>
  <c r="H84" i="25"/>
  <c r="L84" i="25" s="1"/>
  <c r="G84" i="25"/>
  <c r="P83" i="25"/>
  <c r="O83" i="25"/>
  <c r="P82" i="25"/>
  <c r="O82" i="25"/>
  <c r="F82" i="25"/>
  <c r="H82" i="25" s="1"/>
  <c r="P81" i="25"/>
  <c r="O81" i="25"/>
  <c r="F81" i="25"/>
  <c r="G81" i="25" s="1"/>
  <c r="P80" i="25"/>
  <c r="O80" i="25"/>
  <c r="F80" i="25"/>
  <c r="F83" i="25" s="1"/>
  <c r="G83" i="25" s="1"/>
  <c r="P79" i="25"/>
  <c r="O79" i="25"/>
  <c r="F79" i="25"/>
  <c r="H79" i="25" s="1"/>
  <c r="P78" i="25"/>
  <c r="O78" i="25"/>
  <c r="L78" i="25"/>
  <c r="H78" i="25"/>
  <c r="K78" i="25" s="1"/>
  <c r="G78" i="25"/>
  <c r="P77" i="25"/>
  <c r="O77" i="25"/>
  <c r="F77" i="25"/>
  <c r="P76" i="25"/>
  <c r="O76" i="25"/>
  <c r="F76" i="25"/>
  <c r="G76" i="25" s="1"/>
  <c r="P75" i="25"/>
  <c r="O75" i="25"/>
  <c r="F75" i="25"/>
  <c r="H75" i="25" s="1"/>
  <c r="L75" i="25" s="1"/>
  <c r="P74" i="25"/>
  <c r="O74" i="25"/>
  <c r="F74" i="25"/>
  <c r="G74" i="25" s="1"/>
  <c r="P73" i="25"/>
  <c r="O73" i="25"/>
  <c r="F73" i="25"/>
  <c r="G73" i="25" s="1"/>
  <c r="P72" i="25"/>
  <c r="O72" i="25"/>
  <c r="H72" i="25"/>
  <c r="L72" i="25" s="1"/>
  <c r="G72" i="25"/>
  <c r="P71" i="25"/>
  <c r="O71" i="25"/>
  <c r="P70" i="25"/>
  <c r="O70" i="25"/>
  <c r="F70" i="25"/>
  <c r="P69" i="25"/>
  <c r="O69" i="25"/>
  <c r="F69" i="25"/>
  <c r="P68" i="25"/>
  <c r="O68" i="25"/>
  <c r="F68" i="25"/>
  <c r="H68" i="25" s="1"/>
  <c r="P67" i="25"/>
  <c r="O67" i="25"/>
  <c r="F67" i="25"/>
  <c r="H67" i="25" s="1"/>
  <c r="P66" i="25"/>
  <c r="O66" i="25"/>
  <c r="F66" i="25"/>
  <c r="H66" i="25" s="1"/>
  <c r="L66" i="25" s="1"/>
  <c r="P65" i="25"/>
  <c r="O65" i="25"/>
  <c r="H65" i="25"/>
  <c r="L65" i="25" s="1"/>
  <c r="G65" i="25"/>
  <c r="P62" i="25"/>
  <c r="O62" i="25"/>
  <c r="F62" i="25"/>
  <c r="G62" i="25" s="1"/>
  <c r="P61" i="25"/>
  <c r="O61" i="25"/>
  <c r="F61" i="25"/>
  <c r="H61" i="25" s="1"/>
  <c r="L61" i="25" s="1"/>
  <c r="P60" i="25"/>
  <c r="O60" i="25"/>
  <c r="H60" i="25"/>
  <c r="L60" i="25" s="1"/>
  <c r="F60" i="25"/>
  <c r="G60" i="25" s="1"/>
  <c r="P59" i="25"/>
  <c r="O59" i="25"/>
  <c r="H59" i="25"/>
  <c r="L59" i="25" s="1"/>
  <c r="G59" i="25"/>
  <c r="P58" i="25"/>
  <c r="O58" i="25"/>
  <c r="F58" i="25"/>
  <c r="G58" i="25" s="1"/>
  <c r="P57" i="25"/>
  <c r="O57" i="25"/>
  <c r="F57" i="25"/>
  <c r="G57" i="25" s="1"/>
  <c r="P56" i="25"/>
  <c r="O56" i="25"/>
  <c r="F56" i="25"/>
  <c r="P55" i="25"/>
  <c r="O55" i="25"/>
  <c r="F55" i="25"/>
  <c r="G55" i="25" s="1"/>
  <c r="P54" i="25"/>
  <c r="O54" i="25"/>
  <c r="L54" i="25"/>
  <c r="H54" i="25"/>
  <c r="K54" i="25" s="1"/>
  <c r="G54" i="25"/>
  <c r="P53" i="25"/>
  <c r="O53" i="25"/>
  <c r="F53" i="25"/>
  <c r="H53" i="25" s="1"/>
  <c r="L53" i="25" s="1"/>
  <c r="P52" i="25"/>
  <c r="O52" i="25"/>
  <c r="F52" i="25"/>
  <c r="H52" i="25" s="1"/>
  <c r="P51" i="25"/>
  <c r="O51" i="25"/>
  <c r="H51" i="25"/>
  <c r="L51" i="25" s="1"/>
  <c r="F51" i="25"/>
  <c r="G51" i="25" s="1"/>
  <c r="P50" i="25"/>
  <c r="O50" i="25"/>
  <c r="H50" i="25"/>
  <c r="L50" i="25" s="1"/>
  <c r="G50" i="25"/>
  <c r="P49" i="25"/>
  <c r="O49" i="25"/>
  <c r="P48" i="25"/>
  <c r="O48" i="25"/>
  <c r="H48" i="25"/>
  <c r="K48" i="25" s="1"/>
  <c r="F48" i="25"/>
  <c r="G48" i="25" s="1"/>
  <c r="P47" i="25"/>
  <c r="O47" i="25"/>
  <c r="F47" i="25"/>
  <c r="H47" i="25" s="1"/>
  <c r="K47" i="25" s="1"/>
  <c r="P46" i="25"/>
  <c r="O46" i="25"/>
  <c r="H46" i="25"/>
  <c r="K46" i="25" s="1"/>
  <c r="F46" i="25"/>
  <c r="G46" i="25" s="1"/>
  <c r="P45" i="25"/>
  <c r="O45" i="25"/>
  <c r="H45" i="25"/>
  <c r="L45" i="25" s="1"/>
  <c r="F45" i="25"/>
  <c r="G45" i="25" s="1"/>
  <c r="P44" i="25"/>
  <c r="O44" i="25"/>
  <c r="F44" i="25"/>
  <c r="G44" i="25" s="1"/>
  <c r="P43" i="25"/>
  <c r="O43" i="25"/>
  <c r="F43" i="25"/>
  <c r="F49" i="25" s="1"/>
  <c r="P42" i="25"/>
  <c r="O42" i="25"/>
  <c r="H42" i="25"/>
  <c r="K42" i="25" s="1"/>
  <c r="G42" i="25"/>
  <c r="P41" i="25"/>
  <c r="O41" i="25"/>
  <c r="F41" i="25"/>
  <c r="H41" i="25" s="1"/>
  <c r="L41" i="25" s="1"/>
  <c r="P40" i="25"/>
  <c r="O40" i="25"/>
  <c r="F40" i="25"/>
  <c r="H40" i="25" s="1"/>
  <c r="L40" i="25" s="1"/>
  <c r="P39" i="25"/>
  <c r="O39" i="25"/>
  <c r="F39" i="25"/>
  <c r="G39" i="25" s="1"/>
  <c r="P38" i="25"/>
  <c r="O38" i="25"/>
  <c r="F38" i="25"/>
  <c r="H38" i="25" s="1"/>
  <c r="L38" i="25" s="1"/>
  <c r="P37" i="25"/>
  <c r="O37" i="25"/>
  <c r="F37" i="25"/>
  <c r="G37" i="25" s="1"/>
  <c r="P36" i="25"/>
  <c r="O36" i="25"/>
  <c r="F36" i="25"/>
  <c r="G36" i="25" s="1"/>
  <c r="P35" i="25"/>
  <c r="O35" i="25"/>
  <c r="F35" i="25"/>
  <c r="P34" i="25"/>
  <c r="O34" i="25"/>
  <c r="L34" i="25"/>
  <c r="H34" i="25"/>
  <c r="K34" i="25" s="1"/>
  <c r="G34" i="25"/>
  <c r="P31" i="25"/>
  <c r="O31" i="25"/>
  <c r="H31" i="25"/>
  <c r="K31" i="25" s="1"/>
  <c r="G31" i="25"/>
  <c r="P30" i="25"/>
  <c r="O30" i="25"/>
  <c r="H30" i="25"/>
  <c r="K30" i="25" s="1"/>
  <c r="G30" i="25"/>
  <c r="P29" i="25"/>
  <c r="O29" i="25"/>
  <c r="H29" i="25"/>
  <c r="K29" i="25" s="1"/>
  <c r="G29" i="25"/>
  <c r="P28" i="25"/>
  <c r="O28" i="25"/>
  <c r="H28" i="25"/>
  <c r="K28" i="25" s="1"/>
  <c r="G28" i="25"/>
  <c r="P27" i="25"/>
  <c r="O27" i="25"/>
  <c r="H27" i="25"/>
  <c r="K27" i="25" s="1"/>
  <c r="G27" i="25"/>
  <c r="P26" i="25"/>
  <c r="O26" i="25"/>
  <c r="H26" i="25"/>
  <c r="G26" i="25"/>
  <c r="P23" i="25"/>
  <c r="O23" i="25"/>
  <c r="L23" i="25"/>
  <c r="K23" i="25"/>
  <c r="F23" i="25"/>
  <c r="P22" i="25"/>
  <c r="O22" i="25"/>
  <c r="L22" i="25"/>
  <c r="K22" i="25"/>
  <c r="H22" i="25"/>
  <c r="G22" i="25"/>
  <c r="P21" i="25"/>
  <c r="O21" i="25"/>
  <c r="L21" i="25"/>
  <c r="K21" i="25"/>
  <c r="H21" i="25"/>
  <c r="G21" i="25"/>
  <c r="P20" i="25"/>
  <c r="O20" i="25"/>
  <c r="H20" i="25"/>
  <c r="J20" i="25" s="1"/>
  <c r="L20" i="25" s="1"/>
  <c r="G20" i="25"/>
  <c r="P19" i="25"/>
  <c r="O19" i="25"/>
  <c r="F19" i="25"/>
  <c r="P18" i="25"/>
  <c r="O18" i="25"/>
  <c r="H18" i="25"/>
  <c r="J18" i="25" s="1"/>
  <c r="L18" i="25" s="1"/>
  <c r="G18" i="25"/>
  <c r="P17" i="25"/>
  <c r="O17" i="25"/>
  <c r="F17" i="25"/>
  <c r="H17" i="25" s="1"/>
  <c r="J17" i="25" s="1"/>
  <c r="L17" i="25" s="1"/>
  <c r="P16" i="25"/>
  <c r="O16" i="25"/>
  <c r="L16" i="25"/>
  <c r="H16" i="25"/>
  <c r="J16" i="25" s="1"/>
  <c r="K16" i="25" s="1"/>
  <c r="G16" i="25"/>
  <c r="P15" i="25"/>
  <c r="O15" i="25"/>
  <c r="L15" i="25"/>
  <c r="K15" i="25"/>
  <c r="F15" i="25"/>
  <c r="H15" i="25" s="1"/>
  <c r="P14" i="25"/>
  <c r="O14" i="25"/>
  <c r="L14" i="25"/>
  <c r="K14" i="25"/>
  <c r="H14" i="25"/>
  <c r="G14" i="25"/>
  <c r="P13" i="25"/>
  <c r="O13" i="25"/>
  <c r="F13" i="25"/>
  <c r="G13" i="25" s="1"/>
  <c r="P12" i="25"/>
  <c r="O12" i="25"/>
  <c r="H12" i="25"/>
  <c r="J12" i="25" s="1"/>
  <c r="L12" i="25" s="1"/>
  <c r="G12" i="25"/>
  <c r="P11" i="25"/>
  <c r="O11" i="25"/>
  <c r="F11" i="25"/>
  <c r="H11" i="25" s="1"/>
  <c r="J11" i="25" s="1"/>
  <c r="L11" i="25" s="1"/>
  <c r="P10" i="25"/>
  <c r="O10" i="25"/>
  <c r="H10" i="25"/>
  <c r="J10" i="25" s="1"/>
  <c r="L10" i="25" s="1"/>
  <c r="G10" i="25"/>
  <c r="P9" i="25"/>
  <c r="O9" i="25"/>
  <c r="L9" i="25"/>
  <c r="K9" i="25"/>
  <c r="F9" i="25"/>
  <c r="G9" i="25" s="1"/>
  <c r="P8" i="25"/>
  <c r="O8" i="25"/>
  <c r="L8" i="25"/>
  <c r="K8" i="25"/>
  <c r="F8" i="25"/>
  <c r="H8" i="25" s="1"/>
  <c r="P7" i="25"/>
  <c r="O7" i="25"/>
  <c r="L7" i="25"/>
  <c r="K7" i="25"/>
  <c r="H7" i="25"/>
  <c r="G7" i="25"/>
  <c r="P6" i="25"/>
  <c r="O6" i="25"/>
  <c r="L6" i="25"/>
  <c r="K6" i="25"/>
  <c r="F6" i="25"/>
  <c r="P5" i="25"/>
  <c r="O5" i="25"/>
  <c r="L5" i="25"/>
  <c r="K5" i="25"/>
  <c r="F5" i="25"/>
  <c r="P4" i="25"/>
  <c r="O4" i="25"/>
  <c r="L4" i="25"/>
  <c r="K4" i="25"/>
  <c r="H4" i="25"/>
  <c r="G4" i="25"/>
  <c r="J354" i="24"/>
  <c r="H425" i="24"/>
  <c r="G425" i="24"/>
  <c r="H424" i="24"/>
  <c r="G424" i="24"/>
  <c r="H423" i="24"/>
  <c r="G423" i="24"/>
  <c r="H422" i="24"/>
  <c r="G422" i="24"/>
  <c r="H421" i="24"/>
  <c r="G421" i="24"/>
  <c r="H420" i="24"/>
  <c r="G420" i="24"/>
  <c r="H419" i="24"/>
  <c r="G419" i="24"/>
  <c r="H418" i="24"/>
  <c r="B14" i="3" s="1"/>
  <c r="G418" i="24"/>
  <c r="H417" i="24"/>
  <c r="G417" i="24"/>
  <c r="H416" i="24"/>
  <c r="B13" i="3" s="1"/>
  <c r="G416" i="24"/>
  <c r="P413" i="24"/>
  <c r="O413" i="24"/>
  <c r="H413" i="24"/>
  <c r="J413" i="24" s="1"/>
  <c r="G413" i="24"/>
  <c r="P412" i="24"/>
  <c r="O412" i="24"/>
  <c r="H412" i="24"/>
  <c r="J412" i="24" s="1"/>
  <c r="G412" i="24"/>
  <c r="P411" i="24"/>
  <c r="O411" i="24"/>
  <c r="H411" i="24"/>
  <c r="J411" i="24" s="1"/>
  <c r="G411" i="24"/>
  <c r="P410" i="24"/>
  <c r="O410" i="24"/>
  <c r="J410" i="24"/>
  <c r="L410" i="24" s="1"/>
  <c r="H410" i="24"/>
  <c r="G410" i="24"/>
  <c r="P409" i="24"/>
  <c r="O409" i="24"/>
  <c r="H409" i="24"/>
  <c r="J409" i="24" s="1"/>
  <c r="K409" i="24" s="1"/>
  <c r="G409" i="24"/>
  <c r="P408" i="24"/>
  <c r="O408" i="24"/>
  <c r="H408" i="24"/>
  <c r="J408" i="24" s="1"/>
  <c r="K408" i="24" s="1"/>
  <c r="G408" i="24"/>
  <c r="P407" i="24"/>
  <c r="O407" i="24"/>
  <c r="H407" i="24"/>
  <c r="J407" i="24" s="1"/>
  <c r="K407" i="24" s="1"/>
  <c r="G407" i="24"/>
  <c r="P406" i="24"/>
  <c r="O406" i="24"/>
  <c r="H406" i="24"/>
  <c r="J406" i="24" s="1"/>
  <c r="G406" i="24"/>
  <c r="P405" i="24"/>
  <c r="O405" i="24"/>
  <c r="H405" i="24"/>
  <c r="J405" i="24" s="1"/>
  <c r="K405" i="24" s="1"/>
  <c r="G405" i="24"/>
  <c r="P404" i="24"/>
  <c r="O404" i="24"/>
  <c r="H404" i="24"/>
  <c r="J404" i="24" s="1"/>
  <c r="K404" i="24" s="1"/>
  <c r="G404" i="24"/>
  <c r="P403" i="24"/>
  <c r="O403" i="24"/>
  <c r="H403" i="24"/>
  <c r="J403" i="24" s="1"/>
  <c r="G403" i="24"/>
  <c r="P402" i="24"/>
  <c r="O402" i="24"/>
  <c r="J402" i="24"/>
  <c r="K402" i="24" s="1"/>
  <c r="H402" i="24"/>
  <c r="G402" i="24"/>
  <c r="P401" i="24"/>
  <c r="O401" i="24"/>
  <c r="H401" i="24"/>
  <c r="J401" i="24" s="1"/>
  <c r="G401" i="24"/>
  <c r="P400" i="24"/>
  <c r="O400" i="24"/>
  <c r="H400" i="24"/>
  <c r="J400" i="24" s="1"/>
  <c r="L400" i="24" s="1"/>
  <c r="G400" i="24"/>
  <c r="P399" i="24"/>
  <c r="O399" i="24"/>
  <c r="H399" i="24"/>
  <c r="J399" i="24" s="1"/>
  <c r="G399" i="24"/>
  <c r="P398" i="24"/>
  <c r="O398" i="24"/>
  <c r="H398" i="24"/>
  <c r="J398" i="24" s="1"/>
  <c r="L398" i="24" s="1"/>
  <c r="G398" i="24"/>
  <c r="P397" i="24"/>
  <c r="O397" i="24"/>
  <c r="H397" i="24"/>
  <c r="J397" i="24" s="1"/>
  <c r="G397" i="24"/>
  <c r="P396" i="24"/>
  <c r="O396" i="24"/>
  <c r="H396" i="24"/>
  <c r="J396" i="24" s="1"/>
  <c r="K396" i="24" s="1"/>
  <c r="G396" i="24"/>
  <c r="P394" i="24"/>
  <c r="O394" i="24"/>
  <c r="H394" i="24"/>
  <c r="J394" i="24" s="1"/>
  <c r="G394" i="24"/>
  <c r="P393" i="24"/>
  <c r="O393" i="24"/>
  <c r="H393" i="24"/>
  <c r="J393" i="24" s="1"/>
  <c r="G393" i="24"/>
  <c r="P392" i="24"/>
  <c r="O392" i="24"/>
  <c r="H392" i="24"/>
  <c r="J392" i="24" s="1"/>
  <c r="G392" i="24"/>
  <c r="P391" i="24"/>
  <c r="O391" i="24"/>
  <c r="H391" i="24"/>
  <c r="J391" i="24" s="1"/>
  <c r="K391" i="24" s="1"/>
  <c r="G391" i="24"/>
  <c r="P390" i="24"/>
  <c r="O390" i="24"/>
  <c r="H390" i="24"/>
  <c r="J390" i="24" s="1"/>
  <c r="L390" i="24" s="1"/>
  <c r="G390" i="24"/>
  <c r="P389" i="24"/>
  <c r="O389" i="24"/>
  <c r="H389" i="24"/>
  <c r="J389" i="24" s="1"/>
  <c r="L389" i="24" s="1"/>
  <c r="G389" i="24"/>
  <c r="P388" i="24"/>
  <c r="O388" i="24"/>
  <c r="H388" i="24"/>
  <c r="J388" i="24" s="1"/>
  <c r="G388" i="24"/>
  <c r="P387" i="24"/>
  <c r="O387" i="24"/>
  <c r="J387" i="24"/>
  <c r="H387" i="24"/>
  <c r="G387" i="24"/>
  <c r="P386" i="24"/>
  <c r="O386" i="24"/>
  <c r="H386" i="24"/>
  <c r="J386" i="24" s="1"/>
  <c r="G386" i="24"/>
  <c r="P385" i="24"/>
  <c r="O385" i="24"/>
  <c r="J385" i="24"/>
  <c r="L385" i="24" s="1"/>
  <c r="H385" i="24"/>
  <c r="G385" i="24"/>
  <c r="P384" i="24"/>
  <c r="O384" i="24"/>
  <c r="H384" i="24"/>
  <c r="J384" i="24" s="1"/>
  <c r="G384" i="24"/>
  <c r="P383" i="24"/>
  <c r="O383" i="24"/>
  <c r="H383" i="24"/>
  <c r="J383" i="24" s="1"/>
  <c r="K383" i="24" s="1"/>
  <c r="G383" i="24"/>
  <c r="P382" i="24"/>
  <c r="O382" i="24"/>
  <c r="H382" i="24"/>
  <c r="J382" i="24" s="1"/>
  <c r="G382" i="24"/>
  <c r="P381" i="24"/>
  <c r="O381" i="24"/>
  <c r="J381" i="24"/>
  <c r="H381" i="24"/>
  <c r="G381" i="24"/>
  <c r="P380" i="24"/>
  <c r="O380" i="24"/>
  <c r="H380" i="24"/>
  <c r="J380" i="24" s="1"/>
  <c r="G380" i="24"/>
  <c r="P379" i="24"/>
  <c r="O379" i="24"/>
  <c r="H379" i="24"/>
  <c r="J379" i="24" s="1"/>
  <c r="G379" i="24"/>
  <c r="P378" i="24"/>
  <c r="O378" i="24"/>
  <c r="H378" i="24"/>
  <c r="J378" i="24" s="1"/>
  <c r="L378" i="24" s="1"/>
  <c r="G378" i="24"/>
  <c r="P377" i="24"/>
  <c r="O377" i="24"/>
  <c r="H377" i="24"/>
  <c r="J377" i="24" s="1"/>
  <c r="G377" i="24"/>
  <c r="P376" i="24"/>
  <c r="O376" i="24"/>
  <c r="H376" i="24"/>
  <c r="G376" i="24"/>
  <c r="P375" i="24"/>
  <c r="O375" i="24"/>
  <c r="H375" i="24"/>
  <c r="J375" i="24" s="1"/>
  <c r="G375" i="24"/>
  <c r="P374" i="24"/>
  <c r="O374" i="24"/>
  <c r="H374" i="24"/>
  <c r="G374" i="24"/>
  <c r="P373" i="24"/>
  <c r="O373" i="24"/>
  <c r="H373" i="24"/>
  <c r="G373" i="24"/>
  <c r="P372" i="24"/>
  <c r="O372" i="24"/>
  <c r="H372" i="24"/>
  <c r="J372" i="24" s="1"/>
  <c r="G372" i="24"/>
  <c r="P371" i="24"/>
  <c r="O371" i="24"/>
  <c r="H371" i="24"/>
  <c r="K371" i="24" s="1"/>
  <c r="G371" i="24"/>
  <c r="P370" i="24"/>
  <c r="O370" i="24"/>
  <c r="H370" i="24"/>
  <c r="J370" i="24" s="1"/>
  <c r="L370" i="24" s="1"/>
  <c r="G370" i="24"/>
  <c r="P369" i="24"/>
  <c r="O369" i="24"/>
  <c r="H369" i="24"/>
  <c r="J369" i="24" s="1"/>
  <c r="G369" i="24"/>
  <c r="P368" i="24"/>
  <c r="O368" i="24"/>
  <c r="H368" i="24"/>
  <c r="J368" i="24" s="1"/>
  <c r="L368" i="24" s="1"/>
  <c r="G368" i="24"/>
  <c r="P367" i="24"/>
  <c r="O367" i="24"/>
  <c r="H367" i="24"/>
  <c r="J367" i="24" s="1"/>
  <c r="G367" i="24"/>
  <c r="P366" i="24"/>
  <c r="O366" i="24"/>
  <c r="H366" i="24"/>
  <c r="J366" i="24" s="1"/>
  <c r="L366" i="24" s="1"/>
  <c r="G366" i="24"/>
  <c r="P365" i="24"/>
  <c r="O365" i="24"/>
  <c r="H365" i="24"/>
  <c r="J365" i="24" s="1"/>
  <c r="G365" i="24"/>
  <c r="P364" i="24"/>
  <c r="O364" i="24"/>
  <c r="H364" i="24"/>
  <c r="J364" i="24" s="1"/>
  <c r="G364" i="24"/>
  <c r="P363" i="24"/>
  <c r="O363" i="24"/>
  <c r="H363" i="24"/>
  <c r="J363" i="24" s="1"/>
  <c r="G363" i="24"/>
  <c r="P362" i="24"/>
  <c r="O362" i="24"/>
  <c r="H362" i="24"/>
  <c r="J362" i="24" s="1"/>
  <c r="G362" i="24"/>
  <c r="P361" i="24"/>
  <c r="O361" i="24"/>
  <c r="J361" i="24"/>
  <c r="L361" i="24" s="1"/>
  <c r="H361" i="24"/>
  <c r="G361" i="24"/>
  <c r="P360" i="24"/>
  <c r="O360" i="24"/>
  <c r="H360" i="24"/>
  <c r="J360" i="24" s="1"/>
  <c r="K360" i="24" s="1"/>
  <c r="G360" i="24"/>
  <c r="P358" i="24"/>
  <c r="O358" i="24"/>
  <c r="H358" i="24"/>
  <c r="J358" i="24" s="1"/>
  <c r="K358" i="24" s="1"/>
  <c r="G358" i="24"/>
  <c r="P356" i="24"/>
  <c r="O356" i="24"/>
  <c r="H356" i="24"/>
  <c r="J356" i="24" s="1"/>
  <c r="K356" i="24" s="1"/>
  <c r="G356" i="24"/>
  <c r="P355" i="24"/>
  <c r="O355" i="24"/>
  <c r="H355" i="24"/>
  <c r="J355" i="24" s="1"/>
  <c r="G355" i="24"/>
  <c r="P354" i="24"/>
  <c r="O354" i="24"/>
  <c r="H354" i="24"/>
  <c r="K354" i="24" s="1"/>
  <c r="G354" i="24"/>
  <c r="P353" i="24"/>
  <c r="O353" i="24"/>
  <c r="H353" i="24"/>
  <c r="J353" i="24" s="1"/>
  <c r="G353" i="24"/>
  <c r="P352" i="24"/>
  <c r="O352" i="24"/>
  <c r="H352" i="24"/>
  <c r="J352" i="24" s="1"/>
  <c r="L352" i="24" s="1"/>
  <c r="G352" i="24"/>
  <c r="P351" i="24"/>
  <c r="O351" i="24"/>
  <c r="J351" i="24"/>
  <c r="L351" i="24" s="1"/>
  <c r="H351" i="24"/>
  <c r="G351" i="24"/>
  <c r="P350" i="24"/>
  <c r="O350" i="24"/>
  <c r="H350" i="24"/>
  <c r="J350" i="24" s="1"/>
  <c r="G350" i="24"/>
  <c r="P349" i="24"/>
  <c r="O349" i="24"/>
  <c r="H349" i="24"/>
  <c r="J349" i="24" s="1"/>
  <c r="G349" i="24"/>
  <c r="P348" i="24"/>
  <c r="O348" i="24"/>
  <c r="P345" i="24"/>
  <c r="O345" i="24"/>
  <c r="J345" i="24"/>
  <c r="L345" i="24" s="1"/>
  <c r="H345" i="24"/>
  <c r="G345" i="24"/>
  <c r="P344" i="24"/>
  <c r="O344" i="24"/>
  <c r="H344" i="24"/>
  <c r="J344" i="24" s="1"/>
  <c r="G344" i="24"/>
  <c r="P343" i="24"/>
  <c r="O343" i="24"/>
  <c r="J343" i="24"/>
  <c r="L343" i="24" s="1"/>
  <c r="H343" i="24"/>
  <c r="G343" i="24"/>
  <c r="P342" i="24"/>
  <c r="O342" i="24"/>
  <c r="H342" i="24"/>
  <c r="J342" i="24" s="1"/>
  <c r="G342" i="24"/>
  <c r="P341" i="24"/>
  <c r="O341" i="24"/>
  <c r="H341" i="24"/>
  <c r="J341" i="24" s="1"/>
  <c r="G341" i="24"/>
  <c r="P340" i="24"/>
  <c r="O340" i="24"/>
  <c r="J340" i="24"/>
  <c r="L340" i="24" s="1"/>
  <c r="H340" i="24"/>
  <c r="G340" i="24"/>
  <c r="P339" i="24"/>
  <c r="O339" i="24"/>
  <c r="H339" i="24"/>
  <c r="J339" i="24" s="1"/>
  <c r="K339" i="24" s="1"/>
  <c r="G339" i="24"/>
  <c r="P338" i="24"/>
  <c r="O338" i="24"/>
  <c r="J338" i="24"/>
  <c r="L338" i="24" s="1"/>
  <c r="H338" i="24"/>
  <c r="G338" i="24"/>
  <c r="P337" i="24"/>
  <c r="O337" i="24"/>
  <c r="H337" i="24"/>
  <c r="J337" i="24" s="1"/>
  <c r="G337" i="24"/>
  <c r="P336" i="24"/>
  <c r="O336" i="24"/>
  <c r="H336" i="24"/>
  <c r="L336" i="24" s="1"/>
  <c r="G336" i="24"/>
  <c r="P335" i="24"/>
  <c r="O335" i="24"/>
  <c r="H335" i="24"/>
  <c r="J335" i="24" s="1"/>
  <c r="L335" i="24" s="1"/>
  <c r="G335" i="24"/>
  <c r="P334" i="24"/>
  <c r="O334" i="24"/>
  <c r="H334" i="24"/>
  <c r="J334" i="24" s="1"/>
  <c r="G334" i="24"/>
  <c r="P333" i="24"/>
  <c r="O333" i="24"/>
  <c r="H333" i="24"/>
  <c r="J333" i="24" s="1"/>
  <c r="G333" i="24"/>
  <c r="P332" i="24"/>
  <c r="O332" i="24"/>
  <c r="H332" i="24"/>
  <c r="J332" i="24" s="1"/>
  <c r="G332" i="24"/>
  <c r="P331" i="24"/>
  <c r="O331" i="24"/>
  <c r="H331" i="24"/>
  <c r="J331" i="24" s="1"/>
  <c r="G331" i="24"/>
  <c r="P330" i="24"/>
  <c r="O330" i="24"/>
  <c r="H330" i="24"/>
  <c r="J330" i="24" s="1"/>
  <c r="G330" i="24"/>
  <c r="P329" i="24"/>
  <c r="O329" i="24"/>
  <c r="J329" i="24"/>
  <c r="L329" i="24" s="1"/>
  <c r="H329" i="24"/>
  <c r="G329" i="24"/>
  <c r="P328" i="24"/>
  <c r="O328" i="24"/>
  <c r="H328" i="24"/>
  <c r="J328" i="24" s="1"/>
  <c r="G328" i="24"/>
  <c r="P327" i="24"/>
  <c r="O327" i="24"/>
  <c r="H327" i="24"/>
  <c r="J327" i="24" s="1"/>
  <c r="K327" i="24" s="1"/>
  <c r="G327" i="24"/>
  <c r="P326" i="24"/>
  <c r="O326" i="24"/>
  <c r="H326" i="24"/>
  <c r="J326" i="24" s="1"/>
  <c r="L326" i="24" s="1"/>
  <c r="G326" i="24"/>
  <c r="P325" i="24"/>
  <c r="O325" i="24"/>
  <c r="J325" i="24"/>
  <c r="H325" i="24"/>
  <c r="G325" i="24"/>
  <c r="P324" i="24"/>
  <c r="O324" i="24"/>
  <c r="J324" i="24"/>
  <c r="L324" i="24" s="1"/>
  <c r="H324" i="24"/>
  <c r="G324" i="24"/>
  <c r="P323" i="24"/>
  <c r="O323" i="24"/>
  <c r="H323" i="24"/>
  <c r="J323" i="24" s="1"/>
  <c r="L323" i="24" s="1"/>
  <c r="G323" i="24"/>
  <c r="P322" i="24"/>
  <c r="O322" i="24"/>
  <c r="L322" i="24"/>
  <c r="H322" i="24"/>
  <c r="J322" i="24" s="1"/>
  <c r="K322" i="24" s="1"/>
  <c r="G322" i="24"/>
  <c r="P321" i="24"/>
  <c r="O321" i="24"/>
  <c r="H321" i="24"/>
  <c r="J321" i="24" s="1"/>
  <c r="G321" i="24"/>
  <c r="P320" i="24"/>
  <c r="O320" i="24"/>
  <c r="H320" i="24"/>
  <c r="J320" i="24" s="1"/>
  <c r="G320" i="24"/>
  <c r="P319" i="24"/>
  <c r="O319" i="24"/>
  <c r="H319" i="24"/>
  <c r="J319" i="24" s="1"/>
  <c r="L319" i="24" s="1"/>
  <c r="G319" i="24"/>
  <c r="P318" i="24"/>
  <c r="O318" i="24"/>
  <c r="H318" i="24"/>
  <c r="J318" i="24" s="1"/>
  <c r="L318" i="24" s="1"/>
  <c r="G318" i="24"/>
  <c r="P317" i="24"/>
  <c r="O317" i="24"/>
  <c r="J317" i="24"/>
  <c r="K317" i="24" s="1"/>
  <c r="H317" i="24"/>
  <c r="G317" i="24"/>
  <c r="P316" i="24"/>
  <c r="O316" i="24"/>
  <c r="H316" i="24"/>
  <c r="L316" i="24" s="1"/>
  <c r="G316" i="24"/>
  <c r="P315" i="24"/>
  <c r="O315" i="24"/>
  <c r="H315" i="24"/>
  <c r="K315" i="24" s="1"/>
  <c r="G315" i="24"/>
  <c r="P314" i="24"/>
  <c r="O314" i="24"/>
  <c r="H314" i="24"/>
  <c r="J314" i="24" s="1"/>
  <c r="L314" i="24" s="1"/>
  <c r="G314" i="24"/>
  <c r="P313" i="24"/>
  <c r="O313" i="24"/>
  <c r="H313" i="24"/>
  <c r="J313" i="24" s="1"/>
  <c r="G313" i="24"/>
  <c r="P312" i="24"/>
  <c r="O312" i="24"/>
  <c r="J312" i="24"/>
  <c r="L312" i="24" s="1"/>
  <c r="H312" i="24"/>
  <c r="G312" i="24"/>
  <c r="P311" i="24"/>
  <c r="O311" i="24"/>
  <c r="H311" i="24"/>
  <c r="K311" i="24" s="1"/>
  <c r="G311" i="24"/>
  <c r="P310" i="24"/>
  <c r="O310" i="24"/>
  <c r="H310" i="24"/>
  <c r="J310" i="24" s="1"/>
  <c r="L310" i="24" s="1"/>
  <c r="G310" i="24"/>
  <c r="P309" i="24"/>
  <c r="O309" i="24"/>
  <c r="H309" i="24"/>
  <c r="J309" i="24" s="1"/>
  <c r="G309" i="24"/>
  <c r="P308" i="24"/>
  <c r="O308" i="24"/>
  <c r="H308" i="24"/>
  <c r="J308" i="24" s="1"/>
  <c r="G308" i="24"/>
  <c r="P307" i="24"/>
  <c r="O307" i="24"/>
  <c r="H307" i="24"/>
  <c r="J307" i="24" s="1"/>
  <c r="K307" i="24" s="1"/>
  <c r="G307" i="24"/>
  <c r="P306" i="24"/>
  <c r="O306" i="24"/>
  <c r="H306" i="24"/>
  <c r="J306" i="24" s="1"/>
  <c r="G306" i="24"/>
  <c r="P305" i="24"/>
  <c r="O305" i="24"/>
  <c r="H305" i="24"/>
  <c r="J305" i="24" s="1"/>
  <c r="G305" i="24"/>
  <c r="P304" i="24"/>
  <c r="O304" i="24"/>
  <c r="H304" i="24"/>
  <c r="J304" i="24" s="1"/>
  <c r="G304" i="24"/>
  <c r="P303" i="24"/>
  <c r="O303" i="24"/>
  <c r="H303" i="24"/>
  <c r="J303" i="24" s="1"/>
  <c r="K303" i="24" s="1"/>
  <c r="G303" i="24"/>
  <c r="P302" i="24"/>
  <c r="O302" i="24"/>
  <c r="H302" i="24"/>
  <c r="J302" i="24" s="1"/>
  <c r="G302" i="24"/>
  <c r="P301" i="24"/>
  <c r="O301" i="24"/>
  <c r="J301" i="24"/>
  <c r="H301" i="24"/>
  <c r="G301" i="24"/>
  <c r="P300" i="24"/>
  <c r="O300" i="24"/>
  <c r="H300" i="24"/>
  <c r="J300" i="24" s="1"/>
  <c r="G300" i="24"/>
  <c r="P299" i="24"/>
  <c r="O299" i="24"/>
  <c r="H299" i="24"/>
  <c r="J299" i="24" s="1"/>
  <c r="L299" i="24" s="1"/>
  <c r="G299" i="24"/>
  <c r="P298" i="24"/>
  <c r="O298" i="24"/>
  <c r="H298" i="24"/>
  <c r="J298" i="24" s="1"/>
  <c r="K298" i="24" s="1"/>
  <c r="G298" i="24"/>
  <c r="P295" i="24"/>
  <c r="O295" i="24"/>
  <c r="H295" i="24"/>
  <c r="J295" i="24" s="1"/>
  <c r="G295" i="24"/>
  <c r="P294" i="24"/>
  <c r="O294" i="24"/>
  <c r="H294" i="24"/>
  <c r="J294" i="24" s="1"/>
  <c r="G294" i="24"/>
  <c r="P293" i="24"/>
  <c r="O293" i="24"/>
  <c r="H293" i="24"/>
  <c r="J293" i="24" s="1"/>
  <c r="G293" i="24"/>
  <c r="P292" i="24"/>
  <c r="O292" i="24"/>
  <c r="H292" i="24"/>
  <c r="J292" i="24" s="1"/>
  <c r="K292" i="24" s="1"/>
  <c r="G292" i="24"/>
  <c r="P291" i="24"/>
  <c r="O291" i="24"/>
  <c r="H291" i="24"/>
  <c r="J291" i="24" s="1"/>
  <c r="L291" i="24" s="1"/>
  <c r="G291" i="24"/>
  <c r="P290" i="24"/>
  <c r="O290" i="24"/>
  <c r="H290" i="24"/>
  <c r="J290" i="24" s="1"/>
  <c r="G290" i="24"/>
  <c r="P289" i="24"/>
  <c r="O289" i="24"/>
  <c r="H289" i="24"/>
  <c r="J289" i="24" s="1"/>
  <c r="G289" i="24"/>
  <c r="P288" i="24"/>
  <c r="O288" i="24"/>
  <c r="H288" i="24"/>
  <c r="J288" i="24" s="1"/>
  <c r="K288" i="24" s="1"/>
  <c r="G288" i="24"/>
  <c r="P287" i="24"/>
  <c r="O287" i="24"/>
  <c r="H287" i="24"/>
  <c r="J287" i="24" s="1"/>
  <c r="G287" i="24"/>
  <c r="P286" i="24"/>
  <c r="O286" i="24"/>
  <c r="H286" i="24"/>
  <c r="J286" i="24" s="1"/>
  <c r="G286" i="24"/>
  <c r="P285" i="24"/>
  <c r="O285" i="24"/>
  <c r="H285" i="24"/>
  <c r="J285" i="24" s="1"/>
  <c r="K285" i="24" s="1"/>
  <c r="G285" i="24"/>
  <c r="P284" i="24"/>
  <c r="O284" i="24"/>
  <c r="H284" i="24"/>
  <c r="J284" i="24" s="1"/>
  <c r="K284" i="24" s="1"/>
  <c r="G284" i="24"/>
  <c r="P283" i="24"/>
  <c r="O283" i="24"/>
  <c r="H283" i="24"/>
  <c r="J283" i="24" s="1"/>
  <c r="K283" i="24" s="1"/>
  <c r="G283" i="24"/>
  <c r="P282" i="24"/>
  <c r="O282" i="24"/>
  <c r="H282" i="24"/>
  <c r="J282" i="24" s="1"/>
  <c r="G282" i="24"/>
  <c r="P281" i="24"/>
  <c r="O281" i="24"/>
  <c r="H281" i="24"/>
  <c r="J281" i="24" s="1"/>
  <c r="K281" i="24" s="1"/>
  <c r="G281" i="24"/>
  <c r="P280" i="24"/>
  <c r="O280" i="24"/>
  <c r="H280" i="24"/>
  <c r="J280" i="24" s="1"/>
  <c r="G280" i="24"/>
  <c r="P279" i="24"/>
  <c r="O279" i="24"/>
  <c r="H279" i="24"/>
  <c r="J279" i="24" s="1"/>
  <c r="K279" i="24" s="1"/>
  <c r="G279" i="24"/>
  <c r="P278" i="24"/>
  <c r="O278" i="24"/>
  <c r="H278" i="24"/>
  <c r="J278" i="24" s="1"/>
  <c r="G278" i="24"/>
  <c r="P277" i="24"/>
  <c r="O277" i="24"/>
  <c r="H277" i="24"/>
  <c r="J277" i="24" s="1"/>
  <c r="G277" i="24"/>
  <c r="P276" i="24"/>
  <c r="O276" i="24"/>
  <c r="H276" i="24"/>
  <c r="J276" i="24" s="1"/>
  <c r="G276" i="24"/>
  <c r="P275" i="24"/>
  <c r="O275" i="24"/>
  <c r="H275" i="24"/>
  <c r="J275" i="24" s="1"/>
  <c r="L275" i="24" s="1"/>
  <c r="G275" i="24"/>
  <c r="P274" i="24"/>
  <c r="O274" i="24"/>
  <c r="H274" i="24"/>
  <c r="J274" i="24" s="1"/>
  <c r="G274" i="24"/>
  <c r="P273" i="24"/>
  <c r="O273" i="24"/>
  <c r="H273" i="24"/>
  <c r="J273" i="24" s="1"/>
  <c r="L273" i="24" s="1"/>
  <c r="G273" i="24"/>
  <c r="P272" i="24"/>
  <c r="O272" i="24"/>
  <c r="H272" i="24"/>
  <c r="J272" i="24" s="1"/>
  <c r="K272" i="24" s="1"/>
  <c r="G272" i="24"/>
  <c r="P271" i="24"/>
  <c r="O271" i="24"/>
  <c r="H271" i="24"/>
  <c r="J271" i="24" s="1"/>
  <c r="L271" i="24" s="1"/>
  <c r="G271" i="24"/>
  <c r="P270" i="24"/>
  <c r="O270" i="24"/>
  <c r="H270" i="24"/>
  <c r="J270" i="24" s="1"/>
  <c r="G270" i="24"/>
  <c r="P269" i="24"/>
  <c r="O269" i="24"/>
  <c r="H269" i="24"/>
  <c r="J269" i="24" s="1"/>
  <c r="L269" i="24" s="1"/>
  <c r="G269" i="24"/>
  <c r="P268" i="24"/>
  <c r="O268" i="24"/>
  <c r="H268" i="24"/>
  <c r="J268" i="24" s="1"/>
  <c r="G268" i="24"/>
  <c r="P267" i="24"/>
  <c r="O267" i="24"/>
  <c r="H267" i="24"/>
  <c r="J267" i="24" s="1"/>
  <c r="G267" i="24"/>
  <c r="P266" i="24"/>
  <c r="O266" i="24"/>
  <c r="H266" i="24"/>
  <c r="J266" i="24" s="1"/>
  <c r="G266" i="24"/>
  <c r="P265" i="24"/>
  <c r="O265" i="24"/>
  <c r="H265" i="24"/>
  <c r="J265" i="24" s="1"/>
  <c r="G265" i="24"/>
  <c r="P264" i="24"/>
  <c r="O264" i="24"/>
  <c r="H264" i="24"/>
  <c r="J264" i="24" s="1"/>
  <c r="L264" i="24" s="1"/>
  <c r="G264" i="24"/>
  <c r="P263" i="24"/>
  <c r="O263" i="24"/>
  <c r="H263" i="24"/>
  <c r="J263" i="24" s="1"/>
  <c r="G263" i="24"/>
  <c r="P262" i="24"/>
  <c r="O262" i="24"/>
  <c r="H262" i="24"/>
  <c r="J262" i="24" s="1"/>
  <c r="L262" i="24" s="1"/>
  <c r="G262" i="24"/>
  <c r="P261" i="24"/>
  <c r="O261" i="24"/>
  <c r="H261" i="24"/>
  <c r="J261" i="24" s="1"/>
  <c r="G261" i="24"/>
  <c r="P260" i="24"/>
  <c r="O260" i="24"/>
  <c r="H260" i="24"/>
  <c r="J260" i="24" s="1"/>
  <c r="K260" i="24" s="1"/>
  <c r="G260" i="24"/>
  <c r="P259" i="24"/>
  <c r="O259" i="24"/>
  <c r="H259" i="24"/>
  <c r="J259" i="24" s="1"/>
  <c r="G259" i="24"/>
  <c r="P258" i="24"/>
  <c r="O258" i="24"/>
  <c r="J258" i="24"/>
  <c r="H258" i="24"/>
  <c r="G258" i="24"/>
  <c r="P257" i="24"/>
  <c r="O257" i="24"/>
  <c r="H257" i="24"/>
  <c r="J257" i="24" s="1"/>
  <c r="G257" i="24"/>
  <c r="P256" i="24"/>
  <c r="O256" i="24"/>
  <c r="H256" i="24"/>
  <c r="J256" i="24" s="1"/>
  <c r="L256" i="24" s="1"/>
  <c r="G256" i="24"/>
  <c r="P255" i="24"/>
  <c r="O255" i="24"/>
  <c r="H255" i="24"/>
  <c r="J255" i="24" s="1"/>
  <c r="L255" i="24" s="1"/>
  <c r="G255" i="24"/>
  <c r="P254" i="24"/>
  <c r="O254" i="24"/>
  <c r="H254" i="24"/>
  <c r="J254" i="24" s="1"/>
  <c r="K254" i="24" s="1"/>
  <c r="G254" i="24"/>
  <c r="P253" i="24"/>
  <c r="O253" i="24"/>
  <c r="H253" i="24"/>
  <c r="J253" i="24" s="1"/>
  <c r="G253" i="24"/>
  <c r="P252" i="24"/>
  <c r="O252" i="24"/>
  <c r="H252" i="24"/>
  <c r="J252" i="24" s="1"/>
  <c r="L252" i="24" s="1"/>
  <c r="G252" i="24"/>
  <c r="P251" i="24"/>
  <c r="O251" i="24"/>
  <c r="H251" i="24"/>
  <c r="J251" i="24" s="1"/>
  <c r="L251" i="24" s="1"/>
  <c r="G251" i="24"/>
  <c r="P248" i="24"/>
  <c r="O248" i="24"/>
  <c r="L248" i="24"/>
  <c r="H248" i="24"/>
  <c r="J248" i="24" s="1"/>
  <c r="K248" i="24" s="1"/>
  <c r="G248" i="24"/>
  <c r="P247" i="24"/>
  <c r="O247" i="24"/>
  <c r="H247" i="24"/>
  <c r="J247" i="24" s="1"/>
  <c r="G247" i="24"/>
  <c r="P246" i="24"/>
  <c r="O246" i="24"/>
  <c r="H246" i="24"/>
  <c r="G246" i="24"/>
  <c r="P245" i="24"/>
  <c r="O245" i="24"/>
  <c r="J245" i="24"/>
  <c r="L245" i="24" s="1"/>
  <c r="H245" i="24"/>
  <c r="G245" i="24"/>
  <c r="P244" i="24"/>
  <c r="O244" i="24"/>
  <c r="H244" i="24"/>
  <c r="J244" i="24" s="1"/>
  <c r="G244" i="24"/>
  <c r="P243" i="24"/>
  <c r="O243" i="24"/>
  <c r="P241" i="24"/>
  <c r="O241" i="24"/>
  <c r="H241" i="24"/>
  <c r="J241" i="24" s="1"/>
  <c r="G241" i="24"/>
  <c r="P240" i="24"/>
  <c r="O240" i="24"/>
  <c r="H240" i="24"/>
  <c r="J240" i="24" s="1"/>
  <c r="K240" i="24" s="1"/>
  <c r="G240" i="24"/>
  <c r="P239" i="24"/>
  <c r="O239" i="24"/>
  <c r="H239" i="24"/>
  <c r="J239" i="24" s="1"/>
  <c r="G239" i="24"/>
  <c r="P238" i="24"/>
  <c r="O238" i="24"/>
  <c r="J238" i="24"/>
  <c r="H238" i="24"/>
  <c r="G238" i="24"/>
  <c r="P237" i="24"/>
  <c r="O237" i="24"/>
  <c r="H237" i="24"/>
  <c r="J237" i="24" s="1"/>
  <c r="G237" i="24"/>
  <c r="P236" i="24"/>
  <c r="O236" i="24"/>
  <c r="H236" i="24"/>
  <c r="J236" i="24" s="1"/>
  <c r="G236" i="24"/>
  <c r="P235" i="24"/>
  <c r="O235" i="24"/>
  <c r="H235" i="24"/>
  <c r="J235" i="24" s="1"/>
  <c r="G235" i="24"/>
  <c r="P234" i="24"/>
  <c r="O234" i="24"/>
  <c r="H234" i="24"/>
  <c r="J234" i="24" s="1"/>
  <c r="G234" i="24"/>
  <c r="P233" i="24"/>
  <c r="O233" i="24"/>
  <c r="H233" i="24"/>
  <c r="J233" i="24" s="1"/>
  <c r="L233" i="24" s="1"/>
  <c r="G233" i="24"/>
  <c r="P232" i="24"/>
  <c r="O232" i="24"/>
  <c r="J232" i="24"/>
  <c r="L232" i="24" s="1"/>
  <c r="H232" i="24"/>
  <c r="G232" i="24"/>
  <c r="P231" i="24"/>
  <c r="O231" i="24"/>
  <c r="H231" i="24"/>
  <c r="J231" i="24" s="1"/>
  <c r="K231" i="24" s="1"/>
  <c r="G231" i="24"/>
  <c r="P230" i="24"/>
  <c r="O230" i="24"/>
  <c r="H230" i="24"/>
  <c r="J230" i="24" s="1"/>
  <c r="G230" i="24"/>
  <c r="P229" i="24"/>
  <c r="O229" i="24"/>
  <c r="H229" i="24"/>
  <c r="J229" i="24" s="1"/>
  <c r="G229" i="24"/>
  <c r="P228" i="24"/>
  <c r="O228" i="24"/>
  <c r="H228" i="24"/>
  <c r="J228" i="24" s="1"/>
  <c r="G228" i="24"/>
  <c r="P227" i="24"/>
  <c r="O227" i="24"/>
  <c r="H227" i="24"/>
  <c r="J227" i="24" s="1"/>
  <c r="L227" i="24" s="1"/>
  <c r="G227" i="24"/>
  <c r="P226" i="24"/>
  <c r="O226" i="24"/>
  <c r="J226" i="24"/>
  <c r="H226" i="24"/>
  <c r="G226" i="24"/>
  <c r="P225" i="24"/>
  <c r="O225" i="24"/>
  <c r="H225" i="24"/>
  <c r="J225" i="24" s="1"/>
  <c r="G225" i="24"/>
  <c r="P224" i="24"/>
  <c r="O224" i="24"/>
  <c r="H224" i="24"/>
  <c r="J224" i="24" s="1"/>
  <c r="K224" i="24" s="1"/>
  <c r="G224" i="24"/>
  <c r="P223" i="24"/>
  <c r="O223" i="24"/>
  <c r="H223" i="24"/>
  <c r="J223" i="24" s="1"/>
  <c r="G223" i="24"/>
  <c r="P222" i="24"/>
  <c r="O222" i="24"/>
  <c r="H222" i="24"/>
  <c r="J222" i="24" s="1"/>
  <c r="G222" i="24"/>
  <c r="P221" i="24"/>
  <c r="O221" i="24"/>
  <c r="H221" i="24"/>
  <c r="J221" i="24" s="1"/>
  <c r="G221" i="24"/>
  <c r="P220" i="24"/>
  <c r="O220" i="24"/>
  <c r="H220" i="24"/>
  <c r="J220" i="24" s="1"/>
  <c r="G220" i="24"/>
  <c r="P219" i="24"/>
  <c r="O219" i="24"/>
  <c r="H219" i="24"/>
  <c r="J219" i="24" s="1"/>
  <c r="G219" i="24"/>
  <c r="P218" i="24"/>
  <c r="O218" i="24"/>
  <c r="H218" i="24"/>
  <c r="J218" i="24" s="1"/>
  <c r="G218" i="24"/>
  <c r="P217" i="24"/>
  <c r="O217" i="24"/>
  <c r="H217" i="24"/>
  <c r="J217" i="24" s="1"/>
  <c r="G217" i="24"/>
  <c r="P216" i="24"/>
  <c r="O216" i="24"/>
  <c r="H216" i="24"/>
  <c r="J216" i="24" s="1"/>
  <c r="G216" i="24"/>
  <c r="P215" i="24"/>
  <c r="O215" i="24"/>
  <c r="H215" i="24"/>
  <c r="J215" i="24" s="1"/>
  <c r="G215" i="24"/>
  <c r="P214" i="24"/>
  <c r="O214" i="24"/>
  <c r="J214" i="24"/>
  <c r="L214" i="24" s="1"/>
  <c r="H214" i="24"/>
  <c r="G214" i="24"/>
  <c r="P213" i="24"/>
  <c r="O213" i="24"/>
  <c r="H213" i="24"/>
  <c r="J213" i="24" s="1"/>
  <c r="L213" i="24" s="1"/>
  <c r="G213" i="24"/>
  <c r="P212" i="24"/>
  <c r="O212" i="24"/>
  <c r="H212" i="24"/>
  <c r="J212" i="24" s="1"/>
  <c r="K212" i="24" s="1"/>
  <c r="G212" i="24"/>
  <c r="P211" i="24"/>
  <c r="O211" i="24"/>
  <c r="H211" i="24"/>
  <c r="J211" i="24" s="1"/>
  <c r="L211" i="24" s="1"/>
  <c r="G211" i="24"/>
  <c r="P210" i="24"/>
  <c r="O210" i="24"/>
  <c r="H210" i="24"/>
  <c r="J210" i="24" s="1"/>
  <c r="G210" i="24"/>
  <c r="P209" i="24"/>
  <c r="O209" i="24"/>
  <c r="H209" i="24"/>
  <c r="J209" i="24" s="1"/>
  <c r="G209" i="24"/>
  <c r="P208" i="24"/>
  <c r="O208" i="24"/>
  <c r="H208" i="24"/>
  <c r="J208" i="24" s="1"/>
  <c r="L208" i="24" s="1"/>
  <c r="G208" i="24"/>
  <c r="P207" i="24"/>
  <c r="O207" i="24"/>
  <c r="H207" i="24"/>
  <c r="J207" i="24" s="1"/>
  <c r="L207" i="24" s="1"/>
  <c r="G207" i="24"/>
  <c r="P206" i="24"/>
  <c r="O206" i="24"/>
  <c r="H206" i="24"/>
  <c r="J206" i="24" s="1"/>
  <c r="K206" i="24" s="1"/>
  <c r="G206" i="24"/>
  <c r="P205" i="24"/>
  <c r="O205" i="24"/>
  <c r="H205" i="24"/>
  <c r="J205" i="24" s="1"/>
  <c r="G205" i="24"/>
  <c r="P204" i="24"/>
  <c r="O204" i="24"/>
  <c r="H204" i="24"/>
  <c r="J204" i="24" s="1"/>
  <c r="L204" i="24" s="1"/>
  <c r="G204" i="24"/>
  <c r="P203" i="24"/>
  <c r="O203" i="24"/>
  <c r="H203" i="24"/>
  <c r="J203" i="24" s="1"/>
  <c r="G203" i="24"/>
  <c r="P202" i="24"/>
  <c r="O202" i="24"/>
  <c r="J202" i="24"/>
  <c r="K202" i="24" s="1"/>
  <c r="H202" i="24"/>
  <c r="G202" i="24"/>
  <c r="P201" i="24"/>
  <c r="O201" i="24"/>
  <c r="H201" i="24"/>
  <c r="J201" i="24" s="1"/>
  <c r="G201" i="24"/>
  <c r="P200" i="24"/>
  <c r="O200" i="24"/>
  <c r="H200" i="24"/>
  <c r="J200" i="24" s="1"/>
  <c r="K200" i="24" s="1"/>
  <c r="G200" i="24"/>
  <c r="P199" i="24"/>
  <c r="O199" i="24"/>
  <c r="H199" i="24"/>
  <c r="J199" i="24" s="1"/>
  <c r="G199" i="24"/>
  <c r="P198" i="24"/>
  <c r="O198" i="24"/>
  <c r="H198" i="24"/>
  <c r="J198" i="24" s="1"/>
  <c r="G198" i="24"/>
  <c r="P197" i="24"/>
  <c r="O197" i="24"/>
  <c r="H197" i="24"/>
  <c r="G197" i="24"/>
  <c r="P196" i="24"/>
  <c r="O196" i="24"/>
  <c r="H196" i="24"/>
  <c r="J196" i="24" s="1"/>
  <c r="K196" i="24" s="1"/>
  <c r="G196" i="24"/>
  <c r="P195" i="24"/>
  <c r="O195" i="24"/>
  <c r="H195" i="24"/>
  <c r="J195" i="24" s="1"/>
  <c r="L195" i="24" s="1"/>
  <c r="G195" i="24"/>
  <c r="P194" i="24"/>
  <c r="O194" i="24"/>
  <c r="H194" i="24"/>
  <c r="J194" i="24" s="1"/>
  <c r="G194" i="24"/>
  <c r="P191" i="24"/>
  <c r="O191" i="24"/>
  <c r="H191" i="24"/>
  <c r="J191" i="24" s="1"/>
  <c r="G191" i="24"/>
  <c r="P190" i="24"/>
  <c r="O190" i="24"/>
  <c r="H190" i="24"/>
  <c r="J190" i="24" s="1"/>
  <c r="G190" i="24"/>
  <c r="P189" i="24"/>
  <c r="O189" i="24"/>
  <c r="H189" i="24"/>
  <c r="J189" i="24" s="1"/>
  <c r="L189" i="24" s="1"/>
  <c r="G189" i="24"/>
  <c r="P188" i="24"/>
  <c r="O188" i="24"/>
  <c r="H188" i="24"/>
  <c r="J188" i="24" s="1"/>
  <c r="K188" i="24" s="1"/>
  <c r="G188" i="24"/>
  <c r="P187" i="24"/>
  <c r="O187" i="24"/>
  <c r="J187" i="24"/>
  <c r="H187" i="24"/>
  <c r="G187" i="24"/>
  <c r="P186" i="24"/>
  <c r="O186" i="24"/>
  <c r="H186" i="24"/>
  <c r="J186" i="24" s="1"/>
  <c r="G186" i="24"/>
  <c r="P185" i="24"/>
  <c r="O185" i="24"/>
  <c r="H185" i="24"/>
  <c r="J185" i="24" s="1"/>
  <c r="L185" i="24" s="1"/>
  <c r="G185" i="24"/>
  <c r="P184" i="24"/>
  <c r="O184" i="24"/>
  <c r="H184" i="24"/>
  <c r="J184" i="24" s="1"/>
  <c r="G184" i="24"/>
  <c r="P183" i="24"/>
  <c r="O183" i="24"/>
  <c r="H183" i="24"/>
  <c r="J183" i="24" s="1"/>
  <c r="K183" i="24" s="1"/>
  <c r="G183" i="24"/>
  <c r="P182" i="24"/>
  <c r="O182" i="24"/>
  <c r="H182" i="24"/>
  <c r="J182" i="24" s="1"/>
  <c r="L182" i="24" s="1"/>
  <c r="G182" i="24"/>
  <c r="P181" i="24"/>
  <c r="O181" i="24"/>
  <c r="H181" i="24"/>
  <c r="J181" i="24" s="1"/>
  <c r="K181" i="24" s="1"/>
  <c r="G181" i="24"/>
  <c r="P180" i="24"/>
  <c r="O180" i="24"/>
  <c r="H180" i="24"/>
  <c r="J180" i="24" s="1"/>
  <c r="L180" i="24" s="1"/>
  <c r="G180" i="24"/>
  <c r="P179" i="24"/>
  <c r="O179" i="24"/>
  <c r="H179" i="24"/>
  <c r="J179" i="24" s="1"/>
  <c r="G179" i="24"/>
  <c r="P178" i="24"/>
  <c r="O178" i="24"/>
  <c r="H178" i="24"/>
  <c r="J178" i="24" s="1"/>
  <c r="L178" i="24" s="1"/>
  <c r="G178" i="24"/>
  <c r="P177" i="24"/>
  <c r="O177" i="24"/>
  <c r="H177" i="24"/>
  <c r="J177" i="24" s="1"/>
  <c r="G177" i="24"/>
  <c r="P176" i="24"/>
  <c r="O176" i="24"/>
  <c r="H176" i="24"/>
  <c r="J176" i="24" s="1"/>
  <c r="L176" i="24" s="1"/>
  <c r="G176" i="24"/>
  <c r="P175" i="24"/>
  <c r="O175" i="24"/>
  <c r="H175" i="24"/>
  <c r="J175" i="24" s="1"/>
  <c r="G175" i="24"/>
  <c r="P174" i="24"/>
  <c r="O174" i="24"/>
  <c r="H174" i="24"/>
  <c r="J174" i="24" s="1"/>
  <c r="G174" i="24"/>
  <c r="P173" i="24"/>
  <c r="O173" i="24"/>
  <c r="H173" i="24"/>
  <c r="J173" i="24" s="1"/>
  <c r="G173" i="24"/>
  <c r="P172" i="24"/>
  <c r="O172" i="24"/>
  <c r="H172" i="24"/>
  <c r="L172" i="24" s="1"/>
  <c r="G172" i="24"/>
  <c r="P171" i="24"/>
  <c r="O171" i="24"/>
  <c r="H171" i="24"/>
  <c r="J171" i="24" s="1"/>
  <c r="G171" i="24"/>
  <c r="P170" i="24"/>
  <c r="O170" i="24"/>
  <c r="H170" i="24"/>
  <c r="J170" i="24" s="1"/>
  <c r="L170" i="24" s="1"/>
  <c r="G170" i="24"/>
  <c r="P169" i="24"/>
  <c r="O169" i="24"/>
  <c r="H169" i="24"/>
  <c r="J169" i="24" s="1"/>
  <c r="K169" i="24" s="1"/>
  <c r="G169" i="24"/>
  <c r="P168" i="24"/>
  <c r="O168" i="24"/>
  <c r="H168" i="24"/>
  <c r="G168" i="24"/>
  <c r="P167" i="24"/>
  <c r="O167" i="24"/>
  <c r="H167" i="24"/>
  <c r="J167" i="24" s="1"/>
  <c r="G167" i="24"/>
  <c r="P164" i="24"/>
  <c r="O164" i="24"/>
  <c r="H164" i="24"/>
  <c r="J164" i="24" s="1"/>
  <c r="K164" i="24" s="1"/>
  <c r="G164" i="24"/>
  <c r="P163" i="24"/>
  <c r="O163" i="24"/>
  <c r="H163" i="24"/>
  <c r="J163" i="24" s="1"/>
  <c r="G163" i="24"/>
  <c r="P162" i="24"/>
  <c r="O162" i="24"/>
  <c r="H162" i="24"/>
  <c r="J162" i="24" s="1"/>
  <c r="K162" i="24" s="1"/>
  <c r="G162" i="24"/>
  <c r="P161" i="24"/>
  <c r="O161" i="24"/>
  <c r="H161" i="24"/>
  <c r="J161" i="24" s="1"/>
  <c r="G161" i="24"/>
  <c r="P160" i="24"/>
  <c r="O160" i="24"/>
  <c r="H160" i="24"/>
  <c r="J160" i="24" s="1"/>
  <c r="G160" i="24"/>
  <c r="P159" i="24"/>
  <c r="O159" i="24"/>
  <c r="H159" i="24"/>
  <c r="J159" i="24" s="1"/>
  <c r="G159" i="24"/>
  <c r="P158" i="24"/>
  <c r="O158" i="24"/>
  <c r="H158" i="24"/>
  <c r="G158" i="24"/>
  <c r="P155" i="24"/>
  <c r="O155" i="24"/>
  <c r="H155" i="24"/>
  <c r="J155" i="24" s="1"/>
  <c r="K155" i="24" s="1"/>
  <c r="G155" i="24"/>
  <c r="P154" i="24"/>
  <c r="O154" i="24"/>
  <c r="J154" i="24"/>
  <c r="H154" i="24"/>
  <c r="G154" i="24"/>
  <c r="P153" i="24"/>
  <c r="O153" i="24"/>
  <c r="H153" i="24"/>
  <c r="J153" i="24" s="1"/>
  <c r="G153" i="24"/>
  <c r="P152" i="24"/>
  <c r="O152" i="24"/>
  <c r="H152" i="24"/>
  <c r="J152" i="24" s="1"/>
  <c r="G152" i="24"/>
  <c r="P151" i="24"/>
  <c r="O151" i="24"/>
  <c r="H151" i="24"/>
  <c r="J151" i="24" s="1"/>
  <c r="L151" i="24" s="1"/>
  <c r="G151" i="24"/>
  <c r="P150" i="24"/>
  <c r="O150" i="24"/>
  <c r="H150" i="24"/>
  <c r="J150" i="24" s="1"/>
  <c r="G150" i="24"/>
  <c r="P149" i="24"/>
  <c r="O149" i="24"/>
  <c r="J149" i="24"/>
  <c r="K149" i="24" s="1"/>
  <c r="H149" i="24"/>
  <c r="G149" i="24"/>
  <c r="P148" i="24"/>
  <c r="O148" i="24"/>
  <c r="H148" i="24"/>
  <c r="J148" i="24" s="1"/>
  <c r="G148" i="24"/>
  <c r="P147" i="24"/>
  <c r="O147" i="24"/>
  <c r="H147" i="24"/>
  <c r="J147" i="24" s="1"/>
  <c r="G147" i="24"/>
  <c r="P146" i="24"/>
  <c r="O146" i="24"/>
  <c r="H146" i="24"/>
  <c r="J146" i="24" s="1"/>
  <c r="G146" i="24"/>
  <c r="P145" i="24"/>
  <c r="O145" i="24"/>
  <c r="H145" i="24"/>
  <c r="J145" i="24" s="1"/>
  <c r="G145" i="24"/>
  <c r="P144" i="24"/>
  <c r="O144" i="24"/>
  <c r="H144" i="24"/>
  <c r="J144" i="24" s="1"/>
  <c r="G144" i="24"/>
  <c r="P143" i="24"/>
  <c r="O143" i="24"/>
  <c r="H143" i="24"/>
  <c r="J143" i="24" s="1"/>
  <c r="K143" i="24" s="1"/>
  <c r="G143" i="24"/>
  <c r="P142" i="24"/>
  <c r="O142" i="24"/>
  <c r="H142" i="24"/>
  <c r="J142" i="24" s="1"/>
  <c r="G142" i="24"/>
  <c r="P141" i="24"/>
  <c r="O141" i="24"/>
  <c r="H141" i="24"/>
  <c r="J141" i="24" s="1"/>
  <c r="G141" i="24"/>
  <c r="P140" i="24"/>
  <c r="O140" i="24"/>
  <c r="H140" i="24"/>
  <c r="J140" i="24" s="1"/>
  <c r="G140" i="24"/>
  <c r="P139" i="24"/>
  <c r="O139" i="24"/>
  <c r="J139" i="24"/>
  <c r="L139" i="24" s="1"/>
  <c r="H139" i="24"/>
  <c r="G139" i="24"/>
  <c r="P138" i="24"/>
  <c r="O138" i="24"/>
  <c r="H138" i="24"/>
  <c r="J138" i="24" s="1"/>
  <c r="L138" i="24" s="1"/>
  <c r="G138" i="24"/>
  <c r="P137" i="24"/>
  <c r="O137" i="24"/>
  <c r="H137" i="24"/>
  <c r="J137" i="24" s="1"/>
  <c r="K137" i="24" s="1"/>
  <c r="G137" i="24"/>
  <c r="P136" i="24"/>
  <c r="O136" i="24"/>
  <c r="H136" i="24"/>
  <c r="J136" i="24" s="1"/>
  <c r="G136" i="24"/>
  <c r="P135" i="24"/>
  <c r="O135" i="24"/>
  <c r="H135" i="24"/>
  <c r="J135" i="24" s="1"/>
  <c r="G135" i="24"/>
  <c r="P134" i="24"/>
  <c r="O134" i="24"/>
  <c r="J134" i="24"/>
  <c r="H134" i="24"/>
  <c r="G134" i="24"/>
  <c r="P133" i="24"/>
  <c r="O133" i="24"/>
  <c r="H133" i="24"/>
  <c r="J133" i="24" s="1"/>
  <c r="G133" i="24"/>
  <c r="P132" i="24"/>
  <c r="O132" i="24"/>
  <c r="H132" i="24"/>
  <c r="J132" i="24" s="1"/>
  <c r="G132" i="24"/>
  <c r="P131" i="24"/>
  <c r="O131" i="24"/>
  <c r="H131" i="24"/>
  <c r="J131" i="24" s="1"/>
  <c r="G131" i="24"/>
  <c r="P130" i="24"/>
  <c r="O130" i="24"/>
  <c r="J130" i="24"/>
  <c r="L130" i="24" s="1"/>
  <c r="H130" i="24"/>
  <c r="G130" i="24"/>
  <c r="P129" i="24"/>
  <c r="O129" i="24"/>
  <c r="H129" i="24"/>
  <c r="J129" i="24" s="1"/>
  <c r="G129" i="24"/>
  <c r="P128" i="24"/>
  <c r="O128" i="24"/>
  <c r="H128" i="24"/>
  <c r="J128" i="24" s="1"/>
  <c r="G128" i="24"/>
  <c r="P127" i="24"/>
  <c r="O127" i="24"/>
  <c r="H127" i="24"/>
  <c r="J127" i="24" s="1"/>
  <c r="L127" i="24" s="1"/>
  <c r="G127" i="24"/>
  <c r="P126" i="24"/>
  <c r="O126" i="24"/>
  <c r="H126" i="24"/>
  <c r="J126" i="24" s="1"/>
  <c r="L126" i="24" s="1"/>
  <c r="G126" i="24"/>
  <c r="P125" i="24"/>
  <c r="O125" i="24"/>
  <c r="H125" i="24"/>
  <c r="J125" i="24" s="1"/>
  <c r="K125" i="24" s="1"/>
  <c r="G125" i="24"/>
  <c r="P124" i="24"/>
  <c r="O124" i="24"/>
  <c r="H124" i="24"/>
  <c r="J124" i="24" s="1"/>
  <c r="G124" i="24"/>
  <c r="P123" i="24"/>
  <c r="O123" i="24"/>
  <c r="H123" i="24"/>
  <c r="J123" i="24" s="1"/>
  <c r="L123" i="24" s="1"/>
  <c r="G123" i="24"/>
  <c r="P122" i="24"/>
  <c r="O122" i="24"/>
  <c r="H122" i="24"/>
  <c r="J122" i="24" s="1"/>
  <c r="G122" i="24"/>
  <c r="P121" i="24"/>
  <c r="O121" i="24"/>
  <c r="H121" i="24"/>
  <c r="J121" i="24" s="1"/>
  <c r="G121" i="24"/>
  <c r="P120" i="24"/>
  <c r="O120" i="24"/>
  <c r="J120" i="24"/>
  <c r="L120" i="24" s="1"/>
  <c r="H120" i="24"/>
  <c r="G120" i="24"/>
  <c r="P119" i="24"/>
  <c r="O119" i="24"/>
  <c r="H119" i="24"/>
  <c r="J119" i="24" s="1"/>
  <c r="K119" i="24" s="1"/>
  <c r="G119" i="24"/>
  <c r="P118" i="24"/>
  <c r="O118" i="24"/>
  <c r="H118" i="24"/>
  <c r="J118" i="24" s="1"/>
  <c r="L118" i="24" s="1"/>
  <c r="G118" i="24"/>
  <c r="P115" i="24"/>
  <c r="O115" i="24"/>
  <c r="H115" i="24"/>
  <c r="J115" i="24" s="1"/>
  <c r="G115" i="24"/>
  <c r="P114" i="24"/>
  <c r="O114" i="24"/>
  <c r="H114" i="24"/>
  <c r="J114" i="24" s="1"/>
  <c r="L114" i="24" s="1"/>
  <c r="G114" i="24"/>
  <c r="P113" i="24"/>
  <c r="O113" i="24"/>
  <c r="H113" i="24"/>
  <c r="J113" i="24" s="1"/>
  <c r="G113" i="24"/>
  <c r="P112" i="24"/>
  <c r="O112" i="24"/>
  <c r="H112" i="24"/>
  <c r="J112" i="24" s="1"/>
  <c r="G112" i="24"/>
  <c r="P111" i="24"/>
  <c r="O111" i="24"/>
  <c r="H111" i="24"/>
  <c r="J111" i="24" s="1"/>
  <c r="G111" i="24"/>
  <c r="P110" i="24"/>
  <c r="O110" i="24"/>
  <c r="J110" i="24"/>
  <c r="H110" i="24"/>
  <c r="G110" i="24"/>
  <c r="P109" i="24"/>
  <c r="O109" i="24"/>
  <c r="H109" i="24"/>
  <c r="J109" i="24" s="1"/>
  <c r="L109" i="24" s="1"/>
  <c r="G109" i="24"/>
  <c r="P108" i="24"/>
  <c r="O108" i="24"/>
  <c r="H108" i="24"/>
  <c r="J108" i="24" s="1"/>
  <c r="L108" i="24" s="1"/>
  <c r="G108" i="24"/>
  <c r="P107" i="24"/>
  <c r="O107" i="24"/>
  <c r="H107" i="24"/>
  <c r="J107" i="24" s="1"/>
  <c r="K107" i="24" s="1"/>
  <c r="G107" i="24"/>
  <c r="P106" i="24"/>
  <c r="O106" i="24"/>
  <c r="H106" i="24"/>
  <c r="J106" i="24" s="1"/>
  <c r="L106" i="24" s="1"/>
  <c r="G106" i="24"/>
  <c r="P105" i="24"/>
  <c r="O105" i="24"/>
  <c r="H105" i="24"/>
  <c r="J105" i="24" s="1"/>
  <c r="G105" i="24"/>
  <c r="P104" i="24"/>
  <c r="O104" i="24"/>
  <c r="H104" i="24"/>
  <c r="J104" i="24" s="1"/>
  <c r="K104" i="24" s="1"/>
  <c r="G104" i="24"/>
  <c r="P101" i="24"/>
  <c r="O101" i="24"/>
  <c r="H101" i="24"/>
  <c r="G101" i="24"/>
  <c r="P100" i="24"/>
  <c r="O100" i="24"/>
  <c r="H100" i="24"/>
  <c r="J100" i="24" s="1"/>
  <c r="G100" i="24"/>
  <c r="P99" i="24"/>
  <c r="O99" i="24"/>
  <c r="H99" i="24"/>
  <c r="G99" i="24"/>
  <c r="P98" i="24"/>
  <c r="O98" i="24"/>
  <c r="H98" i="24"/>
  <c r="L98" i="24" s="1"/>
  <c r="G98" i="24"/>
  <c r="P97" i="24"/>
  <c r="O97" i="24"/>
  <c r="H97" i="24"/>
  <c r="G97" i="24"/>
  <c r="P96" i="24"/>
  <c r="O96" i="24"/>
  <c r="H96" i="24"/>
  <c r="L96" i="24" s="1"/>
  <c r="G96" i="24"/>
  <c r="P95" i="24"/>
  <c r="O95" i="24"/>
  <c r="H95" i="24"/>
  <c r="K95" i="24" s="1"/>
  <c r="G95" i="24"/>
  <c r="P94" i="24"/>
  <c r="O94" i="24"/>
  <c r="H94" i="24"/>
  <c r="G94" i="24"/>
  <c r="P93" i="24"/>
  <c r="O93" i="24"/>
  <c r="H93" i="24"/>
  <c r="G93" i="24"/>
  <c r="P92" i="24"/>
  <c r="O92" i="24"/>
  <c r="P90" i="24"/>
  <c r="O90" i="24"/>
  <c r="H90" i="24"/>
  <c r="G90" i="24"/>
  <c r="P89" i="24"/>
  <c r="O89" i="24"/>
  <c r="P88" i="24"/>
  <c r="O88" i="24"/>
  <c r="F88" i="24"/>
  <c r="H88" i="24" s="1"/>
  <c r="P87" i="24"/>
  <c r="O87" i="24"/>
  <c r="F87" i="24"/>
  <c r="H87" i="24" s="1"/>
  <c r="K87" i="24" s="1"/>
  <c r="P86" i="24"/>
  <c r="O86" i="24"/>
  <c r="F86" i="24"/>
  <c r="F89" i="24" s="1"/>
  <c r="G89" i="24" s="1"/>
  <c r="P85" i="24"/>
  <c r="O85" i="24"/>
  <c r="F85" i="24"/>
  <c r="H85" i="24" s="1"/>
  <c r="K85" i="24" s="1"/>
  <c r="P84" i="24"/>
  <c r="O84" i="24"/>
  <c r="H84" i="24"/>
  <c r="G84" i="24"/>
  <c r="P83" i="24"/>
  <c r="O83" i="24"/>
  <c r="P82" i="24"/>
  <c r="O82" i="24"/>
  <c r="F82" i="24"/>
  <c r="G82" i="24" s="1"/>
  <c r="P81" i="24"/>
  <c r="O81" i="24"/>
  <c r="F81" i="24"/>
  <c r="P80" i="24"/>
  <c r="O80" i="24"/>
  <c r="F80" i="24"/>
  <c r="F83" i="24" s="1"/>
  <c r="H83" i="24" s="1"/>
  <c r="P79" i="24"/>
  <c r="O79" i="24"/>
  <c r="F79" i="24"/>
  <c r="P78" i="24"/>
  <c r="O78" i="24"/>
  <c r="H78" i="24"/>
  <c r="L78" i="24" s="1"/>
  <c r="G78" i="24"/>
  <c r="P77" i="24"/>
  <c r="O77" i="24"/>
  <c r="P76" i="24"/>
  <c r="O76" i="24"/>
  <c r="F76" i="24"/>
  <c r="H76" i="24" s="1"/>
  <c r="K76" i="24" s="1"/>
  <c r="P75" i="24"/>
  <c r="O75" i="24"/>
  <c r="F75" i="24"/>
  <c r="H75" i="24" s="1"/>
  <c r="P74" i="24"/>
  <c r="O74" i="24"/>
  <c r="F74" i="24"/>
  <c r="P73" i="24"/>
  <c r="O73" i="24"/>
  <c r="F73" i="24"/>
  <c r="G73" i="24" s="1"/>
  <c r="P72" i="24"/>
  <c r="O72" i="24"/>
  <c r="H72" i="24"/>
  <c r="G72" i="24"/>
  <c r="P71" i="24"/>
  <c r="O71" i="24"/>
  <c r="P70" i="24"/>
  <c r="O70" i="24"/>
  <c r="F70" i="24"/>
  <c r="G70" i="24" s="1"/>
  <c r="P69" i="24"/>
  <c r="O69" i="24"/>
  <c r="F69" i="24"/>
  <c r="H69" i="24" s="1"/>
  <c r="P68" i="24"/>
  <c r="O68" i="24"/>
  <c r="H68" i="24"/>
  <c r="K68" i="24" s="1"/>
  <c r="F68" i="24"/>
  <c r="G68" i="24" s="1"/>
  <c r="P67" i="24"/>
  <c r="O67" i="24"/>
  <c r="F67" i="24"/>
  <c r="F71" i="24" s="1"/>
  <c r="P66" i="24"/>
  <c r="O66" i="24"/>
  <c r="F66" i="24"/>
  <c r="H66" i="24" s="1"/>
  <c r="K66" i="24" s="1"/>
  <c r="P65" i="24"/>
  <c r="O65" i="24"/>
  <c r="H65" i="24"/>
  <c r="G65" i="24"/>
  <c r="P62" i="24"/>
  <c r="O62" i="24"/>
  <c r="F62" i="24"/>
  <c r="H62" i="24" s="1"/>
  <c r="P61" i="24"/>
  <c r="O61" i="24"/>
  <c r="F61" i="24"/>
  <c r="H61" i="24" s="1"/>
  <c r="L61" i="24" s="1"/>
  <c r="P60" i="24"/>
  <c r="O60" i="24"/>
  <c r="F60" i="24"/>
  <c r="H60" i="24" s="1"/>
  <c r="P59" i="24"/>
  <c r="O59" i="24"/>
  <c r="H59" i="24"/>
  <c r="G59" i="24"/>
  <c r="P58" i="24"/>
  <c r="O58" i="24"/>
  <c r="F58" i="24"/>
  <c r="H58" i="24" s="1"/>
  <c r="P57" i="24"/>
  <c r="O57" i="24"/>
  <c r="F57" i="24"/>
  <c r="H57" i="24" s="1"/>
  <c r="P56" i="24"/>
  <c r="O56" i="24"/>
  <c r="F56" i="24"/>
  <c r="H56" i="24" s="1"/>
  <c r="L56" i="24" s="1"/>
  <c r="P55" i="24"/>
  <c r="O55" i="24"/>
  <c r="F55" i="24"/>
  <c r="H55" i="24" s="1"/>
  <c r="P54" i="24"/>
  <c r="O54" i="24"/>
  <c r="H54" i="24"/>
  <c r="K54" i="24" s="1"/>
  <c r="G54" i="24"/>
  <c r="P53" i="24"/>
  <c r="O53" i="24"/>
  <c r="H53" i="24"/>
  <c r="F53" i="24"/>
  <c r="G53" i="24" s="1"/>
  <c r="P52" i="24"/>
  <c r="O52" i="24"/>
  <c r="F52" i="24"/>
  <c r="H52" i="24" s="1"/>
  <c r="P51" i="24"/>
  <c r="O51" i="24"/>
  <c r="F51" i="24"/>
  <c r="H51" i="24" s="1"/>
  <c r="L51" i="24" s="1"/>
  <c r="P50" i="24"/>
  <c r="O50" i="24"/>
  <c r="H50" i="24"/>
  <c r="G50" i="24"/>
  <c r="P49" i="24"/>
  <c r="O49" i="24"/>
  <c r="P48" i="24"/>
  <c r="O48" i="24"/>
  <c r="F48" i="24"/>
  <c r="P47" i="24"/>
  <c r="O47" i="24"/>
  <c r="F47" i="24"/>
  <c r="P46" i="24"/>
  <c r="O46" i="24"/>
  <c r="F46" i="24"/>
  <c r="H46" i="24" s="1"/>
  <c r="L46" i="24" s="1"/>
  <c r="P45" i="24"/>
  <c r="O45" i="24"/>
  <c r="F45" i="24"/>
  <c r="P44" i="24"/>
  <c r="O44" i="24"/>
  <c r="F44" i="24"/>
  <c r="H44" i="24" s="1"/>
  <c r="L44" i="24" s="1"/>
  <c r="P43" i="24"/>
  <c r="O43" i="24"/>
  <c r="F43" i="24"/>
  <c r="F49" i="24" s="1"/>
  <c r="P42" i="24"/>
  <c r="O42" i="24"/>
  <c r="H42" i="24"/>
  <c r="G42" i="24"/>
  <c r="P41" i="24"/>
  <c r="O41" i="24"/>
  <c r="P40" i="24"/>
  <c r="O40" i="24"/>
  <c r="F40" i="24"/>
  <c r="H40" i="24" s="1"/>
  <c r="P39" i="24"/>
  <c r="O39" i="24"/>
  <c r="F39" i="24"/>
  <c r="G39" i="24" s="1"/>
  <c r="P38" i="24"/>
  <c r="O38" i="24"/>
  <c r="F38" i="24"/>
  <c r="H38" i="24" s="1"/>
  <c r="P37" i="24"/>
  <c r="O37" i="24"/>
  <c r="F37" i="24"/>
  <c r="H37" i="24" s="1"/>
  <c r="P36" i="24"/>
  <c r="O36" i="24"/>
  <c r="F36" i="24"/>
  <c r="G36" i="24" s="1"/>
  <c r="P35" i="24"/>
  <c r="O35" i="24"/>
  <c r="F35" i="24"/>
  <c r="G35" i="24" s="1"/>
  <c r="P34" i="24"/>
  <c r="O34" i="24"/>
  <c r="H34" i="24"/>
  <c r="G34" i="24"/>
  <c r="P31" i="24"/>
  <c r="O31" i="24"/>
  <c r="H31" i="24"/>
  <c r="G31" i="24"/>
  <c r="P30" i="24"/>
  <c r="O30" i="24"/>
  <c r="H30" i="24"/>
  <c r="L30" i="24" s="1"/>
  <c r="G30" i="24"/>
  <c r="P29" i="24"/>
  <c r="O29" i="24"/>
  <c r="H29" i="24"/>
  <c r="K29" i="24" s="1"/>
  <c r="G29" i="24"/>
  <c r="P28" i="24"/>
  <c r="O28" i="24"/>
  <c r="H28" i="24"/>
  <c r="L28" i="24" s="1"/>
  <c r="G28" i="24"/>
  <c r="P27" i="24"/>
  <c r="O27" i="24"/>
  <c r="H27" i="24"/>
  <c r="G27" i="24"/>
  <c r="P26" i="24"/>
  <c r="O26" i="24"/>
  <c r="H26" i="24"/>
  <c r="G26" i="24"/>
  <c r="P23" i="24"/>
  <c r="O23" i="24"/>
  <c r="F23" i="24"/>
  <c r="H23" i="24" s="1"/>
  <c r="P22" i="24"/>
  <c r="O22" i="24"/>
  <c r="H22" i="24"/>
  <c r="G22" i="24"/>
  <c r="P21" i="24"/>
  <c r="O21" i="24"/>
  <c r="H21" i="24"/>
  <c r="L21" i="24" s="1"/>
  <c r="G21" i="24"/>
  <c r="P20" i="24"/>
  <c r="O20" i="24"/>
  <c r="H20" i="24"/>
  <c r="L20" i="24" s="1"/>
  <c r="G20" i="24"/>
  <c r="P19" i="24"/>
  <c r="O19" i="24"/>
  <c r="F19" i="24"/>
  <c r="H19" i="24" s="1"/>
  <c r="K19" i="24" s="1"/>
  <c r="P18" i="24"/>
  <c r="O18" i="24"/>
  <c r="H18" i="24"/>
  <c r="K18" i="24" s="1"/>
  <c r="G18" i="24"/>
  <c r="P17" i="24"/>
  <c r="O17" i="24"/>
  <c r="F17" i="24"/>
  <c r="P16" i="24"/>
  <c r="O16" i="24"/>
  <c r="H16" i="24"/>
  <c r="L16" i="24" s="1"/>
  <c r="G16" i="24"/>
  <c r="P15" i="24"/>
  <c r="O15" i="24"/>
  <c r="F15" i="24"/>
  <c r="H15" i="24" s="1"/>
  <c r="P14" i="24"/>
  <c r="O14" i="24"/>
  <c r="H14" i="24"/>
  <c r="G14" i="24"/>
  <c r="P13" i="24"/>
  <c r="O13" i="24"/>
  <c r="F13" i="24"/>
  <c r="H13" i="24" s="1"/>
  <c r="L13" i="24" s="1"/>
  <c r="P12" i="24"/>
  <c r="O12" i="24"/>
  <c r="H12" i="24"/>
  <c r="G12" i="24"/>
  <c r="P11" i="24"/>
  <c r="O11" i="24"/>
  <c r="F11" i="24"/>
  <c r="H11" i="24" s="1"/>
  <c r="L11" i="24" s="1"/>
  <c r="P10" i="24"/>
  <c r="O10" i="24"/>
  <c r="H10" i="24"/>
  <c r="G10" i="24"/>
  <c r="P9" i="24"/>
  <c r="O9" i="24"/>
  <c r="F9" i="24"/>
  <c r="H9" i="24" s="1"/>
  <c r="L9" i="24" s="1"/>
  <c r="P8" i="24"/>
  <c r="O8" i="24"/>
  <c r="F8" i="24"/>
  <c r="H8" i="24" s="1"/>
  <c r="P7" i="24"/>
  <c r="O7" i="24"/>
  <c r="H7" i="24"/>
  <c r="G7" i="24"/>
  <c r="P6" i="24"/>
  <c r="O6" i="24"/>
  <c r="F6" i="24"/>
  <c r="H6" i="24" s="1"/>
  <c r="P5" i="24"/>
  <c r="O5" i="24"/>
  <c r="F5" i="24"/>
  <c r="H5" i="24" s="1"/>
  <c r="P4" i="24"/>
  <c r="O4" i="24"/>
  <c r="H4" i="24"/>
  <c r="L4" i="24" s="1"/>
  <c r="G4" i="24"/>
  <c r="K176" i="25" l="1"/>
  <c r="K20" i="25"/>
  <c r="K17" i="25"/>
  <c r="K18" i="25"/>
  <c r="H13" i="25"/>
  <c r="J13" i="25" s="1"/>
  <c r="K12" i="25"/>
  <c r="K11" i="25"/>
  <c r="K10" i="25"/>
  <c r="K172" i="25"/>
  <c r="K180" i="25"/>
  <c r="K168" i="25"/>
  <c r="J173" i="25"/>
  <c r="K173" i="25" s="1"/>
  <c r="J104" i="25"/>
  <c r="K104" i="25" s="1"/>
  <c r="K98" i="25"/>
  <c r="L100" i="25"/>
  <c r="K99" i="25"/>
  <c r="K101" i="25"/>
  <c r="K96" i="25"/>
  <c r="L95" i="25"/>
  <c r="K94" i="25"/>
  <c r="H102" i="25"/>
  <c r="G88" i="25"/>
  <c r="H80" i="25"/>
  <c r="L80" i="25" s="1"/>
  <c r="H74" i="25"/>
  <c r="L74" i="25" s="1"/>
  <c r="K65" i="25"/>
  <c r="L85" i="25"/>
  <c r="K85" i="25"/>
  <c r="K84" i="25"/>
  <c r="H86" i="25"/>
  <c r="K88" i="25"/>
  <c r="G85" i="25"/>
  <c r="K87" i="25"/>
  <c r="L82" i="25"/>
  <c r="K82" i="25"/>
  <c r="K79" i="25"/>
  <c r="L79" i="25"/>
  <c r="K80" i="25"/>
  <c r="G82" i="25"/>
  <c r="H81" i="25"/>
  <c r="G79" i="25"/>
  <c r="G80" i="25"/>
  <c r="K75" i="25"/>
  <c r="K72" i="25"/>
  <c r="K74" i="25"/>
  <c r="H76" i="25"/>
  <c r="L68" i="25"/>
  <c r="K68" i="25"/>
  <c r="K67" i="25"/>
  <c r="L67" i="25"/>
  <c r="K66" i="25"/>
  <c r="G68" i="25"/>
  <c r="F71" i="25"/>
  <c r="G71" i="25" s="1"/>
  <c r="G67" i="25"/>
  <c r="K60" i="25"/>
  <c r="K59" i="25"/>
  <c r="K61" i="25"/>
  <c r="H58" i="25"/>
  <c r="H57" i="25"/>
  <c r="L52" i="25"/>
  <c r="K52" i="25"/>
  <c r="K51" i="25"/>
  <c r="K53" i="25"/>
  <c r="G52" i="25"/>
  <c r="K50" i="25"/>
  <c r="K45" i="25"/>
  <c r="L47" i="25"/>
  <c r="H44" i="25"/>
  <c r="L42" i="25"/>
  <c r="L46" i="25"/>
  <c r="L48" i="25"/>
  <c r="K41" i="25"/>
  <c r="H37" i="25"/>
  <c r="H36" i="25"/>
  <c r="G38" i="25"/>
  <c r="K40" i="25"/>
  <c r="K38" i="25"/>
  <c r="G40" i="25"/>
  <c r="L30" i="25"/>
  <c r="L28" i="25"/>
  <c r="L27" i="25"/>
  <c r="L29" i="25"/>
  <c r="L31" i="25"/>
  <c r="H32" i="25"/>
  <c r="G15" i="25"/>
  <c r="G11" i="25"/>
  <c r="H9" i="25"/>
  <c r="L226" i="25"/>
  <c r="K226" i="25"/>
  <c r="K160" i="25"/>
  <c r="L160" i="25"/>
  <c r="L413" i="25"/>
  <c r="K413" i="25"/>
  <c r="L198" i="25"/>
  <c r="K198" i="25"/>
  <c r="L214" i="25"/>
  <c r="K214" i="25"/>
  <c r="L224" i="25"/>
  <c r="K224" i="25"/>
  <c r="L238" i="25"/>
  <c r="K238" i="25"/>
  <c r="K327" i="25"/>
  <c r="L327" i="25"/>
  <c r="H414" i="25"/>
  <c r="L381" i="25"/>
  <c r="K381" i="25"/>
  <c r="G17" i="25"/>
  <c r="H71" i="25"/>
  <c r="L146" i="25"/>
  <c r="K146" i="25"/>
  <c r="L151" i="25"/>
  <c r="K151" i="25"/>
  <c r="H156" i="25"/>
  <c r="K174" i="25"/>
  <c r="L174" i="25"/>
  <c r="H242" i="25"/>
  <c r="L222" i="25"/>
  <c r="K222" i="25"/>
  <c r="L247" i="25"/>
  <c r="K247" i="25"/>
  <c r="L263" i="25"/>
  <c r="K263" i="25"/>
  <c r="L280" i="25"/>
  <c r="K280" i="25"/>
  <c r="L285" i="25"/>
  <c r="K285" i="25"/>
  <c r="L300" i="25"/>
  <c r="K300" i="25"/>
  <c r="L358" i="25"/>
  <c r="K358" i="25"/>
  <c r="L389" i="25"/>
  <c r="K389" i="25"/>
  <c r="L108" i="25"/>
  <c r="K108" i="25"/>
  <c r="L203" i="25"/>
  <c r="K203" i="25"/>
  <c r="H296" i="25"/>
  <c r="L339" i="25"/>
  <c r="K339" i="25"/>
  <c r="L133" i="25"/>
  <c r="K133" i="25"/>
  <c r="L183" i="25"/>
  <c r="K183" i="25"/>
  <c r="K253" i="25"/>
  <c r="L253" i="25"/>
  <c r="L292" i="25"/>
  <c r="K292" i="25"/>
  <c r="L126" i="25"/>
  <c r="K126" i="25"/>
  <c r="L191" i="25"/>
  <c r="K191" i="25"/>
  <c r="L304" i="25"/>
  <c r="K304" i="25"/>
  <c r="K317" i="25"/>
  <c r="L317" i="25"/>
  <c r="L351" i="25"/>
  <c r="K351" i="25"/>
  <c r="L361" i="25"/>
  <c r="K361" i="25"/>
  <c r="L110" i="25"/>
  <c r="K110" i="25"/>
  <c r="K153" i="25"/>
  <c r="L153" i="25"/>
  <c r="K265" i="25"/>
  <c r="L265" i="25"/>
  <c r="L274" i="25"/>
  <c r="K274" i="25"/>
  <c r="L334" i="25"/>
  <c r="K334" i="25"/>
  <c r="L341" i="25"/>
  <c r="K341" i="25"/>
  <c r="L366" i="25"/>
  <c r="K366" i="25"/>
  <c r="G23" i="25"/>
  <c r="H23" i="25"/>
  <c r="L115" i="25"/>
  <c r="K115" i="25"/>
  <c r="L122" i="25"/>
  <c r="K122" i="25"/>
  <c r="K205" i="25"/>
  <c r="L205" i="25"/>
  <c r="L251" i="25"/>
  <c r="K251" i="25"/>
  <c r="H19" i="25"/>
  <c r="J19" i="25" s="1"/>
  <c r="G19" i="25"/>
  <c r="H116" i="25"/>
  <c r="L134" i="25"/>
  <c r="K134" i="25"/>
  <c r="K148" i="25"/>
  <c r="L148" i="25"/>
  <c r="L179" i="25"/>
  <c r="K179" i="25"/>
  <c r="H69" i="25"/>
  <c r="G69" i="25"/>
  <c r="L120" i="25"/>
  <c r="K120" i="25"/>
  <c r="H165" i="25"/>
  <c r="L163" i="25"/>
  <c r="K163" i="25"/>
  <c r="L234" i="25"/>
  <c r="K234" i="25"/>
  <c r="L268" i="25"/>
  <c r="K268" i="25"/>
  <c r="L325" i="25"/>
  <c r="K325" i="25"/>
  <c r="K132" i="25"/>
  <c r="L132" i="25"/>
  <c r="L149" i="25"/>
  <c r="K149" i="25"/>
  <c r="L177" i="25"/>
  <c r="K177" i="25"/>
  <c r="K185" i="25"/>
  <c r="L185" i="25"/>
  <c r="L220" i="25"/>
  <c r="K220" i="25"/>
  <c r="K239" i="25"/>
  <c r="L239" i="25"/>
  <c r="L261" i="25"/>
  <c r="K261" i="25"/>
  <c r="L294" i="25"/>
  <c r="K294" i="25"/>
  <c r="L402" i="25"/>
  <c r="K402" i="25"/>
  <c r="K137" i="25"/>
  <c r="L201" i="25"/>
  <c r="K201" i="25"/>
  <c r="L286" i="25"/>
  <c r="K286" i="25"/>
  <c r="L306" i="25"/>
  <c r="K306" i="25"/>
  <c r="L365" i="25"/>
  <c r="K365" i="25"/>
  <c r="L377" i="25"/>
  <c r="K377" i="25"/>
  <c r="L387" i="25"/>
  <c r="K387" i="25"/>
  <c r="G6" i="25"/>
  <c r="H6" i="25"/>
  <c r="L114" i="25"/>
  <c r="K114" i="25"/>
  <c r="L218" i="25"/>
  <c r="K218" i="25"/>
  <c r="L345" i="25"/>
  <c r="K345" i="25"/>
  <c r="L375" i="25"/>
  <c r="K375" i="25"/>
  <c r="K277" i="25"/>
  <c r="L277" i="25"/>
  <c r="L255" i="25"/>
  <c r="K255" i="25"/>
  <c r="L321" i="25"/>
  <c r="K321" i="25"/>
  <c r="L360" i="25"/>
  <c r="K360" i="25"/>
  <c r="G8" i="25"/>
  <c r="L241" i="25"/>
  <c r="L245" i="25"/>
  <c r="K290" i="25"/>
  <c r="L305" i="25"/>
  <c r="K305" i="25"/>
  <c r="L332" i="25"/>
  <c r="K332" i="25"/>
  <c r="L356" i="25"/>
  <c r="K356" i="25"/>
  <c r="K379" i="25"/>
  <c r="H73" i="25"/>
  <c r="L237" i="25"/>
  <c r="L262" i="25"/>
  <c r="K262" i="25"/>
  <c r="L303" i="25"/>
  <c r="K303" i="25"/>
  <c r="L398" i="25"/>
  <c r="K398" i="25"/>
  <c r="K407" i="25"/>
  <c r="K229" i="25"/>
  <c r="L229" i="25"/>
  <c r="L301" i="25"/>
  <c r="K301" i="25"/>
  <c r="H62" i="25"/>
  <c r="L138" i="25"/>
  <c r="K138" i="25"/>
  <c r="H192" i="25"/>
  <c r="K175" i="25"/>
  <c r="L181" i="25"/>
  <c r="K186" i="25"/>
  <c r="L186" i="25"/>
  <c r="K227" i="25"/>
  <c r="L273" i="25"/>
  <c r="K328" i="25"/>
  <c r="L328" i="25"/>
  <c r="K343" i="25"/>
  <c r="L393" i="25"/>
  <c r="K393" i="25"/>
  <c r="L405" i="25"/>
  <c r="H39" i="25"/>
  <c r="G41" i="25"/>
  <c r="H49" i="25"/>
  <c r="G49" i="25"/>
  <c r="K136" i="25"/>
  <c r="K161" i="25"/>
  <c r="K278" i="25"/>
  <c r="K282" i="25"/>
  <c r="K284" i="25"/>
  <c r="K322" i="25"/>
  <c r="L326" i="25"/>
  <c r="K326" i="25"/>
  <c r="L333" i="25"/>
  <c r="K333" i="25"/>
  <c r="K337" i="25"/>
  <c r="K350" i="25"/>
  <c r="L382" i="25"/>
  <c r="K391" i="25"/>
  <c r="L401" i="25"/>
  <c r="K401" i="25"/>
  <c r="H5" i="25"/>
  <c r="G5" i="25"/>
  <c r="G43" i="25"/>
  <c r="H70" i="25"/>
  <c r="G70" i="25"/>
  <c r="H83" i="25"/>
  <c r="K106" i="25"/>
  <c r="K112" i="25"/>
  <c r="K124" i="25"/>
  <c r="L159" i="25"/>
  <c r="L171" i="25"/>
  <c r="K171" i="25"/>
  <c r="L197" i="25"/>
  <c r="K197" i="25"/>
  <c r="K208" i="25"/>
  <c r="K217" i="25"/>
  <c r="L217" i="25"/>
  <c r="K225" i="25"/>
  <c r="K246" i="25"/>
  <c r="L246" i="25"/>
  <c r="L293" i="25"/>
  <c r="K293" i="25"/>
  <c r="L299" i="25"/>
  <c r="K299" i="25"/>
  <c r="L312" i="25"/>
  <c r="K312" i="25"/>
  <c r="H346" i="25"/>
  <c r="K363" i="25"/>
  <c r="L372" i="25"/>
  <c r="K372" i="25"/>
  <c r="K412" i="25"/>
  <c r="H43" i="25"/>
  <c r="G87" i="25"/>
  <c r="L104" i="25"/>
  <c r="L128" i="25"/>
  <c r="K130" i="25"/>
  <c r="L145" i="25"/>
  <c r="K145" i="25"/>
  <c r="K155" i="25"/>
  <c r="K169" i="25"/>
  <c r="L184" i="25"/>
  <c r="L195" i="25"/>
  <c r="K195" i="25"/>
  <c r="L276" i="25"/>
  <c r="L289" i="25"/>
  <c r="L291" i="25"/>
  <c r="K291" i="25"/>
  <c r="L380" i="25"/>
  <c r="K113" i="25"/>
  <c r="L354" i="25"/>
  <c r="L400" i="25"/>
  <c r="L409" i="25"/>
  <c r="K411" i="25"/>
  <c r="K144" i="25"/>
  <c r="L216" i="25"/>
  <c r="L288" i="25"/>
  <c r="K298" i="25"/>
  <c r="K140" i="25"/>
  <c r="L140" i="25"/>
  <c r="K319" i="25"/>
  <c r="L330" i="25"/>
  <c r="K330" i="25"/>
  <c r="L369" i="25"/>
  <c r="L244" i="25"/>
  <c r="K244" i="25"/>
  <c r="K308" i="25"/>
  <c r="L308" i="25"/>
  <c r="L320" i="25"/>
  <c r="K320" i="25"/>
  <c r="K368" i="25"/>
  <c r="L368" i="25"/>
  <c r="L406" i="25"/>
  <c r="K406" i="25"/>
  <c r="L257" i="25"/>
  <c r="K257" i="25"/>
  <c r="L109" i="25"/>
  <c r="K109" i="25"/>
  <c r="L150" i="25"/>
  <c r="K150" i="25"/>
  <c r="L364" i="25"/>
  <c r="K364" i="25"/>
  <c r="K107" i="25"/>
  <c r="K131" i="25"/>
  <c r="H56" i="25"/>
  <c r="G56" i="25"/>
  <c r="L275" i="25"/>
  <c r="K384" i="25"/>
  <c r="L384" i="25"/>
  <c r="G75" i="25"/>
  <c r="L142" i="25"/>
  <c r="L258" i="25"/>
  <c r="K258" i="25"/>
  <c r="K352" i="25"/>
  <c r="L367" i="25"/>
  <c r="K396" i="25"/>
  <c r="L396" i="25"/>
  <c r="G66" i="25"/>
  <c r="G47" i="25"/>
  <c r="G53" i="25"/>
  <c r="H55" i="25"/>
  <c r="G61" i="25"/>
  <c r="L189" i="25"/>
  <c r="K189" i="25"/>
  <c r="L202" i="25"/>
  <c r="K202" i="25"/>
  <c r="L404" i="25"/>
  <c r="K404" i="25"/>
  <c r="L209" i="25"/>
  <c r="K209" i="25"/>
  <c r="L269" i="25"/>
  <c r="K269" i="25"/>
  <c r="H426" i="25"/>
  <c r="H77" i="25"/>
  <c r="G77" i="25"/>
  <c r="K207" i="25"/>
  <c r="L221" i="25"/>
  <c r="K221" i="25"/>
  <c r="K267" i="25"/>
  <c r="L281" i="25"/>
  <c r="K281" i="25"/>
  <c r="K310" i="25"/>
  <c r="L408" i="25"/>
  <c r="L164" i="25"/>
  <c r="K164" i="25"/>
  <c r="L178" i="25"/>
  <c r="K178" i="25"/>
  <c r="L233" i="25"/>
  <c r="K233" i="25"/>
  <c r="K248" i="25"/>
  <c r="L340" i="25"/>
  <c r="K340" i="25"/>
  <c r="K370" i="25"/>
  <c r="H35" i="25"/>
  <c r="G35" i="25"/>
  <c r="L121" i="25"/>
  <c r="K121" i="25"/>
  <c r="L190" i="25"/>
  <c r="K190" i="25"/>
  <c r="L388" i="25"/>
  <c r="K388" i="25"/>
  <c r="F89" i="25"/>
  <c r="B4" i="3"/>
  <c r="B3" i="3"/>
  <c r="G46" i="24"/>
  <c r="H36" i="24"/>
  <c r="L36" i="24" s="1"/>
  <c r="H89" i="24"/>
  <c r="G69" i="24"/>
  <c r="B8" i="3"/>
  <c r="B5" i="3"/>
  <c r="G87" i="24"/>
  <c r="G88" i="24"/>
  <c r="G86" i="24"/>
  <c r="H86" i="24"/>
  <c r="K86" i="24" s="1"/>
  <c r="H82" i="24"/>
  <c r="K82" i="24" s="1"/>
  <c r="G80" i="24"/>
  <c r="G83" i="24"/>
  <c r="H80" i="24"/>
  <c r="G75" i="24"/>
  <c r="H73" i="24"/>
  <c r="K73" i="24" s="1"/>
  <c r="G76" i="24"/>
  <c r="H71" i="24"/>
  <c r="K71" i="24" s="1"/>
  <c r="G71" i="24"/>
  <c r="G67" i="24"/>
  <c r="H67" i="24"/>
  <c r="K67" i="24" s="1"/>
  <c r="H70" i="24"/>
  <c r="L70" i="24" s="1"/>
  <c r="G62" i="24"/>
  <c r="G60" i="24"/>
  <c r="G56" i="24"/>
  <c r="G55" i="24"/>
  <c r="G58" i="24"/>
  <c r="G51" i="24"/>
  <c r="G44" i="24"/>
  <c r="G38" i="24"/>
  <c r="H39" i="24"/>
  <c r="L39" i="24" s="1"/>
  <c r="G23" i="24"/>
  <c r="G13" i="24"/>
  <c r="G11" i="24"/>
  <c r="G9" i="24"/>
  <c r="L147" i="24"/>
  <c r="K147" i="24"/>
  <c r="L223" i="24"/>
  <c r="K223" i="24"/>
  <c r="L293" i="24"/>
  <c r="K293" i="24"/>
  <c r="L380" i="24"/>
  <c r="K380" i="24"/>
  <c r="L121" i="24"/>
  <c r="K121" i="24"/>
  <c r="K341" i="24"/>
  <c r="L341" i="24"/>
  <c r="K133" i="24"/>
  <c r="L133" i="24"/>
  <c r="K235" i="24"/>
  <c r="L235" i="24"/>
  <c r="L386" i="24"/>
  <c r="K386" i="24"/>
  <c r="K84" i="24"/>
  <c r="L84" i="24"/>
  <c r="K145" i="24"/>
  <c r="L145" i="24"/>
  <c r="L221" i="24"/>
  <c r="K221" i="24"/>
  <c r="K268" i="24"/>
  <c r="L268" i="24"/>
  <c r="L384" i="24"/>
  <c r="K384" i="24"/>
  <c r="L190" i="24"/>
  <c r="K190" i="24"/>
  <c r="L274" i="24"/>
  <c r="K274" i="24"/>
  <c r="L42" i="24"/>
  <c r="K42" i="24"/>
  <c r="L239" i="24"/>
  <c r="K239" i="24"/>
  <c r="K225" i="24"/>
  <c r="L225" i="24"/>
  <c r="K266" i="24"/>
  <c r="L266" i="24"/>
  <c r="L295" i="24"/>
  <c r="K295" i="24"/>
  <c r="L7" i="24"/>
  <c r="K7" i="24"/>
  <c r="L31" i="24"/>
  <c r="K31" i="24"/>
  <c r="L382" i="24"/>
  <c r="K382" i="24"/>
  <c r="K237" i="24"/>
  <c r="L237" i="24"/>
  <c r="K135" i="24"/>
  <c r="L135" i="24"/>
  <c r="L171" i="24"/>
  <c r="K171" i="24"/>
  <c r="L402" i="24"/>
  <c r="K176" i="24"/>
  <c r="L272" i="24"/>
  <c r="H32" i="24"/>
  <c r="L119" i="24"/>
  <c r="K378" i="24"/>
  <c r="L284" i="24"/>
  <c r="L143" i="24"/>
  <c r="L188" i="24"/>
  <c r="L29" i="24"/>
  <c r="K36" i="24"/>
  <c r="L149" i="24"/>
  <c r="H242" i="24"/>
  <c r="K324" i="24"/>
  <c r="K227" i="24"/>
  <c r="K51" i="24"/>
  <c r="L162" i="24"/>
  <c r="L200" i="24"/>
  <c r="L407" i="24"/>
  <c r="K127" i="24"/>
  <c r="K269" i="24"/>
  <c r="K114" i="24"/>
  <c r="L125" i="24"/>
  <c r="L137" i="24"/>
  <c r="K151" i="24"/>
  <c r="L281" i="24"/>
  <c r="L283" i="24"/>
  <c r="L285" i="24"/>
  <c r="K299" i="24"/>
  <c r="K316" i="24"/>
  <c r="K336" i="24"/>
  <c r="L315" i="24"/>
  <c r="L19" i="24"/>
  <c r="K56" i="24"/>
  <c r="L87" i="24"/>
  <c r="K96" i="24"/>
  <c r="K108" i="24"/>
  <c r="L155" i="24"/>
  <c r="K30" i="24"/>
  <c r="K211" i="24"/>
  <c r="K170" i="24"/>
  <c r="L196" i="24"/>
  <c r="K139" i="24"/>
  <c r="K352" i="24"/>
  <c r="L383" i="24"/>
  <c r="K318" i="24"/>
  <c r="K323" i="24"/>
  <c r="L371" i="24"/>
  <c r="K385" i="24"/>
  <c r="L396" i="24"/>
  <c r="K20" i="24"/>
  <c r="L95" i="24"/>
  <c r="K123" i="24"/>
  <c r="K178" i="24"/>
  <c r="K180" i="24"/>
  <c r="L202" i="24"/>
  <c r="K207" i="24"/>
  <c r="K245" i="24"/>
  <c r="L260" i="24"/>
  <c r="K314" i="24"/>
  <c r="K345" i="24"/>
  <c r="K233" i="24"/>
  <c r="L54" i="24"/>
  <c r="L231" i="24"/>
  <c r="K21" i="24"/>
  <c r="K28" i="24"/>
  <c r="L76" i="24"/>
  <c r="L181" i="24"/>
  <c r="K389" i="24"/>
  <c r="K273" i="24"/>
  <c r="K275" i="24"/>
  <c r="L303" i="24"/>
  <c r="K340" i="24"/>
  <c r="K398" i="24"/>
  <c r="K204" i="24"/>
  <c r="K251" i="24"/>
  <c r="K271" i="24"/>
  <c r="K338" i="24"/>
  <c r="K291" i="24"/>
  <c r="K312" i="24"/>
  <c r="K343" i="24"/>
  <c r="K366" i="24"/>
  <c r="L339" i="24"/>
  <c r="L356" i="24"/>
  <c r="L405" i="24"/>
  <c r="L169" i="24"/>
  <c r="L307" i="24"/>
  <c r="K326" i="24"/>
  <c r="L23" i="24"/>
  <c r="K23" i="24"/>
  <c r="L191" i="24"/>
  <c r="K191" i="24"/>
  <c r="L287" i="24"/>
  <c r="K287" i="24"/>
  <c r="L333" i="24"/>
  <c r="K333" i="24"/>
  <c r="L184" i="24"/>
  <c r="K184" i="24"/>
  <c r="L199" i="24"/>
  <c r="K199" i="24"/>
  <c r="L209" i="24"/>
  <c r="K209" i="24"/>
  <c r="L222" i="24"/>
  <c r="K222" i="24"/>
  <c r="L80" i="24"/>
  <c r="K80" i="24"/>
  <c r="L220" i="24"/>
  <c r="K220" i="24"/>
  <c r="L306" i="24"/>
  <c r="K306" i="24"/>
  <c r="L50" i="24"/>
  <c r="K50" i="24"/>
  <c r="L55" i="24"/>
  <c r="K55" i="24"/>
  <c r="L142" i="24"/>
  <c r="K142" i="24"/>
  <c r="L374" i="24"/>
  <c r="K374" i="24"/>
  <c r="L331" i="24"/>
  <c r="K331" i="24"/>
  <c r="L363" i="24"/>
  <c r="K363" i="24"/>
  <c r="L203" i="24"/>
  <c r="K203" i="24"/>
  <c r="K8" i="24"/>
  <c r="L8" i="24"/>
  <c r="L367" i="24"/>
  <c r="K367" i="24"/>
  <c r="L201" i="24"/>
  <c r="K201" i="24"/>
  <c r="L132" i="24"/>
  <c r="K132" i="24"/>
  <c r="L15" i="24"/>
  <c r="K15" i="24"/>
  <c r="L27" i="24"/>
  <c r="K27" i="24"/>
  <c r="L53" i="24"/>
  <c r="K53" i="24"/>
  <c r="L230" i="24"/>
  <c r="K230" i="24"/>
  <c r="L369" i="24"/>
  <c r="K369" i="24"/>
  <c r="L52" i="24"/>
  <c r="K52" i="24"/>
  <c r="L72" i="24"/>
  <c r="K72" i="24"/>
  <c r="L144" i="24"/>
  <c r="K144" i="24"/>
  <c r="L365" i="24"/>
  <c r="K365" i="24"/>
  <c r="L22" i="24"/>
  <c r="K22" i="24"/>
  <c r="L38" i="24"/>
  <c r="K38" i="24"/>
  <c r="L60" i="24"/>
  <c r="K60" i="24"/>
  <c r="K75" i="24"/>
  <c r="L75" i="24"/>
  <c r="L140" i="24"/>
  <c r="K140" i="24"/>
  <c r="L218" i="24"/>
  <c r="K218" i="24"/>
  <c r="K228" i="24"/>
  <c r="L228" i="24"/>
  <c r="K58" i="24"/>
  <c r="L58" i="24"/>
  <c r="L89" i="24"/>
  <c r="K89" i="24"/>
  <c r="L337" i="24"/>
  <c r="K337" i="24"/>
  <c r="K97" i="24"/>
  <c r="L97" i="24"/>
  <c r="K106" i="24"/>
  <c r="L124" i="24"/>
  <c r="K124" i="24"/>
  <c r="K126" i="24"/>
  <c r="K172" i="24"/>
  <c r="L175" i="24"/>
  <c r="K175" i="24"/>
  <c r="L247" i="24"/>
  <c r="K247" i="24"/>
  <c r="K256" i="24"/>
  <c r="L279" i="24"/>
  <c r="L308" i="24"/>
  <c r="K308" i="24"/>
  <c r="L377" i="24"/>
  <c r="K377" i="24"/>
  <c r="L18" i="24"/>
  <c r="K44" i="24"/>
  <c r="K46" i="24"/>
  <c r="K61" i="24"/>
  <c r="L152" i="24"/>
  <c r="K152" i="24"/>
  <c r="L186" i="24"/>
  <c r="K186" i="24"/>
  <c r="J197" i="24"/>
  <c r="K335" i="24"/>
  <c r="L403" i="24"/>
  <c r="K403" i="24"/>
  <c r="L12" i="24"/>
  <c r="K12" i="24"/>
  <c r="L14" i="24"/>
  <c r="K14" i="24"/>
  <c r="K16" i="24"/>
  <c r="H49" i="24"/>
  <c r="G49" i="24"/>
  <c r="L100" i="24"/>
  <c r="K100" i="24"/>
  <c r="L104" i="24"/>
  <c r="L111" i="24"/>
  <c r="K111" i="24"/>
  <c r="L122" i="24"/>
  <c r="K122" i="24"/>
  <c r="K150" i="24"/>
  <c r="L150" i="24"/>
  <c r="L159" i="24"/>
  <c r="K159" i="24"/>
  <c r="L164" i="24"/>
  <c r="K195" i="24"/>
  <c r="L210" i="24"/>
  <c r="K210" i="24"/>
  <c r="L301" i="24"/>
  <c r="K301" i="24"/>
  <c r="L372" i="24"/>
  <c r="K372" i="24"/>
  <c r="L37" i="24"/>
  <c r="K37" i="24"/>
  <c r="L59" i="24"/>
  <c r="K59" i="24"/>
  <c r="H74" i="24"/>
  <c r="G74" i="24"/>
  <c r="L215" i="24"/>
  <c r="K215" i="24"/>
  <c r="L254" i="24"/>
  <c r="L393" i="24"/>
  <c r="K393" i="24"/>
  <c r="K4" i="24"/>
  <c r="L10" i="24"/>
  <c r="K10" i="24"/>
  <c r="G47" i="24"/>
  <c r="H47" i="24"/>
  <c r="K118" i="24"/>
  <c r="L146" i="24"/>
  <c r="K146" i="24"/>
  <c r="L173" i="24"/>
  <c r="K173" i="24"/>
  <c r="K264" i="24"/>
  <c r="L280" i="24"/>
  <c r="K280" i="24"/>
  <c r="L309" i="24"/>
  <c r="K309" i="24"/>
  <c r="L320" i="24"/>
  <c r="K320" i="24"/>
  <c r="K329" i="24"/>
  <c r="L354" i="24"/>
  <c r="K361" i="24"/>
  <c r="L397" i="24"/>
  <c r="K397" i="24"/>
  <c r="H426" i="24"/>
  <c r="H45" i="24"/>
  <c r="G45" i="24"/>
  <c r="G52" i="24"/>
  <c r="K78" i="24"/>
  <c r="L85" i="24"/>
  <c r="K138" i="24"/>
  <c r="K182" i="24"/>
  <c r="K189" i="24"/>
  <c r="L224" i="24"/>
  <c r="L226" i="24"/>
  <c r="K226" i="24"/>
  <c r="K252" i="24"/>
  <c r="L257" i="24"/>
  <c r="K257" i="24"/>
  <c r="K262" i="24"/>
  <c r="L304" i="24"/>
  <c r="K304" i="24"/>
  <c r="L342" i="24"/>
  <c r="K342" i="24"/>
  <c r="L349" i="24"/>
  <c r="K349" i="24"/>
  <c r="L409" i="24"/>
  <c r="G15" i="24"/>
  <c r="H17" i="24"/>
  <c r="G17" i="24"/>
  <c r="L66" i="24"/>
  <c r="L68" i="24"/>
  <c r="L94" i="24"/>
  <c r="K94" i="24"/>
  <c r="K98" i="24"/>
  <c r="L105" i="24"/>
  <c r="K105" i="24"/>
  <c r="L112" i="24"/>
  <c r="K112" i="24"/>
  <c r="L153" i="24"/>
  <c r="K153" i="24"/>
  <c r="K187" i="24"/>
  <c r="L187" i="24"/>
  <c r="K213" i="24"/>
  <c r="L289" i="24"/>
  <c r="K289" i="24"/>
  <c r="L327" i="24"/>
  <c r="L358" i="24"/>
  <c r="L391" i="24"/>
  <c r="L404" i="24"/>
  <c r="L128" i="24"/>
  <c r="K128" i="24"/>
  <c r="L276" i="24"/>
  <c r="K276" i="24"/>
  <c r="K9" i="24"/>
  <c r="G6" i="24"/>
  <c r="K57" i="24"/>
  <c r="L57" i="24"/>
  <c r="L259" i="24"/>
  <c r="K259" i="24"/>
  <c r="G8" i="24"/>
  <c r="H43" i="24"/>
  <c r="H48" i="24"/>
  <c r="G48" i="24"/>
  <c r="L62" i="24"/>
  <c r="K62" i="24"/>
  <c r="L83" i="24"/>
  <c r="K83" i="24"/>
  <c r="K101" i="24"/>
  <c r="L101" i="24"/>
  <c r="L136" i="24"/>
  <c r="K136" i="24"/>
  <c r="H156" i="24"/>
  <c r="L160" i="24"/>
  <c r="K160" i="24"/>
  <c r="L278" i="24"/>
  <c r="K278" i="24"/>
  <c r="L302" i="24"/>
  <c r="K302" i="24"/>
  <c r="L325" i="24"/>
  <c r="K325" i="24"/>
  <c r="L373" i="24"/>
  <c r="K373" i="24"/>
  <c r="L394" i="24"/>
  <c r="K394" i="24"/>
  <c r="L412" i="24"/>
  <c r="K412" i="24"/>
  <c r="J168" i="24"/>
  <c r="H192" i="24"/>
  <c r="G57" i="24"/>
  <c r="K120" i="24"/>
  <c r="L161" i="24"/>
  <c r="K161" i="24"/>
  <c r="L234" i="24"/>
  <c r="K234" i="24"/>
  <c r="L261" i="24"/>
  <c r="K261" i="24"/>
  <c r="L353" i="24"/>
  <c r="K353" i="24"/>
  <c r="K232" i="24"/>
  <c r="L205" i="24"/>
  <c r="K205" i="24"/>
  <c r="L411" i="24"/>
  <c r="K411" i="24"/>
  <c r="L5" i="24"/>
  <c r="K5" i="24"/>
  <c r="L40" i="24"/>
  <c r="K40" i="24"/>
  <c r="L216" i="24"/>
  <c r="K216" i="24"/>
  <c r="J246" i="24"/>
  <c r="H249" i="24"/>
  <c r="L267" i="24"/>
  <c r="K267" i="24"/>
  <c r="L355" i="24"/>
  <c r="K355" i="24"/>
  <c r="L376" i="24"/>
  <c r="K376" i="24"/>
  <c r="G5" i="24"/>
  <c r="K11" i="24"/>
  <c r="K13" i="24"/>
  <c r="G40" i="24"/>
  <c r="L69" i="24"/>
  <c r="K69" i="24"/>
  <c r="F77" i="24"/>
  <c r="H79" i="24"/>
  <c r="G79" i="24"/>
  <c r="L88" i="24"/>
  <c r="K88" i="24"/>
  <c r="L115" i="24"/>
  <c r="K115" i="24"/>
  <c r="K130" i="24"/>
  <c r="J158" i="24"/>
  <c r="H165" i="24"/>
  <c r="L240" i="24"/>
  <c r="L244" i="24"/>
  <c r="K244" i="24"/>
  <c r="L292" i="24"/>
  <c r="L294" i="24"/>
  <c r="K294" i="24"/>
  <c r="L298" i="24"/>
  <c r="L300" i="24"/>
  <c r="K300" i="24"/>
  <c r="K310" i="24"/>
  <c r="K321" i="24"/>
  <c r="L321" i="24"/>
  <c r="L350" i="24"/>
  <c r="K350" i="24"/>
  <c r="K400" i="24"/>
  <c r="L154" i="24"/>
  <c r="K154" i="24"/>
  <c r="L413" i="24"/>
  <c r="K413" i="24"/>
  <c r="H414" i="24"/>
  <c r="G43" i="24"/>
  <c r="L406" i="24"/>
  <c r="K406" i="24"/>
  <c r="F41" i="24"/>
  <c r="H35" i="24"/>
  <c r="L134" i="24"/>
  <c r="K134" i="24"/>
  <c r="L163" i="24"/>
  <c r="K163" i="24"/>
  <c r="L174" i="24"/>
  <c r="K174" i="24"/>
  <c r="L99" i="24"/>
  <c r="K99" i="24"/>
  <c r="L110" i="24"/>
  <c r="K110" i="24"/>
  <c r="L113" i="24"/>
  <c r="K113" i="24"/>
  <c r="L177" i="24"/>
  <c r="K177" i="24"/>
  <c r="K236" i="24"/>
  <c r="L236" i="24"/>
  <c r="L258" i="24"/>
  <c r="K258" i="24"/>
  <c r="L290" i="24"/>
  <c r="K290" i="24"/>
  <c r="L305" i="24"/>
  <c r="K305" i="24"/>
  <c r="L328" i="24"/>
  <c r="K328" i="24"/>
  <c r="L379" i="24"/>
  <c r="K379" i="24"/>
  <c r="K387" i="24"/>
  <c r="L387" i="24"/>
  <c r="L392" i="24"/>
  <c r="K392" i="24"/>
  <c r="L148" i="24"/>
  <c r="K148" i="24"/>
  <c r="L238" i="24"/>
  <c r="K238" i="24"/>
  <c r="L107" i="24"/>
  <c r="K185" i="24"/>
  <c r="L212" i="24"/>
  <c r="K214" i="24"/>
  <c r="L263" i="24"/>
  <c r="K263" i="24"/>
  <c r="L311" i="24"/>
  <c r="L313" i="24"/>
  <c r="K313" i="24"/>
  <c r="K319" i="24"/>
  <c r="L334" i="24"/>
  <c r="K334" i="24"/>
  <c r="K351" i="24"/>
  <c r="K370" i="24"/>
  <c r="L399" i="24"/>
  <c r="K399" i="24"/>
  <c r="K410" i="24"/>
  <c r="L90" i="24"/>
  <c r="K90" i="24"/>
  <c r="G66" i="24"/>
  <c r="G85" i="24"/>
  <c r="K109" i="24"/>
  <c r="L183" i="24"/>
  <c r="K208" i="24"/>
  <c r="L317" i="24"/>
  <c r="L364" i="24"/>
  <c r="K364" i="24"/>
  <c r="K368" i="24"/>
  <c r="L408" i="24"/>
  <c r="G19" i="24"/>
  <c r="G37" i="24"/>
  <c r="G61" i="24"/>
  <c r="L206" i="24"/>
  <c r="L241" i="24"/>
  <c r="K241" i="24"/>
  <c r="K255" i="24"/>
  <c r="L288" i="24"/>
  <c r="L330" i="24"/>
  <c r="K330" i="24"/>
  <c r="L360" i="24"/>
  <c r="L362" i="24"/>
  <c r="K362" i="24"/>
  <c r="K390" i="24"/>
  <c r="K131" i="24"/>
  <c r="L131" i="24"/>
  <c r="L198" i="24"/>
  <c r="K198" i="24"/>
  <c r="L219" i="24"/>
  <c r="K219" i="24"/>
  <c r="H296" i="24"/>
  <c r="L253" i="24"/>
  <c r="K253" i="24"/>
  <c r="L282" i="24"/>
  <c r="K282" i="24"/>
  <c r="L286" i="24"/>
  <c r="K286" i="24"/>
  <c r="L375" i="24"/>
  <c r="K375" i="24"/>
  <c r="L388" i="24"/>
  <c r="K388" i="24"/>
  <c r="H116" i="24"/>
  <c r="B9" i="3" s="1"/>
  <c r="L129" i="24"/>
  <c r="K129" i="24"/>
  <c r="L141" i="24"/>
  <c r="K141" i="24"/>
  <c r="L167" i="24"/>
  <c r="K167" i="24"/>
  <c r="L194" i="24"/>
  <c r="K194" i="24"/>
  <c r="L270" i="24"/>
  <c r="K270" i="24"/>
  <c r="L229" i="24"/>
  <c r="K229" i="24"/>
  <c r="L277" i="24"/>
  <c r="K277" i="24"/>
  <c r="L344" i="24"/>
  <c r="K344" i="24"/>
  <c r="L401" i="24"/>
  <c r="K401" i="24"/>
  <c r="H102" i="24"/>
  <c r="L217" i="24"/>
  <c r="K217" i="24"/>
  <c r="L265" i="24"/>
  <c r="K265" i="24"/>
  <c r="L332" i="24"/>
  <c r="K332" i="24"/>
  <c r="H81" i="24"/>
  <c r="G81" i="24"/>
  <c r="L93" i="24"/>
  <c r="K93" i="24"/>
  <c r="L179" i="24"/>
  <c r="K179" i="24"/>
  <c r="L381" i="24"/>
  <c r="K381" i="24"/>
  <c r="H346" i="24"/>
  <c r="F8" i="23"/>
  <c r="P413" i="23"/>
  <c r="O413" i="23"/>
  <c r="P412" i="23"/>
  <c r="O412" i="23"/>
  <c r="P411" i="23"/>
  <c r="O411" i="23"/>
  <c r="P410" i="23"/>
  <c r="O410" i="23"/>
  <c r="P409" i="23"/>
  <c r="O409" i="23"/>
  <c r="P408" i="23"/>
  <c r="O408" i="23"/>
  <c r="P407" i="23"/>
  <c r="O407" i="23"/>
  <c r="P406" i="23"/>
  <c r="O406" i="23"/>
  <c r="P405" i="23"/>
  <c r="O405" i="23"/>
  <c r="P404" i="23"/>
  <c r="O404" i="23"/>
  <c r="P403" i="23"/>
  <c r="O403" i="23"/>
  <c r="P402" i="23"/>
  <c r="O402" i="23"/>
  <c r="P401" i="23"/>
  <c r="O401" i="23"/>
  <c r="P400" i="23"/>
  <c r="O400" i="23"/>
  <c r="P399" i="23"/>
  <c r="O399" i="23"/>
  <c r="P398" i="23"/>
  <c r="O398" i="23"/>
  <c r="P397" i="23"/>
  <c r="O397" i="23"/>
  <c r="P396" i="23"/>
  <c r="O396" i="23"/>
  <c r="P394" i="23"/>
  <c r="O394" i="23"/>
  <c r="P393" i="23"/>
  <c r="O393" i="23"/>
  <c r="P392" i="23"/>
  <c r="O392" i="23"/>
  <c r="P391" i="23"/>
  <c r="O391" i="23"/>
  <c r="P390" i="23"/>
  <c r="O390" i="23"/>
  <c r="P389" i="23"/>
  <c r="O389" i="23"/>
  <c r="P388" i="23"/>
  <c r="O388" i="23"/>
  <c r="P387" i="23"/>
  <c r="O387" i="23"/>
  <c r="P386" i="23"/>
  <c r="O386" i="23"/>
  <c r="P385" i="23"/>
  <c r="O385" i="23"/>
  <c r="P384" i="23"/>
  <c r="O384" i="23"/>
  <c r="P383" i="23"/>
  <c r="O383" i="23"/>
  <c r="P382" i="23"/>
  <c r="O382" i="23"/>
  <c r="P381" i="23"/>
  <c r="O381" i="23"/>
  <c r="P380" i="23"/>
  <c r="O380" i="23"/>
  <c r="P379" i="23"/>
  <c r="O379" i="23"/>
  <c r="P378" i="23"/>
  <c r="O378" i="23"/>
  <c r="P377" i="23"/>
  <c r="O377" i="23"/>
  <c r="P376" i="23"/>
  <c r="O376" i="23"/>
  <c r="P375" i="23"/>
  <c r="O375" i="23"/>
  <c r="P374" i="23"/>
  <c r="O374" i="23"/>
  <c r="P373" i="23"/>
  <c r="O373" i="23"/>
  <c r="P372" i="23"/>
  <c r="O372" i="23"/>
  <c r="P371" i="23"/>
  <c r="O371" i="23"/>
  <c r="P370" i="23"/>
  <c r="O370" i="23"/>
  <c r="P369" i="23"/>
  <c r="O369" i="23"/>
  <c r="P368" i="23"/>
  <c r="O368" i="23"/>
  <c r="P367" i="23"/>
  <c r="O367" i="23"/>
  <c r="P366" i="23"/>
  <c r="O366" i="23"/>
  <c r="P365" i="23"/>
  <c r="O365" i="23"/>
  <c r="P364" i="23"/>
  <c r="O364" i="23"/>
  <c r="P363" i="23"/>
  <c r="O363" i="23"/>
  <c r="P362" i="23"/>
  <c r="O362" i="23"/>
  <c r="P361" i="23"/>
  <c r="O361" i="23"/>
  <c r="P360" i="23"/>
  <c r="O360" i="23"/>
  <c r="P358" i="23"/>
  <c r="O358" i="23"/>
  <c r="P356" i="23"/>
  <c r="O356" i="23"/>
  <c r="P355" i="23"/>
  <c r="O355" i="23"/>
  <c r="P354" i="23"/>
  <c r="O354" i="23"/>
  <c r="P353" i="23"/>
  <c r="O353" i="23"/>
  <c r="P352" i="23"/>
  <c r="O352" i="23"/>
  <c r="P351" i="23"/>
  <c r="O351" i="23"/>
  <c r="P350" i="23"/>
  <c r="O350" i="23"/>
  <c r="P349" i="23"/>
  <c r="O349" i="23"/>
  <c r="P348" i="23"/>
  <c r="O348" i="23"/>
  <c r="P345" i="23"/>
  <c r="O345" i="23"/>
  <c r="P344" i="23"/>
  <c r="O344" i="23"/>
  <c r="P343" i="23"/>
  <c r="O343" i="23"/>
  <c r="P342" i="23"/>
  <c r="O342" i="23"/>
  <c r="P341" i="23"/>
  <c r="O341" i="23"/>
  <c r="P340" i="23"/>
  <c r="O340" i="23"/>
  <c r="P339" i="23"/>
  <c r="O339" i="23"/>
  <c r="P338" i="23"/>
  <c r="O338" i="23"/>
  <c r="P337" i="23"/>
  <c r="O337" i="23"/>
  <c r="P336" i="23"/>
  <c r="O336" i="23"/>
  <c r="P335" i="23"/>
  <c r="O335" i="23"/>
  <c r="P334" i="23"/>
  <c r="O334" i="23"/>
  <c r="P333" i="23"/>
  <c r="O333" i="23"/>
  <c r="P332" i="23"/>
  <c r="O332" i="23"/>
  <c r="P331" i="23"/>
  <c r="O331" i="23"/>
  <c r="P330" i="23"/>
  <c r="O330" i="23"/>
  <c r="P329" i="23"/>
  <c r="O329" i="23"/>
  <c r="P328" i="23"/>
  <c r="O328" i="23"/>
  <c r="P327" i="23"/>
  <c r="O327" i="23"/>
  <c r="P326" i="23"/>
  <c r="O326" i="23"/>
  <c r="P325" i="23"/>
  <c r="O325" i="23"/>
  <c r="P324" i="23"/>
  <c r="O324" i="23"/>
  <c r="P323" i="23"/>
  <c r="O323" i="23"/>
  <c r="P322" i="23"/>
  <c r="O322" i="23"/>
  <c r="P321" i="23"/>
  <c r="O321" i="23"/>
  <c r="P320" i="23"/>
  <c r="O320" i="23"/>
  <c r="P319" i="23"/>
  <c r="O319" i="23"/>
  <c r="P318" i="23"/>
  <c r="O318" i="23"/>
  <c r="P317" i="23"/>
  <c r="O317" i="23"/>
  <c r="P316" i="23"/>
  <c r="O316" i="23"/>
  <c r="P315" i="23"/>
  <c r="O315" i="23"/>
  <c r="P314" i="23"/>
  <c r="O314" i="23"/>
  <c r="P313" i="23"/>
  <c r="O313" i="23"/>
  <c r="P312" i="23"/>
  <c r="O312" i="23"/>
  <c r="P311" i="23"/>
  <c r="O311" i="23"/>
  <c r="P310" i="23"/>
  <c r="O310" i="23"/>
  <c r="P309" i="23"/>
  <c r="O309" i="23"/>
  <c r="P308" i="23"/>
  <c r="O308" i="23"/>
  <c r="P307" i="23"/>
  <c r="O307" i="23"/>
  <c r="P306" i="23"/>
  <c r="O306" i="23"/>
  <c r="P305" i="23"/>
  <c r="O305" i="23"/>
  <c r="P304" i="23"/>
  <c r="O304" i="23"/>
  <c r="P303" i="23"/>
  <c r="O303" i="23"/>
  <c r="P302" i="23"/>
  <c r="O302" i="23"/>
  <c r="P301" i="23"/>
  <c r="O301" i="23"/>
  <c r="P300" i="23"/>
  <c r="O300" i="23"/>
  <c r="P299" i="23"/>
  <c r="O299" i="23"/>
  <c r="P298" i="23"/>
  <c r="O298" i="23"/>
  <c r="P295" i="23"/>
  <c r="O295" i="23"/>
  <c r="P294" i="23"/>
  <c r="O294" i="23"/>
  <c r="P293" i="23"/>
  <c r="O293" i="23"/>
  <c r="P292" i="23"/>
  <c r="O292" i="23"/>
  <c r="P291" i="23"/>
  <c r="O291" i="23"/>
  <c r="P290" i="23"/>
  <c r="O290" i="23"/>
  <c r="P289" i="23"/>
  <c r="O289" i="23"/>
  <c r="P288" i="23"/>
  <c r="O288" i="23"/>
  <c r="P287" i="23"/>
  <c r="O287" i="23"/>
  <c r="P286" i="23"/>
  <c r="O286" i="23"/>
  <c r="P285" i="23"/>
  <c r="O285" i="23"/>
  <c r="P284" i="23"/>
  <c r="O284" i="23"/>
  <c r="P283" i="23"/>
  <c r="O283" i="23"/>
  <c r="P282" i="23"/>
  <c r="O282" i="23"/>
  <c r="P281" i="23"/>
  <c r="O281" i="23"/>
  <c r="P280" i="23"/>
  <c r="O280" i="23"/>
  <c r="P279" i="23"/>
  <c r="O279" i="23"/>
  <c r="P278" i="23"/>
  <c r="O278" i="23"/>
  <c r="P277" i="23"/>
  <c r="O277" i="23"/>
  <c r="P276" i="23"/>
  <c r="O276" i="23"/>
  <c r="P275" i="23"/>
  <c r="O275" i="23"/>
  <c r="P274" i="23"/>
  <c r="O274" i="23"/>
  <c r="P273" i="23"/>
  <c r="O273" i="23"/>
  <c r="P272" i="23"/>
  <c r="O272" i="23"/>
  <c r="P271" i="23"/>
  <c r="O271" i="23"/>
  <c r="P270" i="23"/>
  <c r="O270" i="23"/>
  <c r="P269" i="23"/>
  <c r="O269" i="23"/>
  <c r="P268" i="23"/>
  <c r="O268" i="23"/>
  <c r="P267" i="23"/>
  <c r="O267" i="23"/>
  <c r="P266" i="23"/>
  <c r="O266" i="23"/>
  <c r="P265" i="23"/>
  <c r="O265" i="23"/>
  <c r="P264" i="23"/>
  <c r="O264" i="23"/>
  <c r="P263" i="23"/>
  <c r="O263" i="23"/>
  <c r="P262" i="23"/>
  <c r="O262" i="23"/>
  <c r="P261" i="23"/>
  <c r="O261" i="23"/>
  <c r="P260" i="23"/>
  <c r="O260" i="23"/>
  <c r="P259" i="23"/>
  <c r="O259" i="23"/>
  <c r="P258" i="23"/>
  <c r="O258" i="23"/>
  <c r="P257" i="23"/>
  <c r="O257" i="23"/>
  <c r="P256" i="23"/>
  <c r="O256" i="23"/>
  <c r="P255" i="23"/>
  <c r="O255" i="23"/>
  <c r="P254" i="23"/>
  <c r="O254" i="23"/>
  <c r="P253" i="23"/>
  <c r="O253" i="23"/>
  <c r="P252" i="23"/>
  <c r="O252" i="23"/>
  <c r="P251" i="23"/>
  <c r="O251" i="23"/>
  <c r="P248" i="23"/>
  <c r="O248" i="23"/>
  <c r="P247" i="23"/>
  <c r="O247" i="23"/>
  <c r="P246" i="23"/>
  <c r="O246" i="23"/>
  <c r="P245" i="23"/>
  <c r="O245" i="23"/>
  <c r="P244" i="23"/>
  <c r="O244" i="23"/>
  <c r="P243" i="23"/>
  <c r="O243" i="23"/>
  <c r="P241" i="23"/>
  <c r="O241" i="23"/>
  <c r="P240" i="23"/>
  <c r="O240" i="23"/>
  <c r="P239" i="23"/>
  <c r="O239" i="23"/>
  <c r="P238" i="23"/>
  <c r="O238" i="23"/>
  <c r="P237" i="23"/>
  <c r="O237" i="23"/>
  <c r="P236" i="23"/>
  <c r="O236" i="23"/>
  <c r="P235" i="23"/>
  <c r="O235" i="23"/>
  <c r="P234" i="23"/>
  <c r="O234" i="23"/>
  <c r="P233" i="23"/>
  <c r="O233" i="23"/>
  <c r="P232" i="23"/>
  <c r="O232" i="23"/>
  <c r="P231" i="23"/>
  <c r="O231" i="23"/>
  <c r="P230" i="23"/>
  <c r="O230" i="23"/>
  <c r="P229" i="23"/>
  <c r="O229" i="23"/>
  <c r="P228" i="23"/>
  <c r="O228" i="23"/>
  <c r="P227" i="23"/>
  <c r="O227" i="23"/>
  <c r="P226" i="23"/>
  <c r="O226" i="23"/>
  <c r="P225" i="23"/>
  <c r="O225" i="23"/>
  <c r="P224" i="23"/>
  <c r="O224" i="23"/>
  <c r="P223" i="23"/>
  <c r="O223" i="23"/>
  <c r="P222" i="23"/>
  <c r="O222" i="23"/>
  <c r="P221" i="23"/>
  <c r="O221" i="23"/>
  <c r="P220" i="23"/>
  <c r="O220" i="23"/>
  <c r="P219" i="23"/>
  <c r="O219" i="23"/>
  <c r="P218" i="23"/>
  <c r="O218" i="23"/>
  <c r="P217" i="23"/>
  <c r="O217" i="23"/>
  <c r="P216" i="23"/>
  <c r="O216" i="23"/>
  <c r="P215" i="23"/>
  <c r="O215" i="23"/>
  <c r="P214" i="23"/>
  <c r="O214" i="23"/>
  <c r="P213" i="23"/>
  <c r="O213" i="23"/>
  <c r="P212" i="23"/>
  <c r="O212" i="23"/>
  <c r="P211" i="23"/>
  <c r="O211" i="23"/>
  <c r="P210" i="23"/>
  <c r="O210" i="23"/>
  <c r="P209" i="23"/>
  <c r="O209" i="23"/>
  <c r="P208" i="23"/>
  <c r="O208" i="23"/>
  <c r="P207" i="23"/>
  <c r="O207" i="23"/>
  <c r="P206" i="23"/>
  <c r="O206" i="23"/>
  <c r="P205" i="23"/>
  <c r="O205" i="23"/>
  <c r="P204" i="23"/>
  <c r="O204" i="23"/>
  <c r="P203" i="23"/>
  <c r="O203" i="23"/>
  <c r="P202" i="23"/>
  <c r="O202" i="23"/>
  <c r="P201" i="23"/>
  <c r="O201" i="23"/>
  <c r="P200" i="23"/>
  <c r="O200" i="23"/>
  <c r="P199" i="23"/>
  <c r="O199" i="23"/>
  <c r="P198" i="23"/>
  <c r="O198" i="23"/>
  <c r="P197" i="23"/>
  <c r="O197" i="23"/>
  <c r="P196" i="23"/>
  <c r="O196" i="23"/>
  <c r="P195" i="23"/>
  <c r="O195" i="23"/>
  <c r="P194" i="23"/>
  <c r="O194" i="23"/>
  <c r="P191" i="23"/>
  <c r="O191" i="23"/>
  <c r="P190" i="23"/>
  <c r="O190" i="23"/>
  <c r="P189" i="23"/>
  <c r="O189" i="23"/>
  <c r="P188" i="23"/>
  <c r="O188" i="23"/>
  <c r="P187" i="23"/>
  <c r="O187" i="23"/>
  <c r="P186" i="23"/>
  <c r="O186" i="23"/>
  <c r="P185" i="23"/>
  <c r="O185" i="23"/>
  <c r="P184" i="23"/>
  <c r="O184" i="23"/>
  <c r="P183" i="23"/>
  <c r="O183" i="23"/>
  <c r="P182" i="23"/>
  <c r="O182" i="23"/>
  <c r="P181" i="23"/>
  <c r="O181" i="23"/>
  <c r="P180" i="23"/>
  <c r="O180" i="23"/>
  <c r="P179" i="23"/>
  <c r="O179" i="23"/>
  <c r="P178" i="23"/>
  <c r="O178" i="23"/>
  <c r="P177" i="23"/>
  <c r="O177" i="23"/>
  <c r="P176" i="23"/>
  <c r="O176" i="23"/>
  <c r="P175" i="23"/>
  <c r="O175" i="23"/>
  <c r="P174" i="23"/>
  <c r="O174" i="23"/>
  <c r="P173" i="23"/>
  <c r="O173" i="23"/>
  <c r="P172" i="23"/>
  <c r="O172" i="23"/>
  <c r="P171" i="23"/>
  <c r="O171" i="23"/>
  <c r="P170" i="23"/>
  <c r="O170" i="23"/>
  <c r="P169" i="23"/>
  <c r="O169" i="23"/>
  <c r="P168" i="23"/>
  <c r="O168" i="23"/>
  <c r="P167" i="23"/>
  <c r="O167" i="23"/>
  <c r="P164" i="23"/>
  <c r="O164" i="23"/>
  <c r="P163" i="23"/>
  <c r="O163" i="23"/>
  <c r="P162" i="23"/>
  <c r="O162" i="23"/>
  <c r="P161" i="23"/>
  <c r="O161" i="23"/>
  <c r="P160" i="23"/>
  <c r="O160" i="23"/>
  <c r="P159" i="23"/>
  <c r="O159" i="23"/>
  <c r="P158" i="23"/>
  <c r="O158" i="23"/>
  <c r="P155" i="23"/>
  <c r="O155" i="23"/>
  <c r="P154" i="23"/>
  <c r="O154" i="23"/>
  <c r="P153" i="23"/>
  <c r="O153" i="23"/>
  <c r="P152" i="23"/>
  <c r="O152" i="23"/>
  <c r="P151" i="23"/>
  <c r="O151" i="23"/>
  <c r="P150" i="23"/>
  <c r="O150" i="23"/>
  <c r="P149" i="23"/>
  <c r="O149" i="23"/>
  <c r="P148" i="23"/>
  <c r="O148" i="23"/>
  <c r="P147" i="23"/>
  <c r="O147" i="23"/>
  <c r="P146" i="23"/>
  <c r="O146" i="23"/>
  <c r="P145" i="23"/>
  <c r="O145" i="23"/>
  <c r="P144" i="23"/>
  <c r="O144" i="23"/>
  <c r="P143" i="23"/>
  <c r="O143" i="23"/>
  <c r="P142" i="23"/>
  <c r="O142" i="23"/>
  <c r="P141" i="23"/>
  <c r="O141" i="23"/>
  <c r="P140" i="23"/>
  <c r="O140" i="23"/>
  <c r="P139" i="23"/>
  <c r="O139" i="23"/>
  <c r="P138" i="23"/>
  <c r="O138" i="23"/>
  <c r="P137" i="23"/>
  <c r="O137" i="23"/>
  <c r="P136" i="23"/>
  <c r="O136" i="23"/>
  <c r="P135" i="23"/>
  <c r="O135" i="23"/>
  <c r="P134" i="23"/>
  <c r="O134" i="23"/>
  <c r="P133" i="23"/>
  <c r="O133" i="23"/>
  <c r="P132" i="23"/>
  <c r="O132" i="23"/>
  <c r="P131" i="23"/>
  <c r="O131" i="23"/>
  <c r="P130" i="23"/>
  <c r="O130" i="23"/>
  <c r="P129" i="23"/>
  <c r="O129" i="23"/>
  <c r="P128" i="23"/>
  <c r="O128" i="23"/>
  <c r="P127" i="23"/>
  <c r="O127" i="23"/>
  <c r="P126" i="23"/>
  <c r="O126" i="23"/>
  <c r="P125" i="23"/>
  <c r="O125" i="23"/>
  <c r="P124" i="23"/>
  <c r="O124" i="23"/>
  <c r="P123" i="23"/>
  <c r="O123" i="23"/>
  <c r="P122" i="23"/>
  <c r="O122" i="23"/>
  <c r="P121" i="23"/>
  <c r="O121" i="23"/>
  <c r="P120" i="23"/>
  <c r="O120" i="23"/>
  <c r="P119" i="23"/>
  <c r="O119" i="23"/>
  <c r="P118" i="23"/>
  <c r="O118" i="23"/>
  <c r="P115" i="23"/>
  <c r="O115" i="23"/>
  <c r="P114" i="23"/>
  <c r="O114" i="23"/>
  <c r="P113" i="23"/>
  <c r="O113" i="23"/>
  <c r="P112" i="23"/>
  <c r="O112" i="23"/>
  <c r="P111" i="23"/>
  <c r="O111" i="23"/>
  <c r="P110" i="23"/>
  <c r="O110" i="23"/>
  <c r="P109" i="23"/>
  <c r="O109" i="23"/>
  <c r="P108" i="23"/>
  <c r="O108" i="23"/>
  <c r="P107" i="23"/>
  <c r="O107" i="23"/>
  <c r="P106" i="23"/>
  <c r="O106" i="23"/>
  <c r="P105" i="23"/>
  <c r="O105" i="23"/>
  <c r="P104" i="23"/>
  <c r="O104" i="23"/>
  <c r="P101" i="23"/>
  <c r="O101" i="23"/>
  <c r="P100" i="23"/>
  <c r="O100" i="23"/>
  <c r="P99" i="23"/>
  <c r="O99" i="23"/>
  <c r="P98" i="23"/>
  <c r="O98" i="23"/>
  <c r="P97" i="23"/>
  <c r="O97" i="23"/>
  <c r="P96" i="23"/>
  <c r="O96" i="23"/>
  <c r="P95" i="23"/>
  <c r="O95" i="23"/>
  <c r="P94" i="23"/>
  <c r="O94" i="23"/>
  <c r="P93" i="23"/>
  <c r="O93" i="23"/>
  <c r="P92" i="23"/>
  <c r="O92" i="23"/>
  <c r="P90" i="23"/>
  <c r="O90" i="23"/>
  <c r="P89" i="23"/>
  <c r="O89" i="23"/>
  <c r="P88" i="23"/>
  <c r="O88" i="23"/>
  <c r="P87" i="23"/>
  <c r="O87" i="23"/>
  <c r="P86" i="23"/>
  <c r="O86" i="23"/>
  <c r="P85" i="23"/>
  <c r="O85" i="23"/>
  <c r="P84" i="23"/>
  <c r="O84" i="23"/>
  <c r="P83" i="23"/>
  <c r="O83" i="23"/>
  <c r="P82" i="23"/>
  <c r="O82" i="23"/>
  <c r="P81" i="23"/>
  <c r="O81" i="23"/>
  <c r="P80" i="23"/>
  <c r="O80" i="23"/>
  <c r="P79" i="23"/>
  <c r="O79" i="23"/>
  <c r="P78" i="23"/>
  <c r="O78" i="23"/>
  <c r="P77" i="23"/>
  <c r="O77" i="23"/>
  <c r="P76" i="23"/>
  <c r="O76" i="23"/>
  <c r="P75" i="23"/>
  <c r="O75" i="23"/>
  <c r="P74" i="23"/>
  <c r="O74" i="23"/>
  <c r="P73" i="23"/>
  <c r="O73" i="23"/>
  <c r="P72" i="23"/>
  <c r="O72" i="23"/>
  <c r="P71" i="23"/>
  <c r="O71" i="23"/>
  <c r="P70" i="23"/>
  <c r="O70" i="23"/>
  <c r="P69" i="23"/>
  <c r="O69" i="23"/>
  <c r="P68" i="23"/>
  <c r="O68" i="23"/>
  <c r="P67" i="23"/>
  <c r="O67" i="23"/>
  <c r="P66" i="23"/>
  <c r="O66" i="23"/>
  <c r="P65" i="23"/>
  <c r="O65" i="23"/>
  <c r="P62" i="23"/>
  <c r="O62" i="23"/>
  <c r="P61" i="23"/>
  <c r="O61" i="23"/>
  <c r="P60" i="23"/>
  <c r="O60" i="23"/>
  <c r="P59" i="23"/>
  <c r="O59" i="23"/>
  <c r="P58" i="23"/>
  <c r="O58" i="23"/>
  <c r="P57" i="23"/>
  <c r="O57" i="23"/>
  <c r="P56" i="23"/>
  <c r="O56" i="23"/>
  <c r="P55" i="23"/>
  <c r="O55" i="23"/>
  <c r="P54" i="23"/>
  <c r="O54" i="23"/>
  <c r="P53" i="23"/>
  <c r="O53" i="23"/>
  <c r="P52" i="23"/>
  <c r="O52" i="23"/>
  <c r="P51" i="23"/>
  <c r="O51" i="23"/>
  <c r="P50" i="23"/>
  <c r="O50" i="23"/>
  <c r="P49" i="23"/>
  <c r="O49" i="23"/>
  <c r="P48" i="23"/>
  <c r="O48" i="23"/>
  <c r="P47" i="23"/>
  <c r="O47" i="23"/>
  <c r="P46" i="23"/>
  <c r="O46" i="23"/>
  <c r="P45" i="23"/>
  <c r="O45" i="23"/>
  <c r="P44" i="23"/>
  <c r="O44" i="23"/>
  <c r="P43" i="23"/>
  <c r="O43" i="23"/>
  <c r="P42" i="23"/>
  <c r="O42" i="23"/>
  <c r="P41" i="23"/>
  <c r="O41" i="23"/>
  <c r="P40" i="23"/>
  <c r="O40" i="23"/>
  <c r="P39" i="23"/>
  <c r="O39" i="23"/>
  <c r="P38" i="23"/>
  <c r="O38" i="23"/>
  <c r="P37" i="23"/>
  <c r="O37" i="23"/>
  <c r="P36" i="23"/>
  <c r="O36" i="23"/>
  <c r="P35" i="23"/>
  <c r="O35" i="23"/>
  <c r="P34" i="23"/>
  <c r="O34" i="23"/>
  <c r="P31" i="23"/>
  <c r="O31" i="23"/>
  <c r="P30" i="23"/>
  <c r="O30" i="23"/>
  <c r="P29" i="23"/>
  <c r="O29" i="23"/>
  <c r="P28" i="23"/>
  <c r="O28" i="23"/>
  <c r="P27" i="23"/>
  <c r="O27" i="23"/>
  <c r="P26" i="23"/>
  <c r="O26" i="23"/>
  <c r="P23" i="23"/>
  <c r="O23" i="23"/>
  <c r="P22" i="23"/>
  <c r="O22" i="23"/>
  <c r="P21" i="23"/>
  <c r="O21" i="23"/>
  <c r="P20" i="23"/>
  <c r="O20" i="23"/>
  <c r="P19" i="23"/>
  <c r="O19" i="23"/>
  <c r="P18" i="23"/>
  <c r="O18" i="23"/>
  <c r="P17" i="23"/>
  <c r="O17" i="23"/>
  <c r="P16" i="23"/>
  <c r="O16" i="23"/>
  <c r="P15" i="23"/>
  <c r="O15" i="23"/>
  <c r="P14" i="23"/>
  <c r="O14" i="23"/>
  <c r="P13" i="23"/>
  <c r="O13" i="23"/>
  <c r="P12" i="23"/>
  <c r="O12" i="23"/>
  <c r="P11" i="23"/>
  <c r="O11" i="23"/>
  <c r="P10" i="23"/>
  <c r="O10" i="23"/>
  <c r="P9" i="23"/>
  <c r="O9" i="23"/>
  <c r="P8" i="23"/>
  <c r="O8" i="23"/>
  <c r="P7" i="23"/>
  <c r="O7" i="23"/>
  <c r="P6" i="23"/>
  <c r="O6" i="23"/>
  <c r="P5" i="23"/>
  <c r="O5" i="23"/>
  <c r="P4" i="23"/>
  <c r="O4" i="23"/>
  <c r="H425" i="23"/>
  <c r="G425" i="23"/>
  <c r="H424" i="23"/>
  <c r="G424" i="23"/>
  <c r="H423" i="23"/>
  <c r="G423" i="23"/>
  <c r="H422" i="23"/>
  <c r="G422" i="23"/>
  <c r="H421" i="23"/>
  <c r="G421" i="23"/>
  <c r="H420" i="23"/>
  <c r="G420" i="23"/>
  <c r="H419" i="23"/>
  <c r="G419" i="23"/>
  <c r="H418" i="23"/>
  <c r="C14" i="3" s="1"/>
  <c r="G418" i="23"/>
  <c r="H417" i="23"/>
  <c r="C13" i="3" s="1"/>
  <c r="G417" i="23"/>
  <c r="H416" i="23"/>
  <c r="G416" i="23"/>
  <c r="L413" i="23"/>
  <c r="H413" i="23"/>
  <c r="J413" i="23" s="1"/>
  <c r="K413" i="23" s="1"/>
  <c r="G413" i="23"/>
  <c r="H412" i="23"/>
  <c r="J412" i="23" s="1"/>
  <c r="G412" i="23"/>
  <c r="H411" i="23"/>
  <c r="J411" i="23" s="1"/>
  <c r="K411" i="23" s="1"/>
  <c r="G411" i="23"/>
  <c r="L410" i="23"/>
  <c r="H410" i="23"/>
  <c r="J410" i="23" s="1"/>
  <c r="K410" i="23" s="1"/>
  <c r="G410" i="23"/>
  <c r="J409" i="23"/>
  <c r="H409" i="23"/>
  <c r="G409" i="23"/>
  <c r="J408" i="23"/>
  <c r="H408" i="23"/>
  <c r="G408" i="23"/>
  <c r="H407" i="23"/>
  <c r="J407" i="23" s="1"/>
  <c r="G407" i="23"/>
  <c r="H406" i="23"/>
  <c r="J406" i="23" s="1"/>
  <c r="K406" i="23" s="1"/>
  <c r="G406" i="23"/>
  <c r="J405" i="23"/>
  <c r="H405" i="23"/>
  <c r="G405" i="23"/>
  <c r="H404" i="23"/>
  <c r="J404" i="23" s="1"/>
  <c r="K404" i="23" s="1"/>
  <c r="G404" i="23"/>
  <c r="L403" i="23"/>
  <c r="J403" i="23"/>
  <c r="K403" i="23" s="1"/>
  <c r="H403" i="23"/>
  <c r="G403" i="23"/>
  <c r="H402" i="23"/>
  <c r="J402" i="23" s="1"/>
  <c r="G402" i="23"/>
  <c r="J401" i="23"/>
  <c r="L401" i="23" s="1"/>
  <c r="H401" i="23"/>
  <c r="G401" i="23"/>
  <c r="H400" i="23"/>
  <c r="J400" i="23" s="1"/>
  <c r="G400" i="23"/>
  <c r="H399" i="23"/>
  <c r="J399" i="23" s="1"/>
  <c r="G399" i="23"/>
  <c r="K398" i="23"/>
  <c r="H398" i="23"/>
  <c r="J398" i="23" s="1"/>
  <c r="L398" i="23" s="1"/>
  <c r="G398" i="23"/>
  <c r="J397" i="23"/>
  <c r="L397" i="23" s="1"/>
  <c r="H397" i="23"/>
  <c r="G397" i="23"/>
  <c r="K396" i="23"/>
  <c r="J396" i="23"/>
  <c r="L396" i="23" s="1"/>
  <c r="H396" i="23"/>
  <c r="G396" i="23"/>
  <c r="H394" i="23"/>
  <c r="J394" i="23" s="1"/>
  <c r="K394" i="23" s="1"/>
  <c r="G394" i="23"/>
  <c r="K393" i="23"/>
  <c r="J393" i="23"/>
  <c r="L393" i="23" s="1"/>
  <c r="H393" i="23"/>
  <c r="G393" i="23"/>
  <c r="J392" i="23"/>
  <c r="L392" i="23" s="1"/>
  <c r="H392" i="23"/>
  <c r="G392" i="23"/>
  <c r="L391" i="23"/>
  <c r="H391" i="23"/>
  <c r="J391" i="23" s="1"/>
  <c r="K391" i="23" s="1"/>
  <c r="G391" i="23"/>
  <c r="H390" i="23"/>
  <c r="J390" i="23" s="1"/>
  <c r="G390" i="23"/>
  <c r="L389" i="23"/>
  <c r="H389" i="23"/>
  <c r="J389" i="23" s="1"/>
  <c r="K389" i="23" s="1"/>
  <c r="G389" i="23"/>
  <c r="H388" i="23"/>
  <c r="J388" i="23" s="1"/>
  <c r="G388" i="23"/>
  <c r="H387" i="23"/>
  <c r="J387" i="23" s="1"/>
  <c r="G387" i="23"/>
  <c r="H386" i="23"/>
  <c r="J386" i="23" s="1"/>
  <c r="G386" i="23"/>
  <c r="H385" i="23"/>
  <c r="J385" i="23" s="1"/>
  <c r="G385" i="23"/>
  <c r="K384" i="23"/>
  <c r="J384" i="23"/>
  <c r="L384" i="23" s="1"/>
  <c r="H384" i="23"/>
  <c r="G384" i="23"/>
  <c r="J383" i="23"/>
  <c r="H383" i="23"/>
  <c r="G383" i="23"/>
  <c r="H382" i="23"/>
  <c r="J382" i="23" s="1"/>
  <c r="G382" i="23"/>
  <c r="H381" i="23"/>
  <c r="J381" i="23" s="1"/>
  <c r="G381" i="23"/>
  <c r="J380" i="23"/>
  <c r="L380" i="23" s="1"/>
  <c r="H380" i="23"/>
  <c r="G380" i="23"/>
  <c r="H379" i="23"/>
  <c r="J379" i="23" s="1"/>
  <c r="G379" i="23"/>
  <c r="H378" i="23"/>
  <c r="J378" i="23" s="1"/>
  <c r="G378" i="23"/>
  <c r="L377" i="23"/>
  <c r="K377" i="23"/>
  <c r="H377" i="23"/>
  <c r="J377" i="23" s="1"/>
  <c r="G377" i="23"/>
  <c r="H376" i="23"/>
  <c r="J376" i="23" s="1"/>
  <c r="G376" i="23"/>
  <c r="J375" i="23"/>
  <c r="H375" i="23"/>
  <c r="G375" i="23"/>
  <c r="H374" i="23"/>
  <c r="J374" i="23" s="1"/>
  <c r="G374" i="23"/>
  <c r="L373" i="23"/>
  <c r="K373" i="23"/>
  <c r="H373" i="23"/>
  <c r="J373" i="23" s="1"/>
  <c r="G373" i="23"/>
  <c r="J372" i="23"/>
  <c r="H372" i="23"/>
  <c r="G372" i="23"/>
  <c r="K371" i="23"/>
  <c r="J371" i="23"/>
  <c r="L371" i="23" s="1"/>
  <c r="H371" i="23"/>
  <c r="G371" i="23"/>
  <c r="H370" i="23"/>
  <c r="J370" i="23" s="1"/>
  <c r="G370" i="23"/>
  <c r="L369" i="23"/>
  <c r="K369" i="23"/>
  <c r="J369" i="23"/>
  <c r="H369" i="23"/>
  <c r="G369" i="23"/>
  <c r="J368" i="23"/>
  <c r="H368" i="23"/>
  <c r="G368" i="23"/>
  <c r="H367" i="23"/>
  <c r="J367" i="23" s="1"/>
  <c r="G367" i="23"/>
  <c r="L366" i="23"/>
  <c r="H366" i="23"/>
  <c r="J366" i="23" s="1"/>
  <c r="K366" i="23" s="1"/>
  <c r="G366" i="23"/>
  <c r="L365" i="23"/>
  <c r="K365" i="23"/>
  <c r="H365" i="23"/>
  <c r="J365" i="23" s="1"/>
  <c r="G365" i="23"/>
  <c r="H364" i="23"/>
  <c r="J364" i="23" s="1"/>
  <c r="G364" i="23"/>
  <c r="H363" i="23"/>
  <c r="J363" i="23" s="1"/>
  <c r="G363" i="23"/>
  <c r="H362" i="23"/>
  <c r="J362" i="23" s="1"/>
  <c r="K362" i="23" s="1"/>
  <c r="G362" i="23"/>
  <c r="L361" i="23"/>
  <c r="K361" i="23"/>
  <c r="H361" i="23"/>
  <c r="J361" i="23" s="1"/>
  <c r="G361" i="23"/>
  <c r="J360" i="23"/>
  <c r="H360" i="23"/>
  <c r="G360" i="23"/>
  <c r="K358" i="23"/>
  <c r="J358" i="23"/>
  <c r="L358" i="23" s="1"/>
  <c r="H358" i="23"/>
  <c r="G358" i="23"/>
  <c r="H356" i="23"/>
  <c r="J356" i="23" s="1"/>
  <c r="G356" i="23"/>
  <c r="H355" i="23"/>
  <c r="J355" i="23" s="1"/>
  <c r="G355" i="23"/>
  <c r="J354" i="23"/>
  <c r="H354" i="23"/>
  <c r="G354" i="23"/>
  <c r="H353" i="23"/>
  <c r="H414" i="23" s="1"/>
  <c r="G353" i="23"/>
  <c r="H352" i="23"/>
  <c r="J352" i="23" s="1"/>
  <c r="G352" i="23"/>
  <c r="H351" i="23"/>
  <c r="J351" i="23" s="1"/>
  <c r="G351" i="23"/>
  <c r="J350" i="23"/>
  <c r="H350" i="23"/>
  <c r="G350" i="23"/>
  <c r="H349" i="23"/>
  <c r="J349" i="23" s="1"/>
  <c r="G349" i="23"/>
  <c r="H345" i="23"/>
  <c r="J345" i="23" s="1"/>
  <c r="L345" i="23" s="1"/>
  <c r="G345" i="23"/>
  <c r="L344" i="23"/>
  <c r="H344" i="23"/>
  <c r="J344" i="23" s="1"/>
  <c r="K344" i="23" s="1"/>
  <c r="G344" i="23"/>
  <c r="J343" i="23"/>
  <c r="H343" i="23"/>
  <c r="G343" i="23"/>
  <c r="H342" i="23"/>
  <c r="J342" i="23" s="1"/>
  <c r="K342" i="23" s="1"/>
  <c r="G342" i="23"/>
  <c r="H341" i="23"/>
  <c r="J341" i="23" s="1"/>
  <c r="G341" i="23"/>
  <c r="J340" i="23"/>
  <c r="H340" i="23"/>
  <c r="G340" i="23"/>
  <c r="K339" i="23"/>
  <c r="J339" i="23"/>
  <c r="L339" i="23" s="1"/>
  <c r="H339" i="23"/>
  <c r="G339" i="23"/>
  <c r="H338" i="23"/>
  <c r="J338" i="23" s="1"/>
  <c r="G338" i="23"/>
  <c r="J337" i="23"/>
  <c r="L337" i="23" s="1"/>
  <c r="H337" i="23"/>
  <c r="G337" i="23"/>
  <c r="J336" i="23"/>
  <c r="H336" i="23"/>
  <c r="G336" i="23"/>
  <c r="J335" i="23"/>
  <c r="L335" i="23" s="1"/>
  <c r="H335" i="23"/>
  <c r="G335" i="23"/>
  <c r="H334" i="23"/>
  <c r="J334" i="23" s="1"/>
  <c r="G334" i="23"/>
  <c r="L333" i="23"/>
  <c r="K333" i="23"/>
  <c r="H333" i="23"/>
  <c r="J333" i="23" s="1"/>
  <c r="G333" i="23"/>
  <c r="H332" i="23"/>
  <c r="J332" i="23" s="1"/>
  <c r="G332" i="23"/>
  <c r="J331" i="23"/>
  <c r="H331" i="23"/>
  <c r="G331" i="23"/>
  <c r="H330" i="23"/>
  <c r="J330" i="23" s="1"/>
  <c r="G330" i="23"/>
  <c r="L329" i="23"/>
  <c r="K329" i="23"/>
  <c r="H329" i="23"/>
  <c r="J329" i="23" s="1"/>
  <c r="G329" i="23"/>
  <c r="K328" i="23"/>
  <c r="J328" i="23"/>
  <c r="L328" i="23" s="1"/>
  <c r="H328" i="23"/>
  <c r="G328" i="23"/>
  <c r="K327" i="23"/>
  <c r="J327" i="23"/>
  <c r="L327" i="23" s="1"/>
  <c r="H327" i="23"/>
  <c r="G327" i="23"/>
  <c r="L326" i="23"/>
  <c r="H326" i="23"/>
  <c r="J326" i="23" s="1"/>
  <c r="K326" i="23" s="1"/>
  <c r="G326" i="23"/>
  <c r="L325" i="23"/>
  <c r="K325" i="23"/>
  <c r="J325" i="23"/>
  <c r="H325" i="23"/>
  <c r="G325" i="23"/>
  <c r="K324" i="23"/>
  <c r="J324" i="23"/>
  <c r="L324" i="23" s="1"/>
  <c r="H324" i="23"/>
  <c r="G324" i="23"/>
  <c r="H323" i="23"/>
  <c r="J323" i="23" s="1"/>
  <c r="G323" i="23"/>
  <c r="H322" i="23"/>
  <c r="J322" i="23" s="1"/>
  <c r="G322" i="23"/>
  <c r="L321" i="23"/>
  <c r="H321" i="23"/>
  <c r="J321" i="23" s="1"/>
  <c r="K321" i="23" s="1"/>
  <c r="G321" i="23"/>
  <c r="H320" i="23"/>
  <c r="J320" i="23" s="1"/>
  <c r="G320" i="23"/>
  <c r="H319" i="23"/>
  <c r="J319" i="23" s="1"/>
  <c r="G319" i="23"/>
  <c r="J318" i="23"/>
  <c r="H318" i="23"/>
  <c r="G318" i="23"/>
  <c r="H317" i="23"/>
  <c r="J317" i="23" s="1"/>
  <c r="G317" i="23"/>
  <c r="J316" i="23"/>
  <c r="L316" i="23" s="1"/>
  <c r="H316" i="23"/>
  <c r="G316" i="23"/>
  <c r="J315" i="23"/>
  <c r="H315" i="23"/>
  <c r="G315" i="23"/>
  <c r="H314" i="23"/>
  <c r="J314" i="23" s="1"/>
  <c r="K314" i="23" s="1"/>
  <c r="G314" i="23"/>
  <c r="H313" i="23"/>
  <c r="J313" i="23" s="1"/>
  <c r="G313" i="23"/>
  <c r="J312" i="23"/>
  <c r="H312" i="23"/>
  <c r="G312" i="23"/>
  <c r="H311" i="23"/>
  <c r="J311" i="23" s="1"/>
  <c r="G311" i="23"/>
  <c r="J310" i="23"/>
  <c r="H310" i="23"/>
  <c r="G310" i="23"/>
  <c r="H309" i="23"/>
  <c r="J309" i="23" s="1"/>
  <c r="L309" i="23" s="1"/>
  <c r="G309" i="23"/>
  <c r="K308" i="23"/>
  <c r="H308" i="23"/>
  <c r="J308" i="23" s="1"/>
  <c r="L308" i="23" s="1"/>
  <c r="G308" i="23"/>
  <c r="H307" i="23"/>
  <c r="J307" i="23" s="1"/>
  <c r="G307" i="23"/>
  <c r="K306" i="23"/>
  <c r="H306" i="23"/>
  <c r="J306" i="23" s="1"/>
  <c r="L306" i="23" s="1"/>
  <c r="G306" i="23"/>
  <c r="L305" i="23"/>
  <c r="H305" i="23"/>
  <c r="J305" i="23" s="1"/>
  <c r="K305" i="23" s="1"/>
  <c r="G305" i="23"/>
  <c r="L304" i="23"/>
  <c r="J304" i="23"/>
  <c r="K304" i="23" s="1"/>
  <c r="H304" i="23"/>
  <c r="G304" i="23"/>
  <c r="H303" i="23"/>
  <c r="J303" i="23" s="1"/>
  <c r="G303" i="23"/>
  <c r="H302" i="23"/>
  <c r="J302" i="23" s="1"/>
  <c r="K302" i="23" s="1"/>
  <c r="G302" i="23"/>
  <c r="J301" i="23"/>
  <c r="L301" i="23" s="1"/>
  <c r="H301" i="23"/>
  <c r="G301" i="23"/>
  <c r="J300" i="23"/>
  <c r="L300" i="23" s="1"/>
  <c r="H300" i="23"/>
  <c r="G300" i="23"/>
  <c r="J299" i="23"/>
  <c r="L299" i="23" s="1"/>
  <c r="H299" i="23"/>
  <c r="G299" i="23"/>
  <c r="H298" i="23"/>
  <c r="J298" i="23" s="1"/>
  <c r="K298" i="23" s="1"/>
  <c r="G298" i="23"/>
  <c r="H295" i="23"/>
  <c r="J295" i="23" s="1"/>
  <c r="K295" i="23" s="1"/>
  <c r="G295" i="23"/>
  <c r="H294" i="23"/>
  <c r="J294" i="23" s="1"/>
  <c r="K294" i="23" s="1"/>
  <c r="G294" i="23"/>
  <c r="K293" i="23"/>
  <c r="J293" i="23"/>
  <c r="L293" i="23" s="1"/>
  <c r="H293" i="23"/>
  <c r="G293" i="23"/>
  <c r="J292" i="23"/>
  <c r="H292" i="23"/>
  <c r="G292" i="23"/>
  <c r="J291" i="23"/>
  <c r="K291" i="23" s="1"/>
  <c r="H291" i="23"/>
  <c r="G291" i="23"/>
  <c r="H290" i="23"/>
  <c r="J290" i="23" s="1"/>
  <c r="G290" i="23"/>
  <c r="H289" i="23"/>
  <c r="J289" i="23" s="1"/>
  <c r="G289" i="23"/>
  <c r="H288" i="23"/>
  <c r="J288" i="23" s="1"/>
  <c r="G288" i="23"/>
  <c r="H287" i="23"/>
  <c r="J287" i="23" s="1"/>
  <c r="G287" i="23"/>
  <c r="H286" i="23"/>
  <c r="J286" i="23" s="1"/>
  <c r="L286" i="23" s="1"/>
  <c r="G286" i="23"/>
  <c r="H285" i="23"/>
  <c r="J285" i="23" s="1"/>
  <c r="L285" i="23" s="1"/>
  <c r="G285" i="23"/>
  <c r="H284" i="23"/>
  <c r="J284" i="23" s="1"/>
  <c r="L284" i="23" s="1"/>
  <c r="G284" i="23"/>
  <c r="H283" i="23"/>
  <c r="J283" i="23" s="1"/>
  <c r="K283" i="23" s="1"/>
  <c r="G283" i="23"/>
  <c r="H282" i="23"/>
  <c r="J282" i="23" s="1"/>
  <c r="L282" i="23" s="1"/>
  <c r="G282" i="23"/>
  <c r="H281" i="23"/>
  <c r="J281" i="23" s="1"/>
  <c r="L281" i="23" s="1"/>
  <c r="G281" i="23"/>
  <c r="L280" i="23"/>
  <c r="H280" i="23"/>
  <c r="J280" i="23" s="1"/>
  <c r="K280" i="23" s="1"/>
  <c r="G280" i="23"/>
  <c r="J279" i="23"/>
  <c r="K279" i="23" s="1"/>
  <c r="H279" i="23"/>
  <c r="G279" i="23"/>
  <c r="H278" i="23"/>
  <c r="J278" i="23" s="1"/>
  <c r="L278" i="23" s="1"/>
  <c r="G278" i="23"/>
  <c r="H277" i="23"/>
  <c r="J277" i="23" s="1"/>
  <c r="L277" i="23" s="1"/>
  <c r="G277" i="23"/>
  <c r="H276" i="23"/>
  <c r="J276" i="23" s="1"/>
  <c r="G276" i="23"/>
  <c r="H275" i="23"/>
  <c r="J275" i="23" s="1"/>
  <c r="L275" i="23" s="1"/>
  <c r="G275" i="23"/>
  <c r="H274" i="23"/>
  <c r="J274" i="23" s="1"/>
  <c r="K274" i="23" s="1"/>
  <c r="G274" i="23"/>
  <c r="H273" i="23"/>
  <c r="J273" i="23" s="1"/>
  <c r="G273" i="23"/>
  <c r="H272" i="23"/>
  <c r="J272" i="23" s="1"/>
  <c r="L272" i="23" s="1"/>
  <c r="G272" i="23"/>
  <c r="H271" i="23"/>
  <c r="J271" i="23" s="1"/>
  <c r="K271" i="23" s="1"/>
  <c r="G271" i="23"/>
  <c r="H270" i="23"/>
  <c r="J270" i="23" s="1"/>
  <c r="G270" i="23"/>
  <c r="J269" i="23"/>
  <c r="L269" i="23" s="1"/>
  <c r="H269" i="23"/>
  <c r="G269" i="23"/>
  <c r="H268" i="23"/>
  <c r="J268" i="23" s="1"/>
  <c r="G268" i="23"/>
  <c r="H267" i="23"/>
  <c r="J267" i="23" s="1"/>
  <c r="G267" i="23"/>
  <c r="H266" i="23"/>
  <c r="J266" i="23" s="1"/>
  <c r="G266" i="23"/>
  <c r="H265" i="23"/>
  <c r="J265" i="23" s="1"/>
  <c r="L265" i="23" s="1"/>
  <c r="G265" i="23"/>
  <c r="H264" i="23"/>
  <c r="J264" i="23" s="1"/>
  <c r="G264" i="23"/>
  <c r="H263" i="23"/>
  <c r="J263" i="23" s="1"/>
  <c r="G263" i="23"/>
  <c r="L262" i="23"/>
  <c r="K262" i="23"/>
  <c r="H262" i="23"/>
  <c r="J262" i="23" s="1"/>
  <c r="G262" i="23"/>
  <c r="H261" i="23"/>
  <c r="J261" i="23" s="1"/>
  <c r="G261" i="23"/>
  <c r="H260" i="23"/>
  <c r="J260" i="23" s="1"/>
  <c r="G260" i="23"/>
  <c r="H259" i="23"/>
  <c r="J259" i="23" s="1"/>
  <c r="K259" i="23" s="1"/>
  <c r="G259" i="23"/>
  <c r="L258" i="23"/>
  <c r="H258" i="23"/>
  <c r="J258" i="23" s="1"/>
  <c r="K258" i="23" s="1"/>
  <c r="G258" i="23"/>
  <c r="K257" i="23"/>
  <c r="J257" i="23"/>
  <c r="L257" i="23" s="1"/>
  <c r="H257" i="23"/>
  <c r="G257" i="23"/>
  <c r="J256" i="23"/>
  <c r="H256" i="23"/>
  <c r="G256" i="23"/>
  <c r="H255" i="23"/>
  <c r="J255" i="23" s="1"/>
  <c r="K255" i="23" s="1"/>
  <c r="G255" i="23"/>
  <c r="L254" i="23"/>
  <c r="K254" i="23"/>
  <c r="H254" i="23"/>
  <c r="J254" i="23" s="1"/>
  <c r="G254" i="23"/>
  <c r="L253" i="23"/>
  <c r="K253" i="23"/>
  <c r="J253" i="23"/>
  <c r="H253" i="23"/>
  <c r="G253" i="23"/>
  <c r="H252" i="23"/>
  <c r="J252" i="23" s="1"/>
  <c r="G252" i="23"/>
  <c r="H251" i="23"/>
  <c r="J251" i="23" s="1"/>
  <c r="G251" i="23"/>
  <c r="L248" i="23"/>
  <c r="H248" i="23"/>
  <c r="J248" i="23" s="1"/>
  <c r="K248" i="23" s="1"/>
  <c r="G248" i="23"/>
  <c r="L247" i="23"/>
  <c r="K247" i="23"/>
  <c r="H247" i="23"/>
  <c r="J247" i="23" s="1"/>
  <c r="G247" i="23"/>
  <c r="H246" i="23"/>
  <c r="J246" i="23" s="1"/>
  <c r="G246" i="23"/>
  <c r="H245" i="23"/>
  <c r="J245" i="23" s="1"/>
  <c r="G245" i="23"/>
  <c r="H244" i="23"/>
  <c r="G244" i="23"/>
  <c r="J241" i="23"/>
  <c r="H241" i="23"/>
  <c r="G241" i="23"/>
  <c r="J240" i="23"/>
  <c r="H240" i="23"/>
  <c r="G240" i="23"/>
  <c r="J239" i="23"/>
  <c r="H239" i="23"/>
  <c r="G239" i="23"/>
  <c r="L238" i="23"/>
  <c r="H238" i="23"/>
  <c r="J238" i="23" s="1"/>
  <c r="K238" i="23" s="1"/>
  <c r="G238" i="23"/>
  <c r="L237" i="23"/>
  <c r="K237" i="23"/>
  <c r="J237" i="23"/>
  <c r="H237" i="23"/>
  <c r="G237" i="23"/>
  <c r="H236" i="23"/>
  <c r="J236" i="23" s="1"/>
  <c r="G236" i="23"/>
  <c r="L235" i="23"/>
  <c r="H235" i="23"/>
  <c r="J235" i="23" s="1"/>
  <c r="K235" i="23" s="1"/>
  <c r="G235" i="23"/>
  <c r="H234" i="23"/>
  <c r="J234" i="23" s="1"/>
  <c r="K234" i="23" s="1"/>
  <c r="G234" i="23"/>
  <c r="K233" i="23"/>
  <c r="J233" i="23"/>
  <c r="L233" i="23" s="1"/>
  <c r="H233" i="23"/>
  <c r="G233" i="23"/>
  <c r="H232" i="23"/>
  <c r="J232" i="23" s="1"/>
  <c r="G232" i="23"/>
  <c r="H231" i="23"/>
  <c r="J231" i="23" s="1"/>
  <c r="G231" i="23"/>
  <c r="L230" i="23"/>
  <c r="H230" i="23"/>
  <c r="J230" i="23" s="1"/>
  <c r="K230" i="23" s="1"/>
  <c r="G230" i="23"/>
  <c r="H229" i="23"/>
  <c r="J229" i="23" s="1"/>
  <c r="G229" i="23"/>
  <c r="H228" i="23"/>
  <c r="J228" i="23" s="1"/>
  <c r="G228" i="23"/>
  <c r="H227" i="23"/>
  <c r="J227" i="23" s="1"/>
  <c r="G227" i="23"/>
  <c r="L226" i="23"/>
  <c r="K226" i="23"/>
  <c r="H226" i="23"/>
  <c r="J226" i="23" s="1"/>
  <c r="G226" i="23"/>
  <c r="J225" i="23"/>
  <c r="H225" i="23"/>
  <c r="G225" i="23"/>
  <c r="K224" i="23"/>
  <c r="J224" i="23"/>
  <c r="L224" i="23" s="1"/>
  <c r="H224" i="23"/>
  <c r="G224" i="23"/>
  <c r="H223" i="23"/>
  <c r="J223" i="23" s="1"/>
  <c r="G223" i="23"/>
  <c r="L222" i="23"/>
  <c r="K222" i="23"/>
  <c r="J222" i="23"/>
  <c r="H222" i="23"/>
  <c r="G222" i="23"/>
  <c r="J221" i="23"/>
  <c r="H221" i="23"/>
  <c r="G221" i="23"/>
  <c r="H220" i="23"/>
  <c r="J220" i="23" s="1"/>
  <c r="K220" i="23" s="1"/>
  <c r="G220" i="23"/>
  <c r="H219" i="23"/>
  <c r="J219" i="23" s="1"/>
  <c r="G219" i="23"/>
  <c r="H218" i="23"/>
  <c r="J218" i="23" s="1"/>
  <c r="G218" i="23"/>
  <c r="H217" i="23"/>
  <c r="J217" i="23" s="1"/>
  <c r="G217" i="23"/>
  <c r="H216" i="23"/>
  <c r="J216" i="23" s="1"/>
  <c r="G216" i="23"/>
  <c r="L215" i="23"/>
  <c r="K215" i="23"/>
  <c r="J215" i="23"/>
  <c r="H215" i="23"/>
  <c r="G215" i="23"/>
  <c r="L214" i="23"/>
  <c r="K214" i="23"/>
  <c r="H214" i="23"/>
  <c r="J214" i="23" s="1"/>
  <c r="G214" i="23"/>
  <c r="L213" i="23"/>
  <c r="K213" i="23"/>
  <c r="J213" i="23"/>
  <c r="H213" i="23"/>
  <c r="G213" i="23"/>
  <c r="K212" i="23"/>
  <c r="H212" i="23"/>
  <c r="J212" i="23" s="1"/>
  <c r="L212" i="23" s="1"/>
  <c r="G212" i="23"/>
  <c r="L211" i="23"/>
  <c r="H211" i="23"/>
  <c r="J211" i="23" s="1"/>
  <c r="K211" i="23" s="1"/>
  <c r="G211" i="23"/>
  <c r="H210" i="23"/>
  <c r="J210" i="23" s="1"/>
  <c r="G210" i="23"/>
  <c r="K209" i="23"/>
  <c r="J209" i="23"/>
  <c r="L209" i="23" s="1"/>
  <c r="H209" i="23"/>
  <c r="G209" i="23"/>
  <c r="L208" i="23"/>
  <c r="H208" i="23"/>
  <c r="J208" i="23" s="1"/>
  <c r="K208" i="23" s="1"/>
  <c r="G208" i="23"/>
  <c r="L207" i="23"/>
  <c r="J207" i="23"/>
  <c r="K207" i="23" s="1"/>
  <c r="H207" i="23"/>
  <c r="G207" i="23"/>
  <c r="H206" i="23"/>
  <c r="J206" i="23" s="1"/>
  <c r="G206" i="23"/>
  <c r="H205" i="23"/>
  <c r="J205" i="23" s="1"/>
  <c r="G205" i="23"/>
  <c r="H204" i="23"/>
  <c r="J204" i="23" s="1"/>
  <c r="G204" i="23"/>
  <c r="H203" i="23"/>
  <c r="J203" i="23" s="1"/>
  <c r="K203" i="23" s="1"/>
  <c r="G203" i="23"/>
  <c r="H202" i="23"/>
  <c r="J202" i="23" s="1"/>
  <c r="L202" i="23" s="1"/>
  <c r="G202" i="23"/>
  <c r="L201" i="23"/>
  <c r="H201" i="23"/>
  <c r="J201" i="23" s="1"/>
  <c r="K201" i="23" s="1"/>
  <c r="G201" i="23"/>
  <c r="H200" i="23"/>
  <c r="J200" i="23" s="1"/>
  <c r="G200" i="23"/>
  <c r="H199" i="23"/>
  <c r="J199" i="23" s="1"/>
  <c r="G199" i="23"/>
  <c r="L198" i="23"/>
  <c r="J198" i="23"/>
  <c r="K198" i="23" s="1"/>
  <c r="H198" i="23"/>
  <c r="G198" i="23"/>
  <c r="J197" i="23"/>
  <c r="H197" i="23"/>
  <c r="G197" i="23"/>
  <c r="L196" i="23"/>
  <c r="K196" i="23"/>
  <c r="J196" i="23"/>
  <c r="H196" i="23"/>
  <c r="G196" i="23"/>
  <c r="L195" i="23"/>
  <c r="J195" i="23"/>
  <c r="K195" i="23" s="1"/>
  <c r="H195" i="23"/>
  <c r="G195" i="23"/>
  <c r="L194" i="23"/>
  <c r="K194" i="23"/>
  <c r="J194" i="23"/>
  <c r="H194" i="23"/>
  <c r="G194" i="23"/>
  <c r="H191" i="23"/>
  <c r="J191" i="23" s="1"/>
  <c r="G191" i="23"/>
  <c r="H190" i="23"/>
  <c r="J190" i="23" s="1"/>
  <c r="G190" i="23"/>
  <c r="H189" i="23"/>
  <c r="J189" i="23" s="1"/>
  <c r="G189" i="23"/>
  <c r="H188" i="23"/>
  <c r="J188" i="23" s="1"/>
  <c r="G188" i="23"/>
  <c r="J187" i="23"/>
  <c r="L187" i="23" s="1"/>
  <c r="H187" i="23"/>
  <c r="G187" i="23"/>
  <c r="L186" i="23"/>
  <c r="K186" i="23"/>
  <c r="J186" i="23"/>
  <c r="H186" i="23"/>
  <c r="G186" i="23"/>
  <c r="L185" i="23"/>
  <c r="J185" i="23"/>
  <c r="K185" i="23" s="1"/>
  <c r="H185" i="23"/>
  <c r="G185" i="23"/>
  <c r="L184" i="23"/>
  <c r="H184" i="23"/>
  <c r="J184" i="23" s="1"/>
  <c r="K184" i="23" s="1"/>
  <c r="G184" i="23"/>
  <c r="L183" i="23"/>
  <c r="K183" i="23"/>
  <c r="H183" i="23"/>
  <c r="J183" i="23" s="1"/>
  <c r="G183" i="23"/>
  <c r="L182" i="23"/>
  <c r="H182" i="23"/>
  <c r="J182" i="23" s="1"/>
  <c r="K182" i="23" s="1"/>
  <c r="G182" i="23"/>
  <c r="H181" i="23"/>
  <c r="J181" i="23" s="1"/>
  <c r="G181" i="23"/>
  <c r="H180" i="23"/>
  <c r="J180" i="23" s="1"/>
  <c r="G180" i="23"/>
  <c r="H179" i="23"/>
  <c r="J179" i="23" s="1"/>
  <c r="G179" i="23"/>
  <c r="H178" i="23"/>
  <c r="J178" i="23" s="1"/>
  <c r="G178" i="23"/>
  <c r="H177" i="23"/>
  <c r="J177" i="23" s="1"/>
  <c r="G177" i="23"/>
  <c r="H176" i="23"/>
  <c r="J176" i="23" s="1"/>
  <c r="G176" i="23"/>
  <c r="H175" i="23"/>
  <c r="J175" i="23" s="1"/>
  <c r="G175" i="23"/>
  <c r="H174" i="23"/>
  <c r="J174" i="23" s="1"/>
  <c r="L174" i="23" s="1"/>
  <c r="G174" i="23"/>
  <c r="H173" i="23"/>
  <c r="J173" i="23" s="1"/>
  <c r="K173" i="23" s="1"/>
  <c r="G173" i="23"/>
  <c r="H172" i="23"/>
  <c r="J172" i="23" s="1"/>
  <c r="K172" i="23" s="1"/>
  <c r="G172" i="23"/>
  <c r="H171" i="23"/>
  <c r="J171" i="23" s="1"/>
  <c r="K171" i="23" s="1"/>
  <c r="G171" i="23"/>
  <c r="H170" i="23"/>
  <c r="J170" i="23" s="1"/>
  <c r="K170" i="23" s="1"/>
  <c r="G170" i="23"/>
  <c r="H169" i="23"/>
  <c r="J169" i="23" s="1"/>
  <c r="G169" i="23"/>
  <c r="H168" i="23"/>
  <c r="J168" i="23" s="1"/>
  <c r="L168" i="23" s="1"/>
  <c r="G168" i="23"/>
  <c r="H167" i="23"/>
  <c r="J167" i="23" s="1"/>
  <c r="G167" i="23"/>
  <c r="L164" i="23"/>
  <c r="K164" i="23"/>
  <c r="H164" i="23"/>
  <c r="J164" i="23" s="1"/>
  <c r="G164" i="23"/>
  <c r="H163" i="23"/>
  <c r="J163" i="23" s="1"/>
  <c r="G163" i="23"/>
  <c r="H162" i="23"/>
  <c r="J162" i="23" s="1"/>
  <c r="L162" i="23" s="1"/>
  <c r="G162" i="23"/>
  <c r="H161" i="23"/>
  <c r="J161" i="23" s="1"/>
  <c r="L161" i="23" s="1"/>
  <c r="G161" i="23"/>
  <c r="L160" i="23"/>
  <c r="J160" i="23"/>
  <c r="K160" i="23" s="1"/>
  <c r="H160" i="23"/>
  <c r="G160" i="23"/>
  <c r="K159" i="23"/>
  <c r="J159" i="23"/>
  <c r="L159" i="23" s="1"/>
  <c r="H159" i="23"/>
  <c r="G159" i="23"/>
  <c r="H158" i="23"/>
  <c r="J158" i="23" s="1"/>
  <c r="G158" i="23"/>
  <c r="K155" i="23"/>
  <c r="J155" i="23"/>
  <c r="L155" i="23" s="1"/>
  <c r="H155" i="23"/>
  <c r="G155" i="23"/>
  <c r="L154" i="23"/>
  <c r="H154" i="23"/>
  <c r="J154" i="23" s="1"/>
  <c r="K154" i="23" s="1"/>
  <c r="G154" i="23"/>
  <c r="L153" i="23"/>
  <c r="K153" i="23"/>
  <c r="J153" i="23"/>
  <c r="H153" i="23"/>
  <c r="G153" i="23"/>
  <c r="J152" i="23"/>
  <c r="L152" i="23" s="1"/>
  <c r="H152" i="23"/>
  <c r="G152" i="23"/>
  <c r="L151" i="23"/>
  <c r="K151" i="23"/>
  <c r="J151" i="23"/>
  <c r="H151" i="23"/>
  <c r="G151" i="23"/>
  <c r="H150" i="23"/>
  <c r="J150" i="23" s="1"/>
  <c r="G150" i="23"/>
  <c r="J149" i="23"/>
  <c r="L149" i="23" s="1"/>
  <c r="H149" i="23"/>
  <c r="G149" i="23"/>
  <c r="J148" i="23"/>
  <c r="H148" i="23"/>
  <c r="G148" i="23"/>
  <c r="J147" i="23"/>
  <c r="K147" i="23" s="1"/>
  <c r="H147" i="23"/>
  <c r="G147" i="23"/>
  <c r="J146" i="23"/>
  <c r="L146" i="23" s="1"/>
  <c r="H146" i="23"/>
  <c r="G146" i="23"/>
  <c r="L145" i="23"/>
  <c r="K145" i="23"/>
  <c r="H145" i="23"/>
  <c r="J145" i="23" s="1"/>
  <c r="G145" i="23"/>
  <c r="H144" i="23"/>
  <c r="J144" i="23" s="1"/>
  <c r="G144" i="23"/>
  <c r="K143" i="23"/>
  <c r="H143" i="23"/>
  <c r="J143" i="23" s="1"/>
  <c r="L143" i="23" s="1"/>
  <c r="G143" i="23"/>
  <c r="L142" i="23"/>
  <c r="K142" i="23"/>
  <c r="H142" i="23"/>
  <c r="J142" i="23" s="1"/>
  <c r="G142" i="23"/>
  <c r="L141" i="23"/>
  <c r="H141" i="23"/>
  <c r="J141" i="23" s="1"/>
  <c r="K141" i="23" s="1"/>
  <c r="G141" i="23"/>
  <c r="J140" i="23"/>
  <c r="H140" i="23"/>
  <c r="G140" i="23"/>
  <c r="H139" i="23"/>
  <c r="J139" i="23" s="1"/>
  <c r="G139" i="23"/>
  <c r="H138" i="23"/>
  <c r="J138" i="23" s="1"/>
  <c r="G138" i="23"/>
  <c r="K137" i="23"/>
  <c r="J137" i="23"/>
  <c r="L137" i="23" s="1"/>
  <c r="H137" i="23"/>
  <c r="G137" i="23"/>
  <c r="H136" i="23"/>
  <c r="J136" i="23" s="1"/>
  <c r="G136" i="23"/>
  <c r="J135" i="23"/>
  <c r="K135" i="23" s="1"/>
  <c r="H135" i="23"/>
  <c r="G135" i="23"/>
  <c r="K134" i="23"/>
  <c r="J134" i="23"/>
  <c r="L134" i="23" s="1"/>
  <c r="H134" i="23"/>
  <c r="G134" i="23"/>
  <c r="L133" i="23"/>
  <c r="K133" i="23"/>
  <c r="H133" i="23"/>
  <c r="J133" i="23" s="1"/>
  <c r="G133" i="23"/>
  <c r="L132" i="23"/>
  <c r="K132" i="23"/>
  <c r="H132" i="23"/>
  <c r="J132" i="23" s="1"/>
  <c r="G132" i="23"/>
  <c r="K131" i="23"/>
  <c r="J131" i="23"/>
  <c r="L131" i="23" s="1"/>
  <c r="H131" i="23"/>
  <c r="G131" i="23"/>
  <c r="L130" i="23"/>
  <c r="H130" i="23"/>
  <c r="J130" i="23" s="1"/>
  <c r="K130" i="23" s="1"/>
  <c r="G130" i="23"/>
  <c r="L129" i="23"/>
  <c r="K129" i="23"/>
  <c r="J129" i="23"/>
  <c r="H129" i="23"/>
  <c r="G129" i="23"/>
  <c r="J128" i="23"/>
  <c r="L128" i="23" s="1"/>
  <c r="H128" i="23"/>
  <c r="G128" i="23"/>
  <c r="L127" i="23"/>
  <c r="K127" i="23"/>
  <c r="J127" i="23"/>
  <c r="H127" i="23"/>
  <c r="G127" i="23"/>
  <c r="J126" i="23"/>
  <c r="H126" i="23"/>
  <c r="G126" i="23"/>
  <c r="L125" i="23"/>
  <c r="K125" i="23"/>
  <c r="J125" i="23"/>
  <c r="H125" i="23"/>
  <c r="G125" i="23"/>
  <c r="L124" i="23"/>
  <c r="K124" i="23"/>
  <c r="J124" i="23"/>
  <c r="H124" i="23"/>
  <c r="G124" i="23"/>
  <c r="H123" i="23"/>
  <c r="G123" i="23"/>
  <c r="L122" i="23"/>
  <c r="K122" i="23"/>
  <c r="J122" i="23"/>
  <c r="H122" i="23"/>
  <c r="G122" i="23"/>
  <c r="L121" i="23"/>
  <c r="K121" i="23"/>
  <c r="H121" i="23"/>
  <c r="J121" i="23" s="1"/>
  <c r="G121" i="23"/>
  <c r="L120" i="23"/>
  <c r="K120" i="23"/>
  <c r="J120" i="23"/>
  <c r="H120" i="23"/>
  <c r="G120" i="23"/>
  <c r="K119" i="23"/>
  <c r="H119" i="23"/>
  <c r="J119" i="23" s="1"/>
  <c r="L119" i="23" s="1"/>
  <c r="G119" i="23"/>
  <c r="L118" i="23"/>
  <c r="K118" i="23"/>
  <c r="H118" i="23"/>
  <c r="J118" i="23" s="1"/>
  <c r="G118" i="23"/>
  <c r="J115" i="23"/>
  <c r="H115" i="23"/>
  <c r="G115" i="23"/>
  <c r="J114" i="23"/>
  <c r="K114" i="23" s="1"/>
  <c r="H114" i="23"/>
  <c r="G114" i="23"/>
  <c r="J113" i="23"/>
  <c r="H113" i="23"/>
  <c r="G113" i="23"/>
  <c r="L112" i="23"/>
  <c r="J112" i="23"/>
  <c r="K112" i="23" s="1"/>
  <c r="H112" i="23"/>
  <c r="G112" i="23"/>
  <c r="H111" i="23"/>
  <c r="J111" i="23" s="1"/>
  <c r="K111" i="23" s="1"/>
  <c r="G111" i="23"/>
  <c r="L110" i="23"/>
  <c r="K110" i="23"/>
  <c r="J110" i="23"/>
  <c r="H110" i="23"/>
  <c r="G110" i="23"/>
  <c r="H109" i="23"/>
  <c r="J109" i="23" s="1"/>
  <c r="G109" i="23"/>
  <c r="H108" i="23"/>
  <c r="J108" i="23" s="1"/>
  <c r="L108" i="23" s="1"/>
  <c r="G108" i="23"/>
  <c r="H107" i="23"/>
  <c r="J107" i="23" s="1"/>
  <c r="G107" i="23"/>
  <c r="L106" i="23"/>
  <c r="H106" i="23"/>
  <c r="J106" i="23" s="1"/>
  <c r="K106" i="23" s="1"/>
  <c r="G106" i="23"/>
  <c r="H105" i="23"/>
  <c r="G105" i="23"/>
  <c r="H104" i="23"/>
  <c r="J104" i="23" s="1"/>
  <c r="L104" i="23" s="1"/>
  <c r="G104" i="23"/>
  <c r="H101" i="23"/>
  <c r="J101" i="23" s="1"/>
  <c r="L101" i="23" s="1"/>
  <c r="G101" i="23"/>
  <c r="H100" i="23"/>
  <c r="J100" i="23" s="1"/>
  <c r="K100" i="23" s="1"/>
  <c r="G100" i="23"/>
  <c r="H99" i="23"/>
  <c r="J99" i="23" s="1"/>
  <c r="G99" i="23"/>
  <c r="H98" i="23"/>
  <c r="J98" i="23" s="1"/>
  <c r="G98" i="23"/>
  <c r="H97" i="23"/>
  <c r="J97" i="23" s="1"/>
  <c r="K97" i="23" s="1"/>
  <c r="G97" i="23"/>
  <c r="H96" i="23"/>
  <c r="J96" i="23" s="1"/>
  <c r="G96" i="23"/>
  <c r="H95" i="23"/>
  <c r="J95" i="23" s="1"/>
  <c r="G95" i="23"/>
  <c r="H94" i="23"/>
  <c r="J94" i="23" s="1"/>
  <c r="K94" i="23" s="1"/>
  <c r="G94" i="23"/>
  <c r="H93" i="23"/>
  <c r="G93" i="23"/>
  <c r="H90" i="23"/>
  <c r="J90" i="23" s="1"/>
  <c r="L90" i="23" s="1"/>
  <c r="G90" i="23"/>
  <c r="F88" i="23"/>
  <c r="G88" i="23" s="1"/>
  <c r="F87" i="23"/>
  <c r="H87" i="23" s="1"/>
  <c r="J87" i="23" s="1"/>
  <c r="F86" i="23"/>
  <c r="F85" i="23"/>
  <c r="G85" i="23" s="1"/>
  <c r="H84" i="23"/>
  <c r="J84" i="23" s="1"/>
  <c r="G84" i="23"/>
  <c r="F82" i="23"/>
  <c r="H82" i="23" s="1"/>
  <c r="J82" i="23" s="1"/>
  <c r="F81" i="23"/>
  <c r="H81" i="23" s="1"/>
  <c r="J81" i="23" s="1"/>
  <c r="F80" i="23"/>
  <c r="F83" i="23" s="1"/>
  <c r="F79" i="23"/>
  <c r="H79" i="23" s="1"/>
  <c r="J79" i="23" s="1"/>
  <c r="L79" i="23" s="1"/>
  <c r="H78" i="23"/>
  <c r="J78" i="23" s="1"/>
  <c r="G78" i="23"/>
  <c r="F76" i="23"/>
  <c r="H76" i="23" s="1"/>
  <c r="J76" i="23" s="1"/>
  <c r="F75" i="23"/>
  <c r="F74" i="23"/>
  <c r="H74" i="23" s="1"/>
  <c r="J74" i="23" s="1"/>
  <c r="L74" i="23" s="1"/>
  <c r="F73" i="23"/>
  <c r="H72" i="23"/>
  <c r="J72" i="23" s="1"/>
  <c r="L72" i="23" s="1"/>
  <c r="G72" i="23"/>
  <c r="F70" i="23"/>
  <c r="H70" i="23" s="1"/>
  <c r="J70" i="23" s="1"/>
  <c r="L70" i="23" s="1"/>
  <c r="F69" i="23"/>
  <c r="H69" i="23" s="1"/>
  <c r="J69" i="23" s="1"/>
  <c r="F68" i="23"/>
  <c r="F67" i="23"/>
  <c r="G67" i="23" s="1"/>
  <c r="F66" i="23"/>
  <c r="H65" i="23"/>
  <c r="J65" i="23" s="1"/>
  <c r="K65" i="23" s="1"/>
  <c r="G65" i="23"/>
  <c r="F62" i="23"/>
  <c r="H62" i="23" s="1"/>
  <c r="J62" i="23" s="1"/>
  <c r="F61" i="23"/>
  <c r="H61" i="23" s="1"/>
  <c r="J61" i="23" s="1"/>
  <c r="L61" i="23" s="1"/>
  <c r="F60" i="23"/>
  <c r="H60" i="23" s="1"/>
  <c r="J60" i="23" s="1"/>
  <c r="L60" i="23" s="1"/>
  <c r="H59" i="23"/>
  <c r="J59" i="23" s="1"/>
  <c r="G59" i="23"/>
  <c r="F58" i="23"/>
  <c r="F57" i="23"/>
  <c r="F56" i="23"/>
  <c r="G56" i="23" s="1"/>
  <c r="F55" i="23"/>
  <c r="H54" i="23"/>
  <c r="J54" i="23" s="1"/>
  <c r="K54" i="23" s="1"/>
  <c r="G54" i="23"/>
  <c r="F53" i="23"/>
  <c r="F52" i="23"/>
  <c r="H52" i="23" s="1"/>
  <c r="J52" i="23" s="1"/>
  <c r="F51" i="23"/>
  <c r="G51" i="23" s="1"/>
  <c r="H50" i="23"/>
  <c r="J50" i="23" s="1"/>
  <c r="L50" i="23" s="1"/>
  <c r="G50" i="23"/>
  <c r="F48" i="23"/>
  <c r="H48" i="23" s="1"/>
  <c r="J48" i="23" s="1"/>
  <c r="F47" i="23"/>
  <c r="H47" i="23" s="1"/>
  <c r="J47" i="23" s="1"/>
  <c r="F46" i="23"/>
  <c r="F45" i="23"/>
  <c r="H45" i="23" s="1"/>
  <c r="J45" i="23" s="1"/>
  <c r="L45" i="23" s="1"/>
  <c r="F44" i="23"/>
  <c r="H44" i="23" s="1"/>
  <c r="J44" i="23" s="1"/>
  <c r="L44" i="23" s="1"/>
  <c r="G43" i="23"/>
  <c r="F43" i="23"/>
  <c r="F49" i="23" s="1"/>
  <c r="G49" i="23" s="1"/>
  <c r="H42" i="23"/>
  <c r="J42" i="23" s="1"/>
  <c r="G42" i="23"/>
  <c r="F40" i="23"/>
  <c r="H40" i="23" s="1"/>
  <c r="J40" i="23" s="1"/>
  <c r="L40" i="23" s="1"/>
  <c r="F39" i="23"/>
  <c r="F38" i="23"/>
  <c r="H38" i="23" s="1"/>
  <c r="J38" i="23" s="1"/>
  <c r="F37" i="23"/>
  <c r="H37" i="23" s="1"/>
  <c r="J37" i="23" s="1"/>
  <c r="L37" i="23" s="1"/>
  <c r="H36" i="23"/>
  <c r="J36" i="23" s="1"/>
  <c r="L36" i="23" s="1"/>
  <c r="F36" i="23"/>
  <c r="G36" i="23" s="1"/>
  <c r="F35" i="23"/>
  <c r="F41" i="23" s="1"/>
  <c r="H41" i="23" s="1"/>
  <c r="J41" i="23" s="1"/>
  <c r="L41" i="23" s="1"/>
  <c r="H34" i="23"/>
  <c r="J34" i="23" s="1"/>
  <c r="K34" i="23" s="1"/>
  <c r="G34" i="23"/>
  <c r="H31" i="23"/>
  <c r="J31" i="23" s="1"/>
  <c r="L31" i="23" s="1"/>
  <c r="G31" i="23"/>
  <c r="H30" i="23"/>
  <c r="J30" i="23" s="1"/>
  <c r="G30" i="23"/>
  <c r="H29" i="23"/>
  <c r="J29" i="23" s="1"/>
  <c r="G29" i="23"/>
  <c r="H28" i="23"/>
  <c r="J28" i="23" s="1"/>
  <c r="G28" i="23"/>
  <c r="H27" i="23"/>
  <c r="J27" i="23" s="1"/>
  <c r="G27" i="23"/>
  <c r="H26" i="23"/>
  <c r="G26" i="23"/>
  <c r="F23" i="23"/>
  <c r="H23" i="23" s="1"/>
  <c r="J23" i="23" s="1"/>
  <c r="H22" i="23"/>
  <c r="J22" i="23" s="1"/>
  <c r="G22" i="23"/>
  <c r="H21" i="23"/>
  <c r="J21" i="23" s="1"/>
  <c r="G21" i="23"/>
  <c r="K20" i="23"/>
  <c r="H20" i="23"/>
  <c r="J20" i="23" s="1"/>
  <c r="L20" i="23" s="1"/>
  <c r="G20" i="23"/>
  <c r="F19" i="23"/>
  <c r="G19" i="23" s="1"/>
  <c r="H18" i="23"/>
  <c r="J18" i="23" s="1"/>
  <c r="G18" i="23"/>
  <c r="F17" i="23"/>
  <c r="H16" i="23"/>
  <c r="J16" i="23" s="1"/>
  <c r="L16" i="23" s="1"/>
  <c r="G16" i="23"/>
  <c r="F15" i="23"/>
  <c r="H14" i="23"/>
  <c r="J14" i="23" s="1"/>
  <c r="G14" i="23"/>
  <c r="F13" i="23"/>
  <c r="H13" i="23" s="1"/>
  <c r="J13" i="23" s="1"/>
  <c r="H12" i="23"/>
  <c r="J12" i="23" s="1"/>
  <c r="K12" i="23" s="1"/>
  <c r="G12" i="23"/>
  <c r="F11" i="23"/>
  <c r="H11" i="23" s="1"/>
  <c r="J11" i="23" s="1"/>
  <c r="H10" i="23"/>
  <c r="J10" i="23" s="1"/>
  <c r="K10" i="23" s="1"/>
  <c r="G10" i="23"/>
  <c r="F9" i="23"/>
  <c r="H8" i="23"/>
  <c r="J8" i="23" s="1"/>
  <c r="K8" i="23" s="1"/>
  <c r="H7" i="23"/>
  <c r="J7" i="23" s="1"/>
  <c r="L7" i="23" s="1"/>
  <c r="G7" i="23"/>
  <c r="F6" i="23"/>
  <c r="H6" i="23" s="1"/>
  <c r="J6" i="23" s="1"/>
  <c r="F5" i="23"/>
  <c r="H5" i="23" s="1"/>
  <c r="J5" i="23" s="1"/>
  <c r="H4" i="23"/>
  <c r="G4" i="23"/>
  <c r="P413" i="22"/>
  <c r="O413" i="22"/>
  <c r="P412" i="22"/>
  <c r="O412" i="22"/>
  <c r="P411" i="22"/>
  <c r="O411" i="22"/>
  <c r="P410" i="22"/>
  <c r="O410" i="22"/>
  <c r="P409" i="22"/>
  <c r="O409" i="22"/>
  <c r="P408" i="22"/>
  <c r="O408" i="22"/>
  <c r="P407" i="22"/>
  <c r="O407" i="22"/>
  <c r="P406" i="22"/>
  <c r="O406" i="22"/>
  <c r="P405" i="22"/>
  <c r="O405" i="22"/>
  <c r="P404" i="22"/>
  <c r="O404" i="22"/>
  <c r="P403" i="22"/>
  <c r="O403" i="22"/>
  <c r="P402" i="22"/>
  <c r="O402" i="22"/>
  <c r="P401" i="22"/>
  <c r="O401" i="22"/>
  <c r="P400" i="22"/>
  <c r="O400" i="22"/>
  <c r="P399" i="22"/>
  <c r="O399" i="22"/>
  <c r="P398" i="22"/>
  <c r="O398" i="22"/>
  <c r="P397" i="22"/>
  <c r="O397" i="22"/>
  <c r="P396" i="22"/>
  <c r="O396" i="22"/>
  <c r="P394" i="22"/>
  <c r="O394" i="22"/>
  <c r="P393" i="22"/>
  <c r="O393" i="22"/>
  <c r="P392" i="22"/>
  <c r="O392" i="22"/>
  <c r="P391" i="22"/>
  <c r="O391" i="22"/>
  <c r="P390" i="22"/>
  <c r="O390" i="22"/>
  <c r="P389" i="22"/>
  <c r="O389" i="22"/>
  <c r="P388" i="22"/>
  <c r="O388" i="22"/>
  <c r="P387" i="22"/>
  <c r="O387" i="22"/>
  <c r="P386" i="22"/>
  <c r="O386" i="22"/>
  <c r="P385" i="22"/>
  <c r="O385" i="22"/>
  <c r="P384" i="22"/>
  <c r="O384" i="22"/>
  <c r="P383" i="22"/>
  <c r="O383" i="22"/>
  <c r="P382" i="22"/>
  <c r="O382" i="22"/>
  <c r="P381" i="22"/>
  <c r="O381" i="22"/>
  <c r="P380" i="22"/>
  <c r="O380" i="22"/>
  <c r="P379" i="22"/>
  <c r="O379" i="22"/>
  <c r="P378" i="22"/>
  <c r="O378" i="22"/>
  <c r="P377" i="22"/>
  <c r="O377" i="22"/>
  <c r="P376" i="22"/>
  <c r="O376" i="22"/>
  <c r="P375" i="22"/>
  <c r="O375" i="22"/>
  <c r="P374" i="22"/>
  <c r="O374" i="22"/>
  <c r="P373" i="22"/>
  <c r="O373" i="22"/>
  <c r="P372" i="22"/>
  <c r="O372" i="22"/>
  <c r="P371" i="22"/>
  <c r="O371" i="22"/>
  <c r="P370" i="22"/>
  <c r="O370" i="22"/>
  <c r="P369" i="22"/>
  <c r="O369" i="22"/>
  <c r="P368" i="22"/>
  <c r="O368" i="22"/>
  <c r="P367" i="22"/>
  <c r="O367" i="22"/>
  <c r="P366" i="22"/>
  <c r="O366" i="22"/>
  <c r="P365" i="22"/>
  <c r="O365" i="22"/>
  <c r="P364" i="22"/>
  <c r="O364" i="22"/>
  <c r="P363" i="22"/>
  <c r="O363" i="22"/>
  <c r="P362" i="22"/>
  <c r="O362" i="22"/>
  <c r="P361" i="22"/>
  <c r="O361" i="22"/>
  <c r="P360" i="22"/>
  <c r="O360" i="22"/>
  <c r="P358" i="22"/>
  <c r="O358" i="22"/>
  <c r="P356" i="22"/>
  <c r="O356" i="22"/>
  <c r="P355" i="22"/>
  <c r="O355" i="22"/>
  <c r="P354" i="22"/>
  <c r="O354" i="22"/>
  <c r="P353" i="22"/>
  <c r="O353" i="22"/>
  <c r="P352" i="22"/>
  <c r="O352" i="22"/>
  <c r="P351" i="22"/>
  <c r="O351" i="22"/>
  <c r="P350" i="22"/>
  <c r="O350" i="22"/>
  <c r="P349" i="22"/>
  <c r="O349" i="22"/>
  <c r="P348" i="22"/>
  <c r="O348" i="22"/>
  <c r="P345" i="22"/>
  <c r="O345" i="22"/>
  <c r="P344" i="22"/>
  <c r="O344" i="22"/>
  <c r="P343" i="22"/>
  <c r="O343" i="22"/>
  <c r="P342" i="22"/>
  <c r="O342" i="22"/>
  <c r="P341" i="22"/>
  <c r="O341" i="22"/>
  <c r="P340" i="22"/>
  <c r="O340" i="22"/>
  <c r="P339" i="22"/>
  <c r="O339" i="22"/>
  <c r="P338" i="22"/>
  <c r="O338" i="22"/>
  <c r="P337" i="22"/>
  <c r="O337" i="22"/>
  <c r="P336" i="22"/>
  <c r="O336" i="22"/>
  <c r="P335" i="22"/>
  <c r="O335" i="22"/>
  <c r="P334" i="22"/>
  <c r="O334" i="22"/>
  <c r="P333" i="22"/>
  <c r="O333" i="22"/>
  <c r="P332" i="22"/>
  <c r="O332" i="22"/>
  <c r="P331" i="22"/>
  <c r="O331" i="22"/>
  <c r="P330" i="22"/>
  <c r="O330" i="22"/>
  <c r="P329" i="22"/>
  <c r="O329" i="22"/>
  <c r="P328" i="22"/>
  <c r="O328" i="22"/>
  <c r="P327" i="22"/>
  <c r="O327" i="22"/>
  <c r="P326" i="22"/>
  <c r="O326" i="22"/>
  <c r="P325" i="22"/>
  <c r="O325" i="22"/>
  <c r="P324" i="22"/>
  <c r="O324" i="22"/>
  <c r="P323" i="22"/>
  <c r="O323" i="22"/>
  <c r="P322" i="22"/>
  <c r="O322" i="22"/>
  <c r="P321" i="22"/>
  <c r="O321" i="22"/>
  <c r="P320" i="22"/>
  <c r="O320" i="22"/>
  <c r="P319" i="22"/>
  <c r="O319" i="22"/>
  <c r="P318" i="22"/>
  <c r="O318" i="22"/>
  <c r="P317" i="22"/>
  <c r="O317" i="22"/>
  <c r="P316" i="22"/>
  <c r="O316" i="22"/>
  <c r="P315" i="22"/>
  <c r="O315" i="22"/>
  <c r="P314" i="22"/>
  <c r="O314" i="22"/>
  <c r="P313" i="22"/>
  <c r="O313" i="22"/>
  <c r="P312" i="22"/>
  <c r="O312" i="22"/>
  <c r="P311" i="22"/>
  <c r="O311" i="22"/>
  <c r="P310" i="22"/>
  <c r="O310" i="22"/>
  <c r="P309" i="22"/>
  <c r="O309" i="22"/>
  <c r="P308" i="22"/>
  <c r="O308" i="22"/>
  <c r="P307" i="22"/>
  <c r="O307" i="22"/>
  <c r="P306" i="22"/>
  <c r="O306" i="22"/>
  <c r="P305" i="22"/>
  <c r="O305" i="22"/>
  <c r="P304" i="22"/>
  <c r="O304" i="22"/>
  <c r="P303" i="22"/>
  <c r="O303" i="22"/>
  <c r="P302" i="22"/>
  <c r="O302" i="22"/>
  <c r="P301" i="22"/>
  <c r="O301" i="22"/>
  <c r="P300" i="22"/>
  <c r="O300" i="22"/>
  <c r="P299" i="22"/>
  <c r="O299" i="22"/>
  <c r="P298" i="22"/>
  <c r="O298" i="22"/>
  <c r="P295" i="22"/>
  <c r="O295" i="22"/>
  <c r="P294" i="22"/>
  <c r="O294" i="22"/>
  <c r="P293" i="22"/>
  <c r="O293" i="22"/>
  <c r="P292" i="22"/>
  <c r="O292" i="22"/>
  <c r="P291" i="22"/>
  <c r="O291" i="22"/>
  <c r="P290" i="22"/>
  <c r="O290" i="22"/>
  <c r="P289" i="22"/>
  <c r="O289" i="22"/>
  <c r="P288" i="22"/>
  <c r="O288" i="22"/>
  <c r="P287" i="22"/>
  <c r="O287" i="22"/>
  <c r="P286" i="22"/>
  <c r="O286" i="22"/>
  <c r="P285" i="22"/>
  <c r="O285" i="22"/>
  <c r="P284" i="22"/>
  <c r="O284" i="22"/>
  <c r="P283" i="22"/>
  <c r="O283" i="22"/>
  <c r="P282" i="22"/>
  <c r="O282" i="22"/>
  <c r="P281" i="22"/>
  <c r="O281" i="22"/>
  <c r="P280" i="22"/>
  <c r="O280" i="22"/>
  <c r="P279" i="22"/>
  <c r="O279" i="22"/>
  <c r="P278" i="22"/>
  <c r="O278" i="22"/>
  <c r="P277" i="22"/>
  <c r="O277" i="22"/>
  <c r="P276" i="22"/>
  <c r="O276" i="22"/>
  <c r="P275" i="22"/>
  <c r="O275" i="22"/>
  <c r="P274" i="22"/>
  <c r="O274" i="22"/>
  <c r="P273" i="22"/>
  <c r="O273" i="22"/>
  <c r="P272" i="22"/>
  <c r="O272" i="22"/>
  <c r="P271" i="22"/>
  <c r="O271" i="22"/>
  <c r="P270" i="22"/>
  <c r="O270" i="22"/>
  <c r="P269" i="22"/>
  <c r="O269" i="22"/>
  <c r="P268" i="22"/>
  <c r="O268" i="22"/>
  <c r="P267" i="22"/>
  <c r="O267" i="22"/>
  <c r="P266" i="22"/>
  <c r="O266" i="22"/>
  <c r="P265" i="22"/>
  <c r="O265" i="22"/>
  <c r="P264" i="22"/>
  <c r="O264" i="22"/>
  <c r="P263" i="22"/>
  <c r="O263" i="22"/>
  <c r="P262" i="22"/>
  <c r="O262" i="22"/>
  <c r="P261" i="22"/>
  <c r="O261" i="22"/>
  <c r="P260" i="22"/>
  <c r="O260" i="22"/>
  <c r="P259" i="22"/>
  <c r="O259" i="22"/>
  <c r="P258" i="22"/>
  <c r="O258" i="22"/>
  <c r="P257" i="22"/>
  <c r="O257" i="22"/>
  <c r="P256" i="22"/>
  <c r="O256" i="22"/>
  <c r="P255" i="22"/>
  <c r="O255" i="22"/>
  <c r="P254" i="22"/>
  <c r="O254" i="22"/>
  <c r="P253" i="22"/>
  <c r="O253" i="22"/>
  <c r="P252" i="22"/>
  <c r="O252" i="22"/>
  <c r="P251" i="22"/>
  <c r="O251" i="22"/>
  <c r="P248" i="22"/>
  <c r="O248" i="22"/>
  <c r="P247" i="22"/>
  <c r="O247" i="22"/>
  <c r="P246" i="22"/>
  <c r="O246" i="22"/>
  <c r="P245" i="22"/>
  <c r="O245" i="22"/>
  <c r="P244" i="22"/>
  <c r="O244" i="22"/>
  <c r="P243" i="22"/>
  <c r="O243" i="22"/>
  <c r="P241" i="22"/>
  <c r="O241" i="22"/>
  <c r="P240" i="22"/>
  <c r="O240" i="22"/>
  <c r="P239" i="22"/>
  <c r="O239" i="22"/>
  <c r="P238" i="22"/>
  <c r="O238" i="22"/>
  <c r="P237" i="22"/>
  <c r="O237" i="22"/>
  <c r="P236" i="22"/>
  <c r="O236" i="22"/>
  <c r="P235" i="22"/>
  <c r="O235" i="22"/>
  <c r="P234" i="22"/>
  <c r="O234" i="22"/>
  <c r="P233" i="22"/>
  <c r="O233" i="22"/>
  <c r="P232" i="22"/>
  <c r="O232" i="22"/>
  <c r="P231" i="22"/>
  <c r="O231" i="22"/>
  <c r="P230" i="22"/>
  <c r="O230" i="22"/>
  <c r="P229" i="22"/>
  <c r="O229" i="22"/>
  <c r="P228" i="22"/>
  <c r="O228" i="22"/>
  <c r="P227" i="22"/>
  <c r="O227" i="22"/>
  <c r="P226" i="22"/>
  <c r="O226" i="22"/>
  <c r="P225" i="22"/>
  <c r="O225" i="22"/>
  <c r="P224" i="22"/>
  <c r="O224" i="22"/>
  <c r="P223" i="22"/>
  <c r="O223" i="22"/>
  <c r="P222" i="22"/>
  <c r="O222" i="22"/>
  <c r="P221" i="22"/>
  <c r="O221" i="22"/>
  <c r="P220" i="22"/>
  <c r="O220" i="22"/>
  <c r="P219" i="22"/>
  <c r="O219" i="22"/>
  <c r="P218" i="22"/>
  <c r="O218" i="22"/>
  <c r="P217" i="22"/>
  <c r="O217" i="22"/>
  <c r="P216" i="22"/>
  <c r="O216" i="22"/>
  <c r="P215" i="22"/>
  <c r="O215" i="22"/>
  <c r="P214" i="22"/>
  <c r="O214" i="22"/>
  <c r="P213" i="22"/>
  <c r="O213" i="22"/>
  <c r="P212" i="22"/>
  <c r="O212" i="22"/>
  <c r="P211" i="22"/>
  <c r="O211" i="22"/>
  <c r="P210" i="22"/>
  <c r="O210" i="22"/>
  <c r="P209" i="22"/>
  <c r="O209" i="22"/>
  <c r="P208" i="22"/>
  <c r="O208" i="22"/>
  <c r="P207" i="22"/>
  <c r="O207" i="22"/>
  <c r="P206" i="22"/>
  <c r="O206" i="22"/>
  <c r="P205" i="22"/>
  <c r="O205" i="22"/>
  <c r="P204" i="22"/>
  <c r="O204" i="22"/>
  <c r="P203" i="22"/>
  <c r="O203" i="22"/>
  <c r="P202" i="22"/>
  <c r="O202" i="22"/>
  <c r="P201" i="22"/>
  <c r="O201" i="22"/>
  <c r="P200" i="22"/>
  <c r="O200" i="22"/>
  <c r="P199" i="22"/>
  <c r="O199" i="22"/>
  <c r="P198" i="22"/>
  <c r="O198" i="22"/>
  <c r="P197" i="22"/>
  <c r="O197" i="22"/>
  <c r="P196" i="22"/>
  <c r="O196" i="22"/>
  <c r="P195" i="22"/>
  <c r="O195" i="22"/>
  <c r="P194" i="22"/>
  <c r="O194" i="22"/>
  <c r="P191" i="22"/>
  <c r="O191" i="22"/>
  <c r="P190" i="22"/>
  <c r="O190" i="22"/>
  <c r="P189" i="22"/>
  <c r="O189" i="22"/>
  <c r="P188" i="22"/>
  <c r="O188" i="22"/>
  <c r="P187" i="22"/>
  <c r="O187" i="22"/>
  <c r="P186" i="22"/>
  <c r="O186" i="22"/>
  <c r="P185" i="22"/>
  <c r="O185" i="22"/>
  <c r="P184" i="22"/>
  <c r="O184" i="22"/>
  <c r="P183" i="22"/>
  <c r="O183" i="22"/>
  <c r="P182" i="22"/>
  <c r="O182" i="22"/>
  <c r="P181" i="22"/>
  <c r="O181" i="22"/>
  <c r="P180" i="22"/>
  <c r="O180" i="22"/>
  <c r="P179" i="22"/>
  <c r="O179" i="22"/>
  <c r="P178" i="22"/>
  <c r="O178" i="22"/>
  <c r="P177" i="22"/>
  <c r="O177" i="22"/>
  <c r="P176" i="22"/>
  <c r="O176" i="22"/>
  <c r="P175" i="22"/>
  <c r="O175" i="22"/>
  <c r="P174" i="22"/>
  <c r="O174" i="22"/>
  <c r="P173" i="22"/>
  <c r="O173" i="22"/>
  <c r="P172" i="22"/>
  <c r="O172" i="22"/>
  <c r="P171" i="22"/>
  <c r="O171" i="22"/>
  <c r="P170" i="22"/>
  <c r="O170" i="22"/>
  <c r="P169" i="22"/>
  <c r="O169" i="22"/>
  <c r="P168" i="22"/>
  <c r="O168" i="22"/>
  <c r="P167" i="22"/>
  <c r="O167" i="22"/>
  <c r="P164" i="22"/>
  <c r="O164" i="22"/>
  <c r="P163" i="22"/>
  <c r="O163" i="22"/>
  <c r="P162" i="22"/>
  <c r="O162" i="22"/>
  <c r="P161" i="22"/>
  <c r="O161" i="22"/>
  <c r="P160" i="22"/>
  <c r="O160" i="22"/>
  <c r="P159" i="22"/>
  <c r="O159" i="22"/>
  <c r="P158" i="22"/>
  <c r="O158" i="22"/>
  <c r="P155" i="22"/>
  <c r="O155" i="22"/>
  <c r="P154" i="22"/>
  <c r="O154" i="22"/>
  <c r="P153" i="22"/>
  <c r="O153" i="22"/>
  <c r="P152" i="22"/>
  <c r="O152" i="22"/>
  <c r="P151" i="22"/>
  <c r="O151" i="22"/>
  <c r="P150" i="22"/>
  <c r="O150" i="22"/>
  <c r="P149" i="22"/>
  <c r="O149" i="22"/>
  <c r="P148" i="22"/>
  <c r="O148" i="22"/>
  <c r="P147" i="22"/>
  <c r="O147" i="22"/>
  <c r="P146" i="22"/>
  <c r="O146" i="22"/>
  <c r="P145" i="22"/>
  <c r="O145" i="22"/>
  <c r="P144" i="22"/>
  <c r="O144" i="22"/>
  <c r="P143" i="22"/>
  <c r="O143" i="22"/>
  <c r="P142" i="22"/>
  <c r="O142" i="22"/>
  <c r="P141" i="22"/>
  <c r="O141" i="22"/>
  <c r="P140" i="22"/>
  <c r="O140" i="22"/>
  <c r="P139" i="22"/>
  <c r="O139" i="22"/>
  <c r="P138" i="22"/>
  <c r="O138" i="22"/>
  <c r="P137" i="22"/>
  <c r="O137" i="22"/>
  <c r="P136" i="22"/>
  <c r="O136" i="22"/>
  <c r="P135" i="22"/>
  <c r="O135" i="22"/>
  <c r="P134" i="22"/>
  <c r="O134" i="22"/>
  <c r="P133" i="22"/>
  <c r="O133" i="22"/>
  <c r="P132" i="22"/>
  <c r="O132" i="22"/>
  <c r="P131" i="22"/>
  <c r="O131" i="22"/>
  <c r="P130" i="22"/>
  <c r="O130" i="22"/>
  <c r="P129" i="22"/>
  <c r="O129" i="22"/>
  <c r="P128" i="22"/>
  <c r="O128" i="22"/>
  <c r="P127" i="22"/>
  <c r="O127" i="22"/>
  <c r="P126" i="22"/>
  <c r="O126" i="22"/>
  <c r="P125" i="22"/>
  <c r="O125" i="22"/>
  <c r="P124" i="22"/>
  <c r="O124" i="22"/>
  <c r="P123" i="22"/>
  <c r="O123" i="22"/>
  <c r="P122" i="22"/>
  <c r="O122" i="22"/>
  <c r="P121" i="22"/>
  <c r="O121" i="22"/>
  <c r="P120" i="22"/>
  <c r="O120" i="22"/>
  <c r="P119" i="22"/>
  <c r="O119" i="22"/>
  <c r="P118" i="22"/>
  <c r="O118" i="22"/>
  <c r="P115" i="22"/>
  <c r="O115" i="22"/>
  <c r="P114" i="22"/>
  <c r="O114" i="22"/>
  <c r="P113" i="22"/>
  <c r="O113" i="22"/>
  <c r="P112" i="22"/>
  <c r="O112" i="22"/>
  <c r="P111" i="22"/>
  <c r="O111" i="22"/>
  <c r="P110" i="22"/>
  <c r="O110" i="22"/>
  <c r="P109" i="22"/>
  <c r="O109" i="22"/>
  <c r="P108" i="22"/>
  <c r="O108" i="22"/>
  <c r="P107" i="22"/>
  <c r="O107" i="22"/>
  <c r="P106" i="22"/>
  <c r="O106" i="22"/>
  <c r="P105" i="22"/>
  <c r="O105" i="22"/>
  <c r="P104" i="22"/>
  <c r="O104" i="22"/>
  <c r="P101" i="22"/>
  <c r="O101" i="22"/>
  <c r="P100" i="22"/>
  <c r="O100" i="22"/>
  <c r="P99" i="22"/>
  <c r="O99" i="22"/>
  <c r="P98" i="22"/>
  <c r="O98" i="22"/>
  <c r="P97" i="22"/>
  <c r="O97" i="22"/>
  <c r="P96" i="22"/>
  <c r="O96" i="22"/>
  <c r="P95" i="22"/>
  <c r="O95" i="22"/>
  <c r="P94" i="22"/>
  <c r="O94" i="22"/>
  <c r="P93" i="22"/>
  <c r="O93" i="22"/>
  <c r="P92" i="22"/>
  <c r="O92" i="22"/>
  <c r="P90" i="22"/>
  <c r="O90" i="22"/>
  <c r="P89" i="22"/>
  <c r="O89" i="22"/>
  <c r="P88" i="22"/>
  <c r="O88" i="22"/>
  <c r="P87" i="22"/>
  <c r="O87" i="22"/>
  <c r="P86" i="22"/>
  <c r="O86" i="22"/>
  <c r="P85" i="22"/>
  <c r="O85" i="22"/>
  <c r="P84" i="22"/>
  <c r="O84" i="22"/>
  <c r="P83" i="22"/>
  <c r="O83" i="22"/>
  <c r="P82" i="22"/>
  <c r="O82" i="22"/>
  <c r="P81" i="22"/>
  <c r="O81" i="22"/>
  <c r="P80" i="22"/>
  <c r="O80" i="22"/>
  <c r="P79" i="22"/>
  <c r="O79" i="22"/>
  <c r="P78" i="22"/>
  <c r="O78" i="22"/>
  <c r="P77" i="22"/>
  <c r="O77" i="22"/>
  <c r="P76" i="22"/>
  <c r="O76" i="22"/>
  <c r="P75" i="22"/>
  <c r="O75" i="22"/>
  <c r="P74" i="22"/>
  <c r="O74" i="22"/>
  <c r="P73" i="22"/>
  <c r="O73" i="22"/>
  <c r="P72" i="22"/>
  <c r="O72" i="22"/>
  <c r="P71" i="22"/>
  <c r="O71" i="22"/>
  <c r="P70" i="22"/>
  <c r="O70" i="22"/>
  <c r="P69" i="22"/>
  <c r="O69" i="22"/>
  <c r="P68" i="22"/>
  <c r="O68" i="22"/>
  <c r="P67" i="22"/>
  <c r="O67" i="22"/>
  <c r="P66" i="22"/>
  <c r="O66" i="22"/>
  <c r="P65" i="22"/>
  <c r="O65" i="22"/>
  <c r="P62" i="22"/>
  <c r="O62" i="22"/>
  <c r="P61" i="22"/>
  <c r="O61" i="22"/>
  <c r="P60" i="22"/>
  <c r="O60" i="22"/>
  <c r="P59" i="22"/>
  <c r="O59" i="22"/>
  <c r="P58" i="22"/>
  <c r="O58" i="22"/>
  <c r="P57" i="22"/>
  <c r="O57" i="22"/>
  <c r="P56" i="22"/>
  <c r="O56" i="22"/>
  <c r="P55" i="22"/>
  <c r="O55" i="22"/>
  <c r="P54" i="22"/>
  <c r="O54" i="22"/>
  <c r="P53" i="22"/>
  <c r="O53" i="22"/>
  <c r="P52" i="22"/>
  <c r="O52" i="22"/>
  <c r="P51" i="22"/>
  <c r="O51" i="22"/>
  <c r="P50" i="22"/>
  <c r="O50" i="22"/>
  <c r="P49" i="22"/>
  <c r="O49" i="22"/>
  <c r="P48" i="22"/>
  <c r="O48" i="22"/>
  <c r="P47" i="22"/>
  <c r="O47" i="22"/>
  <c r="P46" i="22"/>
  <c r="O46" i="22"/>
  <c r="P45" i="22"/>
  <c r="O45" i="22"/>
  <c r="P44" i="22"/>
  <c r="O44" i="22"/>
  <c r="P43" i="22"/>
  <c r="O43" i="22"/>
  <c r="P42" i="22"/>
  <c r="O42" i="22"/>
  <c r="P41" i="22"/>
  <c r="O41" i="22"/>
  <c r="P40" i="22"/>
  <c r="O40" i="22"/>
  <c r="P39" i="22"/>
  <c r="O39" i="22"/>
  <c r="P38" i="22"/>
  <c r="O38" i="22"/>
  <c r="P37" i="22"/>
  <c r="O37" i="22"/>
  <c r="P36" i="22"/>
  <c r="O36" i="22"/>
  <c r="P35" i="22"/>
  <c r="O35" i="22"/>
  <c r="P34" i="22"/>
  <c r="O34" i="22"/>
  <c r="P31" i="22"/>
  <c r="O31" i="22"/>
  <c r="P30" i="22"/>
  <c r="O30" i="22"/>
  <c r="P29" i="22"/>
  <c r="O29" i="22"/>
  <c r="P28" i="22"/>
  <c r="O28" i="22"/>
  <c r="P27" i="22"/>
  <c r="O27" i="22"/>
  <c r="P26" i="22"/>
  <c r="O26" i="22"/>
  <c r="P23" i="22"/>
  <c r="O23" i="22"/>
  <c r="P22" i="22"/>
  <c r="O22" i="22"/>
  <c r="P21" i="22"/>
  <c r="O21" i="22"/>
  <c r="P20" i="22"/>
  <c r="O20" i="22"/>
  <c r="P19" i="22"/>
  <c r="O19" i="22"/>
  <c r="P18" i="22"/>
  <c r="O18" i="22"/>
  <c r="P17" i="22"/>
  <c r="O17" i="22"/>
  <c r="P16" i="22"/>
  <c r="O16" i="22"/>
  <c r="P15" i="22"/>
  <c r="O15" i="22"/>
  <c r="P14" i="22"/>
  <c r="O14" i="22"/>
  <c r="P13" i="22"/>
  <c r="O13" i="22"/>
  <c r="P12" i="22"/>
  <c r="O12" i="22"/>
  <c r="P11" i="22"/>
  <c r="O11" i="22"/>
  <c r="P10" i="22"/>
  <c r="O10" i="22"/>
  <c r="P9" i="22"/>
  <c r="O9" i="22"/>
  <c r="P8" i="22"/>
  <c r="O8" i="22"/>
  <c r="P7" i="22"/>
  <c r="O7" i="22"/>
  <c r="P6" i="22"/>
  <c r="O6" i="22"/>
  <c r="P5" i="22"/>
  <c r="O5" i="22"/>
  <c r="P4" i="22"/>
  <c r="O4" i="22"/>
  <c r="F35" i="22"/>
  <c r="G35" i="22" s="1"/>
  <c r="F36" i="22"/>
  <c r="H36" i="22" s="1"/>
  <c r="J36" i="22" s="1"/>
  <c r="F37" i="22"/>
  <c r="H37" i="22" s="1"/>
  <c r="J37" i="22" s="1"/>
  <c r="F38" i="22"/>
  <c r="F39" i="22"/>
  <c r="H39" i="22" s="1"/>
  <c r="J39" i="22" s="1"/>
  <c r="L39" i="22" s="1"/>
  <c r="F40" i="22"/>
  <c r="H40" i="22" s="1"/>
  <c r="J40" i="22" s="1"/>
  <c r="F43" i="22"/>
  <c r="G43" i="22" s="1"/>
  <c r="F44" i="22"/>
  <c r="F45" i="22"/>
  <c r="G45" i="22" s="1"/>
  <c r="F46" i="22"/>
  <c r="H46" i="22" s="1"/>
  <c r="J46" i="22" s="1"/>
  <c r="F47" i="22"/>
  <c r="H47" i="22" s="1"/>
  <c r="J47" i="22" s="1"/>
  <c r="F48" i="22"/>
  <c r="G48" i="22" s="1"/>
  <c r="F51" i="22"/>
  <c r="F52" i="22"/>
  <c r="F53" i="22"/>
  <c r="G53" i="22" s="1"/>
  <c r="F55" i="22"/>
  <c r="G55" i="22" s="1"/>
  <c r="F56" i="22"/>
  <c r="H56" i="22" s="1"/>
  <c r="J56" i="22" s="1"/>
  <c r="F57" i="22"/>
  <c r="H57" i="22" s="1"/>
  <c r="J57" i="22" s="1"/>
  <c r="K57" i="22" s="1"/>
  <c r="F58" i="22"/>
  <c r="G58" i="22" s="1"/>
  <c r="F60" i="22"/>
  <c r="H60" i="22" s="1"/>
  <c r="J60" i="22" s="1"/>
  <c r="F61" i="22"/>
  <c r="H61" i="22" s="1"/>
  <c r="J61" i="22" s="1"/>
  <c r="F62" i="22"/>
  <c r="H425" i="22"/>
  <c r="G425" i="22"/>
  <c r="H424" i="22"/>
  <c r="G424" i="22"/>
  <c r="H423" i="22"/>
  <c r="G423" i="22"/>
  <c r="H422" i="22"/>
  <c r="G422" i="22"/>
  <c r="H421" i="22"/>
  <c r="G421" i="22"/>
  <c r="H420" i="22"/>
  <c r="G420" i="22"/>
  <c r="H419" i="22"/>
  <c r="G419" i="22"/>
  <c r="H418" i="22"/>
  <c r="D14" i="3" s="1"/>
  <c r="G418" i="22"/>
  <c r="H417" i="22"/>
  <c r="D13" i="3" s="1"/>
  <c r="G417" i="22"/>
  <c r="H416" i="22"/>
  <c r="G416" i="22"/>
  <c r="H413" i="22"/>
  <c r="J413" i="22" s="1"/>
  <c r="G413" i="22"/>
  <c r="H412" i="22"/>
  <c r="J412" i="22" s="1"/>
  <c r="G412" i="22"/>
  <c r="H411" i="22"/>
  <c r="J411" i="22" s="1"/>
  <c r="G411" i="22"/>
  <c r="H410" i="22"/>
  <c r="J410" i="22" s="1"/>
  <c r="L410" i="22" s="1"/>
  <c r="G410" i="22"/>
  <c r="H409" i="22"/>
  <c r="J409" i="22" s="1"/>
  <c r="G409" i="22"/>
  <c r="H408" i="22"/>
  <c r="J408" i="22" s="1"/>
  <c r="K408" i="22" s="1"/>
  <c r="G408" i="22"/>
  <c r="H407" i="22"/>
  <c r="J407" i="22" s="1"/>
  <c r="L407" i="22" s="1"/>
  <c r="G407" i="22"/>
  <c r="H406" i="22"/>
  <c r="J406" i="22" s="1"/>
  <c r="L406" i="22" s="1"/>
  <c r="G406" i="22"/>
  <c r="H405" i="22"/>
  <c r="J405" i="22" s="1"/>
  <c r="G405" i="22"/>
  <c r="H404" i="22"/>
  <c r="J404" i="22" s="1"/>
  <c r="K404" i="22" s="1"/>
  <c r="G404" i="22"/>
  <c r="H403" i="22"/>
  <c r="J403" i="22" s="1"/>
  <c r="K403" i="22" s="1"/>
  <c r="G403" i="22"/>
  <c r="H402" i="22"/>
  <c r="J402" i="22" s="1"/>
  <c r="L402" i="22" s="1"/>
  <c r="G402" i="22"/>
  <c r="H401" i="22"/>
  <c r="J401" i="22" s="1"/>
  <c r="G401" i="22"/>
  <c r="H400" i="22"/>
  <c r="J400" i="22" s="1"/>
  <c r="G400" i="22"/>
  <c r="H399" i="22"/>
  <c r="J399" i="22" s="1"/>
  <c r="L399" i="22" s="1"/>
  <c r="G399" i="22"/>
  <c r="H398" i="22"/>
  <c r="J398" i="22" s="1"/>
  <c r="L398" i="22" s="1"/>
  <c r="G398" i="22"/>
  <c r="H397" i="22"/>
  <c r="J397" i="22" s="1"/>
  <c r="G397" i="22"/>
  <c r="H396" i="22"/>
  <c r="J396" i="22" s="1"/>
  <c r="G396" i="22"/>
  <c r="H394" i="22"/>
  <c r="J394" i="22" s="1"/>
  <c r="L394" i="22" s="1"/>
  <c r="G394" i="22"/>
  <c r="H393" i="22"/>
  <c r="J393" i="22" s="1"/>
  <c r="G393" i="22"/>
  <c r="H392" i="22"/>
  <c r="J392" i="22" s="1"/>
  <c r="L392" i="22" s="1"/>
  <c r="G392" i="22"/>
  <c r="H391" i="22"/>
  <c r="J391" i="22" s="1"/>
  <c r="K391" i="22" s="1"/>
  <c r="G391" i="22"/>
  <c r="H390" i="22"/>
  <c r="J390" i="22" s="1"/>
  <c r="L390" i="22" s="1"/>
  <c r="G390" i="22"/>
  <c r="H389" i="22"/>
  <c r="J389" i="22" s="1"/>
  <c r="L389" i="22" s="1"/>
  <c r="G389" i="22"/>
  <c r="H388" i="22"/>
  <c r="J388" i="22" s="1"/>
  <c r="G388" i="22"/>
  <c r="H387" i="22"/>
  <c r="J387" i="22" s="1"/>
  <c r="G387" i="22"/>
  <c r="H386" i="22"/>
  <c r="J386" i="22" s="1"/>
  <c r="L386" i="22" s="1"/>
  <c r="G386" i="22"/>
  <c r="H385" i="22"/>
  <c r="J385" i="22" s="1"/>
  <c r="L385" i="22" s="1"/>
  <c r="G385" i="22"/>
  <c r="H384" i="22"/>
  <c r="J384" i="22" s="1"/>
  <c r="G384" i="22"/>
  <c r="H383" i="22"/>
  <c r="J383" i="22" s="1"/>
  <c r="K383" i="22" s="1"/>
  <c r="G383" i="22"/>
  <c r="H382" i="22"/>
  <c r="J382" i="22" s="1"/>
  <c r="G382" i="22"/>
  <c r="H381" i="22"/>
  <c r="J381" i="22" s="1"/>
  <c r="G381" i="22"/>
  <c r="H380" i="22"/>
  <c r="J380" i="22" s="1"/>
  <c r="G380" i="22"/>
  <c r="H379" i="22"/>
  <c r="J379" i="22" s="1"/>
  <c r="K379" i="22" s="1"/>
  <c r="G379" i="22"/>
  <c r="H378" i="22"/>
  <c r="J378" i="22" s="1"/>
  <c r="L378" i="22" s="1"/>
  <c r="G378" i="22"/>
  <c r="H377" i="22"/>
  <c r="J377" i="22" s="1"/>
  <c r="L377" i="22" s="1"/>
  <c r="G377" i="22"/>
  <c r="H376" i="22"/>
  <c r="J376" i="22" s="1"/>
  <c r="G376" i="22"/>
  <c r="H375" i="22"/>
  <c r="J375" i="22" s="1"/>
  <c r="G375" i="22"/>
  <c r="H374" i="22"/>
  <c r="J374" i="22" s="1"/>
  <c r="L374" i="22" s="1"/>
  <c r="G374" i="22"/>
  <c r="H373" i="22"/>
  <c r="J373" i="22" s="1"/>
  <c r="L373" i="22" s="1"/>
  <c r="G373" i="22"/>
  <c r="H372" i="22"/>
  <c r="J372" i="22" s="1"/>
  <c r="G372" i="22"/>
  <c r="H371" i="22"/>
  <c r="J371" i="22" s="1"/>
  <c r="G371" i="22"/>
  <c r="H370" i="22"/>
  <c r="J370" i="22" s="1"/>
  <c r="L370" i="22" s="1"/>
  <c r="G370" i="22"/>
  <c r="H369" i="22"/>
  <c r="J369" i="22" s="1"/>
  <c r="G369" i="22"/>
  <c r="H368" i="22"/>
  <c r="J368" i="22" s="1"/>
  <c r="L368" i="22" s="1"/>
  <c r="G368" i="22"/>
  <c r="H367" i="22"/>
  <c r="J367" i="22" s="1"/>
  <c r="K367" i="22" s="1"/>
  <c r="G367" i="22"/>
  <c r="H366" i="22"/>
  <c r="J366" i="22" s="1"/>
  <c r="K366" i="22" s="1"/>
  <c r="G366" i="22"/>
  <c r="H365" i="22"/>
  <c r="J365" i="22" s="1"/>
  <c r="L365" i="22" s="1"/>
  <c r="G365" i="22"/>
  <c r="H364" i="22"/>
  <c r="J364" i="22" s="1"/>
  <c r="G364" i="22"/>
  <c r="H363" i="22"/>
  <c r="J363" i="22" s="1"/>
  <c r="G363" i="22"/>
  <c r="H362" i="22"/>
  <c r="J362" i="22" s="1"/>
  <c r="L362" i="22" s="1"/>
  <c r="G362" i="22"/>
  <c r="H361" i="22"/>
  <c r="J361" i="22" s="1"/>
  <c r="G361" i="22"/>
  <c r="H360" i="22"/>
  <c r="J360" i="22" s="1"/>
  <c r="G360" i="22"/>
  <c r="H358" i="22"/>
  <c r="J358" i="22" s="1"/>
  <c r="K358" i="22" s="1"/>
  <c r="G358" i="22"/>
  <c r="H356" i="22"/>
  <c r="J356" i="22" s="1"/>
  <c r="G356" i="22"/>
  <c r="H355" i="22"/>
  <c r="J355" i="22" s="1"/>
  <c r="G355" i="22"/>
  <c r="H354" i="22"/>
  <c r="J354" i="22" s="1"/>
  <c r="G354" i="22"/>
  <c r="H353" i="22"/>
  <c r="J353" i="22" s="1"/>
  <c r="K353" i="22" s="1"/>
  <c r="G353" i="22"/>
  <c r="H352" i="22"/>
  <c r="J352" i="22" s="1"/>
  <c r="G352" i="22"/>
  <c r="H351" i="22"/>
  <c r="J351" i="22" s="1"/>
  <c r="L351" i="22" s="1"/>
  <c r="G351" i="22"/>
  <c r="H350" i="22"/>
  <c r="J350" i="22" s="1"/>
  <c r="G350" i="22"/>
  <c r="H349" i="22"/>
  <c r="G349" i="22"/>
  <c r="J345" i="22"/>
  <c r="L345" i="22" s="1"/>
  <c r="H345" i="22"/>
  <c r="G345" i="22"/>
  <c r="H344" i="22"/>
  <c r="J344" i="22" s="1"/>
  <c r="G344" i="22"/>
  <c r="H343" i="22"/>
  <c r="J343" i="22" s="1"/>
  <c r="G343" i="22"/>
  <c r="H342" i="22"/>
  <c r="J342" i="22" s="1"/>
  <c r="L342" i="22" s="1"/>
  <c r="G342" i="22"/>
  <c r="J341" i="22"/>
  <c r="L341" i="22" s="1"/>
  <c r="H341" i="22"/>
  <c r="G341" i="22"/>
  <c r="J340" i="22"/>
  <c r="H340" i="22"/>
  <c r="G340" i="22"/>
  <c r="L339" i="22"/>
  <c r="H339" i="22"/>
  <c r="J339" i="22" s="1"/>
  <c r="K339" i="22" s="1"/>
  <c r="G339" i="22"/>
  <c r="H338" i="22"/>
  <c r="J338" i="22" s="1"/>
  <c r="L338" i="22" s="1"/>
  <c r="G338" i="22"/>
  <c r="J337" i="22"/>
  <c r="H337" i="22"/>
  <c r="G337" i="22"/>
  <c r="H336" i="22"/>
  <c r="J336" i="22" s="1"/>
  <c r="G336" i="22"/>
  <c r="H335" i="22"/>
  <c r="J335" i="22" s="1"/>
  <c r="K335" i="22" s="1"/>
  <c r="G335" i="22"/>
  <c r="H334" i="22"/>
  <c r="J334" i="22" s="1"/>
  <c r="L334" i="22" s="1"/>
  <c r="G334" i="22"/>
  <c r="J333" i="22"/>
  <c r="L333" i="22" s="1"/>
  <c r="H333" i="22"/>
  <c r="G333" i="22"/>
  <c r="H332" i="22"/>
  <c r="J332" i="22" s="1"/>
  <c r="G332" i="22"/>
  <c r="H331" i="22"/>
  <c r="J331" i="22" s="1"/>
  <c r="G331" i="22"/>
  <c r="H330" i="22"/>
  <c r="J330" i="22" s="1"/>
  <c r="L330" i="22" s="1"/>
  <c r="G330" i="22"/>
  <c r="L329" i="22"/>
  <c r="J329" i="22"/>
  <c r="K329" i="22" s="1"/>
  <c r="H329" i="22"/>
  <c r="G329" i="22"/>
  <c r="H328" i="22"/>
  <c r="J328" i="22" s="1"/>
  <c r="G328" i="22"/>
  <c r="H327" i="22"/>
  <c r="J327" i="22" s="1"/>
  <c r="K327" i="22" s="1"/>
  <c r="G327" i="22"/>
  <c r="H326" i="22"/>
  <c r="J326" i="22" s="1"/>
  <c r="L326" i="22" s="1"/>
  <c r="G326" i="22"/>
  <c r="J325" i="22"/>
  <c r="H325" i="22"/>
  <c r="G325" i="22"/>
  <c r="J324" i="22"/>
  <c r="L324" i="22" s="1"/>
  <c r="H324" i="22"/>
  <c r="G324" i="22"/>
  <c r="H323" i="22"/>
  <c r="J323" i="22" s="1"/>
  <c r="K323" i="22" s="1"/>
  <c r="G323" i="22"/>
  <c r="L322" i="22"/>
  <c r="K322" i="22"/>
  <c r="J322" i="22"/>
  <c r="H322" i="22"/>
  <c r="G322" i="22"/>
  <c r="J321" i="22"/>
  <c r="L321" i="22" s="1"/>
  <c r="H321" i="22"/>
  <c r="G321" i="22"/>
  <c r="H320" i="22"/>
  <c r="J320" i="22" s="1"/>
  <c r="G320" i="22"/>
  <c r="J319" i="22"/>
  <c r="K319" i="22" s="1"/>
  <c r="H319" i="22"/>
  <c r="G319" i="22"/>
  <c r="H318" i="22"/>
  <c r="J318" i="22" s="1"/>
  <c r="L318" i="22" s="1"/>
  <c r="G318" i="22"/>
  <c r="J317" i="22"/>
  <c r="L317" i="22" s="1"/>
  <c r="H317" i="22"/>
  <c r="G317" i="22"/>
  <c r="H316" i="22"/>
  <c r="J316" i="22" s="1"/>
  <c r="G316" i="22"/>
  <c r="H315" i="22"/>
  <c r="J315" i="22" s="1"/>
  <c r="K315" i="22" s="1"/>
  <c r="G315" i="22"/>
  <c r="H314" i="22"/>
  <c r="J314" i="22" s="1"/>
  <c r="L314" i="22" s="1"/>
  <c r="G314" i="22"/>
  <c r="J313" i="22"/>
  <c r="H313" i="22"/>
  <c r="G313" i="22"/>
  <c r="H312" i="22"/>
  <c r="J312" i="22" s="1"/>
  <c r="G312" i="22"/>
  <c r="L311" i="22"/>
  <c r="H311" i="22"/>
  <c r="J311" i="22" s="1"/>
  <c r="K311" i="22" s="1"/>
  <c r="G311" i="22"/>
  <c r="J310" i="22"/>
  <c r="L310" i="22" s="1"/>
  <c r="H310" i="22"/>
  <c r="G310" i="22"/>
  <c r="K309" i="22"/>
  <c r="J309" i="22"/>
  <c r="L309" i="22" s="1"/>
  <c r="H309" i="22"/>
  <c r="G309" i="22"/>
  <c r="H308" i="22"/>
  <c r="J308" i="22" s="1"/>
  <c r="G308" i="22"/>
  <c r="L307" i="22"/>
  <c r="H307" i="22"/>
  <c r="J307" i="22" s="1"/>
  <c r="K307" i="22" s="1"/>
  <c r="G307" i="22"/>
  <c r="H306" i="22"/>
  <c r="J306" i="22" s="1"/>
  <c r="L306" i="22" s="1"/>
  <c r="G306" i="22"/>
  <c r="L305" i="22"/>
  <c r="J305" i="22"/>
  <c r="K305" i="22" s="1"/>
  <c r="H305" i="22"/>
  <c r="G305" i="22"/>
  <c r="J304" i="22"/>
  <c r="H304" i="22"/>
  <c r="G304" i="22"/>
  <c r="H303" i="22"/>
  <c r="J303" i="22" s="1"/>
  <c r="K303" i="22" s="1"/>
  <c r="G303" i="22"/>
  <c r="H302" i="22"/>
  <c r="J302" i="22" s="1"/>
  <c r="L302" i="22" s="1"/>
  <c r="G302" i="22"/>
  <c r="J301" i="22"/>
  <c r="H301" i="22"/>
  <c r="G301" i="22"/>
  <c r="H300" i="22"/>
  <c r="J300" i="22" s="1"/>
  <c r="G300" i="22"/>
  <c r="H299" i="22"/>
  <c r="J299" i="22" s="1"/>
  <c r="K299" i="22" s="1"/>
  <c r="G299" i="22"/>
  <c r="J298" i="22"/>
  <c r="L298" i="22" s="1"/>
  <c r="H298" i="22"/>
  <c r="G298" i="22"/>
  <c r="H295" i="22"/>
  <c r="J295" i="22" s="1"/>
  <c r="L295" i="22" s="1"/>
  <c r="G295" i="22"/>
  <c r="J294" i="22"/>
  <c r="H294" i="22"/>
  <c r="G294" i="22"/>
  <c r="H293" i="22"/>
  <c r="J293" i="22" s="1"/>
  <c r="G293" i="22"/>
  <c r="H292" i="22"/>
  <c r="J292" i="22" s="1"/>
  <c r="K292" i="22" s="1"/>
  <c r="G292" i="22"/>
  <c r="L291" i="22"/>
  <c r="K291" i="22"/>
  <c r="J291" i="22"/>
  <c r="H291" i="22"/>
  <c r="G291" i="22"/>
  <c r="J290" i="22"/>
  <c r="L290" i="22" s="1"/>
  <c r="H290" i="22"/>
  <c r="G290" i="22"/>
  <c r="H289" i="22"/>
  <c r="J289" i="22" s="1"/>
  <c r="G289" i="22"/>
  <c r="J288" i="22"/>
  <c r="K288" i="22" s="1"/>
  <c r="H288" i="22"/>
  <c r="G288" i="22"/>
  <c r="H287" i="22"/>
  <c r="J287" i="22" s="1"/>
  <c r="L287" i="22" s="1"/>
  <c r="G287" i="22"/>
  <c r="H286" i="22"/>
  <c r="J286" i="22" s="1"/>
  <c r="G286" i="22"/>
  <c r="H285" i="22"/>
  <c r="J285" i="22" s="1"/>
  <c r="G285" i="22"/>
  <c r="H284" i="22"/>
  <c r="J284" i="22" s="1"/>
  <c r="K284" i="22" s="1"/>
  <c r="G284" i="22"/>
  <c r="H283" i="22"/>
  <c r="J283" i="22" s="1"/>
  <c r="K283" i="22" s="1"/>
  <c r="G283" i="22"/>
  <c r="H282" i="22"/>
  <c r="J282" i="22" s="1"/>
  <c r="G282" i="22"/>
  <c r="H281" i="22"/>
  <c r="J281" i="22" s="1"/>
  <c r="G281" i="22"/>
  <c r="H280" i="22"/>
  <c r="J280" i="22" s="1"/>
  <c r="K280" i="22" s="1"/>
  <c r="G280" i="22"/>
  <c r="H279" i="22"/>
  <c r="J279" i="22" s="1"/>
  <c r="G279" i="22"/>
  <c r="H278" i="22"/>
  <c r="J278" i="22" s="1"/>
  <c r="L278" i="22" s="1"/>
  <c r="G278" i="22"/>
  <c r="H277" i="22"/>
  <c r="J277" i="22" s="1"/>
  <c r="G277" i="22"/>
  <c r="H276" i="22"/>
  <c r="J276" i="22" s="1"/>
  <c r="G276" i="22"/>
  <c r="H275" i="22"/>
  <c r="J275" i="22" s="1"/>
  <c r="L275" i="22" s="1"/>
  <c r="G275" i="22"/>
  <c r="H274" i="22"/>
  <c r="J274" i="22" s="1"/>
  <c r="G274" i="22"/>
  <c r="H273" i="22"/>
  <c r="J273" i="22" s="1"/>
  <c r="G273" i="22"/>
  <c r="H272" i="22"/>
  <c r="J272" i="22" s="1"/>
  <c r="K272" i="22" s="1"/>
  <c r="G272" i="22"/>
  <c r="H271" i="22"/>
  <c r="J271" i="22" s="1"/>
  <c r="K271" i="22" s="1"/>
  <c r="G271" i="22"/>
  <c r="H270" i="22"/>
  <c r="J270" i="22" s="1"/>
  <c r="G270" i="22"/>
  <c r="H269" i="22"/>
  <c r="J269" i="22" s="1"/>
  <c r="L269" i="22" s="1"/>
  <c r="G269" i="22"/>
  <c r="H268" i="22"/>
  <c r="J268" i="22" s="1"/>
  <c r="K268" i="22" s="1"/>
  <c r="G268" i="22"/>
  <c r="H267" i="22"/>
  <c r="J267" i="22" s="1"/>
  <c r="L267" i="22" s="1"/>
  <c r="G267" i="22"/>
  <c r="H266" i="22"/>
  <c r="J266" i="22" s="1"/>
  <c r="L266" i="22" s="1"/>
  <c r="G266" i="22"/>
  <c r="H265" i="22"/>
  <c r="J265" i="22" s="1"/>
  <c r="G265" i="22"/>
  <c r="H264" i="22"/>
  <c r="J264" i="22" s="1"/>
  <c r="G264" i="22"/>
  <c r="H263" i="22"/>
  <c r="J263" i="22" s="1"/>
  <c r="L263" i="22" s="1"/>
  <c r="G263" i="22"/>
  <c r="J262" i="22"/>
  <c r="L262" i="22" s="1"/>
  <c r="H262" i="22"/>
  <c r="G262" i="22"/>
  <c r="H261" i="22"/>
  <c r="J261" i="22" s="1"/>
  <c r="G261" i="22"/>
  <c r="H260" i="22"/>
  <c r="J260" i="22" s="1"/>
  <c r="K260" i="22" s="1"/>
  <c r="G260" i="22"/>
  <c r="H259" i="22"/>
  <c r="J259" i="22" s="1"/>
  <c r="G259" i="22"/>
  <c r="H258" i="22"/>
  <c r="J258" i="22" s="1"/>
  <c r="G258" i="22"/>
  <c r="H257" i="22"/>
  <c r="J257" i="22" s="1"/>
  <c r="G257" i="22"/>
  <c r="H256" i="22"/>
  <c r="J256" i="22" s="1"/>
  <c r="K256" i="22" s="1"/>
  <c r="G256" i="22"/>
  <c r="H255" i="22"/>
  <c r="J255" i="22" s="1"/>
  <c r="L255" i="22" s="1"/>
  <c r="G255" i="22"/>
  <c r="J254" i="22"/>
  <c r="L254" i="22" s="1"/>
  <c r="H254" i="22"/>
  <c r="G254" i="22"/>
  <c r="H253" i="22"/>
  <c r="J253" i="22" s="1"/>
  <c r="G253" i="22"/>
  <c r="H252" i="22"/>
  <c r="G252" i="22"/>
  <c r="H251" i="22"/>
  <c r="J251" i="22" s="1"/>
  <c r="L251" i="22" s="1"/>
  <c r="G251" i="22"/>
  <c r="J248" i="22"/>
  <c r="L248" i="22" s="1"/>
  <c r="H248" i="22"/>
  <c r="G248" i="22"/>
  <c r="J247" i="22"/>
  <c r="L247" i="22" s="1"/>
  <c r="H247" i="22"/>
  <c r="G247" i="22"/>
  <c r="H246" i="22"/>
  <c r="J246" i="22" s="1"/>
  <c r="G246" i="22"/>
  <c r="H245" i="22"/>
  <c r="J245" i="22" s="1"/>
  <c r="G245" i="22"/>
  <c r="H244" i="22"/>
  <c r="J244" i="22" s="1"/>
  <c r="L244" i="22" s="1"/>
  <c r="G244" i="22"/>
  <c r="H241" i="22"/>
  <c r="J241" i="22" s="1"/>
  <c r="G241" i="22"/>
  <c r="L240" i="22"/>
  <c r="J240" i="22"/>
  <c r="K240" i="22" s="1"/>
  <c r="H240" i="22"/>
  <c r="G240" i="22"/>
  <c r="H239" i="22"/>
  <c r="J239" i="22" s="1"/>
  <c r="L239" i="22" s="1"/>
  <c r="G239" i="22"/>
  <c r="J238" i="22"/>
  <c r="L238" i="22" s="1"/>
  <c r="H238" i="22"/>
  <c r="G238" i="22"/>
  <c r="J237" i="22"/>
  <c r="H237" i="22"/>
  <c r="G237" i="22"/>
  <c r="H236" i="22"/>
  <c r="J236" i="22" s="1"/>
  <c r="G236" i="22"/>
  <c r="H235" i="22"/>
  <c r="J235" i="22" s="1"/>
  <c r="L235" i="22" s="1"/>
  <c r="G235" i="22"/>
  <c r="J234" i="22"/>
  <c r="H234" i="22"/>
  <c r="G234" i="22"/>
  <c r="H233" i="22"/>
  <c r="J233" i="22" s="1"/>
  <c r="L233" i="22" s="1"/>
  <c r="G233" i="22"/>
  <c r="H232" i="22"/>
  <c r="J232" i="22" s="1"/>
  <c r="K232" i="22" s="1"/>
  <c r="G232" i="22"/>
  <c r="H231" i="22"/>
  <c r="J231" i="22" s="1"/>
  <c r="L231" i="22" s="1"/>
  <c r="G231" i="22"/>
  <c r="J230" i="22"/>
  <c r="L230" i="22" s="1"/>
  <c r="H230" i="22"/>
  <c r="G230" i="22"/>
  <c r="H229" i="22"/>
  <c r="J229" i="22" s="1"/>
  <c r="G229" i="22"/>
  <c r="H228" i="22"/>
  <c r="J228" i="22" s="1"/>
  <c r="G228" i="22"/>
  <c r="H227" i="22"/>
  <c r="J227" i="22" s="1"/>
  <c r="L227" i="22" s="1"/>
  <c r="G227" i="22"/>
  <c r="J226" i="22"/>
  <c r="L226" i="22" s="1"/>
  <c r="H226" i="22"/>
  <c r="G226" i="22"/>
  <c r="J225" i="22"/>
  <c r="H225" i="22"/>
  <c r="G225" i="22"/>
  <c r="L224" i="22"/>
  <c r="H224" i="22"/>
  <c r="J224" i="22" s="1"/>
  <c r="K224" i="22" s="1"/>
  <c r="G224" i="22"/>
  <c r="H223" i="22"/>
  <c r="J223" i="22" s="1"/>
  <c r="G223" i="22"/>
  <c r="J222" i="22"/>
  <c r="H222" i="22"/>
  <c r="G222" i="22"/>
  <c r="H221" i="22"/>
  <c r="J221" i="22" s="1"/>
  <c r="G221" i="22"/>
  <c r="H220" i="22"/>
  <c r="J220" i="22" s="1"/>
  <c r="K220" i="22" s="1"/>
  <c r="G220" i="22"/>
  <c r="K219" i="22"/>
  <c r="H219" i="22"/>
  <c r="J219" i="22" s="1"/>
  <c r="L219" i="22" s="1"/>
  <c r="G219" i="22"/>
  <c r="J218" i="22"/>
  <c r="L218" i="22" s="1"/>
  <c r="H218" i="22"/>
  <c r="G218" i="22"/>
  <c r="H217" i="22"/>
  <c r="J217" i="22" s="1"/>
  <c r="G217" i="22"/>
  <c r="H216" i="22"/>
  <c r="J216" i="22" s="1"/>
  <c r="G216" i="22"/>
  <c r="H215" i="22"/>
  <c r="J215" i="22" s="1"/>
  <c r="L215" i="22" s="1"/>
  <c r="G215" i="22"/>
  <c r="J214" i="22"/>
  <c r="L214" i="22" s="1"/>
  <c r="H214" i="22"/>
  <c r="G214" i="22"/>
  <c r="J213" i="22"/>
  <c r="H213" i="22"/>
  <c r="G213" i="22"/>
  <c r="H212" i="22"/>
  <c r="J212" i="22" s="1"/>
  <c r="G212" i="22"/>
  <c r="H211" i="22"/>
  <c r="J211" i="22" s="1"/>
  <c r="L211" i="22" s="1"/>
  <c r="G211" i="22"/>
  <c r="J210" i="22"/>
  <c r="H210" i="22"/>
  <c r="G210" i="22"/>
  <c r="K209" i="22"/>
  <c r="H209" i="22"/>
  <c r="J209" i="22" s="1"/>
  <c r="L209" i="22" s="1"/>
  <c r="G209" i="22"/>
  <c r="H208" i="22"/>
  <c r="J208" i="22" s="1"/>
  <c r="K208" i="22" s="1"/>
  <c r="G208" i="22"/>
  <c r="L207" i="22"/>
  <c r="H207" i="22"/>
  <c r="J207" i="22" s="1"/>
  <c r="K207" i="22" s="1"/>
  <c r="G207" i="22"/>
  <c r="J206" i="22"/>
  <c r="L206" i="22" s="1"/>
  <c r="H206" i="22"/>
  <c r="G206" i="22"/>
  <c r="H205" i="22"/>
  <c r="J205" i="22" s="1"/>
  <c r="G205" i="22"/>
  <c r="H204" i="22"/>
  <c r="J204" i="22" s="1"/>
  <c r="G204" i="22"/>
  <c r="H203" i="22"/>
  <c r="J203" i="22" s="1"/>
  <c r="L203" i="22" s="1"/>
  <c r="G203" i="22"/>
  <c r="L202" i="22"/>
  <c r="K202" i="22"/>
  <c r="J202" i="22"/>
  <c r="H202" i="22"/>
  <c r="G202" i="22"/>
  <c r="H201" i="22"/>
  <c r="J201" i="22" s="1"/>
  <c r="G201" i="22"/>
  <c r="H200" i="22"/>
  <c r="J200" i="22" s="1"/>
  <c r="K200" i="22" s="1"/>
  <c r="G200" i="22"/>
  <c r="H199" i="22"/>
  <c r="J199" i="22" s="1"/>
  <c r="G199" i="22"/>
  <c r="J198" i="22"/>
  <c r="H198" i="22"/>
  <c r="G198" i="22"/>
  <c r="H197" i="22"/>
  <c r="G197" i="22"/>
  <c r="H196" i="22"/>
  <c r="J196" i="22" s="1"/>
  <c r="K196" i="22" s="1"/>
  <c r="G196" i="22"/>
  <c r="H195" i="22"/>
  <c r="J195" i="22" s="1"/>
  <c r="L195" i="22" s="1"/>
  <c r="G195" i="22"/>
  <c r="J194" i="22"/>
  <c r="L194" i="22" s="1"/>
  <c r="H194" i="22"/>
  <c r="G194" i="22"/>
  <c r="H191" i="22"/>
  <c r="J191" i="22" s="1"/>
  <c r="G191" i="22"/>
  <c r="H190" i="22"/>
  <c r="J190" i="22" s="1"/>
  <c r="L190" i="22" s="1"/>
  <c r="G190" i="22"/>
  <c r="H189" i="22"/>
  <c r="J189" i="22" s="1"/>
  <c r="K189" i="22" s="1"/>
  <c r="G189" i="22"/>
  <c r="H188" i="22"/>
  <c r="J188" i="22" s="1"/>
  <c r="L188" i="22" s="1"/>
  <c r="G188" i="22"/>
  <c r="J187" i="22"/>
  <c r="L187" i="22" s="1"/>
  <c r="H187" i="22"/>
  <c r="G187" i="22"/>
  <c r="H186" i="22"/>
  <c r="J186" i="22" s="1"/>
  <c r="G186" i="22"/>
  <c r="H185" i="22"/>
  <c r="J185" i="22" s="1"/>
  <c r="G185" i="22"/>
  <c r="H184" i="22"/>
  <c r="J184" i="22" s="1"/>
  <c r="L184" i="22" s="1"/>
  <c r="G184" i="22"/>
  <c r="L183" i="22"/>
  <c r="K183" i="22"/>
  <c r="J183" i="22"/>
  <c r="H183" i="22"/>
  <c r="G183" i="22"/>
  <c r="J182" i="22"/>
  <c r="H182" i="22"/>
  <c r="G182" i="22"/>
  <c r="H181" i="22"/>
  <c r="J181" i="22" s="1"/>
  <c r="K181" i="22" s="1"/>
  <c r="G181" i="22"/>
  <c r="H180" i="22"/>
  <c r="J180" i="22" s="1"/>
  <c r="G180" i="22"/>
  <c r="H179" i="22"/>
  <c r="J179" i="22" s="1"/>
  <c r="G179" i="22"/>
  <c r="H178" i="22"/>
  <c r="J178" i="22" s="1"/>
  <c r="G178" i="22"/>
  <c r="H177" i="22"/>
  <c r="J177" i="22" s="1"/>
  <c r="K177" i="22" s="1"/>
  <c r="G177" i="22"/>
  <c r="H176" i="22"/>
  <c r="J176" i="22" s="1"/>
  <c r="L176" i="22" s="1"/>
  <c r="G176" i="22"/>
  <c r="H175" i="22"/>
  <c r="J175" i="22" s="1"/>
  <c r="L175" i="22" s="1"/>
  <c r="G175" i="22"/>
  <c r="H174" i="22"/>
  <c r="J174" i="22" s="1"/>
  <c r="G174" i="22"/>
  <c r="H173" i="22"/>
  <c r="J173" i="22" s="1"/>
  <c r="G173" i="22"/>
  <c r="H172" i="22"/>
  <c r="J172" i="22" s="1"/>
  <c r="L172" i="22" s="1"/>
  <c r="G172" i="22"/>
  <c r="H171" i="22"/>
  <c r="J171" i="22" s="1"/>
  <c r="L171" i="22" s="1"/>
  <c r="G171" i="22"/>
  <c r="H170" i="22"/>
  <c r="J170" i="22" s="1"/>
  <c r="G170" i="22"/>
  <c r="H169" i="22"/>
  <c r="J169" i="22" s="1"/>
  <c r="G169" i="22"/>
  <c r="H168" i="22"/>
  <c r="J168" i="22" s="1"/>
  <c r="L168" i="22" s="1"/>
  <c r="G168" i="22"/>
  <c r="H167" i="22"/>
  <c r="J167" i="22" s="1"/>
  <c r="G167" i="22"/>
  <c r="H165" i="22"/>
  <c r="K164" i="22"/>
  <c r="J164" i="22"/>
  <c r="L164" i="22" s="1"/>
  <c r="H164" i="22"/>
  <c r="G164" i="22"/>
  <c r="H163" i="22"/>
  <c r="J163" i="22" s="1"/>
  <c r="G163" i="22"/>
  <c r="H162" i="22"/>
  <c r="J162" i="22" s="1"/>
  <c r="K162" i="22" s="1"/>
  <c r="G162" i="22"/>
  <c r="H161" i="22"/>
  <c r="J161" i="22" s="1"/>
  <c r="L161" i="22" s="1"/>
  <c r="G161" i="22"/>
  <c r="J160" i="22"/>
  <c r="H160" i="22"/>
  <c r="G160" i="22"/>
  <c r="J159" i="22"/>
  <c r="L159" i="22" s="1"/>
  <c r="H159" i="22"/>
  <c r="G159" i="22"/>
  <c r="L158" i="22"/>
  <c r="H158" i="22"/>
  <c r="J158" i="22" s="1"/>
  <c r="K158" i="22" s="1"/>
  <c r="G158" i="22"/>
  <c r="H155" i="22"/>
  <c r="J155" i="22" s="1"/>
  <c r="K155" i="22" s="1"/>
  <c r="G155" i="22"/>
  <c r="H154" i="22"/>
  <c r="J154" i="22" s="1"/>
  <c r="L154" i="22" s="1"/>
  <c r="G154" i="22"/>
  <c r="J153" i="22"/>
  <c r="H153" i="22"/>
  <c r="G153" i="22"/>
  <c r="H152" i="22"/>
  <c r="J152" i="22" s="1"/>
  <c r="G152" i="22"/>
  <c r="H151" i="22"/>
  <c r="J151" i="22" s="1"/>
  <c r="K151" i="22" s="1"/>
  <c r="G151" i="22"/>
  <c r="H150" i="22"/>
  <c r="J150" i="22" s="1"/>
  <c r="G150" i="22"/>
  <c r="J149" i="22"/>
  <c r="L149" i="22" s="1"/>
  <c r="H149" i="22"/>
  <c r="G149" i="22"/>
  <c r="H148" i="22"/>
  <c r="J148" i="22" s="1"/>
  <c r="G148" i="22"/>
  <c r="J147" i="22"/>
  <c r="K147" i="22" s="1"/>
  <c r="H147" i="22"/>
  <c r="G147" i="22"/>
  <c r="H146" i="22"/>
  <c r="J146" i="22" s="1"/>
  <c r="L146" i="22" s="1"/>
  <c r="G146" i="22"/>
  <c r="J145" i="22"/>
  <c r="K145" i="22" s="1"/>
  <c r="H145" i="22"/>
  <c r="G145" i="22"/>
  <c r="H144" i="22"/>
  <c r="J144" i="22" s="1"/>
  <c r="G144" i="22"/>
  <c r="H143" i="22"/>
  <c r="J143" i="22" s="1"/>
  <c r="K143" i="22" s="1"/>
  <c r="G143" i="22"/>
  <c r="H142" i="22"/>
  <c r="J142" i="22" s="1"/>
  <c r="L142" i="22" s="1"/>
  <c r="G142" i="22"/>
  <c r="J141" i="22"/>
  <c r="H141" i="22"/>
  <c r="G141" i="22"/>
  <c r="J140" i="22"/>
  <c r="L140" i="22" s="1"/>
  <c r="H140" i="22"/>
  <c r="G140" i="22"/>
  <c r="H139" i="22"/>
  <c r="J139" i="22" s="1"/>
  <c r="G139" i="22"/>
  <c r="K138" i="22"/>
  <c r="H138" i="22"/>
  <c r="J138" i="22" s="1"/>
  <c r="L138" i="22" s="1"/>
  <c r="G138" i="22"/>
  <c r="J137" i="22"/>
  <c r="H137" i="22"/>
  <c r="G137" i="22"/>
  <c r="H136" i="22"/>
  <c r="J136" i="22" s="1"/>
  <c r="G136" i="22"/>
  <c r="J135" i="22"/>
  <c r="K135" i="22" s="1"/>
  <c r="H135" i="22"/>
  <c r="G135" i="22"/>
  <c r="H134" i="22"/>
  <c r="J134" i="22" s="1"/>
  <c r="L134" i="22" s="1"/>
  <c r="G134" i="22"/>
  <c r="J133" i="22"/>
  <c r="L133" i="22" s="1"/>
  <c r="H133" i="22"/>
  <c r="G133" i="22"/>
  <c r="H132" i="22"/>
  <c r="J132" i="22" s="1"/>
  <c r="G132" i="22"/>
  <c r="H131" i="22"/>
  <c r="J131" i="22" s="1"/>
  <c r="K131" i="22" s="1"/>
  <c r="G131" i="22"/>
  <c r="H130" i="22"/>
  <c r="J130" i="22" s="1"/>
  <c r="L130" i="22" s="1"/>
  <c r="G130" i="22"/>
  <c r="J129" i="22"/>
  <c r="H129" i="22"/>
  <c r="G129" i="22"/>
  <c r="H128" i="22"/>
  <c r="J128" i="22" s="1"/>
  <c r="G128" i="22"/>
  <c r="H127" i="22"/>
  <c r="J127" i="22" s="1"/>
  <c r="K127" i="22" s="1"/>
  <c r="G127" i="22"/>
  <c r="H126" i="22"/>
  <c r="J126" i="22" s="1"/>
  <c r="L126" i="22" s="1"/>
  <c r="G126" i="22"/>
  <c r="J125" i="22"/>
  <c r="L125" i="22" s="1"/>
  <c r="H125" i="22"/>
  <c r="G125" i="22"/>
  <c r="H124" i="22"/>
  <c r="J124" i="22" s="1"/>
  <c r="G124" i="22"/>
  <c r="J123" i="22"/>
  <c r="K123" i="22" s="1"/>
  <c r="H123" i="22"/>
  <c r="G123" i="22"/>
  <c r="H122" i="22"/>
  <c r="J122" i="22" s="1"/>
  <c r="L122" i="22" s="1"/>
  <c r="G122" i="22"/>
  <c r="J121" i="22"/>
  <c r="L121" i="22" s="1"/>
  <c r="H121" i="22"/>
  <c r="G121" i="22"/>
  <c r="H120" i="22"/>
  <c r="J120" i="22" s="1"/>
  <c r="G120" i="22"/>
  <c r="J119" i="22"/>
  <c r="K119" i="22" s="1"/>
  <c r="H119" i="22"/>
  <c r="G119" i="22"/>
  <c r="H118" i="22"/>
  <c r="J118" i="22" s="1"/>
  <c r="L118" i="22" s="1"/>
  <c r="G118" i="22"/>
  <c r="H115" i="22"/>
  <c r="J115" i="22" s="1"/>
  <c r="K115" i="22" s="1"/>
  <c r="G115" i="22"/>
  <c r="H114" i="22"/>
  <c r="J114" i="22" s="1"/>
  <c r="L114" i="22" s="1"/>
  <c r="G114" i="22"/>
  <c r="K113" i="22"/>
  <c r="J113" i="22"/>
  <c r="L113" i="22" s="1"/>
  <c r="H113" i="22"/>
  <c r="G113" i="22"/>
  <c r="H112" i="22"/>
  <c r="J112" i="22" s="1"/>
  <c r="G112" i="22"/>
  <c r="H111" i="22"/>
  <c r="J111" i="22" s="1"/>
  <c r="G111" i="22"/>
  <c r="K110" i="22"/>
  <c r="H110" i="22"/>
  <c r="J110" i="22" s="1"/>
  <c r="L110" i="22" s="1"/>
  <c r="G110" i="22"/>
  <c r="J109" i="22"/>
  <c r="L109" i="22" s="1"/>
  <c r="H109" i="22"/>
  <c r="G109" i="22"/>
  <c r="J108" i="22"/>
  <c r="H108" i="22"/>
  <c r="G108" i="22"/>
  <c r="J107" i="22"/>
  <c r="K107" i="22" s="1"/>
  <c r="H107" i="22"/>
  <c r="G107" i="22"/>
  <c r="H106" i="22"/>
  <c r="J106" i="22" s="1"/>
  <c r="L106" i="22" s="1"/>
  <c r="G106" i="22"/>
  <c r="H105" i="22"/>
  <c r="J105" i="22" s="1"/>
  <c r="G105" i="22"/>
  <c r="H104" i="22"/>
  <c r="G104" i="22"/>
  <c r="H101" i="22"/>
  <c r="J101" i="22" s="1"/>
  <c r="L101" i="22" s="1"/>
  <c r="G101" i="22"/>
  <c r="H100" i="22"/>
  <c r="J100" i="22" s="1"/>
  <c r="G100" i="22"/>
  <c r="H99" i="22"/>
  <c r="J99" i="22" s="1"/>
  <c r="G99" i="22"/>
  <c r="H98" i="22"/>
  <c r="J98" i="22" s="1"/>
  <c r="L98" i="22" s="1"/>
  <c r="G98" i="22"/>
  <c r="H97" i="22"/>
  <c r="J97" i="22" s="1"/>
  <c r="L97" i="22" s="1"/>
  <c r="G97" i="22"/>
  <c r="H96" i="22"/>
  <c r="J96" i="22" s="1"/>
  <c r="G96" i="22"/>
  <c r="H95" i="22"/>
  <c r="J95" i="22" s="1"/>
  <c r="K95" i="22" s="1"/>
  <c r="G95" i="22"/>
  <c r="H94" i="22"/>
  <c r="J94" i="22" s="1"/>
  <c r="L94" i="22" s="1"/>
  <c r="G94" i="22"/>
  <c r="H93" i="22"/>
  <c r="J93" i="22" s="1"/>
  <c r="G93" i="22"/>
  <c r="H90" i="22"/>
  <c r="J90" i="22" s="1"/>
  <c r="G90" i="22"/>
  <c r="F88" i="22"/>
  <c r="H88" i="22" s="1"/>
  <c r="J88" i="22" s="1"/>
  <c r="K88" i="22" s="1"/>
  <c r="F87" i="22"/>
  <c r="H87" i="22" s="1"/>
  <c r="J87" i="22" s="1"/>
  <c r="K87" i="22" s="1"/>
  <c r="F86" i="22"/>
  <c r="F89" i="22" s="1"/>
  <c r="H89" i="22" s="1"/>
  <c r="J89" i="22" s="1"/>
  <c r="F85" i="22"/>
  <c r="H85" i="22" s="1"/>
  <c r="J85" i="22" s="1"/>
  <c r="K85" i="22" s="1"/>
  <c r="H84" i="22"/>
  <c r="J84" i="22" s="1"/>
  <c r="K84" i="22" s="1"/>
  <c r="G84" i="22"/>
  <c r="F82" i="22"/>
  <c r="H82" i="22" s="1"/>
  <c r="J82" i="22" s="1"/>
  <c r="L82" i="22" s="1"/>
  <c r="F81" i="22"/>
  <c r="F80" i="22"/>
  <c r="F83" i="22" s="1"/>
  <c r="F79" i="22"/>
  <c r="H79" i="22" s="1"/>
  <c r="J79" i="22" s="1"/>
  <c r="L79" i="22" s="1"/>
  <c r="H78" i="22"/>
  <c r="J78" i="22" s="1"/>
  <c r="K78" i="22" s="1"/>
  <c r="G78" i="22"/>
  <c r="F76" i="22"/>
  <c r="F75" i="22"/>
  <c r="H75" i="22" s="1"/>
  <c r="J75" i="22" s="1"/>
  <c r="K75" i="22" s="1"/>
  <c r="F74" i="22"/>
  <c r="G74" i="22" s="1"/>
  <c r="F73" i="22"/>
  <c r="H72" i="22"/>
  <c r="J72" i="22" s="1"/>
  <c r="G72" i="22"/>
  <c r="F70" i="22"/>
  <c r="G70" i="22" s="1"/>
  <c r="F69" i="22"/>
  <c r="G69" i="22" s="1"/>
  <c r="F68" i="22"/>
  <c r="H68" i="22" s="1"/>
  <c r="J68" i="22" s="1"/>
  <c r="F67" i="22"/>
  <c r="G67" i="22" s="1"/>
  <c r="F66" i="22"/>
  <c r="G66" i="22" s="1"/>
  <c r="H65" i="22"/>
  <c r="J65" i="22" s="1"/>
  <c r="G65" i="22"/>
  <c r="H59" i="22"/>
  <c r="J59" i="22" s="1"/>
  <c r="L59" i="22" s="1"/>
  <c r="G59" i="22"/>
  <c r="G56" i="22"/>
  <c r="H54" i="22"/>
  <c r="J54" i="22" s="1"/>
  <c r="G54" i="22"/>
  <c r="H53" i="22"/>
  <c r="J53" i="22" s="1"/>
  <c r="H51" i="22"/>
  <c r="J51" i="22" s="1"/>
  <c r="K51" i="22" s="1"/>
  <c r="G51" i="22"/>
  <c r="H50" i="22"/>
  <c r="J50" i="22" s="1"/>
  <c r="L50" i="22" s="1"/>
  <c r="G50" i="22"/>
  <c r="H44" i="22"/>
  <c r="J44" i="22" s="1"/>
  <c r="H43" i="22"/>
  <c r="J43" i="22" s="1"/>
  <c r="H42" i="22"/>
  <c r="J42" i="22" s="1"/>
  <c r="L42" i="22" s="1"/>
  <c r="G42" i="22"/>
  <c r="H38" i="22"/>
  <c r="J38" i="22" s="1"/>
  <c r="G36" i="22"/>
  <c r="H35" i="22"/>
  <c r="J35" i="22" s="1"/>
  <c r="H34" i="22"/>
  <c r="J34" i="22" s="1"/>
  <c r="L34" i="22" s="1"/>
  <c r="G34" i="22"/>
  <c r="H31" i="22"/>
  <c r="J31" i="22" s="1"/>
  <c r="G31" i="22"/>
  <c r="H30" i="22"/>
  <c r="J30" i="22" s="1"/>
  <c r="G30" i="22"/>
  <c r="H29" i="22"/>
  <c r="J29" i="22" s="1"/>
  <c r="K29" i="22" s="1"/>
  <c r="G29" i="22"/>
  <c r="H28" i="22"/>
  <c r="J28" i="22" s="1"/>
  <c r="G28" i="22"/>
  <c r="H27" i="22"/>
  <c r="J27" i="22" s="1"/>
  <c r="G27" i="22"/>
  <c r="H26" i="22"/>
  <c r="J26" i="22" s="1"/>
  <c r="L26" i="22" s="1"/>
  <c r="G26" i="22"/>
  <c r="F23" i="22"/>
  <c r="G23" i="22" s="1"/>
  <c r="H22" i="22"/>
  <c r="J22" i="22" s="1"/>
  <c r="G22" i="22"/>
  <c r="H21" i="22"/>
  <c r="J21" i="22" s="1"/>
  <c r="G21" i="22"/>
  <c r="H20" i="22"/>
  <c r="J20" i="22" s="1"/>
  <c r="L20" i="22" s="1"/>
  <c r="G20" i="22"/>
  <c r="F19" i="22"/>
  <c r="H19" i="22" s="1"/>
  <c r="J19" i="22" s="1"/>
  <c r="K19" i="22" s="1"/>
  <c r="H18" i="22"/>
  <c r="J18" i="22" s="1"/>
  <c r="L18" i="22" s="1"/>
  <c r="G18" i="22"/>
  <c r="F17" i="22"/>
  <c r="H17" i="22" s="1"/>
  <c r="J17" i="22" s="1"/>
  <c r="H16" i="22"/>
  <c r="J16" i="22" s="1"/>
  <c r="L16" i="22" s="1"/>
  <c r="G16" i="22"/>
  <c r="F15" i="22"/>
  <c r="G15" i="22" s="1"/>
  <c r="H14" i="22"/>
  <c r="J14" i="22" s="1"/>
  <c r="G14" i="22"/>
  <c r="F13" i="22"/>
  <c r="G13" i="22" s="1"/>
  <c r="H12" i="22"/>
  <c r="J12" i="22" s="1"/>
  <c r="L12" i="22" s="1"/>
  <c r="G12" i="22"/>
  <c r="F11" i="22"/>
  <c r="G11" i="22" s="1"/>
  <c r="H10" i="22"/>
  <c r="J10" i="22" s="1"/>
  <c r="L10" i="22" s="1"/>
  <c r="G10" i="22"/>
  <c r="F9" i="22"/>
  <c r="H9" i="22" s="1"/>
  <c r="J9" i="22" s="1"/>
  <c r="F8" i="22"/>
  <c r="H8" i="22" s="1"/>
  <c r="J8" i="22" s="1"/>
  <c r="H7" i="22"/>
  <c r="J7" i="22" s="1"/>
  <c r="G7" i="22"/>
  <c r="F6" i="22"/>
  <c r="H6" i="22" s="1"/>
  <c r="J6" i="22" s="1"/>
  <c r="F5" i="22"/>
  <c r="G5" i="22" s="1"/>
  <c r="H4" i="22"/>
  <c r="G4" i="22"/>
  <c r="E14" i="3"/>
  <c r="E5" i="3"/>
  <c r="P413" i="21"/>
  <c r="O413" i="21"/>
  <c r="P412" i="21"/>
  <c r="O412" i="21"/>
  <c r="P411" i="21"/>
  <c r="O411" i="21"/>
  <c r="P410" i="21"/>
  <c r="O410" i="21"/>
  <c r="P409" i="21"/>
  <c r="O409" i="21"/>
  <c r="P408" i="21"/>
  <c r="O408" i="21"/>
  <c r="P407" i="21"/>
  <c r="O407" i="21"/>
  <c r="P406" i="21"/>
  <c r="O406" i="21"/>
  <c r="P405" i="21"/>
  <c r="O405" i="21"/>
  <c r="P404" i="21"/>
  <c r="O404" i="21"/>
  <c r="P403" i="21"/>
  <c r="O403" i="21"/>
  <c r="P402" i="21"/>
  <c r="O402" i="21"/>
  <c r="P401" i="21"/>
  <c r="O401" i="21"/>
  <c r="P400" i="21"/>
  <c r="O400" i="21"/>
  <c r="P399" i="21"/>
  <c r="O399" i="21"/>
  <c r="P398" i="21"/>
  <c r="O398" i="21"/>
  <c r="P397" i="21"/>
  <c r="O397" i="21"/>
  <c r="P396" i="21"/>
  <c r="O396" i="21"/>
  <c r="P394" i="21"/>
  <c r="O394" i="21"/>
  <c r="P393" i="21"/>
  <c r="O393" i="21"/>
  <c r="P392" i="21"/>
  <c r="O392" i="21"/>
  <c r="P391" i="21"/>
  <c r="O391" i="21"/>
  <c r="P390" i="21"/>
  <c r="O390" i="21"/>
  <c r="P389" i="21"/>
  <c r="O389" i="21"/>
  <c r="P388" i="21"/>
  <c r="O388" i="21"/>
  <c r="P387" i="21"/>
  <c r="O387" i="21"/>
  <c r="P386" i="21"/>
  <c r="O386" i="21"/>
  <c r="P385" i="21"/>
  <c r="O385" i="21"/>
  <c r="P384" i="21"/>
  <c r="O384" i="21"/>
  <c r="P383" i="21"/>
  <c r="O383" i="21"/>
  <c r="P382" i="21"/>
  <c r="O382" i="21"/>
  <c r="P381" i="21"/>
  <c r="O381" i="21"/>
  <c r="P380" i="21"/>
  <c r="O380" i="21"/>
  <c r="P379" i="21"/>
  <c r="O379" i="21"/>
  <c r="P378" i="21"/>
  <c r="O378" i="21"/>
  <c r="P377" i="21"/>
  <c r="O377" i="21"/>
  <c r="P376" i="21"/>
  <c r="O376" i="21"/>
  <c r="P375" i="21"/>
  <c r="O375" i="21"/>
  <c r="P374" i="21"/>
  <c r="O374" i="21"/>
  <c r="P373" i="21"/>
  <c r="O373" i="21"/>
  <c r="P372" i="21"/>
  <c r="O372" i="21"/>
  <c r="P371" i="21"/>
  <c r="O371" i="21"/>
  <c r="P370" i="21"/>
  <c r="O370" i="21"/>
  <c r="P369" i="21"/>
  <c r="O369" i="21"/>
  <c r="P368" i="21"/>
  <c r="O368" i="21"/>
  <c r="P367" i="21"/>
  <c r="O367" i="21"/>
  <c r="P366" i="21"/>
  <c r="O366" i="21"/>
  <c r="P365" i="21"/>
  <c r="O365" i="21"/>
  <c r="P364" i="21"/>
  <c r="O364" i="21"/>
  <c r="P363" i="21"/>
  <c r="O363" i="21"/>
  <c r="P362" i="21"/>
  <c r="O362" i="21"/>
  <c r="P361" i="21"/>
  <c r="O361" i="21"/>
  <c r="P360" i="21"/>
  <c r="O360" i="21"/>
  <c r="P358" i="21"/>
  <c r="O358" i="21"/>
  <c r="P356" i="21"/>
  <c r="O356" i="21"/>
  <c r="P355" i="21"/>
  <c r="O355" i="21"/>
  <c r="P354" i="21"/>
  <c r="O354" i="21"/>
  <c r="P353" i="21"/>
  <c r="O353" i="21"/>
  <c r="P352" i="21"/>
  <c r="O352" i="21"/>
  <c r="P351" i="21"/>
  <c r="O351" i="21"/>
  <c r="P350" i="21"/>
  <c r="O350" i="21"/>
  <c r="P349" i="21"/>
  <c r="O349" i="21"/>
  <c r="P348" i="21"/>
  <c r="O348" i="21"/>
  <c r="P345" i="21"/>
  <c r="O345" i="21"/>
  <c r="P344" i="21"/>
  <c r="O344" i="21"/>
  <c r="P343" i="21"/>
  <c r="O343" i="21"/>
  <c r="P342" i="21"/>
  <c r="O342" i="21"/>
  <c r="P341" i="21"/>
  <c r="O341" i="21"/>
  <c r="P340" i="21"/>
  <c r="O340" i="21"/>
  <c r="P339" i="21"/>
  <c r="O339" i="21"/>
  <c r="P338" i="21"/>
  <c r="O338" i="21"/>
  <c r="P337" i="21"/>
  <c r="O337" i="21"/>
  <c r="P336" i="21"/>
  <c r="O336" i="21"/>
  <c r="P335" i="21"/>
  <c r="O335" i="21"/>
  <c r="P334" i="21"/>
  <c r="O334" i="21"/>
  <c r="P333" i="21"/>
  <c r="O333" i="21"/>
  <c r="P332" i="21"/>
  <c r="O332" i="21"/>
  <c r="P331" i="21"/>
  <c r="O331" i="21"/>
  <c r="P330" i="21"/>
  <c r="O330" i="21"/>
  <c r="P329" i="21"/>
  <c r="O329" i="21"/>
  <c r="P328" i="21"/>
  <c r="O328" i="21"/>
  <c r="P327" i="21"/>
  <c r="O327" i="21"/>
  <c r="P326" i="21"/>
  <c r="O326" i="21"/>
  <c r="P325" i="21"/>
  <c r="O325" i="21"/>
  <c r="P324" i="21"/>
  <c r="O324" i="21"/>
  <c r="P323" i="21"/>
  <c r="O323" i="21"/>
  <c r="P322" i="21"/>
  <c r="O322" i="21"/>
  <c r="P321" i="21"/>
  <c r="O321" i="21"/>
  <c r="P320" i="21"/>
  <c r="O320" i="21"/>
  <c r="P319" i="21"/>
  <c r="O319" i="21"/>
  <c r="P318" i="21"/>
  <c r="O318" i="21"/>
  <c r="P317" i="21"/>
  <c r="O317" i="21"/>
  <c r="P316" i="21"/>
  <c r="O316" i="21"/>
  <c r="P315" i="21"/>
  <c r="O315" i="21"/>
  <c r="P314" i="21"/>
  <c r="O314" i="21"/>
  <c r="P313" i="21"/>
  <c r="O313" i="21"/>
  <c r="P312" i="21"/>
  <c r="O312" i="21"/>
  <c r="P311" i="21"/>
  <c r="O311" i="21"/>
  <c r="P310" i="21"/>
  <c r="O310" i="21"/>
  <c r="P309" i="21"/>
  <c r="O309" i="21"/>
  <c r="P308" i="21"/>
  <c r="O308" i="21"/>
  <c r="P307" i="21"/>
  <c r="O307" i="21"/>
  <c r="P306" i="21"/>
  <c r="O306" i="21"/>
  <c r="P305" i="21"/>
  <c r="O305" i="21"/>
  <c r="P304" i="21"/>
  <c r="O304" i="21"/>
  <c r="P303" i="21"/>
  <c r="O303" i="21"/>
  <c r="P302" i="21"/>
  <c r="O302" i="21"/>
  <c r="P301" i="21"/>
  <c r="O301" i="21"/>
  <c r="P300" i="21"/>
  <c r="O300" i="21"/>
  <c r="P299" i="21"/>
  <c r="O299" i="21"/>
  <c r="P298" i="21"/>
  <c r="O298" i="21"/>
  <c r="P295" i="21"/>
  <c r="O295" i="21"/>
  <c r="P294" i="21"/>
  <c r="O294" i="21"/>
  <c r="P293" i="21"/>
  <c r="O293" i="21"/>
  <c r="P292" i="21"/>
  <c r="O292" i="21"/>
  <c r="P291" i="21"/>
  <c r="O291" i="21"/>
  <c r="P290" i="21"/>
  <c r="O290" i="21"/>
  <c r="P289" i="21"/>
  <c r="O289" i="21"/>
  <c r="P288" i="21"/>
  <c r="O288" i="21"/>
  <c r="P287" i="21"/>
  <c r="O287" i="21"/>
  <c r="P286" i="21"/>
  <c r="O286" i="21"/>
  <c r="P285" i="21"/>
  <c r="O285" i="21"/>
  <c r="P284" i="21"/>
  <c r="O284" i="21"/>
  <c r="P283" i="21"/>
  <c r="O283" i="21"/>
  <c r="P282" i="21"/>
  <c r="O282" i="21"/>
  <c r="P281" i="21"/>
  <c r="O281" i="21"/>
  <c r="P280" i="21"/>
  <c r="O280" i="21"/>
  <c r="P279" i="21"/>
  <c r="O279" i="21"/>
  <c r="P278" i="21"/>
  <c r="O278" i="21"/>
  <c r="P277" i="21"/>
  <c r="O277" i="21"/>
  <c r="P276" i="21"/>
  <c r="O276" i="21"/>
  <c r="P275" i="21"/>
  <c r="O275" i="21"/>
  <c r="P274" i="21"/>
  <c r="O274" i="21"/>
  <c r="P273" i="21"/>
  <c r="O273" i="21"/>
  <c r="P272" i="21"/>
  <c r="O272" i="21"/>
  <c r="P271" i="21"/>
  <c r="O271" i="21"/>
  <c r="P270" i="21"/>
  <c r="O270" i="21"/>
  <c r="P269" i="21"/>
  <c r="O269" i="21"/>
  <c r="P268" i="21"/>
  <c r="O268" i="21"/>
  <c r="P267" i="21"/>
  <c r="O267" i="21"/>
  <c r="P266" i="21"/>
  <c r="O266" i="21"/>
  <c r="P265" i="21"/>
  <c r="O265" i="21"/>
  <c r="P264" i="21"/>
  <c r="O264" i="21"/>
  <c r="P263" i="21"/>
  <c r="O263" i="21"/>
  <c r="P262" i="21"/>
  <c r="O262" i="21"/>
  <c r="P261" i="21"/>
  <c r="O261" i="21"/>
  <c r="P260" i="21"/>
  <c r="O260" i="21"/>
  <c r="P259" i="21"/>
  <c r="O259" i="21"/>
  <c r="P258" i="21"/>
  <c r="O258" i="21"/>
  <c r="P257" i="21"/>
  <c r="O257" i="21"/>
  <c r="P256" i="21"/>
  <c r="O256" i="21"/>
  <c r="P255" i="21"/>
  <c r="O255" i="21"/>
  <c r="P254" i="21"/>
  <c r="O254" i="21"/>
  <c r="P253" i="21"/>
  <c r="O253" i="21"/>
  <c r="P252" i="21"/>
  <c r="O252" i="21"/>
  <c r="P251" i="21"/>
  <c r="O251" i="21"/>
  <c r="P248" i="21"/>
  <c r="O248" i="21"/>
  <c r="P247" i="21"/>
  <c r="O247" i="21"/>
  <c r="P246" i="21"/>
  <c r="O246" i="21"/>
  <c r="P245" i="21"/>
  <c r="O245" i="21"/>
  <c r="P244" i="21"/>
  <c r="O244" i="21"/>
  <c r="P243" i="21"/>
  <c r="O243" i="21"/>
  <c r="P241" i="21"/>
  <c r="O241" i="21"/>
  <c r="P240" i="21"/>
  <c r="O240" i="21"/>
  <c r="P239" i="21"/>
  <c r="O239" i="21"/>
  <c r="P238" i="21"/>
  <c r="O238" i="21"/>
  <c r="P237" i="21"/>
  <c r="O237" i="21"/>
  <c r="P236" i="21"/>
  <c r="O236" i="21"/>
  <c r="P235" i="21"/>
  <c r="O235" i="21"/>
  <c r="P234" i="21"/>
  <c r="O234" i="21"/>
  <c r="P233" i="21"/>
  <c r="O233" i="21"/>
  <c r="P232" i="21"/>
  <c r="O232" i="21"/>
  <c r="P231" i="21"/>
  <c r="O231" i="21"/>
  <c r="P230" i="21"/>
  <c r="O230" i="21"/>
  <c r="P229" i="21"/>
  <c r="O229" i="21"/>
  <c r="P228" i="21"/>
  <c r="O228" i="21"/>
  <c r="P227" i="21"/>
  <c r="O227" i="21"/>
  <c r="P226" i="21"/>
  <c r="O226" i="21"/>
  <c r="P225" i="21"/>
  <c r="O225" i="21"/>
  <c r="P224" i="21"/>
  <c r="O224" i="21"/>
  <c r="P223" i="21"/>
  <c r="O223" i="21"/>
  <c r="P222" i="21"/>
  <c r="O222" i="21"/>
  <c r="P221" i="21"/>
  <c r="O221" i="21"/>
  <c r="P220" i="21"/>
  <c r="O220" i="21"/>
  <c r="P219" i="21"/>
  <c r="O219" i="21"/>
  <c r="P218" i="21"/>
  <c r="O218" i="21"/>
  <c r="P217" i="21"/>
  <c r="O217" i="21"/>
  <c r="P216" i="21"/>
  <c r="O216" i="21"/>
  <c r="P215" i="21"/>
  <c r="O215" i="21"/>
  <c r="P214" i="21"/>
  <c r="O214" i="21"/>
  <c r="P213" i="21"/>
  <c r="O213" i="21"/>
  <c r="P212" i="21"/>
  <c r="O212" i="21"/>
  <c r="P211" i="21"/>
  <c r="O211" i="21"/>
  <c r="P210" i="21"/>
  <c r="O210" i="21"/>
  <c r="P209" i="21"/>
  <c r="O209" i="21"/>
  <c r="P208" i="21"/>
  <c r="O208" i="21"/>
  <c r="P207" i="21"/>
  <c r="O207" i="21"/>
  <c r="P206" i="21"/>
  <c r="O206" i="21"/>
  <c r="P205" i="21"/>
  <c r="O205" i="21"/>
  <c r="P204" i="21"/>
  <c r="O204" i="21"/>
  <c r="P203" i="21"/>
  <c r="O203" i="21"/>
  <c r="P202" i="21"/>
  <c r="O202" i="21"/>
  <c r="P201" i="21"/>
  <c r="O201" i="21"/>
  <c r="P200" i="21"/>
  <c r="O200" i="21"/>
  <c r="P199" i="21"/>
  <c r="O199" i="21"/>
  <c r="P198" i="21"/>
  <c r="O198" i="21"/>
  <c r="P197" i="21"/>
  <c r="O197" i="21"/>
  <c r="P196" i="21"/>
  <c r="O196" i="21"/>
  <c r="P195" i="21"/>
  <c r="O195" i="21"/>
  <c r="P194" i="21"/>
  <c r="O194" i="21"/>
  <c r="P191" i="21"/>
  <c r="O191" i="21"/>
  <c r="P190" i="21"/>
  <c r="O190" i="21"/>
  <c r="P189" i="21"/>
  <c r="O189" i="21"/>
  <c r="P188" i="21"/>
  <c r="O188" i="21"/>
  <c r="P187" i="21"/>
  <c r="O187" i="21"/>
  <c r="P186" i="21"/>
  <c r="O186" i="21"/>
  <c r="P185" i="21"/>
  <c r="O185" i="21"/>
  <c r="P184" i="21"/>
  <c r="O184" i="21"/>
  <c r="P183" i="21"/>
  <c r="O183" i="21"/>
  <c r="P182" i="21"/>
  <c r="O182" i="21"/>
  <c r="P181" i="21"/>
  <c r="O181" i="21"/>
  <c r="P180" i="21"/>
  <c r="O180" i="21"/>
  <c r="P179" i="21"/>
  <c r="O179" i="21"/>
  <c r="P178" i="21"/>
  <c r="O178" i="21"/>
  <c r="P177" i="21"/>
  <c r="O177" i="21"/>
  <c r="P176" i="21"/>
  <c r="O176" i="21"/>
  <c r="P175" i="21"/>
  <c r="O175" i="21"/>
  <c r="P174" i="21"/>
  <c r="O174" i="21"/>
  <c r="P173" i="21"/>
  <c r="O173" i="21"/>
  <c r="P172" i="21"/>
  <c r="O172" i="21"/>
  <c r="P171" i="21"/>
  <c r="O171" i="21"/>
  <c r="P170" i="21"/>
  <c r="O170" i="21"/>
  <c r="P169" i="21"/>
  <c r="O169" i="21"/>
  <c r="P168" i="21"/>
  <c r="O168" i="21"/>
  <c r="P167" i="21"/>
  <c r="O167" i="21"/>
  <c r="P164" i="21"/>
  <c r="O164" i="21"/>
  <c r="P163" i="21"/>
  <c r="O163" i="21"/>
  <c r="P162" i="21"/>
  <c r="O162" i="21"/>
  <c r="P161" i="21"/>
  <c r="O161" i="21"/>
  <c r="P160" i="21"/>
  <c r="O160" i="21"/>
  <c r="P159" i="21"/>
  <c r="O159" i="21"/>
  <c r="P158" i="21"/>
  <c r="O158" i="21"/>
  <c r="P155" i="21"/>
  <c r="O155" i="21"/>
  <c r="P154" i="21"/>
  <c r="O154" i="21"/>
  <c r="P153" i="21"/>
  <c r="O153" i="21"/>
  <c r="P152" i="21"/>
  <c r="O152" i="21"/>
  <c r="P151" i="21"/>
  <c r="O151" i="21"/>
  <c r="P150" i="21"/>
  <c r="O150" i="21"/>
  <c r="P149" i="21"/>
  <c r="O149" i="21"/>
  <c r="P148" i="21"/>
  <c r="O148" i="21"/>
  <c r="P147" i="21"/>
  <c r="O147" i="21"/>
  <c r="P146" i="21"/>
  <c r="O146" i="21"/>
  <c r="P145" i="21"/>
  <c r="O145" i="21"/>
  <c r="P144" i="21"/>
  <c r="O144" i="21"/>
  <c r="P143" i="21"/>
  <c r="O143" i="21"/>
  <c r="P142" i="21"/>
  <c r="O142" i="21"/>
  <c r="P141" i="21"/>
  <c r="O141" i="21"/>
  <c r="P140" i="21"/>
  <c r="O140" i="21"/>
  <c r="P139" i="21"/>
  <c r="O139" i="21"/>
  <c r="P138" i="21"/>
  <c r="O138" i="21"/>
  <c r="P137" i="21"/>
  <c r="O137" i="21"/>
  <c r="P136" i="21"/>
  <c r="O136" i="21"/>
  <c r="P135" i="21"/>
  <c r="O135" i="21"/>
  <c r="P134" i="21"/>
  <c r="O134" i="21"/>
  <c r="P133" i="21"/>
  <c r="O133" i="21"/>
  <c r="P132" i="21"/>
  <c r="O132" i="21"/>
  <c r="P131" i="21"/>
  <c r="O131" i="21"/>
  <c r="P130" i="21"/>
  <c r="O130" i="21"/>
  <c r="P129" i="21"/>
  <c r="O129" i="21"/>
  <c r="P128" i="21"/>
  <c r="O128" i="21"/>
  <c r="P127" i="21"/>
  <c r="O127" i="21"/>
  <c r="P126" i="21"/>
  <c r="O126" i="21"/>
  <c r="P125" i="21"/>
  <c r="O125" i="21"/>
  <c r="P124" i="21"/>
  <c r="O124" i="21"/>
  <c r="P123" i="21"/>
  <c r="O123" i="21"/>
  <c r="P122" i="21"/>
  <c r="O122" i="21"/>
  <c r="P121" i="21"/>
  <c r="O121" i="21"/>
  <c r="P120" i="21"/>
  <c r="O120" i="21"/>
  <c r="P119" i="21"/>
  <c r="O119" i="21"/>
  <c r="P118" i="21"/>
  <c r="O118" i="21"/>
  <c r="P115" i="21"/>
  <c r="O115" i="21"/>
  <c r="P114" i="21"/>
  <c r="O114" i="21"/>
  <c r="P113" i="21"/>
  <c r="O113" i="21"/>
  <c r="P112" i="21"/>
  <c r="O112" i="21"/>
  <c r="P111" i="21"/>
  <c r="O111" i="21"/>
  <c r="P110" i="21"/>
  <c r="O110" i="21"/>
  <c r="P109" i="21"/>
  <c r="O109" i="21"/>
  <c r="P108" i="21"/>
  <c r="O108" i="21"/>
  <c r="P107" i="21"/>
  <c r="O107" i="21"/>
  <c r="P106" i="21"/>
  <c r="O106" i="21"/>
  <c r="P105" i="21"/>
  <c r="O105" i="21"/>
  <c r="P104" i="21"/>
  <c r="O104" i="21"/>
  <c r="P101" i="21"/>
  <c r="O101" i="21"/>
  <c r="P100" i="21"/>
  <c r="O100" i="21"/>
  <c r="P99" i="21"/>
  <c r="O99" i="21"/>
  <c r="P98" i="21"/>
  <c r="O98" i="21"/>
  <c r="P97" i="21"/>
  <c r="O97" i="21"/>
  <c r="P96" i="21"/>
  <c r="O96" i="21"/>
  <c r="P95" i="21"/>
  <c r="O95" i="21"/>
  <c r="P94" i="21"/>
  <c r="O94" i="21"/>
  <c r="P93" i="21"/>
  <c r="O93" i="21"/>
  <c r="P92" i="21"/>
  <c r="O92" i="21"/>
  <c r="P90" i="21"/>
  <c r="O90" i="21"/>
  <c r="P89" i="21"/>
  <c r="O89" i="21"/>
  <c r="P88" i="21"/>
  <c r="O88" i="21"/>
  <c r="P87" i="21"/>
  <c r="O87" i="21"/>
  <c r="P86" i="21"/>
  <c r="O86" i="21"/>
  <c r="P85" i="21"/>
  <c r="O85" i="21"/>
  <c r="P84" i="21"/>
  <c r="O84" i="21"/>
  <c r="P83" i="21"/>
  <c r="O83" i="21"/>
  <c r="P82" i="21"/>
  <c r="O82" i="21"/>
  <c r="P81" i="21"/>
  <c r="O81" i="21"/>
  <c r="P80" i="21"/>
  <c r="O80" i="21"/>
  <c r="P79" i="21"/>
  <c r="O79" i="21"/>
  <c r="P78" i="21"/>
  <c r="O78" i="21"/>
  <c r="P77" i="21"/>
  <c r="O77" i="21"/>
  <c r="P76" i="21"/>
  <c r="O76" i="21"/>
  <c r="P75" i="21"/>
  <c r="O75" i="21"/>
  <c r="P74" i="21"/>
  <c r="O74" i="21"/>
  <c r="P73" i="21"/>
  <c r="O73" i="21"/>
  <c r="P72" i="21"/>
  <c r="O72" i="21"/>
  <c r="P71" i="21"/>
  <c r="O71" i="21"/>
  <c r="P70" i="21"/>
  <c r="O70" i="21"/>
  <c r="P69" i="21"/>
  <c r="O69" i="21"/>
  <c r="P68" i="21"/>
  <c r="O68" i="21"/>
  <c r="P67" i="21"/>
  <c r="O67" i="21"/>
  <c r="P66" i="21"/>
  <c r="O66" i="21"/>
  <c r="P65" i="21"/>
  <c r="O65" i="21"/>
  <c r="P62" i="21"/>
  <c r="O62" i="21"/>
  <c r="P61" i="21"/>
  <c r="O61" i="21"/>
  <c r="P60" i="21"/>
  <c r="O60" i="21"/>
  <c r="P59" i="21"/>
  <c r="O59" i="21"/>
  <c r="P58" i="21"/>
  <c r="O58" i="21"/>
  <c r="P57" i="21"/>
  <c r="O57" i="21"/>
  <c r="P56" i="21"/>
  <c r="O56" i="21"/>
  <c r="P55" i="21"/>
  <c r="O55" i="21"/>
  <c r="P54" i="21"/>
  <c r="O54" i="21"/>
  <c r="P53" i="21"/>
  <c r="O53" i="21"/>
  <c r="P52" i="21"/>
  <c r="O52" i="21"/>
  <c r="P51" i="21"/>
  <c r="O51" i="21"/>
  <c r="P50" i="21"/>
  <c r="O50" i="21"/>
  <c r="P49" i="21"/>
  <c r="O49" i="21"/>
  <c r="P48" i="21"/>
  <c r="O48" i="21"/>
  <c r="P47" i="21"/>
  <c r="O47" i="21"/>
  <c r="P46" i="21"/>
  <c r="O46" i="21"/>
  <c r="P45" i="21"/>
  <c r="O45" i="21"/>
  <c r="P44" i="21"/>
  <c r="O44" i="21"/>
  <c r="P43" i="21"/>
  <c r="O43" i="21"/>
  <c r="P42" i="21"/>
  <c r="O42" i="21"/>
  <c r="P41" i="21"/>
  <c r="O41" i="21"/>
  <c r="P40" i="21"/>
  <c r="O40" i="21"/>
  <c r="P39" i="21"/>
  <c r="O39" i="21"/>
  <c r="P38" i="21"/>
  <c r="O38" i="21"/>
  <c r="P37" i="21"/>
  <c r="O37" i="21"/>
  <c r="P36" i="21"/>
  <c r="O36" i="21"/>
  <c r="P35" i="21"/>
  <c r="O35" i="21"/>
  <c r="P34" i="21"/>
  <c r="O34" i="21"/>
  <c r="P31" i="21"/>
  <c r="O31" i="21"/>
  <c r="P30" i="21"/>
  <c r="O30" i="21"/>
  <c r="P29" i="21"/>
  <c r="O29" i="21"/>
  <c r="P28" i="21"/>
  <c r="O28" i="21"/>
  <c r="P27" i="21"/>
  <c r="O27" i="21"/>
  <c r="P26" i="21"/>
  <c r="O26" i="21"/>
  <c r="P23" i="21"/>
  <c r="O23" i="21"/>
  <c r="P22" i="21"/>
  <c r="O22" i="21"/>
  <c r="P21" i="21"/>
  <c r="O21" i="21"/>
  <c r="P20" i="21"/>
  <c r="O20" i="21"/>
  <c r="P19" i="21"/>
  <c r="O19" i="21"/>
  <c r="P18" i="21"/>
  <c r="O18" i="21"/>
  <c r="P17" i="21"/>
  <c r="O17" i="21"/>
  <c r="P16" i="21"/>
  <c r="O16" i="21"/>
  <c r="P15" i="21"/>
  <c r="O15" i="21"/>
  <c r="P14" i="21"/>
  <c r="O14" i="21"/>
  <c r="P13" i="21"/>
  <c r="O13" i="21"/>
  <c r="P12" i="21"/>
  <c r="O12" i="21"/>
  <c r="P11" i="21"/>
  <c r="O11" i="21"/>
  <c r="P10" i="21"/>
  <c r="O10" i="21"/>
  <c r="P9" i="21"/>
  <c r="O9" i="21"/>
  <c r="P8" i="21"/>
  <c r="O8" i="21"/>
  <c r="P7" i="21"/>
  <c r="O7" i="21"/>
  <c r="P6" i="21"/>
  <c r="O6" i="21"/>
  <c r="P5" i="21"/>
  <c r="O5" i="21"/>
  <c r="P4" i="21"/>
  <c r="O4" i="21"/>
  <c r="H425" i="21"/>
  <c r="G425" i="21"/>
  <c r="H424" i="21"/>
  <c r="G424" i="21"/>
  <c r="H423" i="21"/>
  <c r="G423" i="21"/>
  <c r="H422" i="21"/>
  <c r="G422" i="21"/>
  <c r="H421" i="21"/>
  <c r="G421" i="21"/>
  <c r="H420" i="21"/>
  <c r="G420" i="21"/>
  <c r="H419" i="21"/>
  <c r="G419" i="21"/>
  <c r="H418" i="21"/>
  <c r="G418" i="21"/>
  <c r="H417" i="21"/>
  <c r="E13" i="3" s="1"/>
  <c r="G417" i="21"/>
  <c r="H416" i="21"/>
  <c r="G416" i="21"/>
  <c r="H413" i="21"/>
  <c r="J413" i="21" s="1"/>
  <c r="G413" i="21"/>
  <c r="H412" i="21"/>
  <c r="J412" i="21" s="1"/>
  <c r="G412" i="21"/>
  <c r="H411" i="21"/>
  <c r="J411" i="21" s="1"/>
  <c r="G411" i="21"/>
  <c r="J410" i="21"/>
  <c r="H410" i="21"/>
  <c r="G410" i="21"/>
  <c r="H409" i="21"/>
  <c r="J409" i="21" s="1"/>
  <c r="L409" i="21" s="1"/>
  <c r="G409" i="21"/>
  <c r="H408" i="21"/>
  <c r="J408" i="21" s="1"/>
  <c r="G408" i="21"/>
  <c r="H407" i="21"/>
  <c r="J407" i="21" s="1"/>
  <c r="L407" i="21" s="1"/>
  <c r="G407" i="21"/>
  <c r="H406" i="21"/>
  <c r="J406" i="21" s="1"/>
  <c r="G406" i="21"/>
  <c r="H405" i="21"/>
  <c r="J405" i="21" s="1"/>
  <c r="G405" i="21"/>
  <c r="H404" i="21"/>
  <c r="J404" i="21" s="1"/>
  <c r="G404" i="21"/>
  <c r="K403" i="21"/>
  <c r="H403" i="21"/>
  <c r="J403" i="21" s="1"/>
  <c r="L403" i="21" s="1"/>
  <c r="G403" i="21"/>
  <c r="H402" i="21"/>
  <c r="J402" i="21" s="1"/>
  <c r="G402" i="21"/>
  <c r="J401" i="21"/>
  <c r="L401" i="21" s="1"/>
  <c r="H401" i="21"/>
  <c r="G401" i="21"/>
  <c r="H400" i="21"/>
  <c r="J400" i="21" s="1"/>
  <c r="G400" i="21"/>
  <c r="H399" i="21"/>
  <c r="J399" i="21" s="1"/>
  <c r="G399" i="21"/>
  <c r="H398" i="21"/>
  <c r="J398" i="21" s="1"/>
  <c r="G398" i="21"/>
  <c r="H397" i="21"/>
  <c r="J397" i="21" s="1"/>
  <c r="L397" i="21" s="1"/>
  <c r="G397" i="21"/>
  <c r="H396" i="21"/>
  <c r="J396" i="21" s="1"/>
  <c r="G396" i="21"/>
  <c r="J394" i="21"/>
  <c r="K394" i="21" s="1"/>
  <c r="H394" i="21"/>
  <c r="G394" i="21"/>
  <c r="H393" i="21"/>
  <c r="J393" i="21" s="1"/>
  <c r="G393" i="21"/>
  <c r="H392" i="21"/>
  <c r="J392" i="21" s="1"/>
  <c r="G392" i="21"/>
  <c r="H391" i="21"/>
  <c r="J391" i="21" s="1"/>
  <c r="G391" i="21"/>
  <c r="H390" i="21"/>
  <c r="J390" i="21" s="1"/>
  <c r="K390" i="21" s="1"/>
  <c r="G390" i="21"/>
  <c r="H389" i="21"/>
  <c r="J389" i="21" s="1"/>
  <c r="G389" i="21"/>
  <c r="H388" i="21"/>
  <c r="J388" i="21" s="1"/>
  <c r="L388" i="21" s="1"/>
  <c r="G388" i="21"/>
  <c r="H387" i="21"/>
  <c r="J387" i="21" s="1"/>
  <c r="G387" i="21"/>
  <c r="H386" i="21"/>
  <c r="J386" i="21" s="1"/>
  <c r="G386" i="21"/>
  <c r="H385" i="21"/>
  <c r="J385" i="21" s="1"/>
  <c r="G385" i="21"/>
  <c r="J384" i="21"/>
  <c r="L384" i="21" s="1"/>
  <c r="H384" i="21"/>
  <c r="G384" i="21"/>
  <c r="H383" i="21"/>
  <c r="J383" i="21" s="1"/>
  <c r="G383" i="21"/>
  <c r="H382" i="21"/>
  <c r="J382" i="21" s="1"/>
  <c r="G382" i="21"/>
  <c r="H381" i="21"/>
  <c r="J381" i="21" s="1"/>
  <c r="G381" i="21"/>
  <c r="J380" i="21"/>
  <c r="K380" i="21" s="1"/>
  <c r="H380" i="21"/>
  <c r="G380" i="21"/>
  <c r="H379" i="21"/>
  <c r="J379" i="21" s="1"/>
  <c r="G379" i="21"/>
  <c r="H378" i="21"/>
  <c r="J378" i="21" s="1"/>
  <c r="K378" i="21" s="1"/>
  <c r="G378" i="21"/>
  <c r="H377" i="21"/>
  <c r="J377" i="21" s="1"/>
  <c r="G377" i="21"/>
  <c r="H376" i="21"/>
  <c r="J376" i="21" s="1"/>
  <c r="L376" i="21" s="1"/>
  <c r="G376" i="21"/>
  <c r="H375" i="21"/>
  <c r="J375" i="21" s="1"/>
  <c r="G375" i="21"/>
  <c r="H374" i="21"/>
  <c r="J374" i="21" s="1"/>
  <c r="G374" i="21"/>
  <c r="J373" i="21"/>
  <c r="L373" i="21" s="1"/>
  <c r="H373" i="21"/>
  <c r="G373" i="21"/>
  <c r="H372" i="21"/>
  <c r="J372" i="21" s="1"/>
  <c r="L372" i="21" s="1"/>
  <c r="G372" i="21"/>
  <c r="H371" i="21"/>
  <c r="J371" i="21" s="1"/>
  <c r="K371" i="21" s="1"/>
  <c r="G371" i="21"/>
  <c r="K370" i="21"/>
  <c r="H370" i="21"/>
  <c r="J370" i="21" s="1"/>
  <c r="L370" i="21" s="1"/>
  <c r="G370" i="21"/>
  <c r="H369" i="21"/>
  <c r="J369" i="21" s="1"/>
  <c r="G369" i="21"/>
  <c r="H368" i="21"/>
  <c r="J368" i="21" s="1"/>
  <c r="K368" i="21" s="1"/>
  <c r="G368" i="21"/>
  <c r="H367" i="21"/>
  <c r="J367" i="21" s="1"/>
  <c r="G367" i="21"/>
  <c r="H366" i="21"/>
  <c r="J366" i="21" s="1"/>
  <c r="K366" i="21" s="1"/>
  <c r="G366" i="21"/>
  <c r="H365" i="21"/>
  <c r="J365" i="21" s="1"/>
  <c r="G365" i="21"/>
  <c r="H364" i="21"/>
  <c r="J364" i="21" s="1"/>
  <c r="L364" i="21" s="1"/>
  <c r="G364" i="21"/>
  <c r="H363" i="21"/>
  <c r="J363" i="21" s="1"/>
  <c r="G363" i="21"/>
  <c r="H362" i="21"/>
  <c r="J362" i="21" s="1"/>
  <c r="G362" i="21"/>
  <c r="H361" i="21"/>
  <c r="J361" i="21" s="1"/>
  <c r="L361" i="21" s="1"/>
  <c r="G361" i="21"/>
  <c r="K360" i="21"/>
  <c r="H360" i="21"/>
  <c r="J360" i="21" s="1"/>
  <c r="L360" i="21" s="1"/>
  <c r="G360" i="21"/>
  <c r="H358" i="21"/>
  <c r="J358" i="21" s="1"/>
  <c r="K358" i="21" s="1"/>
  <c r="G358" i="21"/>
  <c r="H356" i="21"/>
  <c r="J356" i="21" s="1"/>
  <c r="G356" i="21"/>
  <c r="H355" i="21"/>
  <c r="J355" i="21" s="1"/>
  <c r="G355" i="21"/>
  <c r="H354" i="21"/>
  <c r="J354" i="21" s="1"/>
  <c r="G354" i="21"/>
  <c r="H353" i="21"/>
  <c r="J353" i="21" s="1"/>
  <c r="G353" i="21"/>
  <c r="L352" i="21"/>
  <c r="K352" i="21"/>
  <c r="H352" i="21"/>
  <c r="J352" i="21" s="1"/>
  <c r="G352" i="21"/>
  <c r="H351" i="21"/>
  <c r="J351" i="21" s="1"/>
  <c r="G351" i="21"/>
  <c r="H350" i="21"/>
  <c r="J350" i="21" s="1"/>
  <c r="G350" i="21"/>
  <c r="H349" i="21"/>
  <c r="G349" i="21"/>
  <c r="H345" i="21"/>
  <c r="J345" i="21" s="1"/>
  <c r="G345" i="21"/>
  <c r="J344" i="21"/>
  <c r="L344" i="21" s="1"/>
  <c r="H344" i="21"/>
  <c r="G344" i="21"/>
  <c r="H343" i="21"/>
  <c r="J343" i="21" s="1"/>
  <c r="G343" i="21"/>
  <c r="H342" i="21"/>
  <c r="J342" i="21" s="1"/>
  <c r="G342" i="21"/>
  <c r="L341" i="21"/>
  <c r="K341" i="21"/>
  <c r="J341" i="21"/>
  <c r="H341" i="21"/>
  <c r="G341" i="21"/>
  <c r="J340" i="21"/>
  <c r="L340" i="21" s="1"/>
  <c r="H340" i="21"/>
  <c r="G340" i="21"/>
  <c r="L339" i="21"/>
  <c r="H339" i="21"/>
  <c r="J339" i="21" s="1"/>
  <c r="K339" i="21" s="1"/>
  <c r="G339" i="21"/>
  <c r="J338" i="21"/>
  <c r="L338" i="21" s="1"/>
  <c r="H338" i="21"/>
  <c r="G338" i="21"/>
  <c r="L337" i="21"/>
  <c r="K337" i="21"/>
  <c r="J337" i="21"/>
  <c r="H337" i="21"/>
  <c r="G337" i="21"/>
  <c r="J336" i="21"/>
  <c r="K336" i="21" s="1"/>
  <c r="H336" i="21"/>
  <c r="G336" i="21"/>
  <c r="H335" i="21"/>
  <c r="J335" i="21" s="1"/>
  <c r="G335" i="21"/>
  <c r="H334" i="21"/>
  <c r="J334" i="21" s="1"/>
  <c r="K334" i="21" s="1"/>
  <c r="G334" i="21"/>
  <c r="H333" i="21"/>
  <c r="J333" i="21" s="1"/>
  <c r="G333" i="21"/>
  <c r="J332" i="21"/>
  <c r="L332" i="21" s="1"/>
  <c r="H332" i="21"/>
  <c r="G332" i="21"/>
  <c r="H331" i="21"/>
  <c r="J331" i="21" s="1"/>
  <c r="G331" i="21"/>
  <c r="H330" i="21"/>
  <c r="J330" i="21" s="1"/>
  <c r="G330" i="21"/>
  <c r="J329" i="21"/>
  <c r="L329" i="21" s="1"/>
  <c r="H329" i="21"/>
  <c r="G329" i="21"/>
  <c r="H328" i="21"/>
  <c r="J328" i="21" s="1"/>
  <c r="L328" i="21" s="1"/>
  <c r="G328" i="21"/>
  <c r="H327" i="21"/>
  <c r="J327" i="21" s="1"/>
  <c r="K327" i="21" s="1"/>
  <c r="G327" i="21"/>
  <c r="H326" i="21"/>
  <c r="J326" i="21" s="1"/>
  <c r="L326" i="21" s="1"/>
  <c r="G326" i="21"/>
  <c r="L325" i="21"/>
  <c r="K325" i="21"/>
  <c r="J325" i="21"/>
  <c r="H325" i="21"/>
  <c r="G325" i="21"/>
  <c r="H324" i="21"/>
  <c r="J324" i="21" s="1"/>
  <c r="L324" i="21" s="1"/>
  <c r="G324" i="21"/>
  <c r="H323" i="21"/>
  <c r="J323" i="21" s="1"/>
  <c r="G323" i="21"/>
  <c r="L322" i="21"/>
  <c r="K322" i="21"/>
  <c r="H322" i="21"/>
  <c r="J322" i="21" s="1"/>
  <c r="G322" i="21"/>
  <c r="H321" i="21"/>
  <c r="J321" i="21" s="1"/>
  <c r="G321" i="21"/>
  <c r="J320" i="21"/>
  <c r="L320" i="21" s="1"/>
  <c r="H320" i="21"/>
  <c r="G320" i="21"/>
  <c r="H319" i="21"/>
  <c r="J319" i="21" s="1"/>
  <c r="G319" i="21"/>
  <c r="H318" i="21"/>
  <c r="J318" i="21" s="1"/>
  <c r="G318" i="21"/>
  <c r="J317" i="21"/>
  <c r="L317" i="21" s="1"/>
  <c r="H317" i="21"/>
  <c r="G317" i="21"/>
  <c r="J316" i="21"/>
  <c r="H316" i="21"/>
  <c r="G316" i="21"/>
  <c r="H315" i="21"/>
  <c r="J315" i="21" s="1"/>
  <c r="K315" i="21" s="1"/>
  <c r="G315" i="21"/>
  <c r="J314" i="21"/>
  <c r="K314" i="21" s="1"/>
  <c r="H314" i="21"/>
  <c r="G314" i="21"/>
  <c r="L313" i="21"/>
  <c r="K313" i="21"/>
  <c r="J313" i="21"/>
  <c r="H313" i="21"/>
  <c r="G313" i="21"/>
  <c r="L312" i="21"/>
  <c r="J312" i="21"/>
  <c r="K312" i="21" s="1"/>
  <c r="H312" i="21"/>
  <c r="G312" i="21"/>
  <c r="J311" i="21"/>
  <c r="H311" i="21"/>
  <c r="G311" i="21"/>
  <c r="L310" i="21"/>
  <c r="H310" i="21"/>
  <c r="J310" i="21" s="1"/>
  <c r="K310" i="21" s="1"/>
  <c r="G310" i="21"/>
  <c r="K309" i="21"/>
  <c r="J309" i="21"/>
  <c r="L309" i="21" s="1"/>
  <c r="H309" i="21"/>
  <c r="G309" i="21"/>
  <c r="J308" i="21"/>
  <c r="L308" i="21" s="1"/>
  <c r="H308" i="21"/>
  <c r="G308" i="21"/>
  <c r="H307" i="21"/>
  <c r="J307" i="21" s="1"/>
  <c r="G307" i="21"/>
  <c r="H306" i="21"/>
  <c r="J306" i="21" s="1"/>
  <c r="G306" i="21"/>
  <c r="J305" i="21"/>
  <c r="H305" i="21"/>
  <c r="G305" i="21"/>
  <c r="K304" i="21"/>
  <c r="H304" i="21"/>
  <c r="J304" i="21" s="1"/>
  <c r="L304" i="21" s="1"/>
  <c r="G304" i="21"/>
  <c r="H303" i="21"/>
  <c r="J303" i="21" s="1"/>
  <c r="G303" i="21"/>
  <c r="H302" i="21"/>
  <c r="J302" i="21" s="1"/>
  <c r="G302" i="21"/>
  <c r="L301" i="21"/>
  <c r="K301" i="21"/>
  <c r="J301" i="21"/>
  <c r="H301" i="21"/>
  <c r="G301" i="21"/>
  <c r="L300" i="21"/>
  <c r="K300" i="21"/>
  <c r="J300" i="21"/>
  <c r="H300" i="21"/>
  <c r="G300" i="21"/>
  <c r="H299" i="21"/>
  <c r="J299" i="21" s="1"/>
  <c r="G299" i="21"/>
  <c r="L298" i="21"/>
  <c r="K298" i="21"/>
  <c r="H298" i="21"/>
  <c r="J298" i="21" s="1"/>
  <c r="G298" i="21"/>
  <c r="H295" i="21"/>
  <c r="J295" i="21" s="1"/>
  <c r="G295" i="21"/>
  <c r="H294" i="21"/>
  <c r="J294" i="21" s="1"/>
  <c r="L294" i="21" s="1"/>
  <c r="G294" i="21"/>
  <c r="H293" i="21"/>
  <c r="J293" i="21" s="1"/>
  <c r="K293" i="21" s="1"/>
  <c r="G293" i="21"/>
  <c r="H292" i="21"/>
  <c r="J292" i="21" s="1"/>
  <c r="G292" i="21"/>
  <c r="H291" i="21"/>
  <c r="J291" i="21" s="1"/>
  <c r="K291" i="21" s="1"/>
  <c r="G291" i="21"/>
  <c r="H290" i="21"/>
  <c r="J290" i="21" s="1"/>
  <c r="G290" i="21"/>
  <c r="H289" i="21"/>
  <c r="J289" i="21" s="1"/>
  <c r="L289" i="21" s="1"/>
  <c r="G289" i="21"/>
  <c r="H288" i="21"/>
  <c r="J288" i="21" s="1"/>
  <c r="G288" i="21"/>
  <c r="H287" i="21"/>
  <c r="J287" i="21" s="1"/>
  <c r="G287" i="21"/>
  <c r="H286" i="21"/>
  <c r="J286" i="21" s="1"/>
  <c r="L286" i="21" s="1"/>
  <c r="G286" i="21"/>
  <c r="H285" i="21"/>
  <c r="J285" i="21" s="1"/>
  <c r="G285" i="21"/>
  <c r="H284" i="21"/>
  <c r="J284" i="21" s="1"/>
  <c r="K284" i="21" s="1"/>
  <c r="G284" i="21"/>
  <c r="H283" i="21"/>
  <c r="J283" i="21" s="1"/>
  <c r="G283" i="21"/>
  <c r="H282" i="21"/>
  <c r="J282" i="21" s="1"/>
  <c r="L282" i="21" s="1"/>
  <c r="G282" i="21"/>
  <c r="H281" i="21"/>
  <c r="J281" i="21" s="1"/>
  <c r="K281" i="21" s="1"/>
  <c r="G281" i="21"/>
  <c r="H280" i="21"/>
  <c r="J280" i="21" s="1"/>
  <c r="G280" i="21"/>
  <c r="H279" i="21"/>
  <c r="J279" i="21" s="1"/>
  <c r="K279" i="21" s="1"/>
  <c r="G279" i="21"/>
  <c r="H278" i="21"/>
  <c r="J278" i="21" s="1"/>
  <c r="G278" i="21"/>
  <c r="H277" i="21"/>
  <c r="J277" i="21" s="1"/>
  <c r="L277" i="21" s="1"/>
  <c r="G277" i="21"/>
  <c r="H276" i="21"/>
  <c r="J276" i="21" s="1"/>
  <c r="G276" i="21"/>
  <c r="H275" i="21"/>
  <c r="J275" i="21" s="1"/>
  <c r="G275" i="21"/>
  <c r="H274" i="21"/>
  <c r="J274" i="21" s="1"/>
  <c r="L274" i="21" s="1"/>
  <c r="G274" i="21"/>
  <c r="H273" i="21"/>
  <c r="J273" i="21" s="1"/>
  <c r="G273" i="21"/>
  <c r="H272" i="21"/>
  <c r="J272" i="21" s="1"/>
  <c r="K272" i="21" s="1"/>
  <c r="G272" i="21"/>
  <c r="H271" i="21"/>
  <c r="J271" i="21" s="1"/>
  <c r="K271" i="21" s="1"/>
  <c r="G271" i="21"/>
  <c r="H270" i="21"/>
  <c r="J270" i="21" s="1"/>
  <c r="L270" i="21" s="1"/>
  <c r="G270" i="21"/>
  <c r="H269" i="21"/>
  <c r="J269" i="21" s="1"/>
  <c r="K269" i="21" s="1"/>
  <c r="G269" i="21"/>
  <c r="H268" i="21"/>
  <c r="J268" i="21" s="1"/>
  <c r="G268" i="21"/>
  <c r="H267" i="21"/>
  <c r="J267" i="21" s="1"/>
  <c r="K267" i="21" s="1"/>
  <c r="G267" i="21"/>
  <c r="H266" i="21"/>
  <c r="J266" i="21" s="1"/>
  <c r="G266" i="21"/>
  <c r="H265" i="21"/>
  <c r="J265" i="21" s="1"/>
  <c r="L265" i="21" s="1"/>
  <c r="G265" i="21"/>
  <c r="H264" i="21"/>
  <c r="J264" i="21" s="1"/>
  <c r="G264" i="21"/>
  <c r="H263" i="21"/>
  <c r="J263" i="21" s="1"/>
  <c r="G263" i="21"/>
  <c r="H262" i="21"/>
  <c r="J262" i="21" s="1"/>
  <c r="L262" i="21" s="1"/>
  <c r="G262" i="21"/>
  <c r="H261" i="21"/>
  <c r="J261" i="21" s="1"/>
  <c r="L261" i="21" s="1"/>
  <c r="G261" i="21"/>
  <c r="H260" i="21"/>
  <c r="J260" i="21" s="1"/>
  <c r="K260" i="21" s="1"/>
  <c r="G260" i="21"/>
  <c r="H259" i="21"/>
  <c r="J259" i="21" s="1"/>
  <c r="L259" i="21" s="1"/>
  <c r="G259" i="21"/>
  <c r="H258" i="21"/>
  <c r="J258" i="21" s="1"/>
  <c r="L258" i="21" s="1"/>
  <c r="G258" i="21"/>
  <c r="H257" i="21"/>
  <c r="J257" i="21" s="1"/>
  <c r="G257" i="21"/>
  <c r="H256" i="21"/>
  <c r="J256" i="21" s="1"/>
  <c r="G256" i="21"/>
  <c r="H255" i="21"/>
  <c r="J255" i="21" s="1"/>
  <c r="L255" i="21" s="1"/>
  <c r="G255" i="21"/>
  <c r="H254" i="21"/>
  <c r="J254" i="21" s="1"/>
  <c r="L254" i="21" s="1"/>
  <c r="G254" i="21"/>
  <c r="H253" i="21"/>
  <c r="J253" i="21" s="1"/>
  <c r="G253" i="21"/>
  <c r="H252" i="21"/>
  <c r="J252" i="21" s="1"/>
  <c r="K252" i="21" s="1"/>
  <c r="G252" i="21"/>
  <c r="H251" i="21"/>
  <c r="G251" i="21"/>
  <c r="H249" i="21"/>
  <c r="H248" i="21"/>
  <c r="J248" i="21" s="1"/>
  <c r="G248" i="21"/>
  <c r="H247" i="21"/>
  <c r="J247" i="21" s="1"/>
  <c r="G247" i="21"/>
  <c r="K246" i="21"/>
  <c r="J246" i="21"/>
  <c r="L246" i="21" s="1"/>
  <c r="H246" i="21"/>
  <c r="G246" i="21"/>
  <c r="J245" i="21"/>
  <c r="H245" i="21"/>
  <c r="G245" i="21"/>
  <c r="H244" i="21"/>
  <c r="J244" i="21" s="1"/>
  <c r="G244" i="21"/>
  <c r="K241" i="21"/>
  <c r="J241" i="21"/>
  <c r="L241" i="21" s="1"/>
  <c r="H241" i="21"/>
  <c r="G241" i="21"/>
  <c r="L240" i="21"/>
  <c r="K240" i="21"/>
  <c r="J240" i="21"/>
  <c r="H240" i="21"/>
  <c r="G240" i="21"/>
  <c r="H239" i="21"/>
  <c r="J239" i="21" s="1"/>
  <c r="G239" i="21"/>
  <c r="L238" i="21"/>
  <c r="J238" i="21"/>
  <c r="K238" i="21" s="1"/>
  <c r="H238" i="21"/>
  <c r="G238" i="21"/>
  <c r="J237" i="21"/>
  <c r="L237" i="21" s="1"/>
  <c r="H237" i="21"/>
  <c r="G237" i="21"/>
  <c r="L236" i="21"/>
  <c r="J236" i="21"/>
  <c r="K236" i="21" s="1"/>
  <c r="H236" i="21"/>
  <c r="G236" i="21"/>
  <c r="L235" i="21"/>
  <c r="K235" i="21"/>
  <c r="J235" i="21"/>
  <c r="H235" i="21"/>
  <c r="G235" i="21"/>
  <c r="L234" i="21"/>
  <c r="K234" i="21"/>
  <c r="J234" i="21"/>
  <c r="H234" i="21"/>
  <c r="G234" i="21"/>
  <c r="L233" i="21"/>
  <c r="K233" i="21"/>
  <c r="H233" i="21"/>
  <c r="J233" i="21" s="1"/>
  <c r="G233" i="21"/>
  <c r="H232" i="21"/>
  <c r="J232" i="21" s="1"/>
  <c r="G232" i="21"/>
  <c r="L231" i="21"/>
  <c r="K231" i="21"/>
  <c r="H231" i="21"/>
  <c r="J231" i="21" s="1"/>
  <c r="G231" i="21"/>
  <c r="H230" i="21"/>
  <c r="J230" i="21" s="1"/>
  <c r="G230" i="21"/>
  <c r="K229" i="21"/>
  <c r="J229" i="21"/>
  <c r="L229" i="21" s="1"/>
  <c r="H229" i="21"/>
  <c r="G229" i="21"/>
  <c r="H228" i="21"/>
  <c r="J228" i="21" s="1"/>
  <c r="G228" i="21"/>
  <c r="H227" i="21"/>
  <c r="J227" i="21" s="1"/>
  <c r="G227" i="21"/>
  <c r="J226" i="21"/>
  <c r="L226" i="21" s="1"/>
  <c r="H226" i="21"/>
  <c r="G226" i="21"/>
  <c r="K225" i="21"/>
  <c r="H225" i="21"/>
  <c r="J225" i="21" s="1"/>
  <c r="L225" i="21" s="1"/>
  <c r="G225" i="21"/>
  <c r="L224" i="21"/>
  <c r="J224" i="21"/>
  <c r="K224" i="21" s="1"/>
  <c r="H224" i="21"/>
  <c r="G224" i="21"/>
  <c r="J223" i="21"/>
  <c r="K223" i="21" s="1"/>
  <c r="H223" i="21"/>
  <c r="G223" i="21"/>
  <c r="L222" i="21"/>
  <c r="K222" i="21"/>
  <c r="J222" i="21"/>
  <c r="H222" i="21"/>
  <c r="G222" i="21"/>
  <c r="L221" i="21"/>
  <c r="J221" i="21"/>
  <c r="K221" i="21" s="1"/>
  <c r="H221" i="21"/>
  <c r="G221" i="21"/>
  <c r="H220" i="21"/>
  <c r="J220" i="21" s="1"/>
  <c r="G220" i="21"/>
  <c r="L219" i="21"/>
  <c r="H219" i="21"/>
  <c r="J219" i="21" s="1"/>
  <c r="K219" i="21" s="1"/>
  <c r="G219" i="21"/>
  <c r="H218" i="21"/>
  <c r="J218" i="21" s="1"/>
  <c r="G218" i="21"/>
  <c r="K217" i="21"/>
  <c r="J217" i="21"/>
  <c r="L217" i="21" s="1"/>
  <c r="H217" i="21"/>
  <c r="G217" i="21"/>
  <c r="H216" i="21"/>
  <c r="J216" i="21" s="1"/>
  <c r="G216" i="21"/>
  <c r="H215" i="21"/>
  <c r="J215" i="21" s="1"/>
  <c r="G215" i="21"/>
  <c r="J214" i="21"/>
  <c r="L214" i="21" s="1"/>
  <c r="H214" i="21"/>
  <c r="G214" i="21"/>
  <c r="J213" i="21"/>
  <c r="L213" i="21" s="1"/>
  <c r="H213" i="21"/>
  <c r="G213" i="21"/>
  <c r="L212" i="21"/>
  <c r="J212" i="21"/>
  <c r="K212" i="21" s="1"/>
  <c r="H212" i="21"/>
  <c r="G212" i="21"/>
  <c r="L211" i="21"/>
  <c r="K211" i="21"/>
  <c r="J211" i="21"/>
  <c r="H211" i="21"/>
  <c r="G211" i="21"/>
  <c r="L210" i="21"/>
  <c r="K210" i="21"/>
  <c r="J210" i="21"/>
  <c r="H210" i="21"/>
  <c r="G210" i="21"/>
  <c r="H209" i="21"/>
  <c r="J209" i="21" s="1"/>
  <c r="G209" i="21"/>
  <c r="J208" i="21"/>
  <c r="H208" i="21"/>
  <c r="G208" i="21"/>
  <c r="H207" i="21"/>
  <c r="J207" i="21" s="1"/>
  <c r="L207" i="21" s="1"/>
  <c r="G207" i="21"/>
  <c r="K206" i="21"/>
  <c r="H206" i="21"/>
  <c r="J206" i="21" s="1"/>
  <c r="L206" i="21" s="1"/>
  <c r="G206" i="21"/>
  <c r="K205" i="21"/>
  <c r="J205" i="21"/>
  <c r="L205" i="21" s="1"/>
  <c r="H205" i="21"/>
  <c r="G205" i="21"/>
  <c r="J204" i="21"/>
  <c r="K204" i="21" s="1"/>
  <c r="H204" i="21"/>
  <c r="G204" i="21"/>
  <c r="H203" i="21"/>
  <c r="J203" i="21" s="1"/>
  <c r="G203" i="21"/>
  <c r="L202" i="21"/>
  <c r="K202" i="21"/>
  <c r="J202" i="21"/>
  <c r="H202" i="21"/>
  <c r="G202" i="21"/>
  <c r="H201" i="21"/>
  <c r="J201" i="21" s="1"/>
  <c r="G201" i="21"/>
  <c r="L200" i="21"/>
  <c r="J200" i="21"/>
  <c r="K200" i="21" s="1"/>
  <c r="H200" i="21"/>
  <c r="G200" i="21"/>
  <c r="H199" i="21"/>
  <c r="J199" i="21" s="1"/>
  <c r="G199" i="21"/>
  <c r="L198" i="21"/>
  <c r="K198" i="21"/>
  <c r="J198" i="21"/>
  <c r="H198" i="21"/>
  <c r="G198" i="21"/>
  <c r="H197" i="21"/>
  <c r="J197" i="21" s="1"/>
  <c r="G197" i="21"/>
  <c r="H196" i="21"/>
  <c r="J196" i="21" s="1"/>
  <c r="G196" i="21"/>
  <c r="H195" i="21"/>
  <c r="J195" i="21" s="1"/>
  <c r="L195" i="21" s="1"/>
  <c r="G195" i="21"/>
  <c r="L194" i="21"/>
  <c r="J194" i="21"/>
  <c r="K194" i="21" s="1"/>
  <c r="H194" i="21"/>
  <c r="G194" i="21"/>
  <c r="H191" i="21"/>
  <c r="J191" i="21" s="1"/>
  <c r="L191" i="21" s="1"/>
  <c r="G191" i="21"/>
  <c r="H190" i="21"/>
  <c r="J190" i="21" s="1"/>
  <c r="G190" i="21"/>
  <c r="H189" i="21"/>
  <c r="J189" i="21" s="1"/>
  <c r="G189" i="21"/>
  <c r="H188" i="21"/>
  <c r="J188" i="21" s="1"/>
  <c r="L188" i="21" s="1"/>
  <c r="G188" i="21"/>
  <c r="H187" i="21"/>
  <c r="J187" i="21" s="1"/>
  <c r="L187" i="21" s="1"/>
  <c r="G187" i="21"/>
  <c r="J186" i="21"/>
  <c r="L186" i="21" s="1"/>
  <c r="H186" i="21"/>
  <c r="G186" i="21"/>
  <c r="J185" i="21"/>
  <c r="H185" i="21"/>
  <c r="G185" i="21"/>
  <c r="H184" i="21"/>
  <c r="J184" i="21" s="1"/>
  <c r="G184" i="21"/>
  <c r="J183" i="21"/>
  <c r="L183" i="21" s="1"/>
  <c r="H183" i="21"/>
  <c r="G183" i="21"/>
  <c r="H182" i="21"/>
  <c r="J182" i="21" s="1"/>
  <c r="G182" i="21"/>
  <c r="J181" i="21"/>
  <c r="K181" i="21" s="1"/>
  <c r="H181" i="21"/>
  <c r="G181" i="21"/>
  <c r="H180" i="21"/>
  <c r="J180" i="21" s="1"/>
  <c r="G180" i="21"/>
  <c r="H179" i="21"/>
  <c r="J179" i="21" s="1"/>
  <c r="L179" i="21" s="1"/>
  <c r="G179" i="21"/>
  <c r="H178" i="21"/>
  <c r="J178" i="21" s="1"/>
  <c r="G178" i="21"/>
  <c r="H177" i="21"/>
  <c r="J177" i="21" s="1"/>
  <c r="G177" i="21"/>
  <c r="H176" i="21"/>
  <c r="J176" i="21" s="1"/>
  <c r="G176" i="21"/>
  <c r="H175" i="21"/>
  <c r="J175" i="21" s="1"/>
  <c r="K175" i="21" s="1"/>
  <c r="G175" i="21"/>
  <c r="H174" i="21"/>
  <c r="J174" i="21" s="1"/>
  <c r="L174" i="21" s="1"/>
  <c r="G174" i="21"/>
  <c r="H173" i="21"/>
  <c r="J173" i="21" s="1"/>
  <c r="G173" i="21"/>
  <c r="H172" i="21"/>
  <c r="J172" i="21" s="1"/>
  <c r="G172" i="21"/>
  <c r="H171" i="21"/>
  <c r="J171" i="21" s="1"/>
  <c r="G171" i="21"/>
  <c r="H170" i="21"/>
  <c r="J170" i="21" s="1"/>
  <c r="G170" i="21"/>
  <c r="J169" i="21"/>
  <c r="K169" i="21" s="1"/>
  <c r="H169" i="21"/>
  <c r="G169" i="21"/>
  <c r="H168" i="21"/>
  <c r="G168" i="21"/>
  <c r="H167" i="21"/>
  <c r="J167" i="21" s="1"/>
  <c r="L167" i="21" s="1"/>
  <c r="G167" i="21"/>
  <c r="H165" i="21"/>
  <c r="J164" i="21"/>
  <c r="K164" i="21" s="1"/>
  <c r="H164" i="21"/>
  <c r="G164" i="21"/>
  <c r="H163" i="21"/>
  <c r="J163" i="21" s="1"/>
  <c r="G163" i="21"/>
  <c r="L162" i="21"/>
  <c r="J162" i="21"/>
  <c r="K162" i="21" s="1"/>
  <c r="H162" i="21"/>
  <c r="G162" i="21"/>
  <c r="H161" i="21"/>
  <c r="J161" i="21" s="1"/>
  <c r="G161" i="21"/>
  <c r="L160" i="21"/>
  <c r="K160" i="21"/>
  <c r="J160" i="21"/>
  <c r="H160" i="21"/>
  <c r="G160" i="21"/>
  <c r="H159" i="21"/>
  <c r="J159" i="21" s="1"/>
  <c r="G159" i="21"/>
  <c r="J158" i="21"/>
  <c r="H158" i="21"/>
  <c r="G158" i="21"/>
  <c r="L155" i="21"/>
  <c r="J155" i="21"/>
  <c r="K155" i="21" s="1"/>
  <c r="H155" i="21"/>
  <c r="G155" i="21"/>
  <c r="H154" i="21"/>
  <c r="J154" i="21" s="1"/>
  <c r="G154" i="21"/>
  <c r="H153" i="21"/>
  <c r="J153" i="21" s="1"/>
  <c r="G153" i="21"/>
  <c r="L152" i="21"/>
  <c r="K152" i="21"/>
  <c r="J152" i="21"/>
  <c r="H152" i="21"/>
  <c r="G152" i="21"/>
  <c r="J151" i="21"/>
  <c r="H151" i="21"/>
  <c r="G151" i="21"/>
  <c r="L150" i="21"/>
  <c r="K150" i="21"/>
  <c r="H150" i="21"/>
  <c r="J150" i="21" s="1"/>
  <c r="G150" i="21"/>
  <c r="L149" i="21"/>
  <c r="K149" i="21"/>
  <c r="J149" i="21"/>
  <c r="H149" i="21"/>
  <c r="G149" i="21"/>
  <c r="K148" i="21"/>
  <c r="J148" i="21"/>
  <c r="L148" i="21" s="1"/>
  <c r="H148" i="21"/>
  <c r="G148" i="21"/>
  <c r="L147" i="21"/>
  <c r="K147" i="21"/>
  <c r="J147" i="21"/>
  <c r="H147" i="21"/>
  <c r="G147" i="21"/>
  <c r="H146" i="21"/>
  <c r="J146" i="21" s="1"/>
  <c r="G146" i="21"/>
  <c r="L145" i="21"/>
  <c r="K145" i="21"/>
  <c r="J145" i="21"/>
  <c r="H145" i="21"/>
  <c r="G145" i="21"/>
  <c r="K144" i="21"/>
  <c r="J144" i="21"/>
  <c r="L144" i="21" s="1"/>
  <c r="H144" i="21"/>
  <c r="G144" i="21"/>
  <c r="L143" i="21"/>
  <c r="J143" i="21"/>
  <c r="K143" i="21" s="1"/>
  <c r="H143" i="21"/>
  <c r="G143" i="21"/>
  <c r="H142" i="21"/>
  <c r="J142" i="21" s="1"/>
  <c r="G142" i="21"/>
  <c r="L141" i="21"/>
  <c r="K141" i="21"/>
  <c r="J141" i="21"/>
  <c r="H141" i="21"/>
  <c r="G141" i="21"/>
  <c r="H140" i="21"/>
  <c r="J140" i="21" s="1"/>
  <c r="G140" i="21"/>
  <c r="H139" i="21"/>
  <c r="J139" i="21" s="1"/>
  <c r="G139" i="21"/>
  <c r="H138" i="21"/>
  <c r="J138" i="21" s="1"/>
  <c r="L138" i="21" s="1"/>
  <c r="G138" i="21"/>
  <c r="J137" i="21"/>
  <c r="K137" i="21" s="1"/>
  <c r="H137" i="21"/>
  <c r="G137" i="21"/>
  <c r="K136" i="21"/>
  <c r="J136" i="21"/>
  <c r="L136" i="21" s="1"/>
  <c r="H136" i="21"/>
  <c r="G136" i="21"/>
  <c r="H135" i="21"/>
  <c r="J135" i="21" s="1"/>
  <c r="L135" i="21" s="1"/>
  <c r="G135" i="21"/>
  <c r="H134" i="21"/>
  <c r="J134" i="21" s="1"/>
  <c r="G134" i="21"/>
  <c r="L133" i="21"/>
  <c r="J133" i="21"/>
  <c r="K133" i="21" s="1"/>
  <c r="H133" i="21"/>
  <c r="G133" i="21"/>
  <c r="H132" i="21"/>
  <c r="J132" i="21" s="1"/>
  <c r="G132" i="21"/>
  <c r="L131" i="21"/>
  <c r="J131" i="21"/>
  <c r="K131" i="21" s="1"/>
  <c r="H131" i="21"/>
  <c r="G131" i="21"/>
  <c r="H130" i="21"/>
  <c r="J130" i="21" s="1"/>
  <c r="G130" i="21"/>
  <c r="L129" i="21"/>
  <c r="K129" i="21"/>
  <c r="J129" i="21"/>
  <c r="H129" i="21"/>
  <c r="G129" i="21"/>
  <c r="H128" i="21"/>
  <c r="J128" i="21" s="1"/>
  <c r="G128" i="21"/>
  <c r="J127" i="21"/>
  <c r="H127" i="21"/>
  <c r="G127" i="21"/>
  <c r="H126" i="21"/>
  <c r="J126" i="21" s="1"/>
  <c r="K126" i="21" s="1"/>
  <c r="G126" i="21"/>
  <c r="L125" i="21"/>
  <c r="K125" i="21"/>
  <c r="J125" i="21"/>
  <c r="H125" i="21"/>
  <c r="G125" i="21"/>
  <c r="K124" i="21"/>
  <c r="J124" i="21"/>
  <c r="L124" i="21" s="1"/>
  <c r="H124" i="21"/>
  <c r="G124" i="21"/>
  <c r="H123" i="21"/>
  <c r="J123" i="21" s="1"/>
  <c r="G123" i="21"/>
  <c r="H122" i="21"/>
  <c r="J122" i="21" s="1"/>
  <c r="G122" i="21"/>
  <c r="L121" i="21"/>
  <c r="K121" i="21"/>
  <c r="J121" i="21"/>
  <c r="H121" i="21"/>
  <c r="G121" i="21"/>
  <c r="H120" i="21"/>
  <c r="J120" i="21" s="1"/>
  <c r="G120" i="21"/>
  <c r="L119" i="21"/>
  <c r="J119" i="21"/>
  <c r="K119" i="21" s="1"/>
  <c r="H119" i="21"/>
  <c r="G119" i="21"/>
  <c r="J118" i="21"/>
  <c r="L118" i="21" s="1"/>
  <c r="H118" i="21"/>
  <c r="G118" i="21"/>
  <c r="H115" i="21"/>
  <c r="J115" i="21" s="1"/>
  <c r="G115" i="21"/>
  <c r="L114" i="21"/>
  <c r="K114" i="21"/>
  <c r="H114" i="21"/>
  <c r="J114" i="21" s="1"/>
  <c r="G114" i="21"/>
  <c r="H113" i="21"/>
  <c r="J113" i="21" s="1"/>
  <c r="G113" i="21"/>
  <c r="H112" i="21"/>
  <c r="J112" i="21" s="1"/>
  <c r="G112" i="21"/>
  <c r="H111" i="21"/>
  <c r="J111" i="21" s="1"/>
  <c r="G111" i="21"/>
  <c r="H110" i="21"/>
  <c r="J110" i="21" s="1"/>
  <c r="G110" i="21"/>
  <c r="L109" i="21"/>
  <c r="K109" i="21"/>
  <c r="J109" i="21"/>
  <c r="H109" i="21"/>
  <c r="G109" i="21"/>
  <c r="H108" i="21"/>
  <c r="J108" i="21" s="1"/>
  <c r="G108" i="21"/>
  <c r="L107" i="21"/>
  <c r="J107" i="21"/>
  <c r="K107" i="21" s="1"/>
  <c r="H107" i="21"/>
  <c r="G107" i="21"/>
  <c r="J106" i="21"/>
  <c r="L106" i="21" s="1"/>
  <c r="H106" i="21"/>
  <c r="G106" i="21"/>
  <c r="H105" i="21"/>
  <c r="J105" i="21" s="1"/>
  <c r="G105" i="21"/>
  <c r="H104" i="21"/>
  <c r="J104" i="21" s="1"/>
  <c r="G104" i="21"/>
  <c r="H101" i="21"/>
  <c r="J101" i="21" s="1"/>
  <c r="G101" i="21"/>
  <c r="H100" i="21"/>
  <c r="J100" i="21" s="1"/>
  <c r="L100" i="21" s="1"/>
  <c r="G100" i="21"/>
  <c r="H99" i="21"/>
  <c r="J99" i="21" s="1"/>
  <c r="L99" i="21" s="1"/>
  <c r="G99" i="21"/>
  <c r="H98" i="21"/>
  <c r="J98" i="21" s="1"/>
  <c r="G98" i="21"/>
  <c r="H97" i="21"/>
  <c r="J97" i="21" s="1"/>
  <c r="G97" i="21"/>
  <c r="H96" i="21"/>
  <c r="J96" i="21" s="1"/>
  <c r="L96" i="21" s="1"/>
  <c r="G96" i="21"/>
  <c r="H95" i="21"/>
  <c r="J95" i="21" s="1"/>
  <c r="K95" i="21" s="1"/>
  <c r="G95" i="21"/>
  <c r="H94" i="21"/>
  <c r="J94" i="21" s="1"/>
  <c r="K94" i="21" s="1"/>
  <c r="G94" i="21"/>
  <c r="H93" i="21"/>
  <c r="J93" i="21" s="1"/>
  <c r="L93" i="21" s="1"/>
  <c r="G93" i="21"/>
  <c r="H90" i="21"/>
  <c r="J90" i="21" s="1"/>
  <c r="G90" i="21"/>
  <c r="F88" i="21"/>
  <c r="H88" i="21" s="1"/>
  <c r="J88" i="21" s="1"/>
  <c r="F87" i="21"/>
  <c r="G87" i="21" s="1"/>
  <c r="F86" i="21"/>
  <c r="F89" i="21" s="1"/>
  <c r="H89" i="21" s="1"/>
  <c r="J89" i="21" s="1"/>
  <c r="L89" i="21" s="1"/>
  <c r="F85" i="21"/>
  <c r="H85" i="21" s="1"/>
  <c r="J85" i="21" s="1"/>
  <c r="H84" i="21"/>
  <c r="J84" i="21" s="1"/>
  <c r="K84" i="21" s="1"/>
  <c r="G84" i="21"/>
  <c r="F82" i="21"/>
  <c r="F81" i="21"/>
  <c r="H81" i="21" s="1"/>
  <c r="J81" i="21" s="1"/>
  <c r="L81" i="21" s="1"/>
  <c r="F80" i="21"/>
  <c r="F83" i="21" s="1"/>
  <c r="H83" i="21" s="1"/>
  <c r="J83" i="21" s="1"/>
  <c r="F79" i="21"/>
  <c r="H79" i="21" s="1"/>
  <c r="J79" i="21" s="1"/>
  <c r="H78" i="21"/>
  <c r="J78" i="21" s="1"/>
  <c r="K78" i="21" s="1"/>
  <c r="G78" i="21"/>
  <c r="F76" i="21"/>
  <c r="H76" i="21" s="1"/>
  <c r="J76" i="21" s="1"/>
  <c r="L76" i="21" s="1"/>
  <c r="F75" i="21"/>
  <c r="F74" i="21"/>
  <c r="H74" i="21" s="1"/>
  <c r="J74" i="21" s="1"/>
  <c r="F73" i="21"/>
  <c r="H73" i="21" s="1"/>
  <c r="J73" i="21" s="1"/>
  <c r="L73" i="21" s="1"/>
  <c r="H72" i="21"/>
  <c r="J72" i="21" s="1"/>
  <c r="G72" i="21"/>
  <c r="F70" i="21"/>
  <c r="F69" i="21"/>
  <c r="G69" i="21" s="1"/>
  <c r="F68" i="21"/>
  <c r="H68" i="21" s="1"/>
  <c r="J68" i="21" s="1"/>
  <c r="F67" i="21"/>
  <c r="F71" i="21" s="1"/>
  <c r="F66" i="21"/>
  <c r="H66" i="21" s="1"/>
  <c r="H65" i="21"/>
  <c r="J65" i="21" s="1"/>
  <c r="G65" i="21"/>
  <c r="F62" i="21"/>
  <c r="H62" i="21" s="1"/>
  <c r="J62" i="21" s="1"/>
  <c r="K62" i="21" s="1"/>
  <c r="F61" i="21"/>
  <c r="H61" i="21" s="1"/>
  <c r="J61" i="21" s="1"/>
  <c r="F60" i="21"/>
  <c r="H60" i="21" s="1"/>
  <c r="J60" i="21" s="1"/>
  <c r="H59" i="21"/>
  <c r="J59" i="21" s="1"/>
  <c r="L59" i="21" s="1"/>
  <c r="G59" i="21"/>
  <c r="F58" i="21"/>
  <c r="H58" i="21" s="1"/>
  <c r="J58" i="21" s="1"/>
  <c r="F57" i="21"/>
  <c r="H57" i="21" s="1"/>
  <c r="J57" i="21" s="1"/>
  <c r="K57" i="21" s="1"/>
  <c r="F56" i="21"/>
  <c r="G56" i="21" s="1"/>
  <c r="F55" i="21"/>
  <c r="H55" i="21" s="1"/>
  <c r="J55" i="21" s="1"/>
  <c r="H54" i="21"/>
  <c r="J54" i="21" s="1"/>
  <c r="K54" i="21" s="1"/>
  <c r="G54" i="21"/>
  <c r="F53" i="21"/>
  <c r="G53" i="21" s="1"/>
  <c r="F52" i="21"/>
  <c r="H52" i="21" s="1"/>
  <c r="J52" i="21" s="1"/>
  <c r="H51" i="21"/>
  <c r="J51" i="21" s="1"/>
  <c r="F51" i="21"/>
  <c r="G51" i="21" s="1"/>
  <c r="H50" i="21"/>
  <c r="J50" i="21" s="1"/>
  <c r="G50" i="21"/>
  <c r="G48" i="21"/>
  <c r="F48" i="21"/>
  <c r="H48" i="21" s="1"/>
  <c r="J48" i="21" s="1"/>
  <c r="K48" i="21" s="1"/>
  <c r="F47" i="21"/>
  <c r="H47" i="21" s="1"/>
  <c r="J47" i="21" s="1"/>
  <c r="F46" i="21"/>
  <c r="F45" i="21"/>
  <c r="G45" i="21" s="1"/>
  <c r="F44" i="21"/>
  <c r="H44" i="21" s="1"/>
  <c r="J44" i="21" s="1"/>
  <c r="F43" i="21"/>
  <c r="F49" i="21" s="1"/>
  <c r="H42" i="21"/>
  <c r="J42" i="21" s="1"/>
  <c r="G42" i="21"/>
  <c r="F40" i="21"/>
  <c r="H40" i="21" s="1"/>
  <c r="J40" i="21" s="1"/>
  <c r="H39" i="21"/>
  <c r="J39" i="21" s="1"/>
  <c r="L39" i="21" s="1"/>
  <c r="F39" i="21"/>
  <c r="G39" i="21" s="1"/>
  <c r="F38" i="21"/>
  <c r="H38" i="21" s="1"/>
  <c r="J38" i="21" s="1"/>
  <c r="F37" i="21"/>
  <c r="H37" i="21" s="1"/>
  <c r="J37" i="21" s="1"/>
  <c r="F36" i="21"/>
  <c r="G36" i="21" s="1"/>
  <c r="F35" i="21"/>
  <c r="H35" i="21" s="1"/>
  <c r="J35" i="21" s="1"/>
  <c r="H34" i="21"/>
  <c r="J34" i="21" s="1"/>
  <c r="G34" i="21"/>
  <c r="H31" i="21"/>
  <c r="J31" i="21" s="1"/>
  <c r="K31" i="21" s="1"/>
  <c r="G31" i="21"/>
  <c r="H30" i="21"/>
  <c r="J30" i="21" s="1"/>
  <c r="G30" i="21"/>
  <c r="H29" i="21"/>
  <c r="J29" i="21" s="1"/>
  <c r="G29" i="21"/>
  <c r="H28" i="21"/>
  <c r="J28" i="21" s="1"/>
  <c r="G28" i="21"/>
  <c r="H27" i="21"/>
  <c r="J27" i="21" s="1"/>
  <c r="G27" i="21"/>
  <c r="H26" i="21"/>
  <c r="J26" i="21" s="1"/>
  <c r="L26" i="21" s="1"/>
  <c r="G26" i="21"/>
  <c r="H23" i="21"/>
  <c r="J23" i="21" s="1"/>
  <c r="L23" i="21" s="1"/>
  <c r="G23" i="21"/>
  <c r="F23" i="21"/>
  <c r="H22" i="21"/>
  <c r="J22" i="21" s="1"/>
  <c r="G22" i="21"/>
  <c r="H21" i="21"/>
  <c r="J21" i="21" s="1"/>
  <c r="L21" i="21" s="1"/>
  <c r="G21" i="21"/>
  <c r="H20" i="21"/>
  <c r="J20" i="21" s="1"/>
  <c r="G20" i="21"/>
  <c r="F19" i="21"/>
  <c r="H19" i="21" s="1"/>
  <c r="J19" i="21" s="1"/>
  <c r="L19" i="21" s="1"/>
  <c r="H18" i="21"/>
  <c r="J18" i="21" s="1"/>
  <c r="G18" i="21"/>
  <c r="F17" i="21"/>
  <c r="H16" i="21"/>
  <c r="J16" i="21" s="1"/>
  <c r="K16" i="21" s="1"/>
  <c r="G16" i="21"/>
  <c r="F15" i="21"/>
  <c r="H15" i="21" s="1"/>
  <c r="J15" i="21" s="1"/>
  <c r="H14" i="21"/>
  <c r="J14" i="21" s="1"/>
  <c r="L14" i="21" s="1"/>
  <c r="G14" i="21"/>
  <c r="F13" i="21"/>
  <c r="H13" i="21" s="1"/>
  <c r="J13" i="21" s="1"/>
  <c r="L13" i="21" s="1"/>
  <c r="H12" i="21"/>
  <c r="J12" i="21" s="1"/>
  <c r="G12" i="21"/>
  <c r="F11" i="21"/>
  <c r="H11" i="21" s="1"/>
  <c r="J11" i="21" s="1"/>
  <c r="L11" i="21" s="1"/>
  <c r="H10" i="21"/>
  <c r="J10" i="21" s="1"/>
  <c r="L10" i="21" s="1"/>
  <c r="G10" i="21"/>
  <c r="F9" i="21"/>
  <c r="F8" i="21"/>
  <c r="H8" i="21" s="1"/>
  <c r="J8" i="21" s="1"/>
  <c r="K8" i="21" s="1"/>
  <c r="H7" i="21"/>
  <c r="J7" i="21" s="1"/>
  <c r="G7" i="21"/>
  <c r="F6" i="21"/>
  <c r="H6" i="21" s="1"/>
  <c r="J6" i="21" s="1"/>
  <c r="H5" i="21"/>
  <c r="J5" i="21" s="1"/>
  <c r="L5" i="21" s="1"/>
  <c r="F5" i="21"/>
  <c r="G5" i="21" s="1"/>
  <c r="H4" i="21"/>
  <c r="G4" i="21"/>
  <c r="P105" i="20"/>
  <c r="P104" i="20"/>
  <c r="P413" i="20"/>
  <c r="O413" i="20"/>
  <c r="P412" i="20"/>
  <c r="O412" i="20"/>
  <c r="P411" i="20"/>
  <c r="O411" i="20"/>
  <c r="P410" i="20"/>
  <c r="O410" i="20"/>
  <c r="P409" i="20"/>
  <c r="O409" i="20"/>
  <c r="P408" i="20"/>
  <c r="O408" i="20"/>
  <c r="P407" i="20"/>
  <c r="O407" i="20"/>
  <c r="P406" i="20"/>
  <c r="O406" i="20"/>
  <c r="P405" i="20"/>
  <c r="O405" i="20"/>
  <c r="P404" i="20"/>
  <c r="O404" i="20"/>
  <c r="P403" i="20"/>
  <c r="O403" i="20"/>
  <c r="P402" i="20"/>
  <c r="O402" i="20"/>
  <c r="P401" i="20"/>
  <c r="O401" i="20"/>
  <c r="P400" i="20"/>
  <c r="O400" i="20"/>
  <c r="P399" i="20"/>
  <c r="O399" i="20"/>
  <c r="P398" i="20"/>
  <c r="O398" i="20"/>
  <c r="P397" i="20"/>
  <c r="O397" i="20"/>
  <c r="P396" i="20"/>
  <c r="O396" i="20"/>
  <c r="P394" i="20"/>
  <c r="O394" i="20"/>
  <c r="P393" i="20"/>
  <c r="O393" i="20"/>
  <c r="P392" i="20"/>
  <c r="O392" i="20"/>
  <c r="P391" i="20"/>
  <c r="O391" i="20"/>
  <c r="P390" i="20"/>
  <c r="O390" i="20"/>
  <c r="P389" i="20"/>
  <c r="O389" i="20"/>
  <c r="P388" i="20"/>
  <c r="O388" i="20"/>
  <c r="P387" i="20"/>
  <c r="O387" i="20"/>
  <c r="P386" i="20"/>
  <c r="O386" i="20"/>
  <c r="P385" i="20"/>
  <c r="O385" i="20"/>
  <c r="P384" i="20"/>
  <c r="O384" i="20"/>
  <c r="P383" i="20"/>
  <c r="O383" i="20"/>
  <c r="P382" i="20"/>
  <c r="O382" i="20"/>
  <c r="P381" i="20"/>
  <c r="O381" i="20"/>
  <c r="P380" i="20"/>
  <c r="O380" i="20"/>
  <c r="P379" i="20"/>
  <c r="O379" i="20"/>
  <c r="P378" i="20"/>
  <c r="O378" i="20"/>
  <c r="P377" i="20"/>
  <c r="O377" i="20"/>
  <c r="P376" i="20"/>
  <c r="O376" i="20"/>
  <c r="P375" i="20"/>
  <c r="O375" i="20"/>
  <c r="P374" i="20"/>
  <c r="O374" i="20"/>
  <c r="P373" i="20"/>
  <c r="O373" i="20"/>
  <c r="P372" i="20"/>
  <c r="O372" i="20"/>
  <c r="P371" i="20"/>
  <c r="O371" i="20"/>
  <c r="P370" i="20"/>
  <c r="O370" i="20"/>
  <c r="P369" i="20"/>
  <c r="O369" i="20"/>
  <c r="P368" i="20"/>
  <c r="O368" i="20"/>
  <c r="P367" i="20"/>
  <c r="O367" i="20"/>
  <c r="P366" i="20"/>
  <c r="O366" i="20"/>
  <c r="P365" i="20"/>
  <c r="O365" i="20"/>
  <c r="P364" i="20"/>
  <c r="O364" i="20"/>
  <c r="P363" i="20"/>
  <c r="O363" i="20"/>
  <c r="P362" i="20"/>
  <c r="O362" i="20"/>
  <c r="P361" i="20"/>
  <c r="O361" i="20"/>
  <c r="P360" i="20"/>
  <c r="O360" i="20"/>
  <c r="P358" i="20"/>
  <c r="O358" i="20"/>
  <c r="P356" i="20"/>
  <c r="O356" i="20"/>
  <c r="P355" i="20"/>
  <c r="O355" i="20"/>
  <c r="P354" i="20"/>
  <c r="O354" i="20"/>
  <c r="P353" i="20"/>
  <c r="O353" i="20"/>
  <c r="P352" i="20"/>
  <c r="O352" i="20"/>
  <c r="P351" i="20"/>
  <c r="O351" i="20"/>
  <c r="P350" i="20"/>
  <c r="O350" i="20"/>
  <c r="P349" i="20"/>
  <c r="O349" i="20"/>
  <c r="P348" i="20"/>
  <c r="O348" i="20"/>
  <c r="P345" i="20"/>
  <c r="O345" i="20"/>
  <c r="P344" i="20"/>
  <c r="O344" i="20"/>
  <c r="P343" i="20"/>
  <c r="O343" i="20"/>
  <c r="P342" i="20"/>
  <c r="O342" i="20"/>
  <c r="P341" i="20"/>
  <c r="O341" i="20"/>
  <c r="P340" i="20"/>
  <c r="O340" i="20"/>
  <c r="P339" i="20"/>
  <c r="O339" i="20"/>
  <c r="P338" i="20"/>
  <c r="O338" i="20"/>
  <c r="P337" i="20"/>
  <c r="O337" i="20"/>
  <c r="P336" i="20"/>
  <c r="O336" i="20"/>
  <c r="P335" i="20"/>
  <c r="O335" i="20"/>
  <c r="P334" i="20"/>
  <c r="O334" i="20"/>
  <c r="P333" i="20"/>
  <c r="O333" i="20"/>
  <c r="P332" i="20"/>
  <c r="O332" i="20"/>
  <c r="P331" i="20"/>
  <c r="O331" i="20"/>
  <c r="P330" i="20"/>
  <c r="O330" i="20"/>
  <c r="P329" i="20"/>
  <c r="O329" i="20"/>
  <c r="P328" i="20"/>
  <c r="O328" i="20"/>
  <c r="P327" i="20"/>
  <c r="O327" i="20"/>
  <c r="P326" i="20"/>
  <c r="O326" i="20"/>
  <c r="P325" i="20"/>
  <c r="O325" i="20"/>
  <c r="P324" i="20"/>
  <c r="O324" i="20"/>
  <c r="P323" i="20"/>
  <c r="O323" i="20"/>
  <c r="P322" i="20"/>
  <c r="O322" i="20"/>
  <c r="P321" i="20"/>
  <c r="O321" i="20"/>
  <c r="P320" i="20"/>
  <c r="O320" i="20"/>
  <c r="P319" i="20"/>
  <c r="O319" i="20"/>
  <c r="P318" i="20"/>
  <c r="O318" i="20"/>
  <c r="P317" i="20"/>
  <c r="O317" i="20"/>
  <c r="P316" i="20"/>
  <c r="O316" i="20"/>
  <c r="P315" i="20"/>
  <c r="O315" i="20"/>
  <c r="P314" i="20"/>
  <c r="O314" i="20"/>
  <c r="P313" i="20"/>
  <c r="O313" i="20"/>
  <c r="P312" i="20"/>
  <c r="O312" i="20"/>
  <c r="P311" i="20"/>
  <c r="O311" i="20"/>
  <c r="P310" i="20"/>
  <c r="O310" i="20"/>
  <c r="P309" i="20"/>
  <c r="O309" i="20"/>
  <c r="P308" i="20"/>
  <c r="O308" i="20"/>
  <c r="P307" i="20"/>
  <c r="O307" i="20"/>
  <c r="P306" i="20"/>
  <c r="O306" i="20"/>
  <c r="P305" i="20"/>
  <c r="O305" i="20"/>
  <c r="P304" i="20"/>
  <c r="O304" i="20"/>
  <c r="P303" i="20"/>
  <c r="O303" i="20"/>
  <c r="P302" i="20"/>
  <c r="O302" i="20"/>
  <c r="P301" i="20"/>
  <c r="O301" i="20"/>
  <c r="P300" i="20"/>
  <c r="O300" i="20"/>
  <c r="P299" i="20"/>
  <c r="O299" i="20"/>
  <c r="P298" i="20"/>
  <c r="O298" i="20"/>
  <c r="P295" i="20"/>
  <c r="O295" i="20"/>
  <c r="P294" i="20"/>
  <c r="O294" i="20"/>
  <c r="P293" i="20"/>
  <c r="O293" i="20"/>
  <c r="P292" i="20"/>
  <c r="O292" i="20"/>
  <c r="P291" i="20"/>
  <c r="O291" i="20"/>
  <c r="P290" i="20"/>
  <c r="O290" i="20"/>
  <c r="P289" i="20"/>
  <c r="O289" i="20"/>
  <c r="P288" i="20"/>
  <c r="O288" i="20"/>
  <c r="P287" i="20"/>
  <c r="O287" i="20"/>
  <c r="P286" i="20"/>
  <c r="O286" i="20"/>
  <c r="P285" i="20"/>
  <c r="O285" i="20"/>
  <c r="P284" i="20"/>
  <c r="O284" i="20"/>
  <c r="P283" i="20"/>
  <c r="O283" i="20"/>
  <c r="P282" i="20"/>
  <c r="O282" i="20"/>
  <c r="P281" i="20"/>
  <c r="O281" i="20"/>
  <c r="P280" i="20"/>
  <c r="O280" i="20"/>
  <c r="P279" i="20"/>
  <c r="O279" i="20"/>
  <c r="P278" i="20"/>
  <c r="O278" i="20"/>
  <c r="P277" i="20"/>
  <c r="O277" i="20"/>
  <c r="P276" i="20"/>
  <c r="O276" i="20"/>
  <c r="P275" i="20"/>
  <c r="O275" i="20"/>
  <c r="P274" i="20"/>
  <c r="O274" i="20"/>
  <c r="P273" i="20"/>
  <c r="O273" i="20"/>
  <c r="P272" i="20"/>
  <c r="O272" i="20"/>
  <c r="P271" i="20"/>
  <c r="O271" i="20"/>
  <c r="P270" i="20"/>
  <c r="O270" i="20"/>
  <c r="P269" i="20"/>
  <c r="O269" i="20"/>
  <c r="P268" i="20"/>
  <c r="O268" i="20"/>
  <c r="P267" i="20"/>
  <c r="O267" i="20"/>
  <c r="P266" i="20"/>
  <c r="O266" i="20"/>
  <c r="P265" i="20"/>
  <c r="O265" i="20"/>
  <c r="P264" i="20"/>
  <c r="O264" i="20"/>
  <c r="P263" i="20"/>
  <c r="O263" i="20"/>
  <c r="P262" i="20"/>
  <c r="O262" i="20"/>
  <c r="P261" i="20"/>
  <c r="O261" i="20"/>
  <c r="P260" i="20"/>
  <c r="O260" i="20"/>
  <c r="P259" i="20"/>
  <c r="O259" i="20"/>
  <c r="P258" i="20"/>
  <c r="O258" i="20"/>
  <c r="P257" i="20"/>
  <c r="O257" i="20"/>
  <c r="P256" i="20"/>
  <c r="O256" i="20"/>
  <c r="P255" i="20"/>
  <c r="O255" i="20"/>
  <c r="P254" i="20"/>
  <c r="O254" i="20"/>
  <c r="P253" i="20"/>
  <c r="O253" i="20"/>
  <c r="P252" i="20"/>
  <c r="O252" i="20"/>
  <c r="P251" i="20"/>
  <c r="O251" i="20"/>
  <c r="P248" i="20"/>
  <c r="O248" i="20"/>
  <c r="P247" i="20"/>
  <c r="O247" i="20"/>
  <c r="P246" i="20"/>
  <c r="O246" i="20"/>
  <c r="P245" i="20"/>
  <c r="O245" i="20"/>
  <c r="P244" i="20"/>
  <c r="O244" i="20"/>
  <c r="P243" i="20"/>
  <c r="O243" i="20"/>
  <c r="P241" i="20"/>
  <c r="O241" i="20"/>
  <c r="P240" i="20"/>
  <c r="O240" i="20"/>
  <c r="P239" i="20"/>
  <c r="O239" i="20"/>
  <c r="P238" i="20"/>
  <c r="O238" i="20"/>
  <c r="P237" i="20"/>
  <c r="O237" i="20"/>
  <c r="P236" i="20"/>
  <c r="O236" i="20"/>
  <c r="P235" i="20"/>
  <c r="O235" i="20"/>
  <c r="P234" i="20"/>
  <c r="O234" i="20"/>
  <c r="P233" i="20"/>
  <c r="O233" i="20"/>
  <c r="P232" i="20"/>
  <c r="O232" i="20"/>
  <c r="P231" i="20"/>
  <c r="O231" i="20"/>
  <c r="P230" i="20"/>
  <c r="O230" i="20"/>
  <c r="P229" i="20"/>
  <c r="O229" i="20"/>
  <c r="P228" i="20"/>
  <c r="O228" i="20"/>
  <c r="P227" i="20"/>
  <c r="O227" i="20"/>
  <c r="P226" i="20"/>
  <c r="O226" i="20"/>
  <c r="P225" i="20"/>
  <c r="O225" i="20"/>
  <c r="P224" i="20"/>
  <c r="O224" i="20"/>
  <c r="P223" i="20"/>
  <c r="O223" i="20"/>
  <c r="P222" i="20"/>
  <c r="O222" i="20"/>
  <c r="P221" i="20"/>
  <c r="O221" i="20"/>
  <c r="P220" i="20"/>
  <c r="O220" i="20"/>
  <c r="P219" i="20"/>
  <c r="O219" i="20"/>
  <c r="P218" i="20"/>
  <c r="O218" i="20"/>
  <c r="P217" i="20"/>
  <c r="O217" i="20"/>
  <c r="P216" i="20"/>
  <c r="O216" i="20"/>
  <c r="P215" i="20"/>
  <c r="O215" i="20"/>
  <c r="P214" i="20"/>
  <c r="O214" i="20"/>
  <c r="P213" i="20"/>
  <c r="O213" i="20"/>
  <c r="P212" i="20"/>
  <c r="O212" i="20"/>
  <c r="P211" i="20"/>
  <c r="O211" i="20"/>
  <c r="P210" i="20"/>
  <c r="O210" i="20"/>
  <c r="P209" i="20"/>
  <c r="O209" i="20"/>
  <c r="P208" i="20"/>
  <c r="O208" i="20"/>
  <c r="P207" i="20"/>
  <c r="O207" i="20"/>
  <c r="P206" i="20"/>
  <c r="O206" i="20"/>
  <c r="P205" i="20"/>
  <c r="O205" i="20"/>
  <c r="P204" i="20"/>
  <c r="O204" i="20"/>
  <c r="P203" i="20"/>
  <c r="O203" i="20"/>
  <c r="P202" i="20"/>
  <c r="O202" i="20"/>
  <c r="P201" i="20"/>
  <c r="O201" i="20"/>
  <c r="P200" i="20"/>
  <c r="O200" i="20"/>
  <c r="P199" i="20"/>
  <c r="O199" i="20"/>
  <c r="P198" i="20"/>
  <c r="O198" i="20"/>
  <c r="P197" i="20"/>
  <c r="O197" i="20"/>
  <c r="P196" i="20"/>
  <c r="O196" i="20"/>
  <c r="P195" i="20"/>
  <c r="O195" i="20"/>
  <c r="P194" i="20"/>
  <c r="O194" i="20"/>
  <c r="P191" i="20"/>
  <c r="O191" i="20"/>
  <c r="P190" i="20"/>
  <c r="O190" i="20"/>
  <c r="P189" i="20"/>
  <c r="O189" i="20"/>
  <c r="P188" i="20"/>
  <c r="O188" i="20"/>
  <c r="P187" i="20"/>
  <c r="O187" i="20"/>
  <c r="P186" i="20"/>
  <c r="O186" i="20"/>
  <c r="P185" i="20"/>
  <c r="O185" i="20"/>
  <c r="P184" i="20"/>
  <c r="O184" i="20"/>
  <c r="P183" i="20"/>
  <c r="O183" i="20"/>
  <c r="P182" i="20"/>
  <c r="O182" i="20"/>
  <c r="P181" i="20"/>
  <c r="O181" i="20"/>
  <c r="P180" i="20"/>
  <c r="O180" i="20"/>
  <c r="P179" i="20"/>
  <c r="O179" i="20"/>
  <c r="P178" i="20"/>
  <c r="O178" i="20"/>
  <c r="P177" i="20"/>
  <c r="O177" i="20"/>
  <c r="P176" i="20"/>
  <c r="O176" i="20"/>
  <c r="P175" i="20"/>
  <c r="O175" i="20"/>
  <c r="P174" i="20"/>
  <c r="O174" i="20"/>
  <c r="P173" i="20"/>
  <c r="O173" i="20"/>
  <c r="P172" i="20"/>
  <c r="O172" i="20"/>
  <c r="P171" i="20"/>
  <c r="O171" i="20"/>
  <c r="P170" i="20"/>
  <c r="O170" i="20"/>
  <c r="P169" i="20"/>
  <c r="O169" i="20"/>
  <c r="P168" i="20"/>
  <c r="O168" i="20"/>
  <c r="P167" i="20"/>
  <c r="O167" i="20"/>
  <c r="P164" i="20"/>
  <c r="O164" i="20"/>
  <c r="P163" i="20"/>
  <c r="O163" i="20"/>
  <c r="P162" i="20"/>
  <c r="O162" i="20"/>
  <c r="P161" i="20"/>
  <c r="O161" i="20"/>
  <c r="P160" i="20"/>
  <c r="O160" i="20"/>
  <c r="P159" i="20"/>
  <c r="O159" i="20"/>
  <c r="P158" i="20"/>
  <c r="O158" i="20"/>
  <c r="P155" i="20"/>
  <c r="O155" i="20"/>
  <c r="P154" i="20"/>
  <c r="O154" i="20"/>
  <c r="P153" i="20"/>
  <c r="O153" i="20"/>
  <c r="P152" i="20"/>
  <c r="O152" i="20"/>
  <c r="P151" i="20"/>
  <c r="O151" i="20"/>
  <c r="P150" i="20"/>
  <c r="O150" i="20"/>
  <c r="P149" i="20"/>
  <c r="O149" i="20"/>
  <c r="P148" i="20"/>
  <c r="O148" i="20"/>
  <c r="P147" i="20"/>
  <c r="O147" i="20"/>
  <c r="P146" i="20"/>
  <c r="O146" i="20"/>
  <c r="P145" i="20"/>
  <c r="O145" i="20"/>
  <c r="P144" i="20"/>
  <c r="O144" i="20"/>
  <c r="P143" i="20"/>
  <c r="O143" i="20"/>
  <c r="P142" i="20"/>
  <c r="O142" i="20"/>
  <c r="P141" i="20"/>
  <c r="O141" i="20"/>
  <c r="P140" i="20"/>
  <c r="O140" i="20"/>
  <c r="P139" i="20"/>
  <c r="O139" i="20"/>
  <c r="P138" i="20"/>
  <c r="O138" i="20"/>
  <c r="P137" i="20"/>
  <c r="O137" i="20"/>
  <c r="P136" i="20"/>
  <c r="O136" i="20"/>
  <c r="P135" i="20"/>
  <c r="O135" i="20"/>
  <c r="P134" i="20"/>
  <c r="O134" i="20"/>
  <c r="P133" i="20"/>
  <c r="O133" i="20"/>
  <c r="P132" i="20"/>
  <c r="O132" i="20"/>
  <c r="P131" i="20"/>
  <c r="O131" i="20"/>
  <c r="P130" i="20"/>
  <c r="O130" i="20"/>
  <c r="P129" i="20"/>
  <c r="O129" i="20"/>
  <c r="P128" i="20"/>
  <c r="O128" i="20"/>
  <c r="P127" i="20"/>
  <c r="O127" i="20"/>
  <c r="P126" i="20"/>
  <c r="O126" i="20"/>
  <c r="P125" i="20"/>
  <c r="O125" i="20"/>
  <c r="P124" i="20"/>
  <c r="O124" i="20"/>
  <c r="P123" i="20"/>
  <c r="O123" i="20"/>
  <c r="P122" i="20"/>
  <c r="O122" i="20"/>
  <c r="P121" i="20"/>
  <c r="O121" i="20"/>
  <c r="P120" i="20"/>
  <c r="O120" i="20"/>
  <c r="P119" i="20"/>
  <c r="O119" i="20"/>
  <c r="P118" i="20"/>
  <c r="O118" i="20"/>
  <c r="P115" i="20"/>
  <c r="O115" i="20"/>
  <c r="P114" i="20"/>
  <c r="O114" i="20"/>
  <c r="P113" i="20"/>
  <c r="O113" i="20"/>
  <c r="P112" i="20"/>
  <c r="O112" i="20"/>
  <c r="P111" i="20"/>
  <c r="O111" i="20"/>
  <c r="P110" i="20"/>
  <c r="O110" i="20"/>
  <c r="P109" i="20"/>
  <c r="O109" i="20"/>
  <c r="P108" i="20"/>
  <c r="O108" i="20"/>
  <c r="P107" i="20"/>
  <c r="O107" i="20"/>
  <c r="P106" i="20"/>
  <c r="O106" i="20"/>
  <c r="O105" i="20"/>
  <c r="O104" i="20"/>
  <c r="P101" i="20"/>
  <c r="O101" i="20"/>
  <c r="P100" i="20"/>
  <c r="O100" i="20"/>
  <c r="P99" i="20"/>
  <c r="O99" i="20"/>
  <c r="P98" i="20"/>
  <c r="O98" i="20"/>
  <c r="P97" i="20"/>
  <c r="O97" i="20"/>
  <c r="P96" i="20"/>
  <c r="O96" i="20"/>
  <c r="P95" i="20"/>
  <c r="O95" i="20"/>
  <c r="P94" i="20"/>
  <c r="O94" i="20"/>
  <c r="P93" i="20"/>
  <c r="O93" i="20"/>
  <c r="P92" i="20"/>
  <c r="O92" i="20"/>
  <c r="P90" i="20"/>
  <c r="O90" i="20"/>
  <c r="P89" i="20"/>
  <c r="O89" i="20"/>
  <c r="P88" i="20"/>
  <c r="O88" i="20"/>
  <c r="P87" i="20"/>
  <c r="O87" i="20"/>
  <c r="P86" i="20"/>
  <c r="O86" i="20"/>
  <c r="P85" i="20"/>
  <c r="O85" i="20"/>
  <c r="P84" i="20"/>
  <c r="O84" i="20"/>
  <c r="P83" i="20"/>
  <c r="O83" i="20"/>
  <c r="P82" i="20"/>
  <c r="O82" i="20"/>
  <c r="P81" i="20"/>
  <c r="O81" i="20"/>
  <c r="P80" i="20"/>
  <c r="O80" i="20"/>
  <c r="P79" i="20"/>
  <c r="O79" i="20"/>
  <c r="P78" i="20"/>
  <c r="O78" i="20"/>
  <c r="P77" i="20"/>
  <c r="O77" i="20"/>
  <c r="P76" i="20"/>
  <c r="O76" i="20"/>
  <c r="P75" i="20"/>
  <c r="O75" i="20"/>
  <c r="P74" i="20"/>
  <c r="O74" i="20"/>
  <c r="P73" i="20"/>
  <c r="O73" i="20"/>
  <c r="P72" i="20"/>
  <c r="O72" i="20"/>
  <c r="P71" i="20"/>
  <c r="O71" i="20"/>
  <c r="P70" i="20"/>
  <c r="O70" i="20"/>
  <c r="P69" i="20"/>
  <c r="O69" i="20"/>
  <c r="P68" i="20"/>
  <c r="O68" i="20"/>
  <c r="P67" i="20"/>
  <c r="O67" i="20"/>
  <c r="P66" i="20"/>
  <c r="O66" i="20"/>
  <c r="P65" i="20"/>
  <c r="O65" i="20"/>
  <c r="P62" i="20"/>
  <c r="O62" i="20"/>
  <c r="P61" i="20"/>
  <c r="O61" i="20"/>
  <c r="P60" i="20"/>
  <c r="O60" i="20"/>
  <c r="P59" i="20"/>
  <c r="O59" i="20"/>
  <c r="P58" i="20"/>
  <c r="O58" i="20"/>
  <c r="P57" i="20"/>
  <c r="O57" i="20"/>
  <c r="P56" i="20"/>
  <c r="O56" i="20"/>
  <c r="P55" i="20"/>
  <c r="O55" i="20"/>
  <c r="P54" i="20"/>
  <c r="O54" i="20"/>
  <c r="P53" i="20"/>
  <c r="O53" i="20"/>
  <c r="P52" i="20"/>
  <c r="O52" i="20"/>
  <c r="P51" i="20"/>
  <c r="O51" i="20"/>
  <c r="P50" i="20"/>
  <c r="O50" i="20"/>
  <c r="P49" i="20"/>
  <c r="O49" i="20"/>
  <c r="P48" i="20"/>
  <c r="O48" i="20"/>
  <c r="P47" i="20"/>
  <c r="O47" i="20"/>
  <c r="P46" i="20"/>
  <c r="O46" i="20"/>
  <c r="P45" i="20"/>
  <c r="O45" i="20"/>
  <c r="P44" i="20"/>
  <c r="O44" i="20"/>
  <c r="P43" i="20"/>
  <c r="O43" i="20"/>
  <c r="P42" i="20"/>
  <c r="O42" i="20"/>
  <c r="P41" i="20"/>
  <c r="O41" i="20"/>
  <c r="P40" i="20"/>
  <c r="O40" i="20"/>
  <c r="P39" i="20"/>
  <c r="O39" i="20"/>
  <c r="P38" i="20"/>
  <c r="O38" i="20"/>
  <c r="P37" i="20"/>
  <c r="O37" i="20"/>
  <c r="P36" i="20"/>
  <c r="O36" i="20"/>
  <c r="P35" i="20"/>
  <c r="O35" i="20"/>
  <c r="P34" i="20"/>
  <c r="O34" i="20"/>
  <c r="P31" i="20"/>
  <c r="O31" i="20"/>
  <c r="P30" i="20"/>
  <c r="O30" i="20"/>
  <c r="P29" i="20"/>
  <c r="O29" i="20"/>
  <c r="P28" i="20"/>
  <c r="O28" i="20"/>
  <c r="P27" i="20"/>
  <c r="O27" i="20"/>
  <c r="P26" i="20"/>
  <c r="O26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F13" i="3"/>
  <c r="H425" i="20"/>
  <c r="G425" i="20"/>
  <c r="H424" i="20"/>
  <c r="G424" i="20"/>
  <c r="H423" i="20"/>
  <c r="G423" i="20"/>
  <c r="H422" i="20"/>
  <c r="G422" i="20"/>
  <c r="H421" i="20"/>
  <c r="G421" i="20"/>
  <c r="H420" i="20"/>
  <c r="G420" i="20"/>
  <c r="H419" i="20"/>
  <c r="G419" i="20"/>
  <c r="H418" i="20"/>
  <c r="F14" i="3" s="1"/>
  <c r="G418" i="20"/>
  <c r="H417" i="20"/>
  <c r="G417" i="20"/>
  <c r="H416" i="20"/>
  <c r="G416" i="20"/>
  <c r="H413" i="20"/>
  <c r="J413" i="20" s="1"/>
  <c r="G413" i="20"/>
  <c r="H412" i="20"/>
  <c r="J412" i="20" s="1"/>
  <c r="G412" i="20"/>
  <c r="H411" i="20"/>
  <c r="J411" i="20" s="1"/>
  <c r="G411" i="20"/>
  <c r="H410" i="20"/>
  <c r="J410" i="20" s="1"/>
  <c r="L410" i="20" s="1"/>
  <c r="G410" i="20"/>
  <c r="H409" i="20"/>
  <c r="J409" i="20" s="1"/>
  <c r="L409" i="20" s="1"/>
  <c r="G409" i="20"/>
  <c r="H408" i="20"/>
  <c r="J408" i="20" s="1"/>
  <c r="G408" i="20"/>
  <c r="H407" i="20"/>
  <c r="J407" i="20" s="1"/>
  <c r="L407" i="20" s="1"/>
  <c r="G407" i="20"/>
  <c r="H406" i="20"/>
  <c r="J406" i="20" s="1"/>
  <c r="L406" i="20" s="1"/>
  <c r="G406" i="20"/>
  <c r="H405" i="20"/>
  <c r="J405" i="20" s="1"/>
  <c r="G405" i="20"/>
  <c r="H404" i="20"/>
  <c r="J404" i="20" s="1"/>
  <c r="G404" i="20"/>
  <c r="H403" i="20"/>
  <c r="J403" i="20" s="1"/>
  <c r="G403" i="20"/>
  <c r="H402" i="20"/>
  <c r="J402" i="20" s="1"/>
  <c r="G402" i="20"/>
  <c r="H401" i="20"/>
  <c r="J401" i="20" s="1"/>
  <c r="G401" i="20"/>
  <c r="H400" i="20"/>
  <c r="J400" i="20" s="1"/>
  <c r="G400" i="20"/>
  <c r="H399" i="20"/>
  <c r="J399" i="20" s="1"/>
  <c r="K399" i="20" s="1"/>
  <c r="G399" i="20"/>
  <c r="H398" i="20"/>
  <c r="J398" i="20" s="1"/>
  <c r="G398" i="20"/>
  <c r="H397" i="20"/>
  <c r="J397" i="20" s="1"/>
  <c r="G397" i="20"/>
  <c r="H396" i="20"/>
  <c r="J396" i="20" s="1"/>
  <c r="G396" i="20"/>
  <c r="H394" i="20"/>
  <c r="J394" i="20" s="1"/>
  <c r="L394" i="20" s="1"/>
  <c r="G394" i="20"/>
  <c r="H393" i="20"/>
  <c r="J393" i="20" s="1"/>
  <c r="L393" i="20" s="1"/>
  <c r="G393" i="20"/>
  <c r="H392" i="20"/>
  <c r="J392" i="20" s="1"/>
  <c r="G392" i="20"/>
  <c r="H391" i="20"/>
  <c r="J391" i="20" s="1"/>
  <c r="G391" i="20"/>
  <c r="H390" i="20"/>
  <c r="J390" i="20" s="1"/>
  <c r="G390" i="20"/>
  <c r="H389" i="20"/>
  <c r="J389" i="20" s="1"/>
  <c r="L389" i="20" s="1"/>
  <c r="G389" i="20"/>
  <c r="H388" i="20"/>
  <c r="J388" i="20" s="1"/>
  <c r="G388" i="20"/>
  <c r="H387" i="20"/>
  <c r="J387" i="20" s="1"/>
  <c r="G387" i="20"/>
  <c r="H386" i="20"/>
  <c r="J386" i="20" s="1"/>
  <c r="K386" i="20" s="1"/>
  <c r="G386" i="20"/>
  <c r="H385" i="20"/>
  <c r="J385" i="20" s="1"/>
  <c r="G385" i="20"/>
  <c r="H384" i="20"/>
  <c r="J384" i="20" s="1"/>
  <c r="G384" i="20"/>
  <c r="H383" i="20"/>
  <c r="J383" i="20" s="1"/>
  <c r="G383" i="20"/>
  <c r="H382" i="20"/>
  <c r="J382" i="20" s="1"/>
  <c r="K382" i="20" s="1"/>
  <c r="G382" i="20"/>
  <c r="H381" i="20"/>
  <c r="J381" i="20" s="1"/>
  <c r="L381" i="20" s="1"/>
  <c r="G381" i="20"/>
  <c r="H380" i="20"/>
  <c r="J380" i="20" s="1"/>
  <c r="L380" i="20" s="1"/>
  <c r="G380" i="20"/>
  <c r="H379" i="20"/>
  <c r="J379" i="20" s="1"/>
  <c r="G379" i="20"/>
  <c r="H378" i="20"/>
  <c r="J378" i="20" s="1"/>
  <c r="G378" i="20"/>
  <c r="H377" i="20"/>
  <c r="J377" i="20" s="1"/>
  <c r="G377" i="20"/>
  <c r="H376" i="20"/>
  <c r="J376" i="20" s="1"/>
  <c r="G376" i="20"/>
  <c r="H375" i="20"/>
  <c r="J375" i="20" s="1"/>
  <c r="G375" i="20"/>
  <c r="H374" i="20"/>
  <c r="J374" i="20" s="1"/>
  <c r="K374" i="20" s="1"/>
  <c r="G374" i="20"/>
  <c r="H373" i="20"/>
  <c r="J373" i="20" s="1"/>
  <c r="K373" i="20" s="1"/>
  <c r="G373" i="20"/>
  <c r="H372" i="20"/>
  <c r="J372" i="20" s="1"/>
  <c r="G372" i="20"/>
  <c r="H371" i="20"/>
  <c r="J371" i="20" s="1"/>
  <c r="G371" i="20"/>
  <c r="H370" i="20"/>
  <c r="J370" i="20" s="1"/>
  <c r="L370" i="20" s="1"/>
  <c r="G370" i="20"/>
  <c r="H369" i="20"/>
  <c r="J369" i="20" s="1"/>
  <c r="L369" i="20" s="1"/>
  <c r="G369" i="20"/>
  <c r="H368" i="20"/>
  <c r="J368" i="20" s="1"/>
  <c r="L368" i="20" s="1"/>
  <c r="G368" i="20"/>
  <c r="H367" i="20"/>
  <c r="J367" i="20" s="1"/>
  <c r="G367" i="20"/>
  <c r="H366" i="20"/>
  <c r="J366" i="20" s="1"/>
  <c r="G366" i="20"/>
  <c r="H365" i="20"/>
  <c r="J365" i="20" s="1"/>
  <c r="G365" i="20"/>
  <c r="H364" i="20"/>
  <c r="J364" i="20" s="1"/>
  <c r="G364" i="20"/>
  <c r="H363" i="20"/>
  <c r="J363" i="20" s="1"/>
  <c r="K363" i="20" s="1"/>
  <c r="G363" i="20"/>
  <c r="H362" i="20"/>
  <c r="J362" i="20" s="1"/>
  <c r="K362" i="20" s="1"/>
  <c r="G362" i="20"/>
  <c r="H361" i="20"/>
  <c r="J361" i="20" s="1"/>
  <c r="K361" i="20" s="1"/>
  <c r="G361" i="20"/>
  <c r="H360" i="20"/>
  <c r="J360" i="20" s="1"/>
  <c r="G360" i="20"/>
  <c r="H358" i="20"/>
  <c r="G358" i="20"/>
  <c r="H356" i="20"/>
  <c r="J356" i="20" s="1"/>
  <c r="L356" i="20" s="1"/>
  <c r="G356" i="20"/>
  <c r="H355" i="20"/>
  <c r="J355" i="20" s="1"/>
  <c r="L355" i="20" s="1"/>
  <c r="G355" i="20"/>
  <c r="H354" i="20"/>
  <c r="J354" i="20" s="1"/>
  <c r="L354" i="20" s="1"/>
  <c r="G354" i="20"/>
  <c r="H353" i="20"/>
  <c r="J353" i="20" s="1"/>
  <c r="G353" i="20"/>
  <c r="H352" i="20"/>
  <c r="J352" i="20" s="1"/>
  <c r="G352" i="20"/>
  <c r="H351" i="20"/>
  <c r="J351" i="20" s="1"/>
  <c r="L351" i="20" s="1"/>
  <c r="G351" i="20"/>
  <c r="H350" i="20"/>
  <c r="J350" i="20" s="1"/>
  <c r="G350" i="20"/>
  <c r="H349" i="20"/>
  <c r="J349" i="20" s="1"/>
  <c r="G349" i="20"/>
  <c r="H345" i="20"/>
  <c r="J345" i="20" s="1"/>
  <c r="G345" i="20"/>
  <c r="H344" i="20"/>
  <c r="J344" i="20" s="1"/>
  <c r="G344" i="20"/>
  <c r="H343" i="20"/>
  <c r="J343" i="20" s="1"/>
  <c r="G343" i="20"/>
  <c r="H342" i="20"/>
  <c r="J342" i="20" s="1"/>
  <c r="G342" i="20"/>
  <c r="H341" i="20"/>
  <c r="J341" i="20" s="1"/>
  <c r="L341" i="20" s="1"/>
  <c r="G341" i="20"/>
  <c r="H340" i="20"/>
  <c r="J340" i="20" s="1"/>
  <c r="G340" i="20"/>
  <c r="H339" i="20"/>
  <c r="J339" i="20" s="1"/>
  <c r="G339" i="20"/>
  <c r="H338" i="20"/>
  <c r="J338" i="20" s="1"/>
  <c r="L338" i="20" s="1"/>
  <c r="G338" i="20"/>
  <c r="H337" i="20"/>
  <c r="J337" i="20" s="1"/>
  <c r="L337" i="20" s="1"/>
  <c r="G337" i="20"/>
  <c r="H336" i="20"/>
  <c r="J336" i="20" s="1"/>
  <c r="L336" i="20" s="1"/>
  <c r="G336" i="20"/>
  <c r="H335" i="20"/>
  <c r="J335" i="20" s="1"/>
  <c r="G335" i="20"/>
  <c r="H334" i="20"/>
  <c r="J334" i="20" s="1"/>
  <c r="G334" i="20"/>
  <c r="H333" i="20"/>
  <c r="J333" i="20" s="1"/>
  <c r="G333" i="20"/>
  <c r="H332" i="20"/>
  <c r="J332" i="20" s="1"/>
  <c r="G332" i="20"/>
  <c r="H331" i="20"/>
  <c r="J331" i="20" s="1"/>
  <c r="K331" i="20" s="1"/>
  <c r="G331" i="20"/>
  <c r="H330" i="20"/>
  <c r="J330" i="20" s="1"/>
  <c r="K330" i="20" s="1"/>
  <c r="G330" i="20"/>
  <c r="H329" i="20"/>
  <c r="J329" i="20" s="1"/>
  <c r="G329" i="20"/>
  <c r="H328" i="20"/>
  <c r="J328" i="20" s="1"/>
  <c r="G328" i="20"/>
  <c r="H327" i="20"/>
  <c r="J327" i="20" s="1"/>
  <c r="G327" i="20"/>
  <c r="H326" i="20"/>
  <c r="J326" i="20" s="1"/>
  <c r="G326" i="20"/>
  <c r="H325" i="20"/>
  <c r="J325" i="20" s="1"/>
  <c r="L325" i="20" s="1"/>
  <c r="G325" i="20"/>
  <c r="H324" i="20"/>
  <c r="J324" i="20" s="1"/>
  <c r="G324" i="20"/>
  <c r="H323" i="20"/>
  <c r="J323" i="20" s="1"/>
  <c r="G323" i="20"/>
  <c r="H322" i="20"/>
  <c r="J322" i="20" s="1"/>
  <c r="G322" i="20"/>
  <c r="H321" i="20"/>
  <c r="J321" i="20" s="1"/>
  <c r="L321" i="20" s="1"/>
  <c r="G321" i="20"/>
  <c r="H320" i="20"/>
  <c r="J320" i="20" s="1"/>
  <c r="G320" i="20"/>
  <c r="H319" i="20"/>
  <c r="J319" i="20" s="1"/>
  <c r="G319" i="20"/>
  <c r="H318" i="20"/>
  <c r="J318" i="20" s="1"/>
  <c r="K318" i="20" s="1"/>
  <c r="G318" i="20"/>
  <c r="H317" i="20"/>
  <c r="J317" i="20" s="1"/>
  <c r="K317" i="20" s="1"/>
  <c r="G317" i="20"/>
  <c r="H316" i="20"/>
  <c r="J316" i="20" s="1"/>
  <c r="L316" i="20" s="1"/>
  <c r="G316" i="20"/>
  <c r="H315" i="20"/>
  <c r="J315" i="20" s="1"/>
  <c r="G315" i="20"/>
  <c r="H314" i="20"/>
  <c r="G314" i="20"/>
  <c r="H313" i="20"/>
  <c r="J313" i="20" s="1"/>
  <c r="G313" i="20"/>
  <c r="H312" i="20"/>
  <c r="J312" i="20" s="1"/>
  <c r="L312" i="20" s="1"/>
  <c r="G312" i="20"/>
  <c r="H311" i="20"/>
  <c r="J311" i="20" s="1"/>
  <c r="G311" i="20"/>
  <c r="H310" i="20"/>
  <c r="J310" i="20" s="1"/>
  <c r="G310" i="20"/>
  <c r="H309" i="20"/>
  <c r="J309" i="20" s="1"/>
  <c r="G309" i="20"/>
  <c r="H308" i="20"/>
  <c r="J308" i="20" s="1"/>
  <c r="G308" i="20"/>
  <c r="H307" i="20"/>
  <c r="J307" i="20" s="1"/>
  <c r="K307" i="20" s="1"/>
  <c r="G307" i="20"/>
  <c r="H306" i="20"/>
  <c r="J306" i="20" s="1"/>
  <c r="K306" i="20" s="1"/>
  <c r="G306" i="20"/>
  <c r="H305" i="20"/>
  <c r="J305" i="20" s="1"/>
  <c r="L305" i="20" s="1"/>
  <c r="G305" i="20"/>
  <c r="H304" i="20"/>
  <c r="J304" i="20" s="1"/>
  <c r="G304" i="20"/>
  <c r="H303" i="20"/>
  <c r="J303" i="20" s="1"/>
  <c r="G303" i="20"/>
  <c r="H302" i="20"/>
  <c r="J302" i="20" s="1"/>
  <c r="L302" i="20" s="1"/>
  <c r="G302" i="20"/>
  <c r="H301" i="20"/>
  <c r="J301" i="20" s="1"/>
  <c r="G301" i="20"/>
  <c r="H300" i="20"/>
  <c r="J300" i="20" s="1"/>
  <c r="L300" i="20" s="1"/>
  <c r="G300" i="20"/>
  <c r="H299" i="20"/>
  <c r="J299" i="20" s="1"/>
  <c r="G299" i="20"/>
  <c r="H298" i="20"/>
  <c r="J298" i="20" s="1"/>
  <c r="K298" i="20" s="1"/>
  <c r="G298" i="20"/>
  <c r="H295" i="20"/>
  <c r="J295" i="20" s="1"/>
  <c r="L295" i="20" s="1"/>
  <c r="G295" i="20"/>
  <c r="H294" i="20"/>
  <c r="J294" i="20" s="1"/>
  <c r="G294" i="20"/>
  <c r="H293" i="20"/>
  <c r="J293" i="20" s="1"/>
  <c r="L293" i="20" s="1"/>
  <c r="G293" i="20"/>
  <c r="H292" i="20"/>
  <c r="J292" i="20" s="1"/>
  <c r="G292" i="20"/>
  <c r="H291" i="20"/>
  <c r="J291" i="20" s="1"/>
  <c r="G291" i="20"/>
  <c r="H290" i="20"/>
  <c r="J290" i="20" s="1"/>
  <c r="G290" i="20"/>
  <c r="H289" i="20"/>
  <c r="J289" i="20" s="1"/>
  <c r="G289" i="20"/>
  <c r="H288" i="20"/>
  <c r="J288" i="20" s="1"/>
  <c r="G288" i="20"/>
  <c r="H287" i="20"/>
  <c r="J287" i="20" s="1"/>
  <c r="K287" i="20" s="1"/>
  <c r="G287" i="20"/>
  <c r="H286" i="20"/>
  <c r="J286" i="20" s="1"/>
  <c r="L286" i="20" s="1"/>
  <c r="G286" i="20"/>
  <c r="H285" i="20"/>
  <c r="J285" i="20" s="1"/>
  <c r="G285" i="20"/>
  <c r="H284" i="20"/>
  <c r="J284" i="20" s="1"/>
  <c r="G284" i="20"/>
  <c r="H283" i="20"/>
  <c r="J283" i="20" s="1"/>
  <c r="L283" i="20" s="1"/>
  <c r="G283" i="20"/>
  <c r="H282" i="20"/>
  <c r="J282" i="20" s="1"/>
  <c r="L282" i="20" s="1"/>
  <c r="G282" i="20"/>
  <c r="H281" i="20"/>
  <c r="J281" i="20" s="1"/>
  <c r="G281" i="20"/>
  <c r="H280" i="20"/>
  <c r="J280" i="20" s="1"/>
  <c r="G280" i="20"/>
  <c r="H279" i="20"/>
  <c r="J279" i="20" s="1"/>
  <c r="G279" i="20"/>
  <c r="H278" i="20"/>
  <c r="J278" i="20" s="1"/>
  <c r="L278" i="20" s="1"/>
  <c r="G278" i="20"/>
  <c r="H277" i="20"/>
  <c r="J277" i="20" s="1"/>
  <c r="G277" i="20"/>
  <c r="H276" i="20"/>
  <c r="J276" i="20" s="1"/>
  <c r="G276" i="20"/>
  <c r="H275" i="20"/>
  <c r="J275" i="20" s="1"/>
  <c r="K275" i="20" s="1"/>
  <c r="G275" i="20"/>
  <c r="H274" i="20"/>
  <c r="J274" i="20" s="1"/>
  <c r="L274" i="20" s="1"/>
  <c r="G274" i="20"/>
  <c r="H273" i="20"/>
  <c r="J273" i="20" s="1"/>
  <c r="G273" i="20"/>
  <c r="H272" i="20"/>
  <c r="J272" i="20" s="1"/>
  <c r="G272" i="20"/>
  <c r="H271" i="20"/>
  <c r="J271" i="20" s="1"/>
  <c r="L271" i="20" s="1"/>
  <c r="G271" i="20"/>
  <c r="H270" i="20"/>
  <c r="J270" i="20" s="1"/>
  <c r="L270" i="20" s="1"/>
  <c r="G270" i="20"/>
  <c r="H269" i="20"/>
  <c r="J269" i="20" s="1"/>
  <c r="L269" i="20" s="1"/>
  <c r="G269" i="20"/>
  <c r="H268" i="20"/>
  <c r="J268" i="20" s="1"/>
  <c r="G268" i="20"/>
  <c r="H267" i="20"/>
  <c r="J267" i="20" s="1"/>
  <c r="G267" i="20"/>
  <c r="H266" i="20"/>
  <c r="J266" i="20" s="1"/>
  <c r="G266" i="20"/>
  <c r="H265" i="20"/>
  <c r="J265" i="20" s="1"/>
  <c r="G265" i="20"/>
  <c r="H264" i="20"/>
  <c r="J264" i="20" s="1"/>
  <c r="G264" i="20"/>
  <c r="H263" i="20"/>
  <c r="J263" i="20" s="1"/>
  <c r="K263" i="20" s="1"/>
  <c r="G263" i="20"/>
  <c r="H262" i="20"/>
  <c r="J262" i="20" s="1"/>
  <c r="K262" i="20" s="1"/>
  <c r="G262" i="20"/>
  <c r="H261" i="20"/>
  <c r="J261" i="20" s="1"/>
  <c r="G261" i="20"/>
  <c r="H260" i="20"/>
  <c r="J260" i="20" s="1"/>
  <c r="G260" i="20"/>
  <c r="H259" i="20"/>
  <c r="J259" i="20" s="1"/>
  <c r="K259" i="20" s="1"/>
  <c r="G259" i="20"/>
  <c r="H258" i="20"/>
  <c r="J258" i="20" s="1"/>
  <c r="L258" i="20" s="1"/>
  <c r="G258" i="20"/>
  <c r="H257" i="20"/>
  <c r="J257" i="20" s="1"/>
  <c r="G257" i="20"/>
  <c r="H256" i="20"/>
  <c r="J256" i="20" s="1"/>
  <c r="G256" i="20"/>
  <c r="H255" i="20"/>
  <c r="J255" i="20" s="1"/>
  <c r="G255" i="20"/>
  <c r="H254" i="20"/>
  <c r="J254" i="20" s="1"/>
  <c r="G254" i="20"/>
  <c r="H253" i="20"/>
  <c r="J253" i="20" s="1"/>
  <c r="G253" i="20"/>
  <c r="H252" i="20"/>
  <c r="J252" i="20" s="1"/>
  <c r="G252" i="20"/>
  <c r="H251" i="20"/>
  <c r="G251" i="20"/>
  <c r="H248" i="20"/>
  <c r="J248" i="20" s="1"/>
  <c r="K248" i="20" s="1"/>
  <c r="G248" i="20"/>
  <c r="H247" i="20"/>
  <c r="J247" i="20" s="1"/>
  <c r="G247" i="20"/>
  <c r="H246" i="20"/>
  <c r="J246" i="20" s="1"/>
  <c r="G246" i="20"/>
  <c r="H245" i="20"/>
  <c r="J245" i="20" s="1"/>
  <c r="G245" i="20"/>
  <c r="H244" i="20"/>
  <c r="G244" i="20"/>
  <c r="H241" i="20"/>
  <c r="J241" i="20" s="1"/>
  <c r="G241" i="20"/>
  <c r="H240" i="20"/>
  <c r="J240" i="20" s="1"/>
  <c r="G240" i="20"/>
  <c r="H239" i="20"/>
  <c r="J239" i="20" s="1"/>
  <c r="G239" i="20"/>
  <c r="H238" i="20"/>
  <c r="J238" i="20" s="1"/>
  <c r="K238" i="20" s="1"/>
  <c r="G238" i="20"/>
  <c r="H237" i="20"/>
  <c r="J237" i="20" s="1"/>
  <c r="G237" i="20"/>
  <c r="H236" i="20"/>
  <c r="J236" i="20" s="1"/>
  <c r="L236" i="20" s="1"/>
  <c r="G236" i="20"/>
  <c r="H235" i="20"/>
  <c r="J235" i="20" s="1"/>
  <c r="K235" i="20" s="1"/>
  <c r="G235" i="20"/>
  <c r="H234" i="20"/>
  <c r="J234" i="20" s="1"/>
  <c r="G234" i="20"/>
  <c r="H233" i="20"/>
  <c r="J233" i="20" s="1"/>
  <c r="G233" i="20"/>
  <c r="H232" i="20"/>
  <c r="J232" i="20" s="1"/>
  <c r="G232" i="20"/>
  <c r="H231" i="20"/>
  <c r="J231" i="20" s="1"/>
  <c r="G231" i="20"/>
  <c r="H230" i="20"/>
  <c r="J230" i="20" s="1"/>
  <c r="L230" i="20" s="1"/>
  <c r="G230" i="20"/>
  <c r="H229" i="20"/>
  <c r="J229" i="20" s="1"/>
  <c r="G229" i="20"/>
  <c r="H228" i="20"/>
  <c r="J228" i="20" s="1"/>
  <c r="G228" i="20"/>
  <c r="H227" i="20"/>
  <c r="J227" i="20" s="1"/>
  <c r="G227" i="20"/>
  <c r="H226" i="20"/>
  <c r="J226" i="20" s="1"/>
  <c r="L226" i="20" s="1"/>
  <c r="G226" i="20"/>
  <c r="H225" i="20"/>
  <c r="J225" i="20" s="1"/>
  <c r="G225" i="20"/>
  <c r="H224" i="20"/>
  <c r="J224" i="20" s="1"/>
  <c r="L224" i="20" s="1"/>
  <c r="G224" i="20"/>
  <c r="H223" i="20"/>
  <c r="J223" i="20" s="1"/>
  <c r="K223" i="20" s="1"/>
  <c r="G223" i="20"/>
  <c r="H222" i="20"/>
  <c r="J222" i="20" s="1"/>
  <c r="L222" i="20" s="1"/>
  <c r="G222" i="20"/>
  <c r="H221" i="20"/>
  <c r="J221" i="20" s="1"/>
  <c r="G221" i="20"/>
  <c r="H220" i="20"/>
  <c r="J220" i="20" s="1"/>
  <c r="G220" i="20"/>
  <c r="H219" i="20"/>
  <c r="J219" i="20" s="1"/>
  <c r="G219" i="20"/>
  <c r="H218" i="20"/>
  <c r="J218" i="20" s="1"/>
  <c r="L218" i="20" s="1"/>
  <c r="G218" i="20"/>
  <c r="H217" i="20"/>
  <c r="J217" i="20" s="1"/>
  <c r="K217" i="20" s="1"/>
  <c r="G217" i="20"/>
  <c r="H216" i="20"/>
  <c r="J216" i="20" s="1"/>
  <c r="K216" i="20" s="1"/>
  <c r="G216" i="20"/>
  <c r="H215" i="20"/>
  <c r="J215" i="20" s="1"/>
  <c r="G215" i="20"/>
  <c r="H214" i="20"/>
  <c r="J214" i="20" s="1"/>
  <c r="L214" i="20" s="1"/>
  <c r="G214" i="20"/>
  <c r="H213" i="20"/>
  <c r="J213" i="20" s="1"/>
  <c r="G213" i="20"/>
  <c r="H212" i="20"/>
  <c r="J212" i="20" s="1"/>
  <c r="L212" i="20" s="1"/>
  <c r="G212" i="20"/>
  <c r="H211" i="20"/>
  <c r="J211" i="20" s="1"/>
  <c r="K211" i="20" s="1"/>
  <c r="G211" i="20"/>
  <c r="H210" i="20"/>
  <c r="J210" i="20" s="1"/>
  <c r="L210" i="20" s="1"/>
  <c r="G210" i="20"/>
  <c r="H209" i="20"/>
  <c r="J209" i="20" s="1"/>
  <c r="L209" i="20" s="1"/>
  <c r="G209" i="20"/>
  <c r="H208" i="20"/>
  <c r="J208" i="20" s="1"/>
  <c r="G208" i="20"/>
  <c r="H207" i="20"/>
  <c r="J207" i="20" s="1"/>
  <c r="G207" i="20"/>
  <c r="H206" i="20"/>
  <c r="J206" i="20" s="1"/>
  <c r="L206" i="20" s="1"/>
  <c r="G206" i="20"/>
  <c r="H205" i="20"/>
  <c r="J205" i="20" s="1"/>
  <c r="G205" i="20"/>
  <c r="H204" i="20"/>
  <c r="J204" i="20" s="1"/>
  <c r="G204" i="20"/>
  <c r="H203" i="20"/>
  <c r="J203" i="20" s="1"/>
  <c r="G203" i="20"/>
  <c r="H202" i="20"/>
  <c r="J202" i="20" s="1"/>
  <c r="K202" i="20" s="1"/>
  <c r="G202" i="20"/>
  <c r="H201" i="20"/>
  <c r="J201" i="20" s="1"/>
  <c r="G201" i="20"/>
  <c r="H200" i="20"/>
  <c r="J200" i="20" s="1"/>
  <c r="L200" i="20" s="1"/>
  <c r="G200" i="20"/>
  <c r="H199" i="20"/>
  <c r="J199" i="20" s="1"/>
  <c r="K199" i="20" s="1"/>
  <c r="G199" i="20"/>
  <c r="H198" i="20"/>
  <c r="J198" i="20" s="1"/>
  <c r="L198" i="20" s="1"/>
  <c r="G198" i="20"/>
  <c r="H197" i="20"/>
  <c r="J197" i="20" s="1"/>
  <c r="G197" i="20"/>
  <c r="H196" i="20"/>
  <c r="G196" i="20"/>
  <c r="J195" i="20"/>
  <c r="K195" i="20" s="1"/>
  <c r="H195" i="20"/>
  <c r="G195" i="20"/>
  <c r="H194" i="20"/>
  <c r="J194" i="20" s="1"/>
  <c r="L194" i="20" s="1"/>
  <c r="G194" i="20"/>
  <c r="H191" i="20"/>
  <c r="J191" i="20" s="1"/>
  <c r="L191" i="20" s="1"/>
  <c r="G191" i="20"/>
  <c r="H190" i="20"/>
  <c r="J190" i="20" s="1"/>
  <c r="L190" i="20" s="1"/>
  <c r="G190" i="20"/>
  <c r="H189" i="20"/>
  <c r="J189" i="20" s="1"/>
  <c r="G189" i="20"/>
  <c r="H188" i="20"/>
  <c r="J188" i="20" s="1"/>
  <c r="K188" i="20" s="1"/>
  <c r="G188" i="20"/>
  <c r="H187" i="20"/>
  <c r="J187" i="20" s="1"/>
  <c r="K187" i="20" s="1"/>
  <c r="G187" i="20"/>
  <c r="H186" i="20"/>
  <c r="J186" i="20" s="1"/>
  <c r="K186" i="20" s="1"/>
  <c r="G186" i="20"/>
  <c r="H185" i="20"/>
  <c r="J185" i="20" s="1"/>
  <c r="G185" i="20"/>
  <c r="H184" i="20"/>
  <c r="J184" i="20" s="1"/>
  <c r="K184" i="20" s="1"/>
  <c r="G184" i="20"/>
  <c r="H183" i="20"/>
  <c r="J183" i="20" s="1"/>
  <c r="L183" i="20" s="1"/>
  <c r="G183" i="20"/>
  <c r="H182" i="20"/>
  <c r="J182" i="20" s="1"/>
  <c r="L182" i="20" s="1"/>
  <c r="G182" i="20"/>
  <c r="H181" i="20"/>
  <c r="J181" i="20" s="1"/>
  <c r="L181" i="20" s="1"/>
  <c r="G181" i="20"/>
  <c r="H180" i="20"/>
  <c r="J180" i="20" s="1"/>
  <c r="L180" i="20" s="1"/>
  <c r="G180" i="20"/>
  <c r="H179" i="20"/>
  <c r="J179" i="20" s="1"/>
  <c r="L179" i="20" s="1"/>
  <c r="G179" i="20"/>
  <c r="H178" i="20"/>
  <c r="J178" i="20" s="1"/>
  <c r="G178" i="20"/>
  <c r="H177" i="20"/>
  <c r="J177" i="20" s="1"/>
  <c r="G177" i="20"/>
  <c r="H176" i="20"/>
  <c r="J176" i="20" s="1"/>
  <c r="K176" i="20" s="1"/>
  <c r="G176" i="20"/>
  <c r="H175" i="20"/>
  <c r="J175" i="20" s="1"/>
  <c r="K175" i="20" s="1"/>
  <c r="G175" i="20"/>
  <c r="H174" i="20"/>
  <c r="J174" i="20" s="1"/>
  <c r="K174" i="20" s="1"/>
  <c r="G174" i="20"/>
  <c r="H173" i="20"/>
  <c r="J173" i="20" s="1"/>
  <c r="G173" i="20"/>
  <c r="H172" i="20"/>
  <c r="J172" i="20" s="1"/>
  <c r="K172" i="20" s="1"/>
  <c r="G172" i="20"/>
  <c r="H171" i="20"/>
  <c r="J171" i="20" s="1"/>
  <c r="L171" i="20" s="1"/>
  <c r="G171" i="20"/>
  <c r="H170" i="20"/>
  <c r="J170" i="20" s="1"/>
  <c r="L170" i="20" s="1"/>
  <c r="G170" i="20"/>
  <c r="H169" i="20"/>
  <c r="J169" i="20" s="1"/>
  <c r="L169" i="20" s="1"/>
  <c r="G169" i="20"/>
  <c r="H168" i="20"/>
  <c r="J168" i="20" s="1"/>
  <c r="L168" i="20" s="1"/>
  <c r="G168" i="20"/>
  <c r="H167" i="20"/>
  <c r="J167" i="20" s="1"/>
  <c r="L167" i="20" s="1"/>
  <c r="G167" i="20"/>
  <c r="H164" i="20"/>
  <c r="J164" i="20" s="1"/>
  <c r="K164" i="20" s="1"/>
  <c r="G164" i="20"/>
  <c r="H163" i="20"/>
  <c r="J163" i="20" s="1"/>
  <c r="G163" i="20"/>
  <c r="H162" i="20"/>
  <c r="J162" i="20" s="1"/>
  <c r="L162" i="20" s="1"/>
  <c r="G162" i="20"/>
  <c r="H161" i="20"/>
  <c r="J161" i="20" s="1"/>
  <c r="L161" i="20" s="1"/>
  <c r="G161" i="20"/>
  <c r="H160" i="20"/>
  <c r="J160" i="20" s="1"/>
  <c r="L160" i="20" s="1"/>
  <c r="G160" i="20"/>
  <c r="H159" i="20"/>
  <c r="J159" i="20" s="1"/>
  <c r="L159" i="20" s="1"/>
  <c r="G159" i="20"/>
  <c r="H158" i="20"/>
  <c r="G158" i="20"/>
  <c r="H155" i="20"/>
  <c r="J155" i="20" s="1"/>
  <c r="L155" i="20" s="1"/>
  <c r="G155" i="20"/>
  <c r="H154" i="20"/>
  <c r="J154" i="20" s="1"/>
  <c r="L154" i="20" s="1"/>
  <c r="G154" i="20"/>
  <c r="H153" i="20"/>
  <c r="J153" i="20" s="1"/>
  <c r="L153" i="20" s="1"/>
  <c r="G153" i="20"/>
  <c r="H152" i="20"/>
  <c r="J152" i="20" s="1"/>
  <c r="L152" i="20" s="1"/>
  <c r="G152" i="20"/>
  <c r="H151" i="20"/>
  <c r="J151" i="20" s="1"/>
  <c r="L151" i="20" s="1"/>
  <c r="G151" i="20"/>
  <c r="H150" i="20"/>
  <c r="J150" i="20" s="1"/>
  <c r="K150" i="20" s="1"/>
  <c r="G150" i="20"/>
  <c r="H149" i="20"/>
  <c r="J149" i="20" s="1"/>
  <c r="G149" i="20"/>
  <c r="H148" i="20"/>
  <c r="J148" i="20" s="1"/>
  <c r="G148" i="20"/>
  <c r="H147" i="20"/>
  <c r="J147" i="20" s="1"/>
  <c r="G147" i="20"/>
  <c r="H146" i="20"/>
  <c r="J146" i="20" s="1"/>
  <c r="G146" i="20"/>
  <c r="H145" i="20"/>
  <c r="J145" i="20" s="1"/>
  <c r="L145" i="20" s="1"/>
  <c r="G145" i="20"/>
  <c r="H144" i="20"/>
  <c r="J144" i="20" s="1"/>
  <c r="G144" i="20"/>
  <c r="H143" i="20"/>
  <c r="J143" i="20" s="1"/>
  <c r="L143" i="20" s="1"/>
  <c r="G143" i="20"/>
  <c r="H142" i="20"/>
  <c r="J142" i="20" s="1"/>
  <c r="L142" i="20" s="1"/>
  <c r="G142" i="20"/>
  <c r="H141" i="20"/>
  <c r="J141" i="20" s="1"/>
  <c r="L141" i="20" s="1"/>
  <c r="G141" i="20"/>
  <c r="H140" i="20"/>
  <c r="J140" i="20" s="1"/>
  <c r="L140" i="20" s="1"/>
  <c r="G140" i="20"/>
  <c r="H139" i="20"/>
  <c r="J139" i="20" s="1"/>
  <c r="L139" i="20" s="1"/>
  <c r="G139" i="20"/>
  <c r="H138" i="20"/>
  <c r="J138" i="20" s="1"/>
  <c r="K138" i="20" s="1"/>
  <c r="G138" i="20"/>
  <c r="H137" i="20"/>
  <c r="J137" i="20" s="1"/>
  <c r="G137" i="20"/>
  <c r="H136" i="20"/>
  <c r="J136" i="20" s="1"/>
  <c r="G136" i="20"/>
  <c r="H135" i="20"/>
  <c r="J135" i="20" s="1"/>
  <c r="G135" i="20"/>
  <c r="H134" i="20"/>
  <c r="J134" i="20" s="1"/>
  <c r="G134" i="20"/>
  <c r="H133" i="20"/>
  <c r="J133" i="20" s="1"/>
  <c r="L133" i="20" s="1"/>
  <c r="G133" i="20"/>
  <c r="H132" i="20"/>
  <c r="J132" i="20" s="1"/>
  <c r="G132" i="20"/>
  <c r="H131" i="20"/>
  <c r="J131" i="20" s="1"/>
  <c r="L131" i="20" s="1"/>
  <c r="G131" i="20"/>
  <c r="H130" i="20"/>
  <c r="J130" i="20" s="1"/>
  <c r="L130" i="20" s="1"/>
  <c r="G130" i="20"/>
  <c r="H129" i="20"/>
  <c r="J129" i="20" s="1"/>
  <c r="L129" i="20" s="1"/>
  <c r="G129" i="20"/>
  <c r="H128" i="20"/>
  <c r="J128" i="20" s="1"/>
  <c r="L128" i="20" s="1"/>
  <c r="G128" i="20"/>
  <c r="H127" i="20"/>
  <c r="J127" i="20" s="1"/>
  <c r="L127" i="20" s="1"/>
  <c r="G127" i="20"/>
  <c r="H126" i="20"/>
  <c r="J126" i="20" s="1"/>
  <c r="K126" i="20" s="1"/>
  <c r="G126" i="20"/>
  <c r="H125" i="20"/>
  <c r="J125" i="20" s="1"/>
  <c r="G125" i="20"/>
  <c r="H124" i="20"/>
  <c r="J124" i="20" s="1"/>
  <c r="G124" i="20"/>
  <c r="H123" i="20"/>
  <c r="J123" i="20" s="1"/>
  <c r="G123" i="20"/>
  <c r="H122" i="20"/>
  <c r="J122" i="20" s="1"/>
  <c r="G122" i="20"/>
  <c r="H121" i="20"/>
  <c r="J121" i="20" s="1"/>
  <c r="L121" i="20" s="1"/>
  <c r="G121" i="20"/>
  <c r="H120" i="20"/>
  <c r="J120" i="20" s="1"/>
  <c r="L120" i="20" s="1"/>
  <c r="G120" i="20"/>
  <c r="H119" i="20"/>
  <c r="J119" i="20" s="1"/>
  <c r="L119" i="20" s="1"/>
  <c r="G119" i="20"/>
  <c r="H118" i="20"/>
  <c r="J118" i="20" s="1"/>
  <c r="L118" i="20" s="1"/>
  <c r="G118" i="20"/>
  <c r="H115" i="20"/>
  <c r="J115" i="20" s="1"/>
  <c r="G115" i="20"/>
  <c r="H114" i="20"/>
  <c r="J114" i="20" s="1"/>
  <c r="K114" i="20" s="1"/>
  <c r="G114" i="20"/>
  <c r="H113" i="20"/>
  <c r="J113" i="20" s="1"/>
  <c r="G113" i="20"/>
  <c r="H112" i="20"/>
  <c r="J112" i="20" s="1"/>
  <c r="K112" i="20" s="1"/>
  <c r="G112" i="20"/>
  <c r="H111" i="20"/>
  <c r="J111" i="20" s="1"/>
  <c r="G111" i="20"/>
  <c r="H110" i="20"/>
  <c r="J110" i="20" s="1"/>
  <c r="K110" i="20" s="1"/>
  <c r="G110" i="20"/>
  <c r="H109" i="20"/>
  <c r="J109" i="20" s="1"/>
  <c r="L109" i="20" s="1"/>
  <c r="G109" i="20"/>
  <c r="H108" i="20"/>
  <c r="J108" i="20" s="1"/>
  <c r="L108" i="20" s="1"/>
  <c r="G108" i="20"/>
  <c r="H107" i="20"/>
  <c r="J107" i="20" s="1"/>
  <c r="L107" i="20" s="1"/>
  <c r="G107" i="20"/>
  <c r="H106" i="20"/>
  <c r="J106" i="20" s="1"/>
  <c r="L106" i="20" s="1"/>
  <c r="G106" i="20"/>
  <c r="H105" i="20"/>
  <c r="G105" i="20"/>
  <c r="H104" i="20"/>
  <c r="J104" i="20" s="1"/>
  <c r="G104" i="20"/>
  <c r="H101" i="20"/>
  <c r="J101" i="20" s="1"/>
  <c r="L101" i="20" s="1"/>
  <c r="G101" i="20"/>
  <c r="H100" i="20"/>
  <c r="J100" i="20" s="1"/>
  <c r="K100" i="20" s="1"/>
  <c r="G100" i="20"/>
  <c r="H99" i="20"/>
  <c r="J99" i="20" s="1"/>
  <c r="G99" i="20"/>
  <c r="H98" i="20"/>
  <c r="J98" i="20" s="1"/>
  <c r="G98" i="20"/>
  <c r="H97" i="20"/>
  <c r="J97" i="20" s="1"/>
  <c r="L97" i="20" s="1"/>
  <c r="G97" i="20"/>
  <c r="H96" i="20"/>
  <c r="J96" i="20" s="1"/>
  <c r="G96" i="20"/>
  <c r="H95" i="20"/>
  <c r="J95" i="20" s="1"/>
  <c r="L95" i="20" s="1"/>
  <c r="G95" i="20"/>
  <c r="H94" i="20"/>
  <c r="J94" i="20" s="1"/>
  <c r="K94" i="20" s="1"/>
  <c r="G94" i="20"/>
  <c r="H93" i="20"/>
  <c r="J93" i="20" s="1"/>
  <c r="L93" i="20" s="1"/>
  <c r="G93" i="20"/>
  <c r="H90" i="20"/>
  <c r="J90" i="20" s="1"/>
  <c r="K90" i="20" s="1"/>
  <c r="G90" i="20"/>
  <c r="F88" i="20"/>
  <c r="H88" i="20" s="1"/>
  <c r="J88" i="20" s="1"/>
  <c r="L88" i="20" s="1"/>
  <c r="F87" i="20"/>
  <c r="G87" i="20" s="1"/>
  <c r="F86" i="20"/>
  <c r="G86" i="20" s="1"/>
  <c r="F85" i="20"/>
  <c r="H85" i="20" s="1"/>
  <c r="J85" i="20" s="1"/>
  <c r="H84" i="20"/>
  <c r="J84" i="20" s="1"/>
  <c r="L84" i="20" s="1"/>
  <c r="G84" i="20"/>
  <c r="F82" i="20"/>
  <c r="G82" i="20" s="1"/>
  <c r="F81" i="20"/>
  <c r="H81" i="20" s="1"/>
  <c r="J81" i="20" s="1"/>
  <c r="K81" i="20" s="1"/>
  <c r="F80" i="20"/>
  <c r="F83" i="20" s="1"/>
  <c r="G83" i="20" s="1"/>
  <c r="F79" i="20"/>
  <c r="H79" i="20" s="1"/>
  <c r="J79" i="20" s="1"/>
  <c r="H78" i="20"/>
  <c r="J78" i="20" s="1"/>
  <c r="K78" i="20" s="1"/>
  <c r="G78" i="20"/>
  <c r="F76" i="20"/>
  <c r="H76" i="20" s="1"/>
  <c r="J76" i="20" s="1"/>
  <c r="F75" i="20"/>
  <c r="H75" i="20" s="1"/>
  <c r="J75" i="20" s="1"/>
  <c r="K75" i="20" s="1"/>
  <c r="F74" i="20"/>
  <c r="F73" i="20"/>
  <c r="H73" i="20" s="1"/>
  <c r="J73" i="20" s="1"/>
  <c r="H72" i="20"/>
  <c r="J72" i="20" s="1"/>
  <c r="L72" i="20" s="1"/>
  <c r="G72" i="20"/>
  <c r="F70" i="20"/>
  <c r="F69" i="20"/>
  <c r="H69" i="20" s="1"/>
  <c r="J69" i="20" s="1"/>
  <c r="K69" i="20" s="1"/>
  <c r="F68" i="20"/>
  <c r="H68" i="20" s="1"/>
  <c r="J68" i="20" s="1"/>
  <c r="F67" i="20"/>
  <c r="F66" i="20"/>
  <c r="H66" i="20" s="1"/>
  <c r="J66" i="20" s="1"/>
  <c r="H65" i="20"/>
  <c r="J65" i="20" s="1"/>
  <c r="L65" i="20" s="1"/>
  <c r="G65" i="20"/>
  <c r="F62" i="20"/>
  <c r="H62" i="20" s="1"/>
  <c r="J62" i="20" s="1"/>
  <c r="F61" i="20"/>
  <c r="G61" i="20" s="1"/>
  <c r="F60" i="20"/>
  <c r="G60" i="20" s="1"/>
  <c r="H59" i="20"/>
  <c r="J59" i="20" s="1"/>
  <c r="L59" i="20" s="1"/>
  <c r="G59" i="20"/>
  <c r="F58" i="20"/>
  <c r="H58" i="20" s="1"/>
  <c r="J58" i="20" s="1"/>
  <c r="F57" i="20"/>
  <c r="H57" i="20" s="1"/>
  <c r="J57" i="20" s="1"/>
  <c r="L57" i="20" s="1"/>
  <c r="F56" i="20"/>
  <c r="F55" i="20"/>
  <c r="H55" i="20" s="1"/>
  <c r="J55" i="20" s="1"/>
  <c r="H54" i="20"/>
  <c r="J54" i="20" s="1"/>
  <c r="G54" i="20"/>
  <c r="F53" i="20"/>
  <c r="H53" i="20" s="1"/>
  <c r="J53" i="20" s="1"/>
  <c r="K53" i="20" s="1"/>
  <c r="F52" i="20"/>
  <c r="H52" i="20" s="1"/>
  <c r="J52" i="20" s="1"/>
  <c r="L52" i="20" s="1"/>
  <c r="F51" i="20"/>
  <c r="H51" i="20" s="1"/>
  <c r="J51" i="20" s="1"/>
  <c r="H50" i="20"/>
  <c r="J50" i="20" s="1"/>
  <c r="K50" i="20" s="1"/>
  <c r="G50" i="20"/>
  <c r="F48" i="20"/>
  <c r="H48" i="20" s="1"/>
  <c r="J48" i="20" s="1"/>
  <c r="F47" i="20"/>
  <c r="H47" i="20" s="1"/>
  <c r="J47" i="20" s="1"/>
  <c r="L47" i="20" s="1"/>
  <c r="F46" i="20"/>
  <c r="H46" i="20" s="1"/>
  <c r="J46" i="20" s="1"/>
  <c r="F45" i="20"/>
  <c r="H45" i="20" s="1"/>
  <c r="J45" i="20" s="1"/>
  <c r="F44" i="20"/>
  <c r="H44" i="20" s="1"/>
  <c r="J44" i="20" s="1"/>
  <c r="L44" i="20" s="1"/>
  <c r="F43" i="20"/>
  <c r="G43" i="20" s="1"/>
  <c r="H42" i="20"/>
  <c r="J42" i="20" s="1"/>
  <c r="G42" i="20"/>
  <c r="F40" i="20"/>
  <c r="G40" i="20" s="1"/>
  <c r="F39" i="20"/>
  <c r="H39" i="20" s="1"/>
  <c r="J39" i="20" s="1"/>
  <c r="F38" i="20"/>
  <c r="G38" i="20" s="1"/>
  <c r="F37" i="20"/>
  <c r="G37" i="20" s="1"/>
  <c r="F36" i="20"/>
  <c r="H36" i="20" s="1"/>
  <c r="J36" i="20" s="1"/>
  <c r="F35" i="20"/>
  <c r="G35" i="20" s="1"/>
  <c r="H34" i="20"/>
  <c r="J34" i="20" s="1"/>
  <c r="G34" i="20"/>
  <c r="H31" i="20"/>
  <c r="J31" i="20" s="1"/>
  <c r="G31" i="20"/>
  <c r="H30" i="20"/>
  <c r="J30" i="20" s="1"/>
  <c r="G30" i="20"/>
  <c r="H29" i="20"/>
  <c r="J29" i="20" s="1"/>
  <c r="G29" i="20"/>
  <c r="H28" i="20"/>
  <c r="J28" i="20" s="1"/>
  <c r="G28" i="20"/>
  <c r="H27" i="20"/>
  <c r="G27" i="20"/>
  <c r="H26" i="20"/>
  <c r="G26" i="20"/>
  <c r="F23" i="20"/>
  <c r="H23" i="20" s="1"/>
  <c r="J23" i="20" s="1"/>
  <c r="L23" i="20" s="1"/>
  <c r="H22" i="20"/>
  <c r="J22" i="20" s="1"/>
  <c r="L22" i="20" s="1"/>
  <c r="G22" i="20"/>
  <c r="H21" i="20"/>
  <c r="J21" i="20" s="1"/>
  <c r="G21" i="20"/>
  <c r="H20" i="20"/>
  <c r="J20" i="20" s="1"/>
  <c r="L20" i="20" s="1"/>
  <c r="G20" i="20"/>
  <c r="F19" i="20"/>
  <c r="H18" i="20"/>
  <c r="J18" i="20" s="1"/>
  <c r="L18" i="20" s="1"/>
  <c r="G18" i="20"/>
  <c r="F17" i="20"/>
  <c r="G17" i="20" s="1"/>
  <c r="H16" i="20"/>
  <c r="J16" i="20" s="1"/>
  <c r="K16" i="20" s="1"/>
  <c r="G16" i="20"/>
  <c r="F15" i="20"/>
  <c r="H14" i="20"/>
  <c r="J14" i="20" s="1"/>
  <c r="G14" i="20"/>
  <c r="F13" i="20"/>
  <c r="H12" i="20"/>
  <c r="J12" i="20" s="1"/>
  <c r="L12" i="20" s="1"/>
  <c r="G12" i="20"/>
  <c r="F11" i="20"/>
  <c r="H11" i="20" s="1"/>
  <c r="J11" i="20" s="1"/>
  <c r="H10" i="20"/>
  <c r="J10" i="20" s="1"/>
  <c r="L10" i="20" s="1"/>
  <c r="G10" i="20"/>
  <c r="F9" i="20"/>
  <c r="F8" i="20"/>
  <c r="H8" i="20" s="1"/>
  <c r="J8" i="20" s="1"/>
  <c r="L8" i="20" s="1"/>
  <c r="H7" i="20"/>
  <c r="J7" i="20" s="1"/>
  <c r="L7" i="20" s="1"/>
  <c r="G7" i="20"/>
  <c r="F6" i="20"/>
  <c r="H6" i="20" s="1"/>
  <c r="J6" i="20" s="1"/>
  <c r="F5" i="20"/>
  <c r="H5" i="20" s="1"/>
  <c r="J5" i="20" s="1"/>
  <c r="L5" i="20" s="1"/>
  <c r="H4" i="20"/>
  <c r="G4" i="20"/>
  <c r="G5" i="3"/>
  <c r="P31" i="19"/>
  <c r="P30" i="19"/>
  <c r="P29" i="19"/>
  <c r="P28" i="19"/>
  <c r="P27" i="19"/>
  <c r="P26" i="19"/>
  <c r="P413" i="19"/>
  <c r="O413" i="19"/>
  <c r="P412" i="19"/>
  <c r="O412" i="19"/>
  <c r="P411" i="19"/>
  <c r="O411" i="19"/>
  <c r="P410" i="19"/>
  <c r="O410" i="19"/>
  <c r="P409" i="19"/>
  <c r="O409" i="19"/>
  <c r="P408" i="19"/>
  <c r="O408" i="19"/>
  <c r="P407" i="19"/>
  <c r="O407" i="19"/>
  <c r="P406" i="19"/>
  <c r="O406" i="19"/>
  <c r="P405" i="19"/>
  <c r="O405" i="19"/>
  <c r="P404" i="19"/>
  <c r="O404" i="19"/>
  <c r="P403" i="19"/>
  <c r="O403" i="19"/>
  <c r="P402" i="19"/>
  <c r="O402" i="19"/>
  <c r="P401" i="19"/>
  <c r="O401" i="19"/>
  <c r="P400" i="19"/>
  <c r="O400" i="19"/>
  <c r="P399" i="19"/>
  <c r="O399" i="19"/>
  <c r="P398" i="19"/>
  <c r="O398" i="19"/>
  <c r="P397" i="19"/>
  <c r="O397" i="19"/>
  <c r="P396" i="19"/>
  <c r="O396" i="19"/>
  <c r="P394" i="19"/>
  <c r="O394" i="19"/>
  <c r="P393" i="19"/>
  <c r="O393" i="19"/>
  <c r="P392" i="19"/>
  <c r="O392" i="19"/>
  <c r="P391" i="19"/>
  <c r="O391" i="19"/>
  <c r="P390" i="19"/>
  <c r="O390" i="19"/>
  <c r="P389" i="19"/>
  <c r="O389" i="19"/>
  <c r="P388" i="19"/>
  <c r="O388" i="19"/>
  <c r="P387" i="19"/>
  <c r="O387" i="19"/>
  <c r="P386" i="19"/>
  <c r="O386" i="19"/>
  <c r="P385" i="19"/>
  <c r="O385" i="19"/>
  <c r="P384" i="19"/>
  <c r="O384" i="19"/>
  <c r="P383" i="19"/>
  <c r="O383" i="19"/>
  <c r="P382" i="19"/>
  <c r="O382" i="19"/>
  <c r="P381" i="19"/>
  <c r="O381" i="19"/>
  <c r="P380" i="19"/>
  <c r="O380" i="19"/>
  <c r="P379" i="19"/>
  <c r="O379" i="19"/>
  <c r="P378" i="19"/>
  <c r="O378" i="19"/>
  <c r="P377" i="19"/>
  <c r="O377" i="19"/>
  <c r="P376" i="19"/>
  <c r="O376" i="19"/>
  <c r="P375" i="19"/>
  <c r="O375" i="19"/>
  <c r="P374" i="19"/>
  <c r="O374" i="19"/>
  <c r="P373" i="19"/>
  <c r="O373" i="19"/>
  <c r="P372" i="19"/>
  <c r="O372" i="19"/>
  <c r="P371" i="19"/>
  <c r="O371" i="19"/>
  <c r="P370" i="19"/>
  <c r="O370" i="19"/>
  <c r="P369" i="19"/>
  <c r="O369" i="19"/>
  <c r="P368" i="19"/>
  <c r="O368" i="19"/>
  <c r="P367" i="19"/>
  <c r="O367" i="19"/>
  <c r="P366" i="19"/>
  <c r="O366" i="19"/>
  <c r="P365" i="19"/>
  <c r="O365" i="19"/>
  <c r="P364" i="19"/>
  <c r="O364" i="19"/>
  <c r="P363" i="19"/>
  <c r="O363" i="19"/>
  <c r="P362" i="19"/>
  <c r="O362" i="19"/>
  <c r="P361" i="19"/>
  <c r="O361" i="19"/>
  <c r="P360" i="19"/>
  <c r="O360" i="19"/>
  <c r="P358" i="19"/>
  <c r="O358" i="19"/>
  <c r="P356" i="19"/>
  <c r="O356" i="19"/>
  <c r="P355" i="19"/>
  <c r="O355" i="19"/>
  <c r="P354" i="19"/>
  <c r="O354" i="19"/>
  <c r="P353" i="19"/>
  <c r="O353" i="19"/>
  <c r="P352" i="19"/>
  <c r="O352" i="19"/>
  <c r="P351" i="19"/>
  <c r="O351" i="19"/>
  <c r="P350" i="19"/>
  <c r="O350" i="19"/>
  <c r="P349" i="19"/>
  <c r="O349" i="19"/>
  <c r="P348" i="19"/>
  <c r="O348" i="19"/>
  <c r="P345" i="19"/>
  <c r="O345" i="19"/>
  <c r="P344" i="19"/>
  <c r="O344" i="19"/>
  <c r="P343" i="19"/>
  <c r="O343" i="19"/>
  <c r="P342" i="19"/>
  <c r="O342" i="19"/>
  <c r="P341" i="19"/>
  <c r="O341" i="19"/>
  <c r="P340" i="19"/>
  <c r="O340" i="19"/>
  <c r="P339" i="19"/>
  <c r="O339" i="19"/>
  <c r="P338" i="19"/>
  <c r="O338" i="19"/>
  <c r="P337" i="19"/>
  <c r="O337" i="19"/>
  <c r="P336" i="19"/>
  <c r="O336" i="19"/>
  <c r="P335" i="19"/>
  <c r="O335" i="19"/>
  <c r="P334" i="19"/>
  <c r="O334" i="19"/>
  <c r="P333" i="19"/>
  <c r="O333" i="19"/>
  <c r="P332" i="19"/>
  <c r="O332" i="19"/>
  <c r="P331" i="19"/>
  <c r="O331" i="19"/>
  <c r="P330" i="19"/>
  <c r="O330" i="19"/>
  <c r="P329" i="19"/>
  <c r="O329" i="19"/>
  <c r="P328" i="19"/>
  <c r="O328" i="19"/>
  <c r="P327" i="19"/>
  <c r="O327" i="19"/>
  <c r="P326" i="19"/>
  <c r="O326" i="19"/>
  <c r="P325" i="19"/>
  <c r="O325" i="19"/>
  <c r="P324" i="19"/>
  <c r="O324" i="19"/>
  <c r="P323" i="19"/>
  <c r="O323" i="19"/>
  <c r="P322" i="19"/>
  <c r="O322" i="19"/>
  <c r="P321" i="19"/>
  <c r="O321" i="19"/>
  <c r="P320" i="19"/>
  <c r="O320" i="19"/>
  <c r="P319" i="19"/>
  <c r="O319" i="19"/>
  <c r="P318" i="19"/>
  <c r="O318" i="19"/>
  <c r="P317" i="19"/>
  <c r="O317" i="19"/>
  <c r="P316" i="19"/>
  <c r="O316" i="19"/>
  <c r="P315" i="19"/>
  <c r="O315" i="19"/>
  <c r="P314" i="19"/>
  <c r="O314" i="19"/>
  <c r="P313" i="19"/>
  <c r="O313" i="19"/>
  <c r="P312" i="19"/>
  <c r="O312" i="19"/>
  <c r="P311" i="19"/>
  <c r="O311" i="19"/>
  <c r="P310" i="19"/>
  <c r="O310" i="19"/>
  <c r="P309" i="19"/>
  <c r="O309" i="19"/>
  <c r="P308" i="19"/>
  <c r="O308" i="19"/>
  <c r="P307" i="19"/>
  <c r="O307" i="19"/>
  <c r="P306" i="19"/>
  <c r="O306" i="19"/>
  <c r="P305" i="19"/>
  <c r="O305" i="19"/>
  <c r="P304" i="19"/>
  <c r="O304" i="19"/>
  <c r="P303" i="19"/>
  <c r="O303" i="19"/>
  <c r="P302" i="19"/>
  <c r="O302" i="19"/>
  <c r="P301" i="19"/>
  <c r="O301" i="19"/>
  <c r="P300" i="19"/>
  <c r="O300" i="19"/>
  <c r="P299" i="19"/>
  <c r="O299" i="19"/>
  <c r="P298" i="19"/>
  <c r="O298" i="19"/>
  <c r="P295" i="19"/>
  <c r="O295" i="19"/>
  <c r="P294" i="19"/>
  <c r="O294" i="19"/>
  <c r="P293" i="19"/>
  <c r="O293" i="19"/>
  <c r="P292" i="19"/>
  <c r="O292" i="19"/>
  <c r="P291" i="19"/>
  <c r="O291" i="19"/>
  <c r="P290" i="19"/>
  <c r="O290" i="19"/>
  <c r="P289" i="19"/>
  <c r="O289" i="19"/>
  <c r="P288" i="19"/>
  <c r="O288" i="19"/>
  <c r="P287" i="19"/>
  <c r="O287" i="19"/>
  <c r="P286" i="19"/>
  <c r="O286" i="19"/>
  <c r="P285" i="19"/>
  <c r="O285" i="19"/>
  <c r="P284" i="19"/>
  <c r="O284" i="19"/>
  <c r="P283" i="19"/>
  <c r="O283" i="19"/>
  <c r="P282" i="19"/>
  <c r="O282" i="19"/>
  <c r="P281" i="19"/>
  <c r="O281" i="19"/>
  <c r="P280" i="19"/>
  <c r="O280" i="19"/>
  <c r="P279" i="19"/>
  <c r="O279" i="19"/>
  <c r="P278" i="19"/>
  <c r="O278" i="19"/>
  <c r="P277" i="19"/>
  <c r="O277" i="19"/>
  <c r="P276" i="19"/>
  <c r="O276" i="19"/>
  <c r="P275" i="19"/>
  <c r="O275" i="19"/>
  <c r="P274" i="19"/>
  <c r="O274" i="19"/>
  <c r="P273" i="19"/>
  <c r="O273" i="19"/>
  <c r="P272" i="19"/>
  <c r="O272" i="19"/>
  <c r="P271" i="19"/>
  <c r="O271" i="19"/>
  <c r="P270" i="19"/>
  <c r="O270" i="19"/>
  <c r="P269" i="19"/>
  <c r="O269" i="19"/>
  <c r="P268" i="19"/>
  <c r="O268" i="19"/>
  <c r="P267" i="19"/>
  <c r="O267" i="19"/>
  <c r="P266" i="19"/>
  <c r="O266" i="19"/>
  <c r="P265" i="19"/>
  <c r="O265" i="19"/>
  <c r="P264" i="19"/>
  <c r="O264" i="19"/>
  <c r="P263" i="19"/>
  <c r="O263" i="19"/>
  <c r="P262" i="19"/>
  <c r="O262" i="19"/>
  <c r="P261" i="19"/>
  <c r="O261" i="19"/>
  <c r="P260" i="19"/>
  <c r="O260" i="19"/>
  <c r="P259" i="19"/>
  <c r="O259" i="19"/>
  <c r="P258" i="19"/>
  <c r="O258" i="19"/>
  <c r="P257" i="19"/>
  <c r="O257" i="19"/>
  <c r="P256" i="19"/>
  <c r="O256" i="19"/>
  <c r="P255" i="19"/>
  <c r="O255" i="19"/>
  <c r="P254" i="19"/>
  <c r="O254" i="19"/>
  <c r="P253" i="19"/>
  <c r="O253" i="19"/>
  <c r="P252" i="19"/>
  <c r="O252" i="19"/>
  <c r="P251" i="19"/>
  <c r="O251" i="19"/>
  <c r="P248" i="19"/>
  <c r="O248" i="19"/>
  <c r="P247" i="19"/>
  <c r="O247" i="19"/>
  <c r="P246" i="19"/>
  <c r="O246" i="19"/>
  <c r="P245" i="19"/>
  <c r="O245" i="19"/>
  <c r="P244" i="19"/>
  <c r="O244" i="19"/>
  <c r="P243" i="19"/>
  <c r="O243" i="19"/>
  <c r="P241" i="19"/>
  <c r="O241" i="19"/>
  <c r="P240" i="19"/>
  <c r="O240" i="19"/>
  <c r="P239" i="19"/>
  <c r="O239" i="19"/>
  <c r="P238" i="19"/>
  <c r="O238" i="19"/>
  <c r="P237" i="19"/>
  <c r="O237" i="19"/>
  <c r="P236" i="19"/>
  <c r="O236" i="19"/>
  <c r="P235" i="19"/>
  <c r="O235" i="19"/>
  <c r="P234" i="19"/>
  <c r="O234" i="19"/>
  <c r="P233" i="19"/>
  <c r="O233" i="19"/>
  <c r="P232" i="19"/>
  <c r="O232" i="19"/>
  <c r="P231" i="19"/>
  <c r="O231" i="19"/>
  <c r="P230" i="19"/>
  <c r="O230" i="19"/>
  <c r="P229" i="19"/>
  <c r="O229" i="19"/>
  <c r="P228" i="19"/>
  <c r="O228" i="19"/>
  <c r="P227" i="19"/>
  <c r="O227" i="19"/>
  <c r="P226" i="19"/>
  <c r="O226" i="19"/>
  <c r="P225" i="19"/>
  <c r="O225" i="19"/>
  <c r="P224" i="19"/>
  <c r="O224" i="19"/>
  <c r="P223" i="19"/>
  <c r="O223" i="19"/>
  <c r="P222" i="19"/>
  <c r="O222" i="19"/>
  <c r="P221" i="19"/>
  <c r="O221" i="19"/>
  <c r="P220" i="19"/>
  <c r="O220" i="19"/>
  <c r="P219" i="19"/>
  <c r="O219" i="19"/>
  <c r="P218" i="19"/>
  <c r="O218" i="19"/>
  <c r="P217" i="19"/>
  <c r="O217" i="19"/>
  <c r="P216" i="19"/>
  <c r="O216" i="19"/>
  <c r="P215" i="19"/>
  <c r="O215" i="19"/>
  <c r="P214" i="19"/>
  <c r="O214" i="19"/>
  <c r="P213" i="19"/>
  <c r="O213" i="19"/>
  <c r="P212" i="19"/>
  <c r="O212" i="19"/>
  <c r="P211" i="19"/>
  <c r="O211" i="19"/>
  <c r="P210" i="19"/>
  <c r="O210" i="19"/>
  <c r="P209" i="19"/>
  <c r="O209" i="19"/>
  <c r="P208" i="19"/>
  <c r="O208" i="19"/>
  <c r="P207" i="19"/>
  <c r="O207" i="19"/>
  <c r="P206" i="19"/>
  <c r="O206" i="19"/>
  <c r="P205" i="19"/>
  <c r="O205" i="19"/>
  <c r="P204" i="19"/>
  <c r="O204" i="19"/>
  <c r="P203" i="19"/>
  <c r="O203" i="19"/>
  <c r="P202" i="19"/>
  <c r="O202" i="19"/>
  <c r="P201" i="19"/>
  <c r="O201" i="19"/>
  <c r="P200" i="19"/>
  <c r="O200" i="19"/>
  <c r="P199" i="19"/>
  <c r="O199" i="19"/>
  <c r="P198" i="19"/>
  <c r="O198" i="19"/>
  <c r="P197" i="19"/>
  <c r="O197" i="19"/>
  <c r="P196" i="19"/>
  <c r="O196" i="19"/>
  <c r="P195" i="19"/>
  <c r="O195" i="19"/>
  <c r="P194" i="19"/>
  <c r="O194" i="19"/>
  <c r="P191" i="19"/>
  <c r="O191" i="19"/>
  <c r="P190" i="19"/>
  <c r="O190" i="19"/>
  <c r="P189" i="19"/>
  <c r="O189" i="19"/>
  <c r="P188" i="19"/>
  <c r="O188" i="19"/>
  <c r="P187" i="19"/>
  <c r="O187" i="19"/>
  <c r="P186" i="19"/>
  <c r="O186" i="19"/>
  <c r="P185" i="19"/>
  <c r="O185" i="19"/>
  <c r="P184" i="19"/>
  <c r="O184" i="19"/>
  <c r="P183" i="19"/>
  <c r="O183" i="19"/>
  <c r="P182" i="19"/>
  <c r="O182" i="19"/>
  <c r="P181" i="19"/>
  <c r="O181" i="19"/>
  <c r="P180" i="19"/>
  <c r="O180" i="19"/>
  <c r="P179" i="19"/>
  <c r="O179" i="19"/>
  <c r="P178" i="19"/>
  <c r="O178" i="19"/>
  <c r="P177" i="19"/>
  <c r="O177" i="19"/>
  <c r="P176" i="19"/>
  <c r="O176" i="19"/>
  <c r="P175" i="19"/>
  <c r="O175" i="19"/>
  <c r="P174" i="19"/>
  <c r="O174" i="19"/>
  <c r="P173" i="19"/>
  <c r="O173" i="19"/>
  <c r="P172" i="19"/>
  <c r="O172" i="19"/>
  <c r="P171" i="19"/>
  <c r="O171" i="19"/>
  <c r="P170" i="19"/>
  <c r="O170" i="19"/>
  <c r="P169" i="19"/>
  <c r="O169" i="19"/>
  <c r="P168" i="19"/>
  <c r="O168" i="19"/>
  <c r="P167" i="19"/>
  <c r="O167" i="19"/>
  <c r="P164" i="19"/>
  <c r="O164" i="19"/>
  <c r="P163" i="19"/>
  <c r="O163" i="19"/>
  <c r="P162" i="19"/>
  <c r="O162" i="19"/>
  <c r="P161" i="19"/>
  <c r="O161" i="19"/>
  <c r="P160" i="19"/>
  <c r="O160" i="19"/>
  <c r="P159" i="19"/>
  <c r="O159" i="19"/>
  <c r="P158" i="19"/>
  <c r="O158" i="19"/>
  <c r="P155" i="19"/>
  <c r="O155" i="19"/>
  <c r="P154" i="19"/>
  <c r="O154" i="19"/>
  <c r="P153" i="19"/>
  <c r="O153" i="19"/>
  <c r="P152" i="19"/>
  <c r="O152" i="19"/>
  <c r="P151" i="19"/>
  <c r="O151" i="19"/>
  <c r="P150" i="19"/>
  <c r="O150" i="19"/>
  <c r="P149" i="19"/>
  <c r="O149" i="19"/>
  <c r="P148" i="19"/>
  <c r="O148" i="19"/>
  <c r="P147" i="19"/>
  <c r="O147" i="19"/>
  <c r="P146" i="19"/>
  <c r="O146" i="19"/>
  <c r="P145" i="19"/>
  <c r="O145" i="19"/>
  <c r="P144" i="19"/>
  <c r="O144" i="19"/>
  <c r="P143" i="19"/>
  <c r="O143" i="19"/>
  <c r="P142" i="19"/>
  <c r="O142" i="19"/>
  <c r="P141" i="19"/>
  <c r="O141" i="19"/>
  <c r="P140" i="19"/>
  <c r="O140" i="19"/>
  <c r="P139" i="19"/>
  <c r="O139" i="19"/>
  <c r="P138" i="19"/>
  <c r="O138" i="19"/>
  <c r="P137" i="19"/>
  <c r="O137" i="19"/>
  <c r="P136" i="19"/>
  <c r="O136" i="19"/>
  <c r="P135" i="19"/>
  <c r="O135" i="19"/>
  <c r="P134" i="19"/>
  <c r="O134" i="19"/>
  <c r="P133" i="19"/>
  <c r="O133" i="19"/>
  <c r="P132" i="19"/>
  <c r="O132" i="19"/>
  <c r="P131" i="19"/>
  <c r="O131" i="19"/>
  <c r="P130" i="19"/>
  <c r="O130" i="19"/>
  <c r="P129" i="19"/>
  <c r="O129" i="19"/>
  <c r="P128" i="19"/>
  <c r="O128" i="19"/>
  <c r="P127" i="19"/>
  <c r="O127" i="19"/>
  <c r="P126" i="19"/>
  <c r="O126" i="19"/>
  <c r="P125" i="19"/>
  <c r="O125" i="19"/>
  <c r="P124" i="19"/>
  <c r="O124" i="19"/>
  <c r="P123" i="19"/>
  <c r="O123" i="19"/>
  <c r="P122" i="19"/>
  <c r="O122" i="19"/>
  <c r="P121" i="19"/>
  <c r="O121" i="19"/>
  <c r="P120" i="19"/>
  <c r="O120" i="19"/>
  <c r="P119" i="19"/>
  <c r="O119" i="19"/>
  <c r="P118" i="19"/>
  <c r="O118" i="19"/>
  <c r="P115" i="19"/>
  <c r="O115" i="19"/>
  <c r="P114" i="19"/>
  <c r="O114" i="19"/>
  <c r="P113" i="19"/>
  <c r="O113" i="19"/>
  <c r="P112" i="19"/>
  <c r="O112" i="19"/>
  <c r="P111" i="19"/>
  <c r="O111" i="19"/>
  <c r="P110" i="19"/>
  <c r="O110" i="19"/>
  <c r="P109" i="19"/>
  <c r="O109" i="19"/>
  <c r="P108" i="19"/>
  <c r="O108" i="19"/>
  <c r="P107" i="19"/>
  <c r="O107" i="19"/>
  <c r="P106" i="19"/>
  <c r="O106" i="19"/>
  <c r="P105" i="19"/>
  <c r="O105" i="19"/>
  <c r="P104" i="19"/>
  <c r="O104" i="19"/>
  <c r="P101" i="19"/>
  <c r="O101" i="19"/>
  <c r="P100" i="19"/>
  <c r="O100" i="19"/>
  <c r="P99" i="19"/>
  <c r="O99" i="19"/>
  <c r="P98" i="19"/>
  <c r="O98" i="19"/>
  <c r="P97" i="19"/>
  <c r="O97" i="19"/>
  <c r="P96" i="19"/>
  <c r="O96" i="19"/>
  <c r="P95" i="19"/>
  <c r="O95" i="19"/>
  <c r="P94" i="19"/>
  <c r="O94" i="19"/>
  <c r="P93" i="19"/>
  <c r="O93" i="19"/>
  <c r="P92" i="19"/>
  <c r="O92" i="19"/>
  <c r="P90" i="19"/>
  <c r="O90" i="19"/>
  <c r="P89" i="19"/>
  <c r="O89" i="19"/>
  <c r="P88" i="19"/>
  <c r="O88" i="19"/>
  <c r="P87" i="19"/>
  <c r="O87" i="19"/>
  <c r="P86" i="19"/>
  <c r="O86" i="19"/>
  <c r="P85" i="19"/>
  <c r="O85" i="19"/>
  <c r="P84" i="19"/>
  <c r="O84" i="19"/>
  <c r="P83" i="19"/>
  <c r="O83" i="19"/>
  <c r="P82" i="19"/>
  <c r="O82" i="19"/>
  <c r="P81" i="19"/>
  <c r="O81" i="19"/>
  <c r="P80" i="19"/>
  <c r="O80" i="19"/>
  <c r="P79" i="19"/>
  <c r="O79" i="19"/>
  <c r="P78" i="19"/>
  <c r="O78" i="19"/>
  <c r="P77" i="19"/>
  <c r="O77" i="19"/>
  <c r="P76" i="19"/>
  <c r="O76" i="19"/>
  <c r="P75" i="19"/>
  <c r="O75" i="19"/>
  <c r="P74" i="19"/>
  <c r="O74" i="19"/>
  <c r="P73" i="19"/>
  <c r="O73" i="19"/>
  <c r="P72" i="19"/>
  <c r="O72" i="19"/>
  <c r="P71" i="19"/>
  <c r="O71" i="19"/>
  <c r="P70" i="19"/>
  <c r="O70" i="19"/>
  <c r="P69" i="19"/>
  <c r="O69" i="19"/>
  <c r="P68" i="19"/>
  <c r="O68" i="19"/>
  <c r="P67" i="19"/>
  <c r="O67" i="19"/>
  <c r="P66" i="19"/>
  <c r="O66" i="19"/>
  <c r="P65" i="19"/>
  <c r="O65" i="19"/>
  <c r="P62" i="19"/>
  <c r="O62" i="19"/>
  <c r="P61" i="19"/>
  <c r="O61" i="19"/>
  <c r="P60" i="19"/>
  <c r="O60" i="19"/>
  <c r="P59" i="19"/>
  <c r="O59" i="19"/>
  <c r="P58" i="19"/>
  <c r="O58" i="19"/>
  <c r="P57" i="19"/>
  <c r="O57" i="19"/>
  <c r="P56" i="19"/>
  <c r="O56" i="19"/>
  <c r="P55" i="19"/>
  <c r="O55" i="19"/>
  <c r="P54" i="19"/>
  <c r="O54" i="19"/>
  <c r="P53" i="19"/>
  <c r="O53" i="19"/>
  <c r="P52" i="19"/>
  <c r="O52" i="19"/>
  <c r="P51" i="19"/>
  <c r="O51" i="19"/>
  <c r="P50" i="19"/>
  <c r="O50" i="19"/>
  <c r="P49" i="19"/>
  <c r="O49" i="19"/>
  <c r="P48" i="19"/>
  <c r="O48" i="19"/>
  <c r="P47" i="19"/>
  <c r="O47" i="19"/>
  <c r="P46" i="19"/>
  <c r="O46" i="19"/>
  <c r="P45" i="19"/>
  <c r="O45" i="19"/>
  <c r="P44" i="19"/>
  <c r="O44" i="19"/>
  <c r="P43" i="19"/>
  <c r="O43" i="19"/>
  <c r="P42" i="19"/>
  <c r="O42" i="19"/>
  <c r="P41" i="19"/>
  <c r="O41" i="19"/>
  <c r="P40" i="19"/>
  <c r="O40" i="19"/>
  <c r="P39" i="19"/>
  <c r="O39" i="19"/>
  <c r="P38" i="19"/>
  <c r="O38" i="19"/>
  <c r="P37" i="19"/>
  <c r="O37" i="19"/>
  <c r="P36" i="19"/>
  <c r="O36" i="19"/>
  <c r="P35" i="19"/>
  <c r="O35" i="19"/>
  <c r="P34" i="19"/>
  <c r="O34" i="19"/>
  <c r="O31" i="19"/>
  <c r="O30" i="19"/>
  <c r="O29" i="19"/>
  <c r="O28" i="19"/>
  <c r="O27" i="19"/>
  <c r="O26" i="19"/>
  <c r="P23" i="19"/>
  <c r="O23" i="19"/>
  <c r="P22" i="19"/>
  <c r="O22" i="19"/>
  <c r="P21" i="19"/>
  <c r="O21" i="19"/>
  <c r="P20" i="19"/>
  <c r="O20" i="19"/>
  <c r="P19" i="19"/>
  <c r="O19" i="19"/>
  <c r="P18" i="19"/>
  <c r="O18" i="19"/>
  <c r="P17" i="19"/>
  <c r="O17" i="19"/>
  <c r="P16" i="19"/>
  <c r="O16" i="19"/>
  <c r="P15" i="19"/>
  <c r="O15" i="19"/>
  <c r="P14" i="19"/>
  <c r="O14" i="19"/>
  <c r="P13" i="19"/>
  <c r="O13" i="19"/>
  <c r="P12" i="19"/>
  <c r="O12" i="19"/>
  <c r="P11" i="19"/>
  <c r="O11" i="19"/>
  <c r="P10" i="19"/>
  <c r="O10" i="19"/>
  <c r="P9" i="19"/>
  <c r="O9" i="19"/>
  <c r="P8" i="19"/>
  <c r="O8" i="19"/>
  <c r="P7" i="19"/>
  <c r="O7" i="19"/>
  <c r="P6" i="19"/>
  <c r="O6" i="19"/>
  <c r="P5" i="19"/>
  <c r="O5" i="19"/>
  <c r="P4" i="19"/>
  <c r="O4" i="19"/>
  <c r="E23" i="19"/>
  <c r="E19" i="19"/>
  <c r="E17" i="19"/>
  <c r="E15" i="19"/>
  <c r="E13" i="19"/>
  <c r="E11" i="19"/>
  <c r="E9" i="19"/>
  <c r="E8" i="19"/>
  <c r="E6" i="19"/>
  <c r="E5" i="19"/>
  <c r="F5" i="19"/>
  <c r="F6" i="19"/>
  <c r="F8" i="19"/>
  <c r="F9" i="19"/>
  <c r="F11" i="19"/>
  <c r="F13" i="19"/>
  <c r="F15" i="19"/>
  <c r="G15" i="19" s="1"/>
  <c r="F17" i="19"/>
  <c r="H17" i="19" s="1"/>
  <c r="J17" i="19" s="1"/>
  <c r="F19" i="19"/>
  <c r="H19" i="19" s="1"/>
  <c r="J19" i="19" s="1"/>
  <c r="F23" i="19"/>
  <c r="H23" i="19" s="1"/>
  <c r="J23" i="19" s="1"/>
  <c r="L23" i="19" s="1"/>
  <c r="H425" i="19"/>
  <c r="G425" i="19"/>
  <c r="H424" i="19"/>
  <c r="G424" i="19"/>
  <c r="H423" i="19"/>
  <c r="G423" i="19"/>
  <c r="H422" i="19"/>
  <c r="G422" i="19"/>
  <c r="H421" i="19"/>
  <c r="G421" i="19"/>
  <c r="H420" i="19"/>
  <c r="G420" i="19"/>
  <c r="H419" i="19"/>
  <c r="G419" i="19"/>
  <c r="H418" i="19"/>
  <c r="G14" i="3" s="1"/>
  <c r="G418" i="19"/>
  <c r="H417" i="19"/>
  <c r="G417" i="19"/>
  <c r="H416" i="19"/>
  <c r="G13" i="3" s="1"/>
  <c r="G416" i="19"/>
  <c r="H413" i="19"/>
  <c r="J413" i="19" s="1"/>
  <c r="G413" i="19"/>
  <c r="J412" i="19"/>
  <c r="H412" i="19"/>
  <c r="G412" i="19"/>
  <c r="H411" i="19"/>
  <c r="J411" i="19" s="1"/>
  <c r="G411" i="19"/>
  <c r="J410" i="19"/>
  <c r="L410" i="19" s="1"/>
  <c r="H410" i="19"/>
  <c r="G410" i="19"/>
  <c r="H409" i="19"/>
  <c r="J409" i="19" s="1"/>
  <c r="G409" i="19"/>
  <c r="H408" i="19"/>
  <c r="J408" i="19" s="1"/>
  <c r="K408" i="19" s="1"/>
  <c r="G408" i="19"/>
  <c r="H407" i="19"/>
  <c r="J407" i="19" s="1"/>
  <c r="G407" i="19"/>
  <c r="H406" i="19"/>
  <c r="J406" i="19" s="1"/>
  <c r="G406" i="19"/>
  <c r="H405" i="19"/>
  <c r="J405" i="19" s="1"/>
  <c r="G405" i="19"/>
  <c r="J404" i="19"/>
  <c r="H404" i="19"/>
  <c r="G404" i="19"/>
  <c r="L403" i="19"/>
  <c r="K403" i="19"/>
  <c r="J403" i="19"/>
  <c r="H403" i="19"/>
  <c r="G403" i="19"/>
  <c r="H402" i="19"/>
  <c r="J402" i="19" s="1"/>
  <c r="G402" i="19"/>
  <c r="H401" i="19"/>
  <c r="J401" i="19" s="1"/>
  <c r="G401" i="19"/>
  <c r="H400" i="19"/>
  <c r="J400" i="19" s="1"/>
  <c r="G400" i="19"/>
  <c r="H399" i="19"/>
  <c r="J399" i="19" s="1"/>
  <c r="G399" i="19"/>
  <c r="L398" i="19"/>
  <c r="K398" i="19"/>
  <c r="J398" i="19"/>
  <c r="H398" i="19"/>
  <c r="G398" i="19"/>
  <c r="H397" i="19"/>
  <c r="J397" i="19" s="1"/>
  <c r="G397" i="19"/>
  <c r="L396" i="19"/>
  <c r="H396" i="19"/>
  <c r="J396" i="19" s="1"/>
  <c r="K396" i="19" s="1"/>
  <c r="G396" i="19"/>
  <c r="H394" i="19"/>
  <c r="J394" i="19" s="1"/>
  <c r="G394" i="19"/>
  <c r="H393" i="19"/>
  <c r="J393" i="19" s="1"/>
  <c r="G393" i="19"/>
  <c r="H392" i="19"/>
  <c r="J392" i="19" s="1"/>
  <c r="G392" i="19"/>
  <c r="H391" i="19"/>
  <c r="J391" i="19" s="1"/>
  <c r="G391" i="19"/>
  <c r="L390" i="19"/>
  <c r="K390" i="19"/>
  <c r="J390" i="19"/>
  <c r="H390" i="19"/>
  <c r="G390" i="19"/>
  <c r="L389" i="19"/>
  <c r="K389" i="19"/>
  <c r="J389" i="19"/>
  <c r="H389" i="19"/>
  <c r="G389" i="19"/>
  <c r="H388" i="19"/>
  <c r="J388" i="19" s="1"/>
  <c r="G388" i="19"/>
  <c r="L387" i="19"/>
  <c r="J387" i="19"/>
  <c r="K387" i="19" s="1"/>
  <c r="H387" i="19"/>
  <c r="G387" i="19"/>
  <c r="H386" i="19"/>
  <c r="J386" i="19" s="1"/>
  <c r="G386" i="19"/>
  <c r="L385" i="19"/>
  <c r="K385" i="19"/>
  <c r="J385" i="19"/>
  <c r="H385" i="19"/>
  <c r="G385" i="19"/>
  <c r="J384" i="19"/>
  <c r="H384" i="19"/>
  <c r="G384" i="19"/>
  <c r="L383" i="19"/>
  <c r="H383" i="19"/>
  <c r="J383" i="19" s="1"/>
  <c r="K383" i="19" s="1"/>
  <c r="G383" i="19"/>
  <c r="H382" i="19"/>
  <c r="J382" i="19" s="1"/>
  <c r="G382" i="19"/>
  <c r="H381" i="19"/>
  <c r="J381" i="19" s="1"/>
  <c r="G381" i="19"/>
  <c r="H380" i="19"/>
  <c r="J380" i="19" s="1"/>
  <c r="G380" i="19"/>
  <c r="H379" i="19"/>
  <c r="J379" i="19" s="1"/>
  <c r="G379" i="19"/>
  <c r="L378" i="19"/>
  <c r="K378" i="19"/>
  <c r="J378" i="19"/>
  <c r="H378" i="19"/>
  <c r="G378" i="19"/>
  <c r="L377" i="19"/>
  <c r="K377" i="19"/>
  <c r="H377" i="19"/>
  <c r="J377" i="19" s="1"/>
  <c r="G377" i="19"/>
  <c r="H376" i="19"/>
  <c r="J376" i="19" s="1"/>
  <c r="G376" i="19"/>
  <c r="L375" i="19"/>
  <c r="J375" i="19"/>
  <c r="K375" i="19" s="1"/>
  <c r="H375" i="19"/>
  <c r="G375" i="19"/>
  <c r="H374" i="19"/>
  <c r="J374" i="19" s="1"/>
  <c r="G374" i="19"/>
  <c r="L373" i="19"/>
  <c r="K373" i="19"/>
  <c r="J373" i="19"/>
  <c r="H373" i="19"/>
  <c r="G373" i="19"/>
  <c r="H372" i="19"/>
  <c r="J372" i="19" s="1"/>
  <c r="G372" i="19"/>
  <c r="H371" i="19"/>
  <c r="J371" i="19" s="1"/>
  <c r="K371" i="19" s="1"/>
  <c r="G371" i="19"/>
  <c r="H370" i="19"/>
  <c r="J370" i="19" s="1"/>
  <c r="G370" i="19"/>
  <c r="H369" i="19"/>
  <c r="J369" i="19" s="1"/>
  <c r="G369" i="19"/>
  <c r="H368" i="19"/>
  <c r="J368" i="19" s="1"/>
  <c r="G368" i="19"/>
  <c r="J367" i="19"/>
  <c r="H367" i="19"/>
  <c r="G367" i="19"/>
  <c r="L366" i="19"/>
  <c r="K366" i="19"/>
  <c r="J366" i="19"/>
  <c r="H366" i="19"/>
  <c r="G366" i="19"/>
  <c r="H365" i="19"/>
  <c r="J365" i="19" s="1"/>
  <c r="G365" i="19"/>
  <c r="H364" i="19"/>
  <c r="J364" i="19" s="1"/>
  <c r="G364" i="19"/>
  <c r="H363" i="19"/>
  <c r="J363" i="19" s="1"/>
  <c r="G363" i="19"/>
  <c r="H362" i="19"/>
  <c r="J362" i="19" s="1"/>
  <c r="G362" i="19"/>
  <c r="J361" i="19"/>
  <c r="L361" i="19" s="1"/>
  <c r="H361" i="19"/>
  <c r="G361" i="19"/>
  <c r="K360" i="19"/>
  <c r="J360" i="19"/>
  <c r="L360" i="19" s="1"/>
  <c r="H360" i="19"/>
  <c r="G360" i="19"/>
  <c r="H358" i="19"/>
  <c r="J358" i="19" s="1"/>
  <c r="K358" i="19" s="1"/>
  <c r="G358" i="19"/>
  <c r="L356" i="19"/>
  <c r="K356" i="19"/>
  <c r="J356" i="19"/>
  <c r="H356" i="19"/>
  <c r="G356" i="19"/>
  <c r="H355" i="19"/>
  <c r="J355" i="19" s="1"/>
  <c r="G355" i="19"/>
  <c r="L354" i="19"/>
  <c r="J354" i="19"/>
  <c r="K354" i="19" s="1"/>
  <c r="H354" i="19"/>
  <c r="G354" i="19"/>
  <c r="J353" i="19"/>
  <c r="H353" i="19"/>
  <c r="G353" i="19"/>
  <c r="L352" i="19"/>
  <c r="K352" i="19"/>
  <c r="J352" i="19"/>
  <c r="H352" i="19"/>
  <c r="G352" i="19"/>
  <c r="H351" i="19"/>
  <c r="J351" i="19" s="1"/>
  <c r="G351" i="19"/>
  <c r="H350" i="19"/>
  <c r="J350" i="19" s="1"/>
  <c r="G350" i="19"/>
  <c r="K349" i="19"/>
  <c r="J349" i="19"/>
  <c r="L349" i="19" s="1"/>
  <c r="H349" i="19"/>
  <c r="G349" i="19"/>
  <c r="H345" i="19"/>
  <c r="J345" i="19" s="1"/>
  <c r="G345" i="19"/>
  <c r="L344" i="19"/>
  <c r="J344" i="19"/>
  <c r="K344" i="19" s="1"/>
  <c r="H344" i="19"/>
  <c r="G344" i="19"/>
  <c r="H343" i="19"/>
  <c r="J343" i="19" s="1"/>
  <c r="G343" i="19"/>
  <c r="H342" i="19"/>
  <c r="J342" i="19" s="1"/>
  <c r="G342" i="19"/>
  <c r="L341" i="19"/>
  <c r="J341" i="19"/>
  <c r="K341" i="19" s="1"/>
  <c r="H341" i="19"/>
  <c r="G341" i="19"/>
  <c r="H340" i="19"/>
  <c r="J340" i="19" s="1"/>
  <c r="G340" i="19"/>
  <c r="H339" i="19"/>
  <c r="J339" i="19" s="1"/>
  <c r="K339" i="19" s="1"/>
  <c r="G339" i="19"/>
  <c r="H338" i="19"/>
  <c r="J338" i="19" s="1"/>
  <c r="G338" i="19"/>
  <c r="H337" i="19"/>
  <c r="J337" i="19" s="1"/>
  <c r="G337" i="19"/>
  <c r="H336" i="19"/>
  <c r="J336" i="19" s="1"/>
  <c r="G336" i="19"/>
  <c r="J335" i="19"/>
  <c r="H335" i="19"/>
  <c r="G335" i="19"/>
  <c r="L334" i="19"/>
  <c r="K334" i="19"/>
  <c r="J334" i="19"/>
  <c r="H334" i="19"/>
  <c r="G334" i="19"/>
  <c r="H333" i="19"/>
  <c r="J333" i="19" s="1"/>
  <c r="G333" i="19"/>
  <c r="H332" i="19"/>
  <c r="J332" i="19" s="1"/>
  <c r="G332" i="19"/>
  <c r="H331" i="19"/>
  <c r="J331" i="19" s="1"/>
  <c r="G331" i="19"/>
  <c r="H330" i="19"/>
  <c r="J330" i="19" s="1"/>
  <c r="G330" i="19"/>
  <c r="L329" i="19"/>
  <c r="K329" i="19"/>
  <c r="J329" i="19"/>
  <c r="H329" i="19"/>
  <c r="G329" i="19"/>
  <c r="J328" i="19"/>
  <c r="L328" i="19" s="1"/>
  <c r="H328" i="19"/>
  <c r="G328" i="19"/>
  <c r="L327" i="19"/>
  <c r="H327" i="19"/>
  <c r="J327" i="19" s="1"/>
  <c r="K327" i="19" s="1"/>
  <c r="G327" i="19"/>
  <c r="J326" i="19"/>
  <c r="L326" i="19" s="1"/>
  <c r="H326" i="19"/>
  <c r="G326" i="19"/>
  <c r="H325" i="19"/>
  <c r="J325" i="19" s="1"/>
  <c r="G325" i="19"/>
  <c r="H324" i="19"/>
  <c r="J324" i="19" s="1"/>
  <c r="G324" i="19"/>
  <c r="H323" i="19"/>
  <c r="J323" i="19" s="1"/>
  <c r="G323" i="19"/>
  <c r="L322" i="19"/>
  <c r="K322" i="19"/>
  <c r="J322" i="19"/>
  <c r="H322" i="19"/>
  <c r="G322" i="19"/>
  <c r="L321" i="19"/>
  <c r="K321" i="19"/>
  <c r="J321" i="19"/>
  <c r="H321" i="19"/>
  <c r="G321" i="19"/>
  <c r="H320" i="19"/>
  <c r="J320" i="19" s="1"/>
  <c r="G320" i="19"/>
  <c r="L319" i="19"/>
  <c r="J319" i="19"/>
  <c r="K319" i="19" s="1"/>
  <c r="H319" i="19"/>
  <c r="G319" i="19"/>
  <c r="H318" i="19"/>
  <c r="J318" i="19" s="1"/>
  <c r="G318" i="19"/>
  <c r="L317" i="19"/>
  <c r="K317" i="19"/>
  <c r="J317" i="19"/>
  <c r="H317" i="19"/>
  <c r="G317" i="19"/>
  <c r="H316" i="19"/>
  <c r="J316" i="19" s="1"/>
  <c r="G316" i="19"/>
  <c r="L315" i="19"/>
  <c r="H315" i="19"/>
  <c r="J315" i="19" s="1"/>
  <c r="K315" i="19" s="1"/>
  <c r="G315" i="19"/>
  <c r="J314" i="19"/>
  <c r="H314" i="19"/>
  <c r="G314" i="19"/>
  <c r="H313" i="19"/>
  <c r="J313" i="19" s="1"/>
  <c r="G313" i="19"/>
  <c r="H312" i="19"/>
  <c r="J312" i="19" s="1"/>
  <c r="G312" i="19"/>
  <c r="H311" i="19"/>
  <c r="J311" i="19" s="1"/>
  <c r="G311" i="19"/>
  <c r="L310" i="19"/>
  <c r="K310" i="19"/>
  <c r="J310" i="19"/>
  <c r="H310" i="19"/>
  <c r="G310" i="19"/>
  <c r="H309" i="19"/>
  <c r="J309" i="19" s="1"/>
  <c r="K309" i="19" s="1"/>
  <c r="G309" i="19"/>
  <c r="H308" i="19"/>
  <c r="J308" i="19" s="1"/>
  <c r="G308" i="19"/>
  <c r="L307" i="19"/>
  <c r="K307" i="19"/>
  <c r="J307" i="19"/>
  <c r="H307" i="19"/>
  <c r="G307" i="19"/>
  <c r="H306" i="19"/>
  <c r="J306" i="19" s="1"/>
  <c r="G306" i="19"/>
  <c r="J305" i="19"/>
  <c r="L305" i="19" s="1"/>
  <c r="H305" i="19"/>
  <c r="G305" i="19"/>
  <c r="H304" i="19"/>
  <c r="J304" i="19" s="1"/>
  <c r="G304" i="19"/>
  <c r="L303" i="19"/>
  <c r="H303" i="19"/>
  <c r="J303" i="19" s="1"/>
  <c r="K303" i="19" s="1"/>
  <c r="G303" i="19"/>
  <c r="H302" i="19"/>
  <c r="J302" i="19" s="1"/>
  <c r="G302" i="19"/>
  <c r="H301" i="19"/>
  <c r="J301" i="19" s="1"/>
  <c r="G301" i="19"/>
  <c r="H300" i="19"/>
  <c r="J300" i="19" s="1"/>
  <c r="G300" i="19"/>
  <c r="J299" i="19"/>
  <c r="L299" i="19" s="1"/>
  <c r="H299" i="19"/>
  <c r="G299" i="19"/>
  <c r="L298" i="19"/>
  <c r="K298" i="19"/>
  <c r="J298" i="19"/>
  <c r="H298" i="19"/>
  <c r="G298" i="19"/>
  <c r="L295" i="19"/>
  <c r="J295" i="19"/>
  <c r="K295" i="19" s="1"/>
  <c r="H295" i="19"/>
  <c r="G295" i="19"/>
  <c r="H294" i="19"/>
  <c r="J294" i="19" s="1"/>
  <c r="G294" i="19"/>
  <c r="H293" i="19"/>
  <c r="J293" i="19" s="1"/>
  <c r="K293" i="19" s="1"/>
  <c r="G293" i="19"/>
  <c r="J292" i="19"/>
  <c r="H292" i="19"/>
  <c r="G292" i="19"/>
  <c r="L291" i="19"/>
  <c r="H291" i="19"/>
  <c r="J291" i="19" s="1"/>
  <c r="K291" i="19" s="1"/>
  <c r="G291" i="19"/>
  <c r="J290" i="19"/>
  <c r="L290" i="19" s="1"/>
  <c r="H290" i="19"/>
  <c r="G290" i="19"/>
  <c r="H289" i="19"/>
  <c r="J289" i="19" s="1"/>
  <c r="G289" i="19"/>
  <c r="H288" i="19"/>
  <c r="J288" i="19" s="1"/>
  <c r="G288" i="19"/>
  <c r="J287" i="19"/>
  <c r="H287" i="19"/>
  <c r="G287" i="19"/>
  <c r="H286" i="19"/>
  <c r="J286" i="19" s="1"/>
  <c r="L286" i="19" s="1"/>
  <c r="G286" i="19"/>
  <c r="H285" i="19"/>
  <c r="J285" i="19" s="1"/>
  <c r="G285" i="19"/>
  <c r="H284" i="19"/>
  <c r="J284" i="19" s="1"/>
  <c r="K284" i="19" s="1"/>
  <c r="G284" i="19"/>
  <c r="H283" i="19"/>
  <c r="J283" i="19" s="1"/>
  <c r="G283" i="19"/>
  <c r="H282" i="19"/>
  <c r="J282" i="19" s="1"/>
  <c r="G282" i="19"/>
  <c r="H281" i="19"/>
  <c r="J281" i="19" s="1"/>
  <c r="L281" i="19" s="1"/>
  <c r="G281" i="19"/>
  <c r="H280" i="19"/>
  <c r="J280" i="19" s="1"/>
  <c r="G280" i="19"/>
  <c r="H279" i="19"/>
  <c r="J279" i="19" s="1"/>
  <c r="G279" i="19"/>
  <c r="H278" i="19"/>
  <c r="J278" i="19" s="1"/>
  <c r="G278" i="19"/>
  <c r="H277" i="19"/>
  <c r="J277" i="19" s="1"/>
  <c r="G277" i="19"/>
  <c r="H276" i="19"/>
  <c r="J276" i="19" s="1"/>
  <c r="G276" i="19"/>
  <c r="H275" i="19"/>
  <c r="J275" i="19" s="1"/>
  <c r="G275" i="19"/>
  <c r="H274" i="19"/>
  <c r="J274" i="19" s="1"/>
  <c r="G274" i="19"/>
  <c r="H273" i="19"/>
  <c r="J273" i="19" s="1"/>
  <c r="G273" i="19"/>
  <c r="H272" i="19"/>
  <c r="J272" i="19" s="1"/>
  <c r="K272" i="19" s="1"/>
  <c r="G272" i="19"/>
  <c r="H271" i="19"/>
  <c r="J271" i="19" s="1"/>
  <c r="G271" i="19"/>
  <c r="H270" i="19"/>
  <c r="J270" i="19" s="1"/>
  <c r="G270" i="19"/>
  <c r="H269" i="19"/>
  <c r="J269" i="19" s="1"/>
  <c r="G269" i="19"/>
  <c r="J268" i="19"/>
  <c r="L268" i="19" s="1"/>
  <c r="H268" i="19"/>
  <c r="G268" i="19"/>
  <c r="H267" i="19"/>
  <c r="J267" i="19" s="1"/>
  <c r="G267" i="19"/>
  <c r="H266" i="19"/>
  <c r="J266" i="19" s="1"/>
  <c r="G266" i="19"/>
  <c r="H265" i="19"/>
  <c r="J265" i="19" s="1"/>
  <c r="G265" i="19"/>
  <c r="H264" i="19"/>
  <c r="J264" i="19" s="1"/>
  <c r="G264" i="19"/>
  <c r="J263" i="19"/>
  <c r="H263" i="19"/>
  <c r="G263" i="19"/>
  <c r="L262" i="19"/>
  <c r="K262" i="19"/>
  <c r="J262" i="19"/>
  <c r="H262" i="19"/>
  <c r="G262" i="19"/>
  <c r="H261" i="19"/>
  <c r="J261" i="19" s="1"/>
  <c r="G261" i="19"/>
  <c r="H260" i="19"/>
  <c r="J260" i="19" s="1"/>
  <c r="K260" i="19" s="1"/>
  <c r="G260" i="19"/>
  <c r="H259" i="19"/>
  <c r="J259" i="19" s="1"/>
  <c r="G259" i="19"/>
  <c r="H258" i="19"/>
  <c r="J258" i="19" s="1"/>
  <c r="G258" i="19"/>
  <c r="L257" i="19"/>
  <c r="K257" i="19"/>
  <c r="J257" i="19"/>
  <c r="H257" i="19"/>
  <c r="G257" i="19"/>
  <c r="H256" i="19"/>
  <c r="J256" i="19" s="1"/>
  <c r="G256" i="19"/>
  <c r="H255" i="19"/>
  <c r="J255" i="19" s="1"/>
  <c r="L255" i="19" s="1"/>
  <c r="G255" i="19"/>
  <c r="H254" i="19"/>
  <c r="J254" i="19" s="1"/>
  <c r="G254" i="19"/>
  <c r="H253" i="19"/>
  <c r="J253" i="19" s="1"/>
  <c r="G253" i="19"/>
  <c r="H252" i="19"/>
  <c r="J252" i="19" s="1"/>
  <c r="G252" i="19"/>
  <c r="H251" i="19"/>
  <c r="J251" i="19" s="1"/>
  <c r="G251" i="19"/>
  <c r="L248" i="19"/>
  <c r="K248" i="19"/>
  <c r="H248" i="19"/>
  <c r="J248" i="19" s="1"/>
  <c r="G248" i="19"/>
  <c r="L247" i="19"/>
  <c r="K247" i="19"/>
  <c r="J247" i="19"/>
  <c r="H247" i="19"/>
  <c r="G247" i="19"/>
  <c r="H246" i="19"/>
  <c r="J246" i="19" s="1"/>
  <c r="G246" i="19"/>
  <c r="L245" i="19"/>
  <c r="K245" i="19"/>
  <c r="J245" i="19"/>
  <c r="H245" i="19"/>
  <c r="G245" i="19"/>
  <c r="H244" i="19"/>
  <c r="H249" i="19" s="1"/>
  <c r="G244" i="19"/>
  <c r="H241" i="19"/>
  <c r="J241" i="19" s="1"/>
  <c r="G241" i="19"/>
  <c r="J240" i="19"/>
  <c r="L240" i="19" s="1"/>
  <c r="H240" i="19"/>
  <c r="G240" i="19"/>
  <c r="J239" i="19"/>
  <c r="H239" i="19"/>
  <c r="G239" i="19"/>
  <c r="J238" i="19"/>
  <c r="L238" i="19" s="1"/>
  <c r="H238" i="19"/>
  <c r="G238" i="19"/>
  <c r="H237" i="19"/>
  <c r="J237" i="19" s="1"/>
  <c r="G237" i="19"/>
  <c r="L236" i="19"/>
  <c r="H236" i="19"/>
  <c r="J236" i="19" s="1"/>
  <c r="K236" i="19" s="1"/>
  <c r="G236" i="19"/>
  <c r="H235" i="19"/>
  <c r="J235" i="19" s="1"/>
  <c r="G235" i="19"/>
  <c r="H234" i="19"/>
  <c r="J234" i="19" s="1"/>
  <c r="G234" i="19"/>
  <c r="L233" i="19"/>
  <c r="K233" i="19"/>
  <c r="J233" i="19"/>
  <c r="H233" i="19"/>
  <c r="G233" i="19"/>
  <c r="H232" i="19"/>
  <c r="J232" i="19" s="1"/>
  <c r="G232" i="19"/>
  <c r="L231" i="19"/>
  <c r="K231" i="19"/>
  <c r="H231" i="19"/>
  <c r="J231" i="19" s="1"/>
  <c r="G231" i="19"/>
  <c r="H230" i="19"/>
  <c r="J230" i="19" s="1"/>
  <c r="G230" i="19"/>
  <c r="H229" i="19"/>
  <c r="J229" i="19" s="1"/>
  <c r="G229" i="19"/>
  <c r="H228" i="19"/>
  <c r="J228" i="19" s="1"/>
  <c r="G228" i="19"/>
  <c r="J227" i="19"/>
  <c r="H227" i="19"/>
  <c r="G227" i="19"/>
  <c r="J226" i="19"/>
  <c r="L226" i="19" s="1"/>
  <c r="H226" i="19"/>
  <c r="G226" i="19"/>
  <c r="H225" i="19"/>
  <c r="J225" i="19" s="1"/>
  <c r="G225" i="19"/>
  <c r="H224" i="19"/>
  <c r="J224" i="19" s="1"/>
  <c r="K224" i="19" s="1"/>
  <c r="G224" i="19"/>
  <c r="H223" i="19"/>
  <c r="J223" i="19" s="1"/>
  <c r="G223" i="19"/>
  <c r="H222" i="19"/>
  <c r="J222" i="19" s="1"/>
  <c r="G222" i="19"/>
  <c r="L221" i="19"/>
  <c r="K221" i="19"/>
  <c r="J221" i="19"/>
  <c r="H221" i="19"/>
  <c r="G221" i="19"/>
  <c r="J220" i="19"/>
  <c r="L220" i="19" s="1"/>
  <c r="H220" i="19"/>
  <c r="G220" i="19"/>
  <c r="L219" i="19"/>
  <c r="K219" i="19"/>
  <c r="J219" i="19"/>
  <c r="H219" i="19"/>
  <c r="G219" i="19"/>
  <c r="J218" i="19"/>
  <c r="L218" i="19" s="1"/>
  <c r="H218" i="19"/>
  <c r="G218" i="19"/>
  <c r="H217" i="19"/>
  <c r="J217" i="19" s="1"/>
  <c r="G217" i="19"/>
  <c r="H216" i="19"/>
  <c r="J216" i="19" s="1"/>
  <c r="G216" i="19"/>
  <c r="J215" i="19"/>
  <c r="H215" i="19"/>
  <c r="G215" i="19"/>
  <c r="L214" i="19"/>
  <c r="K214" i="19"/>
  <c r="J214" i="19"/>
  <c r="H214" i="19"/>
  <c r="G214" i="19"/>
  <c r="H213" i="19"/>
  <c r="J213" i="19" s="1"/>
  <c r="G213" i="19"/>
  <c r="H212" i="19"/>
  <c r="J212" i="19" s="1"/>
  <c r="K212" i="19" s="1"/>
  <c r="G212" i="19"/>
  <c r="H211" i="19"/>
  <c r="J211" i="19" s="1"/>
  <c r="G211" i="19"/>
  <c r="H210" i="19"/>
  <c r="J210" i="19" s="1"/>
  <c r="G210" i="19"/>
  <c r="H209" i="19"/>
  <c r="J209" i="19" s="1"/>
  <c r="G209" i="19"/>
  <c r="H208" i="19"/>
  <c r="J208" i="19" s="1"/>
  <c r="G208" i="19"/>
  <c r="H207" i="19"/>
  <c r="J207" i="19" s="1"/>
  <c r="G207" i="19"/>
  <c r="J206" i="19"/>
  <c r="L206" i="19" s="1"/>
  <c r="H206" i="19"/>
  <c r="G206" i="19"/>
  <c r="J205" i="19"/>
  <c r="L205" i="19" s="1"/>
  <c r="H205" i="19"/>
  <c r="G205" i="19"/>
  <c r="J204" i="19"/>
  <c r="L204" i="19" s="1"/>
  <c r="H204" i="19"/>
  <c r="G204" i="19"/>
  <c r="H203" i="19"/>
  <c r="J203" i="19" s="1"/>
  <c r="G203" i="19"/>
  <c r="J202" i="19"/>
  <c r="L202" i="19" s="1"/>
  <c r="H202" i="19"/>
  <c r="G202" i="19"/>
  <c r="H201" i="19"/>
  <c r="J201" i="19" s="1"/>
  <c r="G201" i="19"/>
  <c r="L200" i="19"/>
  <c r="H200" i="19"/>
  <c r="J200" i="19" s="1"/>
  <c r="K200" i="19" s="1"/>
  <c r="G200" i="19"/>
  <c r="K199" i="19"/>
  <c r="J199" i="19"/>
  <c r="L199" i="19" s="1"/>
  <c r="H199" i="19"/>
  <c r="G199" i="19"/>
  <c r="H198" i="19"/>
  <c r="J198" i="19" s="1"/>
  <c r="G198" i="19"/>
  <c r="H197" i="19"/>
  <c r="J197" i="19" s="1"/>
  <c r="G197" i="19"/>
  <c r="J196" i="19"/>
  <c r="L196" i="19" s="1"/>
  <c r="H196" i="19"/>
  <c r="G196" i="19"/>
  <c r="H195" i="19"/>
  <c r="J195" i="19" s="1"/>
  <c r="L195" i="19" s="1"/>
  <c r="G195" i="19"/>
  <c r="H194" i="19"/>
  <c r="G194" i="19"/>
  <c r="H191" i="19"/>
  <c r="J191" i="19" s="1"/>
  <c r="G191" i="19"/>
  <c r="H190" i="19"/>
  <c r="J190" i="19" s="1"/>
  <c r="K190" i="19" s="1"/>
  <c r="G190" i="19"/>
  <c r="H189" i="19"/>
  <c r="J189" i="19" s="1"/>
  <c r="G189" i="19"/>
  <c r="H188" i="19"/>
  <c r="J188" i="19" s="1"/>
  <c r="K188" i="19" s="1"/>
  <c r="G188" i="19"/>
  <c r="H187" i="19"/>
  <c r="J187" i="19" s="1"/>
  <c r="G187" i="19"/>
  <c r="H186" i="19"/>
  <c r="J186" i="19" s="1"/>
  <c r="G186" i="19"/>
  <c r="H185" i="19"/>
  <c r="J185" i="19" s="1"/>
  <c r="G185" i="19"/>
  <c r="J184" i="19"/>
  <c r="H184" i="19"/>
  <c r="G184" i="19"/>
  <c r="H183" i="19"/>
  <c r="J183" i="19" s="1"/>
  <c r="L183" i="19" s="1"/>
  <c r="G183" i="19"/>
  <c r="J182" i="19"/>
  <c r="K182" i="19" s="1"/>
  <c r="H182" i="19"/>
  <c r="G182" i="19"/>
  <c r="H181" i="19"/>
  <c r="J181" i="19" s="1"/>
  <c r="K181" i="19" s="1"/>
  <c r="G181" i="19"/>
  <c r="H180" i="19"/>
  <c r="J180" i="19" s="1"/>
  <c r="K180" i="19" s="1"/>
  <c r="G180" i="19"/>
  <c r="H179" i="19"/>
  <c r="J179" i="19" s="1"/>
  <c r="G179" i="19"/>
  <c r="H178" i="19"/>
  <c r="J178" i="19" s="1"/>
  <c r="L178" i="19" s="1"/>
  <c r="G178" i="19"/>
  <c r="H177" i="19"/>
  <c r="J177" i="19" s="1"/>
  <c r="G177" i="19"/>
  <c r="H176" i="19"/>
  <c r="J176" i="19" s="1"/>
  <c r="K176" i="19" s="1"/>
  <c r="G176" i="19"/>
  <c r="H175" i="19"/>
  <c r="J175" i="19" s="1"/>
  <c r="L175" i="19" s="1"/>
  <c r="G175" i="19"/>
  <c r="H174" i="19"/>
  <c r="J174" i="19" s="1"/>
  <c r="G174" i="19"/>
  <c r="H173" i="19"/>
  <c r="J173" i="19" s="1"/>
  <c r="G173" i="19"/>
  <c r="H172" i="19"/>
  <c r="J172" i="19" s="1"/>
  <c r="G172" i="19"/>
  <c r="H171" i="19"/>
  <c r="J171" i="19" s="1"/>
  <c r="L171" i="19" s="1"/>
  <c r="G171" i="19"/>
  <c r="H170" i="19"/>
  <c r="J170" i="19" s="1"/>
  <c r="K170" i="19" s="1"/>
  <c r="G170" i="19"/>
  <c r="H169" i="19"/>
  <c r="J169" i="19" s="1"/>
  <c r="K169" i="19" s="1"/>
  <c r="G169" i="19"/>
  <c r="H168" i="19"/>
  <c r="J168" i="19" s="1"/>
  <c r="K168" i="19" s="1"/>
  <c r="G168" i="19"/>
  <c r="H167" i="19"/>
  <c r="G167" i="19"/>
  <c r="L164" i="19"/>
  <c r="J164" i="19"/>
  <c r="K164" i="19" s="1"/>
  <c r="H164" i="19"/>
  <c r="G164" i="19"/>
  <c r="H163" i="19"/>
  <c r="J163" i="19" s="1"/>
  <c r="G163" i="19"/>
  <c r="L162" i="19"/>
  <c r="J162" i="19"/>
  <c r="K162" i="19" s="1"/>
  <c r="H162" i="19"/>
  <c r="G162" i="19"/>
  <c r="H161" i="19"/>
  <c r="J161" i="19" s="1"/>
  <c r="G161" i="19"/>
  <c r="H160" i="19"/>
  <c r="J160" i="19" s="1"/>
  <c r="G160" i="19"/>
  <c r="H159" i="19"/>
  <c r="J159" i="19" s="1"/>
  <c r="G159" i="19"/>
  <c r="K158" i="19"/>
  <c r="J158" i="19"/>
  <c r="L158" i="19" s="1"/>
  <c r="H158" i="19"/>
  <c r="G158" i="19"/>
  <c r="H155" i="19"/>
  <c r="J155" i="19" s="1"/>
  <c r="K155" i="19" s="1"/>
  <c r="G155" i="19"/>
  <c r="L154" i="19"/>
  <c r="K154" i="19"/>
  <c r="J154" i="19"/>
  <c r="H154" i="19"/>
  <c r="G154" i="19"/>
  <c r="H153" i="19"/>
  <c r="J153" i="19" s="1"/>
  <c r="G153" i="19"/>
  <c r="L152" i="19"/>
  <c r="K152" i="19"/>
  <c r="J152" i="19"/>
  <c r="H152" i="19"/>
  <c r="G152" i="19"/>
  <c r="H151" i="19"/>
  <c r="J151" i="19" s="1"/>
  <c r="G151" i="19"/>
  <c r="L150" i="19"/>
  <c r="K150" i="19"/>
  <c r="H150" i="19"/>
  <c r="J150" i="19" s="1"/>
  <c r="G150" i="19"/>
  <c r="H149" i="19"/>
  <c r="J149" i="19" s="1"/>
  <c r="G149" i="19"/>
  <c r="H148" i="19"/>
  <c r="J148" i="19" s="1"/>
  <c r="G148" i="19"/>
  <c r="H147" i="19"/>
  <c r="J147" i="19" s="1"/>
  <c r="G147" i="19"/>
  <c r="J146" i="19"/>
  <c r="H146" i="19"/>
  <c r="G146" i="19"/>
  <c r="J145" i="19"/>
  <c r="L145" i="19" s="1"/>
  <c r="H145" i="19"/>
  <c r="G145" i="19"/>
  <c r="L144" i="19"/>
  <c r="K144" i="19"/>
  <c r="J144" i="19"/>
  <c r="H144" i="19"/>
  <c r="G144" i="19"/>
  <c r="H143" i="19"/>
  <c r="J143" i="19" s="1"/>
  <c r="K143" i="19" s="1"/>
  <c r="G143" i="19"/>
  <c r="L142" i="19"/>
  <c r="K142" i="19"/>
  <c r="J142" i="19"/>
  <c r="H142" i="19"/>
  <c r="G142" i="19"/>
  <c r="H141" i="19"/>
  <c r="J141" i="19" s="1"/>
  <c r="G141" i="19"/>
  <c r="L140" i="19"/>
  <c r="K140" i="19"/>
  <c r="J140" i="19"/>
  <c r="H140" i="19"/>
  <c r="G140" i="19"/>
  <c r="H139" i="19"/>
  <c r="J139" i="19" s="1"/>
  <c r="G139" i="19"/>
  <c r="L138" i="19"/>
  <c r="K138" i="19"/>
  <c r="J138" i="19"/>
  <c r="H138" i="19"/>
  <c r="G138" i="19"/>
  <c r="H137" i="19"/>
  <c r="J137" i="19" s="1"/>
  <c r="G137" i="19"/>
  <c r="H136" i="19"/>
  <c r="J136" i="19" s="1"/>
  <c r="G136" i="19"/>
  <c r="H135" i="19"/>
  <c r="J135" i="19" s="1"/>
  <c r="G135" i="19"/>
  <c r="J134" i="19"/>
  <c r="H134" i="19"/>
  <c r="G134" i="19"/>
  <c r="J133" i="19"/>
  <c r="L133" i="19" s="1"/>
  <c r="H133" i="19"/>
  <c r="G133" i="19"/>
  <c r="H132" i="19"/>
  <c r="J132" i="19" s="1"/>
  <c r="G132" i="19"/>
  <c r="L131" i="19"/>
  <c r="J131" i="19"/>
  <c r="K131" i="19" s="1"/>
  <c r="H131" i="19"/>
  <c r="G131" i="19"/>
  <c r="J130" i="19"/>
  <c r="H130" i="19"/>
  <c r="G130" i="19"/>
  <c r="H129" i="19"/>
  <c r="J129" i="19" s="1"/>
  <c r="G129" i="19"/>
  <c r="H128" i="19"/>
  <c r="J128" i="19" s="1"/>
  <c r="G128" i="19"/>
  <c r="H127" i="19"/>
  <c r="J127" i="19" s="1"/>
  <c r="G127" i="19"/>
  <c r="H126" i="19"/>
  <c r="J126" i="19" s="1"/>
  <c r="G126" i="19"/>
  <c r="L125" i="19"/>
  <c r="K125" i="19"/>
  <c r="J125" i="19"/>
  <c r="H125" i="19"/>
  <c r="G125" i="19"/>
  <c r="H124" i="19"/>
  <c r="J124" i="19" s="1"/>
  <c r="G124" i="19"/>
  <c r="L123" i="19"/>
  <c r="K123" i="19"/>
  <c r="J123" i="19"/>
  <c r="H123" i="19"/>
  <c r="G123" i="19"/>
  <c r="J122" i="19"/>
  <c r="H122" i="19"/>
  <c r="G122" i="19"/>
  <c r="L121" i="19"/>
  <c r="K121" i="19"/>
  <c r="J121" i="19"/>
  <c r="H121" i="19"/>
  <c r="G121" i="19"/>
  <c r="H120" i="19"/>
  <c r="J120" i="19" s="1"/>
  <c r="G120" i="19"/>
  <c r="H119" i="19"/>
  <c r="J119" i="19" s="1"/>
  <c r="K119" i="19" s="1"/>
  <c r="G119" i="19"/>
  <c r="J118" i="19"/>
  <c r="H118" i="19"/>
  <c r="G118" i="19"/>
  <c r="H115" i="19"/>
  <c r="J115" i="19" s="1"/>
  <c r="L115" i="19" s="1"/>
  <c r="G115" i="19"/>
  <c r="L114" i="19"/>
  <c r="K114" i="19"/>
  <c r="H114" i="19"/>
  <c r="J114" i="19" s="1"/>
  <c r="G114" i="19"/>
  <c r="L113" i="19"/>
  <c r="J113" i="19"/>
  <c r="K113" i="19" s="1"/>
  <c r="H113" i="19"/>
  <c r="G113" i="19"/>
  <c r="H112" i="19"/>
  <c r="J112" i="19" s="1"/>
  <c r="G112" i="19"/>
  <c r="H111" i="19"/>
  <c r="J111" i="19" s="1"/>
  <c r="L111" i="19" s="1"/>
  <c r="G111" i="19"/>
  <c r="J110" i="19"/>
  <c r="H110" i="19"/>
  <c r="G110" i="19"/>
  <c r="L109" i="19"/>
  <c r="K109" i="19"/>
  <c r="J109" i="19"/>
  <c r="H109" i="19"/>
  <c r="G109" i="19"/>
  <c r="H108" i="19"/>
  <c r="J108" i="19" s="1"/>
  <c r="G108" i="19"/>
  <c r="L107" i="19"/>
  <c r="J107" i="19"/>
  <c r="K107" i="19" s="1"/>
  <c r="H107" i="19"/>
  <c r="G107" i="19"/>
  <c r="J106" i="19"/>
  <c r="L106" i="19" s="1"/>
  <c r="H106" i="19"/>
  <c r="G106" i="19"/>
  <c r="H105" i="19"/>
  <c r="J105" i="19" s="1"/>
  <c r="G105" i="19"/>
  <c r="H104" i="19"/>
  <c r="G104" i="19"/>
  <c r="H101" i="19"/>
  <c r="J101" i="19" s="1"/>
  <c r="L101" i="19" s="1"/>
  <c r="G101" i="19"/>
  <c r="H100" i="19"/>
  <c r="J100" i="19" s="1"/>
  <c r="L100" i="19" s="1"/>
  <c r="G100" i="19"/>
  <c r="H99" i="19"/>
  <c r="J99" i="19" s="1"/>
  <c r="L99" i="19" s="1"/>
  <c r="G99" i="19"/>
  <c r="H98" i="19"/>
  <c r="J98" i="19" s="1"/>
  <c r="G98" i="19"/>
  <c r="H97" i="19"/>
  <c r="J97" i="19" s="1"/>
  <c r="L97" i="19" s="1"/>
  <c r="G97" i="19"/>
  <c r="H96" i="19"/>
  <c r="J96" i="19" s="1"/>
  <c r="G96" i="19"/>
  <c r="H95" i="19"/>
  <c r="J95" i="19" s="1"/>
  <c r="K95" i="19" s="1"/>
  <c r="G95" i="19"/>
  <c r="H94" i="19"/>
  <c r="J94" i="19" s="1"/>
  <c r="G94" i="19"/>
  <c r="H93" i="19"/>
  <c r="G93" i="19"/>
  <c r="H90" i="19"/>
  <c r="J90" i="19" s="1"/>
  <c r="G90" i="19"/>
  <c r="F88" i="19"/>
  <c r="G88" i="19" s="1"/>
  <c r="F87" i="19"/>
  <c r="F86" i="19"/>
  <c r="F89" i="19" s="1"/>
  <c r="H89" i="19" s="1"/>
  <c r="J89" i="19" s="1"/>
  <c r="F85" i="19"/>
  <c r="H85" i="19" s="1"/>
  <c r="J85" i="19" s="1"/>
  <c r="H84" i="19"/>
  <c r="J84" i="19" s="1"/>
  <c r="K84" i="19" s="1"/>
  <c r="G84" i="19"/>
  <c r="H82" i="19"/>
  <c r="J82" i="19" s="1"/>
  <c r="F82" i="19"/>
  <c r="G82" i="19" s="1"/>
  <c r="F81" i="19"/>
  <c r="H81" i="19" s="1"/>
  <c r="J81" i="19" s="1"/>
  <c r="L81" i="19" s="1"/>
  <c r="F80" i="19"/>
  <c r="H80" i="19" s="1"/>
  <c r="J80" i="19" s="1"/>
  <c r="F79" i="19"/>
  <c r="H79" i="19" s="1"/>
  <c r="J79" i="19" s="1"/>
  <c r="H78" i="19"/>
  <c r="J78" i="19" s="1"/>
  <c r="L78" i="19" s="1"/>
  <c r="G78" i="19"/>
  <c r="F76" i="19"/>
  <c r="F75" i="19"/>
  <c r="H75" i="19" s="1"/>
  <c r="J75" i="19" s="1"/>
  <c r="L75" i="19" s="1"/>
  <c r="F74" i="19"/>
  <c r="F77" i="19" s="1"/>
  <c r="H77" i="19" s="1"/>
  <c r="J77" i="19" s="1"/>
  <c r="H73" i="19"/>
  <c r="J73" i="19" s="1"/>
  <c r="F73" i="19"/>
  <c r="G73" i="19" s="1"/>
  <c r="H72" i="19"/>
  <c r="J72" i="19" s="1"/>
  <c r="L72" i="19" s="1"/>
  <c r="G72" i="19"/>
  <c r="F70" i="19"/>
  <c r="H70" i="19" s="1"/>
  <c r="J70" i="19" s="1"/>
  <c r="F69" i="19"/>
  <c r="H69" i="19" s="1"/>
  <c r="J69" i="19" s="1"/>
  <c r="F68" i="19"/>
  <c r="G68" i="19" s="1"/>
  <c r="F67" i="19"/>
  <c r="H67" i="19" s="1"/>
  <c r="J67" i="19" s="1"/>
  <c r="F66" i="19"/>
  <c r="H66" i="19" s="1"/>
  <c r="J66" i="19" s="1"/>
  <c r="L66" i="19" s="1"/>
  <c r="H65" i="19"/>
  <c r="J65" i="19" s="1"/>
  <c r="G65" i="19"/>
  <c r="F62" i="19"/>
  <c r="H62" i="19" s="1"/>
  <c r="J62" i="19" s="1"/>
  <c r="F61" i="19"/>
  <c r="H61" i="19" s="1"/>
  <c r="J61" i="19" s="1"/>
  <c r="L61" i="19" s="1"/>
  <c r="F60" i="19"/>
  <c r="G60" i="19" s="1"/>
  <c r="H59" i="19"/>
  <c r="J59" i="19" s="1"/>
  <c r="L59" i="19" s="1"/>
  <c r="G59" i="19"/>
  <c r="F58" i="19"/>
  <c r="G58" i="19" s="1"/>
  <c r="F57" i="19"/>
  <c r="H57" i="19" s="1"/>
  <c r="J57" i="19" s="1"/>
  <c r="F56" i="19"/>
  <c r="F55" i="19"/>
  <c r="G55" i="19" s="1"/>
  <c r="H54" i="19"/>
  <c r="J54" i="19" s="1"/>
  <c r="G54" i="19"/>
  <c r="F53" i="19"/>
  <c r="H53" i="19" s="1"/>
  <c r="J53" i="19" s="1"/>
  <c r="K53" i="19" s="1"/>
  <c r="F52" i="19"/>
  <c r="H52" i="19" s="1"/>
  <c r="J52" i="19" s="1"/>
  <c r="F51" i="19"/>
  <c r="H51" i="19" s="1"/>
  <c r="J51" i="19" s="1"/>
  <c r="H50" i="19"/>
  <c r="J50" i="19" s="1"/>
  <c r="K50" i="19" s="1"/>
  <c r="G50" i="19"/>
  <c r="F48" i="19"/>
  <c r="H48" i="19" s="1"/>
  <c r="J48" i="19" s="1"/>
  <c r="F47" i="19"/>
  <c r="H47" i="19" s="1"/>
  <c r="J47" i="19" s="1"/>
  <c r="L47" i="19" s="1"/>
  <c r="F46" i="19"/>
  <c r="G46" i="19" s="1"/>
  <c r="F45" i="19"/>
  <c r="H45" i="19" s="1"/>
  <c r="J45" i="19" s="1"/>
  <c r="F44" i="19"/>
  <c r="H44" i="19" s="1"/>
  <c r="J44" i="19" s="1"/>
  <c r="L44" i="19" s="1"/>
  <c r="F43" i="19"/>
  <c r="F49" i="19" s="1"/>
  <c r="H42" i="19"/>
  <c r="J42" i="19" s="1"/>
  <c r="G42" i="19"/>
  <c r="F40" i="19"/>
  <c r="H40" i="19" s="1"/>
  <c r="J40" i="19" s="1"/>
  <c r="F39" i="19"/>
  <c r="H39" i="19" s="1"/>
  <c r="J39" i="19" s="1"/>
  <c r="F38" i="19"/>
  <c r="H38" i="19" s="1"/>
  <c r="J38" i="19" s="1"/>
  <c r="L38" i="19" s="1"/>
  <c r="F37" i="19"/>
  <c r="H37" i="19" s="1"/>
  <c r="F36" i="19"/>
  <c r="H36" i="19" s="1"/>
  <c r="J36" i="19" s="1"/>
  <c r="F35" i="19"/>
  <c r="F41" i="19" s="1"/>
  <c r="H34" i="19"/>
  <c r="J34" i="19" s="1"/>
  <c r="G34" i="19"/>
  <c r="H31" i="19"/>
  <c r="J31" i="19" s="1"/>
  <c r="G31" i="19"/>
  <c r="H30" i="19"/>
  <c r="J30" i="19" s="1"/>
  <c r="L30" i="19" s="1"/>
  <c r="G30" i="19"/>
  <c r="H29" i="19"/>
  <c r="J29" i="19" s="1"/>
  <c r="L29" i="19" s="1"/>
  <c r="G29" i="19"/>
  <c r="H28" i="19"/>
  <c r="J28" i="19" s="1"/>
  <c r="K28" i="19" s="1"/>
  <c r="G28" i="19"/>
  <c r="H27" i="19"/>
  <c r="J27" i="19" s="1"/>
  <c r="L27" i="19" s="1"/>
  <c r="G27" i="19"/>
  <c r="H26" i="19"/>
  <c r="J26" i="19" s="1"/>
  <c r="L26" i="19" s="1"/>
  <c r="G26" i="19"/>
  <c r="H22" i="19"/>
  <c r="J22" i="19" s="1"/>
  <c r="K22" i="19" s="1"/>
  <c r="G22" i="19"/>
  <c r="H21" i="19"/>
  <c r="J21" i="19" s="1"/>
  <c r="L21" i="19" s="1"/>
  <c r="G21" i="19"/>
  <c r="H20" i="19"/>
  <c r="J20" i="19" s="1"/>
  <c r="G20" i="19"/>
  <c r="H18" i="19"/>
  <c r="J18" i="19" s="1"/>
  <c r="K18" i="19" s="1"/>
  <c r="G18" i="19"/>
  <c r="H16" i="19"/>
  <c r="J16" i="19" s="1"/>
  <c r="G16" i="19"/>
  <c r="H14" i="19"/>
  <c r="J14" i="19" s="1"/>
  <c r="G14" i="19"/>
  <c r="H12" i="19"/>
  <c r="J12" i="19" s="1"/>
  <c r="G12" i="19"/>
  <c r="H10" i="19"/>
  <c r="J10" i="19" s="1"/>
  <c r="G10" i="19"/>
  <c r="H7" i="19"/>
  <c r="J7" i="19" s="1"/>
  <c r="L7" i="19" s="1"/>
  <c r="G7" i="19"/>
  <c r="H4" i="19"/>
  <c r="J4" i="19" s="1"/>
  <c r="L4" i="19" s="1"/>
  <c r="G4" i="19"/>
  <c r="P413" i="18"/>
  <c r="O413" i="18"/>
  <c r="P412" i="18"/>
  <c r="O412" i="18"/>
  <c r="P411" i="18"/>
  <c r="O411" i="18"/>
  <c r="P410" i="18"/>
  <c r="O410" i="18"/>
  <c r="P409" i="18"/>
  <c r="O409" i="18"/>
  <c r="P408" i="18"/>
  <c r="O408" i="18"/>
  <c r="P407" i="18"/>
  <c r="O407" i="18"/>
  <c r="P406" i="18"/>
  <c r="O406" i="18"/>
  <c r="P405" i="18"/>
  <c r="O405" i="18"/>
  <c r="P404" i="18"/>
  <c r="O404" i="18"/>
  <c r="P403" i="18"/>
  <c r="O403" i="18"/>
  <c r="P402" i="18"/>
  <c r="O402" i="18"/>
  <c r="P401" i="18"/>
  <c r="O401" i="18"/>
  <c r="P400" i="18"/>
  <c r="O400" i="18"/>
  <c r="P399" i="18"/>
  <c r="O399" i="18"/>
  <c r="P398" i="18"/>
  <c r="O398" i="18"/>
  <c r="P397" i="18"/>
  <c r="O397" i="18"/>
  <c r="P396" i="18"/>
  <c r="O396" i="18"/>
  <c r="P394" i="18"/>
  <c r="O394" i="18"/>
  <c r="P393" i="18"/>
  <c r="O393" i="18"/>
  <c r="P392" i="18"/>
  <c r="O392" i="18"/>
  <c r="P391" i="18"/>
  <c r="O391" i="18"/>
  <c r="P390" i="18"/>
  <c r="O390" i="18"/>
  <c r="P389" i="18"/>
  <c r="O389" i="18"/>
  <c r="P388" i="18"/>
  <c r="O388" i="18"/>
  <c r="P387" i="18"/>
  <c r="O387" i="18"/>
  <c r="P386" i="18"/>
  <c r="O386" i="18"/>
  <c r="P385" i="18"/>
  <c r="O385" i="18"/>
  <c r="P384" i="18"/>
  <c r="O384" i="18"/>
  <c r="P383" i="18"/>
  <c r="O383" i="18"/>
  <c r="P382" i="18"/>
  <c r="O382" i="18"/>
  <c r="P381" i="18"/>
  <c r="O381" i="18"/>
  <c r="P380" i="18"/>
  <c r="O380" i="18"/>
  <c r="P379" i="18"/>
  <c r="O379" i="18"/>
  <c r="P378" i="18"/>
  <c r="O378" i="18"/>
  <c r="P377" i="18"/>
  <c r="O377" i="18"/>
  <c r="P376" i="18"/>
  <c r="O376" i="18"/>
  <c r="P375" i="18"/>
  <c r="O375" i="18"/>
  <c r="P374" i="18"/>
  <c r="O374" i="18"/>
  <c r="P373" i="18"/>
  <c r="O373" i="18"/>
  <c r="P372" i="18"/>
  <c r="O372" i="18"/>
  <c r="P371" i="18"/>
  <c r="O371" i="18"/>
  <c r="P370" i="18"/>
  <c r="O370" i="18"/>
  <c r="P369" i="18"/>
  <c r="O369" i="18"/>
  <c r="P368" i="18"/>
  <c r="O368" i="18"/>
  <c r="P367" i="18"/>
  <c r="O367" i="18"/>
  <c r="P366" i="18"/>
  <c r="O366" i="18"/>
  <c r="P365" i="18"/>
  <c r="O365" i="18"/>
  <c r="P364" i="18"/>
  <c r="O364" i="18"/>
  <c r="P363" i="18"/>
  <c r="O363" i="18"/>
  <c r="P362" i="18"/>
  <c r="O362" i="18"/>
  <c r="P361" i="18"/>
  <c r="O361" i="18"/>
  <c r="P360" i="18"/>
  <c r="O360" i="18"/>
  <c r="P358" i="18"/>
  <c r="O358" i="18"/>
  <c r="P356" i="18"/>
  <c r="O356" i="18"/>
  <c r="P355" i="18"/>
  <c r="O355" i="18"/>
  <c r="P354" i="18"/>
  <c r="O354" i="18"/>
  <c r="P353" i="18"/>
  <c r="O353" i="18"/>
  <c r="P352" i="18"/>
  <c r="O352" i="18"/>
  <c r="P351" i="18"/>
  <c r="O351" i="18"/>
  <c r="P350" i="18"/>
  <c r="O350" i="18"/>
  <c r="P349" i="18"/>
  <c r="O349" i="18"/>
  <c r="P348" i="18"/>
  <c r="O348" i="18"/>
  <c r="P345" i="18"/>
  <c r="O345" i="18"/>
  <c r="P344" i="18"/>
  <c r="O344" i="18"/>
  <c r="P343" i="18"/>
  <c r="O343" i="18"/>
  <c r="P342" i="18"/>
  <c r="O342" i="18"/>
  <c r="P341" i="18"/>
  <c r="O341" i="18"/>
  <c r="P340" i="18"/>
  <c r="O340" i="18"/>
  <c r="P339" i="18"/>
  <c r="O339" i="18"/>
  <c r="P338" i="18"/>
  <c r="O338" i="18"/>
  <c r="P337" i="18"/>
  <c r="O337" i="18"/>
  <c r="P336" i="18"/>
  <c r="O336" i="18"/>
  <c r="P335" i="18"/>
  <c r="O335" i="18"/>
  <c r="P334" i="18"/>
  <c r="O334" i="18"/>
  <c r="P333" i="18"/>
  <c r="O333" i="18"/>
  <c r="P332" i="18"/>
  <c r="O332" i="18"/>
  <c r="P331" i="18"/>
  <c r="O331" i="18"/>
  <c r="P330" i="18"/>
  <c r="O330" i="18"/>
  <c r="P329" i="18"/>
  <c r="O329" i="18"/>
  <c r="P328" i="18"/>
  <c r="O328" i="18"/>
  <c r="P327" i="18"/>
  <c r="O327" i="18"/>
  <c r="P326" i="18"/>
  <c r="O326" i="18"/>
  <c r="P325" i="18"/>
  <c r="O325" i="18"/>
  <c r="P324" i="18"/>
  <c r="O324" i="18"/>
  <c r="P323" i="18"/>
  <c r="O323" i="18"/>
  <c r="P322" i="18"/>
  <c r="O322" i="18"/>
  <c r="P321" i="18"/>
  <c r="O321" i="18"/>
  <c r="P320" i="18"/>
  <c r="O320" i="18"/>
  <c r="P319" i="18"/>
  <c r="O319" i="18"/>
  <c r="P318" i="18"/>
  <c r="O318" i="18"/>
  <c r="P317" i="18"/>
  <c r="O317" i="18"/>
  <c r="P316" i="18"/>
  <c r="O316" i="18"/>
  <c r="P315" i="18"/>
  <c r="O315" i="18"/>
  <c r="P314" i="18"/>
  <c r="O314" i="18"/>
  <c r="P313" i="18"/>
  <c r="O313" i="18"/>
  <c r="P312" i="18"/>
  <c r="O312" i="18"/>
  <c r="P311" i="18"/>
  <c r="O311" i="18"/>
  <c r="P310" i="18"/>
  <c r="O310" i="18"/>
  <c r="P309" i="18"/>
  <c r="O309" i="18"/>
  <c r="P308" i="18"/>
  <c r="O308" i="18"/>
  <c r="P307" i="18"/>
  <c r="O307" i="18"/>
  <c r="P306" i="18"/>
  <c r="O306" i="18"/>
  <c r="P305" i="18"/>
  <c r="O305" i="18"/>
  <c r="P304" i="18"/>
  <c r="O304" i="18"/>
  <c r="P303" i="18"/>
  <c r="O303" i="18"/>
  <c r="P302" i="18"/>
  <c r="O302" i="18"/>
  <c r="P301" i="18"/>
  <c r="O301" i="18"/>
  <c r="P300" i="18"/>
  <c r="O300" i="18"/>
  <c r="P299" i="18"/>
  <c r="O299" i="18"/>
  <c r="P298" i="18"/>
  <c r="O298" i="18"/>
  <c r="P295" i="18"/>
  <c r="O295" i="18"/>
  <c r="P294" i="18"/>
  <c r="O294" i="18"/>
  <c r="P293" i="18"/>
  <c r="O293" i="18"/>
  <c r="P292" i="18"/>
  <c r="O292" i="18"/>
  <c r="P291" i="18"/>
  <c r="O291" i="18"/>
  <c r="P290" i="18"/>
  <c r="O290" i="18"/>
  <c r="P289" i="18"/>
  <c r="O289" i="18"/>
  <c r="P288" i="18"/>
  <c r="O288" i="18"/>
  <c r="P287" i="18"/>
  <c r="O287" i="18"/>
  <c r="P286" i="18"/>
  <c r="O286" i="18"/>
  <c r="P285" i="18"/>
  <c r="O285" i="18"/>
  <c r="P284" i="18"/>
  <c r="O284" i="18"/>
  <c r="P283" i="18"/>
  <c r="O283" i="18"/>
  <c r="P282" i="18"/>
  <c r="O282" i="18"/>
  <c r="P281" i="18"/>
  <c r="O281" i="18"/>
  <c r="P280" i="18"/>
  <c r="O280" i="18"/>
  <c r="P279" i="18"/>
  <c r="O279" i="18"/>
  <c r="P278" i="18"/>
  <c r="O278" i="18"/>
  <c r="P277" i="18"/>
  <c r="O277" i="18"/>
  <c r="P276" i="18"/>
  <c r="O276" i="18"/>
  <c r="P275" i="18"/>
  <c r="O275" i="18"/>
  <c r="P274" i="18"/>
  <c r="O274" i="18"/>
  <c r="P273" i="18"/>
  <c r="O273" i="18"/>
  <c r="P272" i="18"/>
  <c r="O272" i="18"/>
  <c r="P271" i="18"/>
  <c r="O271" i="18"/>
  <c r="P270" i="18"/>
  <c r="O270" i="18"/>
  <c r="P269" i="18"/>
  <c r="O269" i="18"/>
  <c r="P268" i="18"/>
  <c r="O268" i="18"/>
  <c r="P267" i="18"/>
  <c r="O267" i="18"/>
  <c r="P266" i="18"/>
  <c r="O266" i="18"/>
  <c r="P265" i="18"/>
  <c r="O265" i="18"/>
  <c r="P264" i="18"/>
  <c r="O264" i="18"/>
  <c r="P263" i="18"/>
  <c r="O263" i="18"/>
  <c r="P262" i="18"/>
  <c r="O262" i="18"/>
  <c r="P261" i="18"/>
  <c r="O261" i="18"/>
  <c r="P260" i="18"/>
  <c r="O260" i="18"/>
  <c r="P259" i="18"/>
  <c r="O259" i="18"/>
  <c r="P258" i="18"/>
  <c r="O258" i="18"/>
  <c r="P257" i="18"/>
  <c r="O257" i="18"/>
  <c r="P256" i="18"/>
  <c r="O256" i="18"/>
  <c r="P255" i="18"/>
  <c r="O255" i="18"/>
  <c r="P254" i="18"/>
  <c r="O254" i="18"/>
  <c r="P253" i="18"/>
  <c r="O253" i="18"/>
  <c r="P252" i="18"/>
  <c r="O252" i="18"/>
  <c r="P251" i="18"/>
  <c r="O251" i="18"/>
  <c r="P248" i="18"/>
  <c r="O248" i="18"/>
  <c r="P247" i="18"/>
  <c r="O247" i="18"/>
  <c r="P246" i="18"/>
  <c r="O246" i="18"/>
  <c r="P245" i="18"/>
  <c r="O245" i="18"/>
  <c r="P244" i="18"/>
  <c r="O244" i="18"/>
  <c r="P243" i="18"/>
  <c r="O243" i="18"/>
  <c r="P241" i="18"/>
  <c r="O241" i="18"/>
  <c r="P240" i="18"/>
  <c r="O240" i="18"/>
  <c r="P239" i="18"/>
  <c r="O239" i="18"/>
  <c r="P238" i="18"/>
  <c r="O238" i="18"/>
  <c r="P237" i="18"/>
  <c r="O237" i="18"/>
  <c r="P236" i="18"/>
  <c r="O236" i="18"/>
  <c r="P235" i="18"/>
  <c r="O235" i="18"/>
  <c r="P234" i="18"/>
  <c r="O234" i="18"/>
  <c r="P233" i="18"/>
  <c r="O233" i="18"/>
  <c r="P232" i="18"/>
  <c r="O232" i="18"/>
  <c r="P231" i="18"/>
  <c r="O231" i="18"/>
  <c r="P230" i="18"/>
  <c r="O230" i="18"/>
  <c r="P229" i="18"/>
  <c r="O229" i="18"/>
  <c r="P228" i="18"/>
  <c r="O228" i="18"/>
  <c r="P227" i="18"/>
  <c r="O227" i="18"/>
  <c r="P226" i="18"/>
  <c r="O226" i="18"/>
  <c r="P225" i="18"/>
  <c r="O225" i="18"/>
  <c r="P224" i="18"/>
  <c r="O224" i="18"/>
  <c r="P223" i="18"/>
  <c r="O223" i="18"/>
  <c r="P222" i="18"/>
  <c r="O222" i="18"/>
  <c r="P221" i="18"/>
  <c r="O221" i="18"/>
  <c r="P220" i="18"/>
  <c r="O220" i="18"/>
  <c r="P219" i="18"/>
  <c r="O219" i="18"/>
  <c r="P218" i="18"/>
  <c r="O218" i="18"/>
  <c r="P217" i="18"/>
  <c r="O217" i="18"/>
  <c r="P216" i="18"/>
  <c r="O216" i="18"/>
  <c r="P215" i="18"/>
  <c r="O215" i="18"/>
  <c r="P214" i="18"/>
  <c r="O214" i="18"/>
  <c r="P213" i="18"/>
  <c r="O213" i="18"/>
  <c r="P212" i="18"/>
  <c r="O212" i="18"/>
  <c r="P211" i="18"/>
  <c r="O211" i="18"/>
  <c r="P210" i="18"/>
  <c r="O210" i="18"/>
  <c r="P209" i="18"/>
  <c r="O209" i="18"/>
  <c r="P208" i="18"/>
  <c r="O208" i="18"/>
  <c r="P207" i="18"/>
  <c r="O207" i="18"/>
  <c r="P206" i="18"/>
  <c r="O206" i="18"/>
  <c r="P205" i="18"/>
  <c r="O205" i="18"/>
  <c r="P204" i="18"/>
  <c r="O204" i="18"/>
  <c r="P203" i="18"/>
  <c r="O203" i="18"/>
  <c r="P202" i="18"/>
  <c r="O202" i="18"/>
  <c r="P201" i="18"/>
  <c r="O201" i="18"/>
  <c r="P200" i="18"/>
  <c r="O200" i="18"/>
  <c r="P199" i="18"/>
  <c r="O199" i="18"/>
  <c r="P198" i="18"/>
  <c r="O198" i="18"/>
  <c r="P197" i="18"/>
  <c r="O197" i="18"/>
  <c r="P196" i="18"/>
  <c r="O196" i="18"/>
  <c r="P195" i="18"/>
  <c r="O195" i="18"/>
  <c r="P194" i="18"/>
  <c r="O194" i="18"/>
  <c r="P191" i="18"/>
  <c r="O191" i="18"/>
  <c r="P190" i="18"/>
  <c r="O190" i="18"/>
  <c r="P189" i="18"/>
  <c r="O189" i="18"/>
  <c r="P188" i="18"/>
  <c r="O188" i="18"/>
  <c r="P187" i="18"/>
  <c r="O187" i="18"/>
  <c r="P186" i="18"/>
  <c r="O186" i="18"/>
  <c r="P185" i="18"/>
  <c r="O185" i="18"/>
  <c r="P184" i="18"/>
  <c r="O184" i="18"/>
  <c r="P183" i="18"/>
  <c r="O183" i="18"/>
  <c r="P182" i="18"/>
  <c r="O182" i="18"/>
  <c r="P181" i="18"/>
  <c r="O181" i="18"/>
  <c r="P180" i="18"/>
  <c r="O180" i="18"/>
  <c r="P179" i="18"/>
  <c r="O179" i="18"/>
  <c r="P178" i="18"/>
  <c r="O178" i="18"/>
  <c r="P177" i="18"/>
  <c r="O177" i="18"/>
  <c r="P176" i="18"/>
  <c r="O176" i="18"/>
  <c r="P175" i="18"/>
  <c r="O175" i="18"/>
  <c r="P174" i="18"/>
  <c r="O174" i="18"/>
  <c r="P173" i="18"/>
  <c r="O173" i="18"/>
  <c r="P172" i="18"/>
  <c r="O172" i="18"/>
  <c r="P171" i="18"/>
  <c r="O171" i="18"/>
  <c r="P170" i="18"/>
  <c r="O170" i="18"/>
  <c r="P169" i="18"/>
  <c r="O169" i="18"/>
  <c r="P168" i="18"/>
  <c r="O168" i="18"/>
  <c r="P167" i="18"/>
  <c r="O167" i="18"/>
  <c r="P164" i="18"/>
  <c r="O164" i="18"/>
  <c r="P163" i="18"/>
  <c r="O163" i="18"/>
  <c r="P162" i="18"/>
  <c r="O162" i="18"/>
  <c r="P161" i="18"/>
  <c r="O161" i="18"/>
  <c r="P160" i="18"/>
  <c r="O160" i="18"/>
  <c r="P159" i="18"/>
  <c r="O159" i="18"/>
  <c r="P158" i="18"/>
  <c r="O158" i="18"/>
  <c r="P155" i="18"/>
  <c r="O155" i="18"/>
  <c r="P154" i="18"/>
  <c r="O154" i="18"/>
  <c r="P153" i="18"/>
  <c r="O153" i="18"/>
  <c r="P152" i="18"/>
  <c r="O152" i="18"/>
  <c r="P151" i="18"/>
  <c r="O151" i="18"/>
  <c r="P150" i="18"/>
  <c r="O150" i="18"/>
  <c r="P149" i="18"/>
  <c r="O149" i="18"/>
  <c r="P148" i="18"/>
  <c r="O148" i="18"/>
  <c r="P147" i="18"/>
  <c r="O147" i="18"/>
  <c r="P146" i="18"/>
  <c r="O146" i="18"/>
  <c r="P145" i="18"/>
  <c r="O145" i="18"/>
  <c r="P144" i="18"/>
  <c r="O144" i="18"/>
  <c r="P143" i="18"/>
  <c r="O143" i="18"/>
  <c r="P142" i="18"/>
  <c r="O142" i="18"/>
  <c r="P141" i="18"/>
  <c r="O141" i="18"/>
  <c r="P140" i="18"/>
  <c r="O140" i="18"/>
  <c r="P139" i="18"/>
  <c r="O139" i="18"/>
  <c r="P138" i="18"/>
  <c r="O138" i="18"/>
  <c r="P137" i="18"/>
  <c r="O137" i="18"/>
  <c r="P136" i="18"/>
  <c r="O136" i="18"/>
  <c r="P135" i="18"/>
  <c r="O135" i="18"/>
  <c r="P134" i="18"/>
  <c r="O134" i="18"/>
  <c r="P133" i="18"/>
  <c r="O133" i="18"/>
  <c r="P132" i="18"/>
  <c r="O132" i="18"/>
  <c r="P131" i="18"/>
  <c r="O131" i="18"/>
  <c r="P130" i="18"/>
  <c r="O130" i="18"/>
  <c r="P129" i="18"/>
  <c r="O129" i="18"/>
  <c r="P128" i="18"/>
  <c r="O128" i="18"/>
  <c r="P127" i="18"/>
  <c r="O127" i="18"/>
  <c r="P126" i="18"/>
  <c r="O126" i="18"/>
  <c r="P125" i="18"/>
  <c r="O125" i="18"/>
  <c r="P124" i="18"/>
  <c r="O124" i="18"/>
  <c r="P123" i="18"/>
  <c r="O123" i="18"/>
  <c r="P122" i="18"/>
  <c r="O122" i="18"/>
  <c r="P121" i="18"/>
  <c r="O121" i="18"/>
  <c r="P120" i="18"/>
  <c r="O120" i="18"/>
  <c r="P119" i="18"/>
  <c r="O119" i="18"/>
  <c r="P118" i="18"/>
  <c r="O118" i="18"/>
  <c r="P115" i="18"/>
  <c r="O115" i="18"/>
  <c r="P114" i="18"/>
  <c r="O114" i="18"/>
  <c r="P113" i="18"/>
  <c r="O113" i="18"/>
  <c r="P112" i="18"/>
  <c r="O112" i="18"/>
  <c r="P111" i="18"/>
  <c r="O111" i="18"/>
  <c r="P110" i="18"/>
  <c r="O110" i="18"/>
  <c r="P109" i="18"/>
  <c r="O109" i="18"/>
  <c r="P108" i="18"/>
  <c r="O108" i="18"/>
  <c r="P107" i="18"/>
  <c r="O107" i="18"/>
  <c r="P106" i="18"/>
  <c r="O106" i="18"/>
  <c r="P105" i="18"/>
  <c r="O105" i="18"/>
  <c r="P104" i="18"/>
  <c r="O104" i="18"/>
  <c r="P101" i="18"/>
  <c r="O101" i="18"/>
  <c r="P100" i="18"/>
  <c r="O100" i="18"/>
  <c r="P99" i="18"/>
  <c r="O99" i="18"/>
  <c r="P98" i="18"/>
  <c r="O98" i="18"/>
  <c r="P97" i="18"/>
  <c r="O97" i="18"/>
  <c r="P96" i="18"/>
  <c r="O96" i="18"/>
  <c r="P95" i="18"/>
  <c r="O95" i="18"/>
  <c r="P94" i="18"/>
  <c r="O94" i="18"/>
  <c r="P93" i="18"/>
  <c r="O93" i="18"/>
  <c r="P92" i="18"/>
  <c r="O92" i="18"/>
  <c r="P90" i="18"/>
  <c r="O90" i="18"/>
  <c r="P89" i="18"/>
  <c r="O89" i="18"/>
  <c r="P88" i="18"/>
  <c r="O88" i="18"/>
  <c r="P87" i="18"/>
  <c r="O87" i="18"/>
  <c r="P86" i="18"/>
  <c r="O86" i="18"/>
  <c r="P85" i="18"/>
  <c r="O85" i="18"/>
  <c r="P84" i="18"/>
  <c r="O84" i="18"/>
  <c r="P83" i="18"/>
  <c r="O83" i="18"/>
  <c r="P82" i="18"/>
  <c r="O82" i="18"/>
  <c r="P81" i="18"/>
  <c r="O81" i="18"/>
  <c r="P80" i="18"/>
  <c r="O80" i="18"/>
  <c r="P79" i="18"/>
  <c r="O79" i="18"/>
  <c r="P78" i="18"/>
  <c r="O78" i="18"/>
  <c r="P77" i="18"/>
  <c r="O77" i="18"/>
  <c r="P76" i="18"/>
  <c r="O76" i="18"/>
  <c r="P75" i="18"/>
  <c r="O75" i="18"/>
  <c r="P74" i="18"/>
  <c r="O74" i="18"/>
  <c r="P73" i="18"/>
  <c r="O73" i="18"/>
  <c r="P72" i="18"/>
  <c r="O72" i="18"/>
  <c r="P71" i="18"/>
  <c r="O71" i="18"/>
  <c r="P70" i="18"/>
  <c r="O70" i="18"/>
  <c r="P69" i="18"/>
  <c r="O69" i="18"/>
  <c r="P68" i="18"/>
  <c r="O68" i="18"/>
  <c r="P67" i="18"/>
  <c r="O67" i="18"/>
  <c r="P66" i="18"/>
  <c r="O66" i="18"/>
  <c r="P65" i="18"/>
  <c r="O65" i="18"/>
  <c r="P62" i="18"/>
  <c r="O62" i="18"/>
  <c r="P61" i="18"/>
  <c r="O61" i="18"/>
  <c r="P60" i="18"/>
  <c r="O60" i="18"/>
  <c r="P59" i="18"/>
  <c r="O59" i="18"/>
  <c r="P58" i="18"/>
  <c r="O58" i="18"/>
  <c r="P57" i="18"/>
  <c r="O57" i="18"/>
  <c r="P56" i="18"/>
  <c r="O56" i="18"/>
  <c r="P55" i="18"/>
  <c r="O55" i="18"/>
  <c r="P54" i="18"/>
  <c r="O54" i="18"/>
  <c r="P53" i="18"/>
  <c r="O53" i="18"/>
  <c r="P52" i="18"/>
  <c r="O52" i="18"/>
  <c r="P51" i="18"/>
  <c r="O51" i="18"/>
  <c r="P50" i="18"/>
  <c r="O50" i="18"/>
  <c r="P49" i="18"/>
  <c r="O49" i="18"/>
  <c r="P48" i="18"/>
  <c r="O48" i="18"/>
  <c r="P47" i="18"/>
  <c r="O47" i="18"/>
  <c r="P46" i="18"/>
  <c r="O46" i="18"/>
  <c r="P45" i="18"/>
  <c r="O45" i="18"/>
  <c r="P44" i="18"/>
  <c r="O44" i="18"/>
  <c r="P43" i="18"/>
  <c r="O43" i="18"/>
  <c r="P42" i="18"/>
  <c r="O42" i="18"/>
  <c r="P41" i="18"/>
  <c r="O41" i="18"/>
  <c r="P40" i="18"/>
  <c r="O40" i="18"/>
  <c r="P39" i="18"/>
  <c r="O39" i="18"/>
  <c r="P38" i="18"/>
  <c r="O38" i="18"/>
  <c r="P37" i="18"/>
  <c r="O37" i="18"/>
  <c r="P36" i="18"/>
  <c r="O36" i="18"/>
  <c r="P35" i="18"/>
  <c r="O35" i="18"/>
  <c r="P34" i="18"/>
  <c r="O34" i="18"/>
  <c r="P31" i="18"/>
  <c r="O31" i="18"/>
  <c r="P30" i="18"/>
  <c r="O30" i="18"/>
  <c r="P29" i="18"/>
  <c r="O29" i="18"/>
  <c r="P28" i="18"/>
  <c r="O28" i="18"/>
  <c r="P27" i="18"/>
  <c r="O27" i="18"/>
  <c r="P26" i="18"/>
  <c r="O26" i="18"/>
  <c r="P23" i="18"/>
  <c r="O23" i="18"/>
  <c r="P22" i="18"/>
  <c r="O22" i="18"/>
  <c r="P21" i="18"/>
  <c r="O21" i="18"/>
  <c r="P20" i="18"/>
  <c r="O20" i="18"/>
  <c r="P19" i="18"/>
  <c r="O19" i="18"/>
  <c r="P18" i="18"/>
  <c r="O18" i="18"/>
  <c r="P17" i="18"/>
  <c r="O17" i="18"/>
  <c r="P16" i="18"/>
  <c r="O16" i="18"/>
  <c r="P15" i="18"/>
  <c r="O15" i="18"/>
  <c r="P14" i="18"/>
  <c r="O14" i="18"/>
  <c r="P13" i="18"/>
  <c r="O13" i="18"/>
  <c r="P12" i="18"/>
  <c r="O12" i="18"/>
  <c r="P11" i="18"/>
  <c r="O11" i="18"/>
  <c r="P10" i="18"/>
  <c r="O10" i="18"/>
  <c r="P9" i="18"/>
  <c r="O9" i="18"/>
  <c r="P8" i="18"/>
  <c r="O8" i="18"/>
  <c r="P7" i="18"/>
  <c r="O7" i="18"/>
  <c r="P6" i="18"/>
  <c r="O6" i="18"/>
  <c r="P5" i="18"/>
  <c r="O5" i="18"/>
  <c r="P4" i="18"/>
  <c r="O4" i="18"/>
  <c r="H13" i="3"/>
  <c r="H14" i="3"/>
  <c r="J387" i="18"/>
  <c r="J386" i="18"/>
  <c r="J149" i="18"/>
  <c r="J135" i="18"/>
  <c r="J134" i="18"/>
  <c r="J133" i="18"/>
  <c r="J132" i="18"/>
  <c r="J131" i="18"/>
  <c r="L131" i="18" s="1"/>
  <c r="J130" i="18"/>
  <c r="J129" i="18"/>
  <c r="L129" i="18" s="1"/>
  <c r="J128" i="18"/>
  <c r="J127" i="18"/>
  <c r="J126" i="18"/>
  <c r="J125" i="18"/>
  <c r="J124" i="18"/>
  <c r="L124" i="18" s="1"/>
  <c r="J123" i="18"/>
  <c r="J122" i="18"/>
  <c r="J121" i="18"/>
  <c r="J120" i="18"/>
  <c r="J119" i="18"/>
  <c r="J98" i="18"/>
  <c r="L98" i="18" s="1"/>
  <c r="J96" i="18"/>
  <c r="K96" i="18" s="1"/>
  <c r="H425" i="18"/>
  <c r="G425" i="18"/>
  <c r="H424" i="18"/>
  <c r="G424" i="18"/>
  <c r="H423" i="18"/>
  <c r="G423" i="18"/>
  <c r="H422" i="18"/>
  <c r="G422" i="18"/>
  <c r="H421" i="18"/>
  <c r="G421" i="18"/>
  <c r="H420" i="18"/>
  <c r="G420" i="18"/>
  <c r="H419" i="18"/>
  <c r="G419" i="18"/>
  <c r="H418" i="18"/>
  <c r="G418" i="18"/>
  <c r="H417" i="18"/>
  <c r="G417" i="18"/>
  <c r="H416" i="18"/>
  <c r="G416" i="18"/>
  <c r="H413" i="18"/>
  <c r="J413" i="18" s="1"/>
  <c r="G413" i="18"/>
  <c r="H412" i="18"/>
  <c r="J412" i="18" s="1"/>
  <c r="G412" i="18"/>
  <c r="H411" i="18"/>
  <c r="J411" i="18" s="1"/>
  <c r="G411" i="18"/>
  <c r="J410" i="18"/>
  <c r="L410" i="18" s="1"/>
  <c r="H410" i="18"/>
  <c r="G410" i="18"/>
  <c r="L409" i="18"/>
  <c r="K409" i="18"/>
  <c r="J409" i="18"/>
  <c r="H409" i="18"/>
  <c r="G409" i="18"/>
  <c r="L408" i="18"/>
  <c r="K408" i="18"/>
  <c r="J408" i="18"/>
  <c r="H408" i="18"/>
  <c r="G408" i="18"/>
  <c r="H407" i="18"/>
  <c r="J407" i="18" s="1"/>
  <c r="G407" i="18"/>
  <c r="J406" i="18"/>
  <c r="L406" i="18" s="1"/>
  <c r="H406" i="18"/>
  <c r="G406" i="18"/>
  <c r="H405" i="18"/>
  <c r="J405" i="18" s="1"/>
  <c r="G405" i="18"/>
  <c r="J404" i="18"/>
  <c r="L404" i="18" s="1"/>
  <c r="H404" i="18"/>
  <c r="G404" i="18"/>
  <c r="L403" i="18"/>
  <c r="K403" i="18"/>
  <c r="J403" i="18"/>
  <c r="H403" i="18"/>
  <c r="G403" i="18"/>
  <c r="H402" i="18"/>
  <c r="J402" i="18" s="1"/>
  <c r="G402" i="18"/>
  <c r="H401" i="18"/>
  <c r="J401" i="18" s="1"/>
  <c r="G401" i="18"/>
  <c r="H400" i="18"/>
  <c r="J400" i="18" s="1"/>
  <c r="G400" i="18"/>
  <c r="H399" i="18"/>
  <c r="J399" i="18" s="1"/>
  <c r="G399" i="18"/>
  <c r="J398" i="18"/>
  <c r="L398" i="18" s="1"/>
  <c r="H398" i="18"/>
  <c r="G398" i="18"/>
  <c r="L397" i="18"/>
  <c r="K397" i="18"/>
  <c r="J397" i="18"/>
  <c r="H397" i="18"/>
  <c r="G397" i="18"/>
  <c r="L396" i="18"/>
  <c r="K396" i="18"/>
  <c r="J396" i="18"/>
  <c r="H396" i="18"/>
  <c r="G396" i="18"/>
  <c r="J394" i="18"/>
  <c r="K394" i="18" s="1"/>
  <c r="H394" i="18"/>
  <c r="G394" i="18"/>
  <c r="H393" i="18"/>
  <c r="J393" i="18" s="1"/>
  <c r="L393" i="18" s="1"/>
  <c r="G393" i="18"/>
  <c r="H392" i="18"/>
  <c r="J392" i="18" s="1"/>
  <c r="G392" i="18"/>
  <c r="H391" i="18"/>
  <c r="J391" i="18" s="1"/>
  <c r="L391" i="18" s="1"/>
  <c r="G391" i="18"/>
  <c r="H390" i="18"/>
  <c r="J390" i="18" s="1"/>
  <c r="G390" i="18"/>
  <c r="H389" i="18"/>
  <c r="J389" i="18" s="1"/>
  <c r="G389" i="18"/>
  <c r="H388" i="18"/>
  <c r="J388" i="18" s="1"/>
  <c r="G388" i="18"/>
  <c r="H387" i="18"/>
  <c r="G387" i="18"/>
  <c r="H386" i="18"/>
  <c r="G386" i="18"/>
  <c r="H385" i="18"/>
  <c r="J385" i="18" s="1"/>
  <c r="L385" i="18" s="1"/>
  <c r="G385" i="18"/>
  <c r="H384" i="18"/>
  <c r="J384" i="18" s="1"/>
  <c r="K384" i="18" s="1"/>
  <c r="G384" i="18"/>
  <c r="H383" i="18"/>
  <c r="J383" i="18" s="1"/>
  <c r="G383" i="18"/>
  <c r="H382" i="18"/>
  <c r="J382" i="18" s="1"/>
  <c r="G382" i="18"/>
  <c r="J381" i="18"/>
  <c r="L381" i="18" s="1"/>
  <c r="H381" i="18"/>
  <c r="G381" i="18"/>
  <c r="H380" i="18"/>
  <c r="J380" i="18" s="1"/>
  <c r="G380" i="18"/>
  <c r="H379" i="18"/>
  <c r="J379" i="18" s="1"/>
  <c r="L379" i="18" s="1"/>
  <c r="G379" i="18"/>
  <c r="H378" i="18"/>
  <c r="J378" i="18" s="1"/>
  <c r="L378" i="18" s="1"/>
  <c r="G378" i="18"/>
  <c r="H377" i="18"/>
  <c r="J377" i="18" s="1"/>
  <c r="G377" i="18"/>
  <c r="H376" i="18"/>
  <c r="J376" i="18" s="1"/>
  <c r="G376" i="18"/>
  <c r="H375" i="18"/>
  <c r="J375" i="18" s="1"/>
  <c r="G375" i="18"/>
  <c r="H374" i="18"/>
  <c r="J374" i="18" s="1"/>
  <c r="G374" i="18"/>
  <c r="H373" i="18"/>
  <c r="J373" i="18" s="1"/>
  <c r="L373" i="18" s="1"/>
  <c r="G373" i="18"/>
  <c r="H372" i="18"/>
  <c r="J372" i="18" s="1"/>
  <c r="G372" i="18"/>
  <c r="H371" i="18"/>
  <c r="J371" i="18" s="1"/>
  <c r="G371" i="18"/>
  <c r="H370" i="18"/>
  <c r="J370" i="18" s="1"/>
  <c r="G370" i="18"/>
  <c r="H369" i="18"/>
  <c r="J369" i="18" s="1"/>
  <c r="L369" i="18" s="1"/>
  <c r="G369" i="18"/>
  <c r="H368" i="18"/>
  <c r="J368" i="18" s="1"/>
  <c r="G368" i="18"/>
  <c r="H367" i="18"/>
  <c r="J367" i="18" s="1"/>
  <c r="L367" i="18" s="1"/>
  <c r="G367" i="18"/>
  <c r="H366" i="18"/>
  <c r="J366" i="18" s="1"/>
  <c r="L366" i="18" s="1"/>
  <c r="G366" i="18"/>
  <c r="H365" i="18"/>
  <c r="J365" i="18" s="1"/>
  <c r="G365" i="18"/>
  <c r="H364" i="18"/>
  <c r="J364" i="18" s="1"/>
  <c r="G364" i="18"/>
  <c r="H363" i="18"/>
  <c r="J363" i="18" s="1"/>
  <c r="G363" i="18"/>
  <c r="H362" i="18"/>
  <c r="J362" i="18" s="1"/>
  <c r="G362" i="18"/>
  <c r="H361" i="18"/>
  <c r="J361" i="18" s="1"/>
  <c r="L361" i="18" s="1"/>
  <c r="G361" i="18"/>
  <c r="H360" i="18"/>
  <c r="J360" i="18" s="1"/>
  <c r="G360" i="18"/>
  <c r="L358" i="18"/>
  <c r="K358" i="18"/>
  <c r="J358" i="18"/>
  <c r="H358" i="18"/>
  <c r="G358" i="18"/>
  <c r="H356" i="18"/>
  <c r="J356" i="18" s="1"/>
  <c r="G356" i="18"/>
  <c r="H355" i="18"/>
  <c r="J355" i="18" s="1"/>
  <c r="L355" i="18" s="1"/>
  <c r="G355" i="18"/>
  <c r="H354" i="18"/>
  <c r="J354" i="18" s="1"/>
  <c r="G354" i="18"/>
  <c r="H353" i="18"/>
  <c r="J353" i="18" s="1"/>
  <c r="L353" i="18" s="1"/>
  <c r="G353" i="18"/>
  <c r="H352" i="18"/>
  <c r="J352" i="18" s="1"/>
  <c r="G352" i="18"/>
  <c r="H351" i="18"/>
  <c r="J351" i="18" s="1"/>
  <c r="G351" i="18"/>
  <c r="H350" i="18"/>
  <c r="J350" i="18" s="1"/>
  <c r="G350" i="18"/>
  <c r="H349" i="18"/>
  <c r="G349" i="18"/>
  <c r="H345" i="18"/>
  <c r="J345" i="18" s="1"/>
  <c r="G345" i="18"/>
  <c r="H344" i="18"/>
  <c r="J344" i="18" s="1"/>
  <c r="G344" i="18"/>
  <c r="H343" i="18"/>
  <c r="J343" i="18" s="1"/>
  <c r="G343" i="18"/>
  <c r="H342" i="18"/>
  <c r="J342" i="18" s="1"/>
  <c r="G342" i="18"/>
  <c r="J341" i="18"/>
  <c r="L341" i="18" s="1"/>
  <c r="H341" i="18"/>
  <c r="G341" i="18"/>
  <c r="L340" i="18"/>
  <c r="K340" i="18"/>
  <c r="J340" i="18"/>
  <c r="H340" i="18"/>
  <c r="G340" i="18"/>
  <c r="L339" i="18"/>
  <c r="K339" i="18"/>
  <c r="J339" i="18"/>
  <c r="H339" i="18"/>
  <c r="G339" i="18"/>
  <c r="L338" i="18"/>
  <c r="J338" i="18"/>
  <c r="K338" i="18" s="1"/>
  <c r="H338" i="18"/>
  <c r="G338" i="18"/>
  <c r="J337" i="18"/>
  <c r="L337" i="18" s="1"/>
  <c r="H337" i="18"/>
  <c r="G337" i="18"/>
  <c r="H336" i="18"/>
  <c r="J336" i="18" s="1"/>
  <c r="G336" i="18"/>
  <c r="J335" i="18"/>
  <c r="L335" i="18" s="1"/>
  <c r="H335" i="18"/>
  <c r="G335" i="18"/>
  <c r="L334" i="18"/>
  <c r="K334" i="18"/>
  <c r="J334" i="18"/>
  <c r="H334" i="18"/>
  <c r="G334" i="18"/>
  <c r="H333" i="18"/>
  <c r="J333" i="18" s="1"/>
  <c r="G333" i="18"/>
  <c r="H332" i="18"/>
  <c r="J332" i="18" s="1"/>
  <c r="G332" i="18"/>
  <c r="H331" i="18"/>
  <c r="J331" i="18" s="1"/>
  <c r="G331" i="18"/>
  <c r="H330" i="18"/>
  <c r="J330" i="18" s="1"/>
  <c r="G330" i="18"/>
  <c r="K329" i="18"/>
  <c r="J329" i="18"/>
  <c r="L329" i="18" s="1"/>
  <c r="H329" i="18"/>
  <c r="G329" i="18"/>
  <c r="L328" i="18"/>
  <c r="K328" i="18"/>
  <c r="J328" i="18"/>
  <c r="H328" i="18"/>
  <c r="G328" i="18"/>
  <c r="H327" i="18"/>
  <c r="J327" i="18" s="1"/>
  <c r="K327" i="18" s="1"/>
  <c r="G327" i="18"/>
  <c r="H326" i="18"/>
  <c r="J326" i="18" s="1"/>
  <c r="G326" i="18"/>
  <c r="J325" i="18"/>
  <c r="L325" i="18" s="1"/>
  <c r="H325" i="18"/>
  <c r="G325" i="18"/>
  <c r="H324" i="18"/>
  <c r="J324" i="18" s="1"/>
  <c r="G324" i="18"/>
  <c r="J323" i="18"/>
  <c r="L323" i="18" s="1"/>
  <c r="H323" i="18"/>
  <c r="G323" i="18"/>
  <c r="L322" i="18"/>
  <c r="K322" i="18"/>
  <c r="J322" i="18"/>
  <c r="H322" i="18"/>
  <c r="G322" i="18"/>
  <c r="H321" i="18"/>
  <c r="J321" i="18" s="1"/>
  <c r="G321" i="18"/>
  <c r="H320" i="18"/>
  <c r="J320" i="18" s="1"/>
  <c r="G320" i="18"/>
  <c r="H319" i="18"/>
  <c r="J319" i="18" s="1"/>
  <c r="G319" i="18"/>
  <c r="H318" i="18"/>
  <c r="J318" i="18" s="1"/>
  <c r="G318" i="18"/>
  <c r="K317" i="18"/>
  <c r="J317" i="18"/>
  <c r="L317" i="18" s="1"/>
  <c r="H317" i="18"/>
  <c r="G317" i="18"/>
  <c r="L316" i="18"/>
  <c r="K316" i="18"/>
  <c r="J316" i="18"/>
  <c r="H316" i="18"/>
  <c r="G316" i="18"/>
  <c r="H315" i="18"/>
  <c r="J315" i="18" s="1"/>
  <c r="K315" i="18" s="1"/>
  <c r="G315" i="18"/>
  <c r="H314" i="18"/>
  <c r="J314" i="18" s="1"/>
  <c r="G314" i="18"/>
  <c r="H313" i="18"/>
  <c r="J313" i="18" s="1"/>
  <c r="G313" i="18"/>
  <c r="H312" i="18"/>
  <c r="J312" i="18" s="1"/>
  <c r="G312" i="18"/>
  <c r="J311" i="18"/>
  <c r="L311" i="18" s="1"/>
  <c r="H311" i="18"/>
  <c r="G311" i="18"/>
  <c r="L310" i="18"/>
  <c r="K310" i="18"/>
  <c r="J310" i="18"/>
  <c r="H310" i="18"/>
  <c r="G310" i="18"/>
  <c r="H309" i="18"/>
  <c r="J309" i="18" s="1"/>
  <c r="G309" i="18"/>
  <c r="H308" i="18"/>
  <c r="J308" i="18" s="1"/>
  <c r="G308" i="18"/>
  <c r="H307" i="18"/>
  <c r="J307" i="18" s="1"/>
  <c r="G307" i="18"/>
  <c r="H306" i="18"/>
  <c r="J306" i="18" s="1"/>
  <c r="G306" i="18"/>
  <c r="J305" i="18"/>
  <c r="L305" i="18" s="1"/>
  <c r="H305" i="18"/>
  <c r="G305" i="18"/>
  <c r="L304" i="18"/>
  <c r="K304" i="18"/>
  <c r="J304" i="18"/>
  <c r="H304" i="18"/>
  <c r="G304" i="18"/>
  <c r="L303" i="18"/>
  <c r="H303" i="18"/>
  <c r="J303" i="18" s="1"/>
  <c r="K303" i="18" s="1"/>
  <c r="G303" i="18"/>
  <c r="H302" i="18"/>
  <c r="J302" i="18" s="1"/>
  <c r="G302" i="18"/>
  <c r="H301" i="18"/>
  <c r="J301" i="18" s="1"/>
  <c r="G301" i="18"/>
  <c r="H300" i="18"/>
  <c r="J300" i="18" s="1"/>
  <c r="G300" i="18"/>
  <c r="J299" i="18"/>
  <c r="L299" i="18" s="1"/>
  <c r="H299" i="18"/>
  <c r="G299" i="18"/>
  <c r="L298" i="18"/>
  <c r="K298" i="18"/>
  <c r="J298" i="18"/>
  <c r="H298" i="18"/>
  <c r="G298" i="18"/>
  <c r="H295" i="18"/>
  <c r="J295" i="18" s="1"/>
  <c r="G295" i="18"/>
  <c r="J294" i="18"/>
  <c r="L294" i="18" s="1"/>
  <c r="H294" i="18"/>
  <c r="G294" i="18"/>
  <c r="J293" i="18"/>
  <c r="H293" i="18"/>
  <c r="G293" i="18"/>
  <c r="J292" i="18"/>
  <c r="L292" i="18" s="1"/>
  <c r="H292" i="18"/>
  <c r="G292" i="18"/>
  <c r="L291" i="18"/>
  <c r="K291" i="18"/>
  <c r="J291" i="18"/>
  <c r="H291" i="18"/>
  <c r="G291" i="18"/>
  <c r="H290" i="18"/>
  <c r="J290" i="18" s="1"/>
  <c r="G290" i="18"/>
  <c r="H289" i="18"/>
  <c r="J289" i="18" s="1"/>
  <c r="G289" i="18"/>
  <c r="H288" i="18"/>
  <c r="J288" i="18" s="1"/>
  <c r="G288" i="18"/>
  <c r="H287" i="18"/>
  <c r="J287" i="18" s="1"/>
  <c r="G287" i="18"/>
  <c r="H286" i="18"/>
  <c r="J286" i="18" s="1"/>
  <c r="G286" i="18"/>
  <c r="H285" i="18"/>
  <c r="J285" i="18" s="1"/>
  <c r="L285" i="18" s="1"/>
  <c r="G285" i="18"/>
  <c r="H284" i="18"/>
  <c r="J284" i="18" s="1"/>
  <c r="K284" i="18" s="1"/>
  <c r="G284" i="18"/>
  <c r="H283" i="18"/>
  <c r="J283" i="18" s="1"/>
  <c r="G283" i="18"/>
  <c r="H282" i="18"/>
  <c r="J282" i="18" s="1"/>
  <c r="L282" i="18" s="1"/>
  <c r="G282" i="18"/>
  <c r="H281" i="18"/>
  <c r="J281" i="18" s="1"/>
  <c r="G281" i="18"/>
  <c r="J280" i="18"/>
  <c r="L280" i="18" s="1"/>
  <c r="H280" i="18"/>
  <c r="G280" i="18"/>
  <c r="J279" i="18"/>
  <c r="L279" i="18" s="1"/>
  <c r="H279" i="18"/>
  <c r="G279" i="18"/>
  <c r="H278" i="18"/>
  <c r="J278" i="18" s="1"/>
  <c r="G278" i="18"/>
  <c r="H277" i="18"/>
  <c r="J277" i="18" s="1"/>
  <c r="G277" i="18"/>
  <c r="H276" i="18"/>
  <c r="J276" i="18" s="1"/>
  <c r="G276" i="18"/>
  <c r="H275" i="18"/>
  <c r="J275" i="18" s="1"/>
  <c r="G275" i="18"/>
  <c r="H274" i="18"/>
  <c r="J274" i="18" s="1"/>
  <c r="L274" i="18" s="1"/>
  <c r="G274" i="18"/>
  <c r="H273" i="18"/>
  <c r="J273" i="18" s="1"/>
  <c r="G273" i="18"/>
  <c r="H272" i="18"/>
  <c r="J272" i="18" s="1"/>
  <c r="K272" i="18" s="1"/>
  <c r="G272" i="18"/>
  <c r="H271" i="18"/>
  <c r="J271" i="18" s="1"/>
  <c r="G271" i="18"/>
  <c r="J270" i="18"/>
  <c r="L270" i="18" s="1"/>
  <c r="H270" i="18"/>
  <c r="G270" i="18"/>
  <c r="H269" i="18"/>
  <c r="J269" i="18" s="1"/>
  <c r="G269" i="18"/>
  <c r="H268" i="18"/>
  <c r="J268" i="18" s="1"/>
  <c r="L268" i="18" s="1"/>
  <c r="G268" i="18"/>
  <c r="H267" i="18"/>
  <c r="J267" i="18" s="1"/>
  <c r="L267" i="18" s="1"/>
  <c r="G267" i="18"/>
  <c r="H266" i="18"/>
  <c r="J266" i="18" s="1"/>
  <c r="G266" i="18"/>
  <c r="H265" i="18"/>
  <c r="J265" i="18" s="1"/>
  <c r="G265" i="18"/>
  <c r="H264" i="18"/>
  <c r="J264" i="18" s="1"/>
  <c r="G264" i="18"/>
  <c r="H263" i="18"/>
  <c r="J263" i="18" s="1"/>
  <c r="G263" i="18"/>
  <c r="K262" i="18"/>
  <c r="J262" i="18"/>
  <c r="L262" i="18" s="1"/>
  <c r="H262" i="18"/>
  <c r="G262" i="18"/>
  <c r="H261" i="18"/>
  <c r="J261" i="18" s="1"/>
  <c r="G261" i="18"/>
  <c r="H260" i="18"/>
  <c r="J260" i="18" s="1"/>
  <c r="K260" i="18" s="1"/>
  <c r="G260" i="18"/>
  <c r="H259" i="18"/>
  <c r="J259" i="18" s="1"/>
  <c r="G259" i="18"/>
  <c r="J258" i="18"/>
  <c r="L258" i="18" s="1"/>
  <c r="H258" i="18"/>
  <c r="G258" i="18"/>
  <c r="H257" i="18"/>
  <c r="J257" i="18" s="1"/>
  <c r="G257" i="18"/>
  <c r="J256" i="18"/>
  <c r="L256" i="18" s="1"/>
  <c r="H256" i="18"/>
  <c r="G256" i="18"/>
  <c r="J255" i="18"/>
  <c r="K255" i="18" s="1"/>
  <c r="H255" i="18"/>
  <c r="G255" i="18"/>
  <c r="H254" i="18"/>
  <c r="J254" i="18" s="1"/>
  <c r="G254" i="18"/>
  <c r="H253" i="18"/>
  <c r="J253" i="18" s="1"/>
  <c r="G253" i="18"/>
  <c r="H252" i="18"/>
  <c r="J252" i="18" s="1"/>
  <c r="G252" i="18"/>
  <c r="H251" i="18"/>
  <c r="G251" i="18"/>
  <c r="L248" i="18"/>
  <c r="K248" i="18"/>
  <c r="J248" i="18"/>
  <c r="H248" i="18"/>
  <c r="G248" i="18"/>
  <c r="H247" i="18"/>
  <c r="J247" i="18" s="1"/>
  <c r="G247" i="18"/>
  <c r="H246" i="18"/>
  <c r="J246" i="18" s="1"/>
  <c r="G246" i="18"/>
  <c r="H245" i="18"/>
  <c r="J245" i="18" s="1"/>
  <c r="G245" i="18"/>
  <c r="H244" i="18"/>
  <c r="J244" i="18" s="1"/>
  <c r="G244" i="18"/>
  <c r="H241" i="18"/>
  <c r="J241" i="18" s="1"/>
  <c r="G241" i="18"/>
  <c r="H240" i="18"/>
  <c r="J240" i="18" s="1"/>
  <c r="G240" i="18"/>
  <c r="H239" i="18"/>
  <c r="J239" i="18" s="1"/>
  <c r="G239" i="18"/>
  <c r="J238" i="18"/>
  <c r="L238" i="18" s="1"/>
  <c r="H238" i="18"/>
  <c r="G238" i="18"/>
  <c r="L237" i="18"/>
  <c r="K237" i="18"/>
  <c r="J237" i="18"/>
  <c r="H237" i="18"/>
  <c r="G237" i="18"/>
  <c r="L236" i="18"/>
  <c r="K236" i="18"/>
  <c r="J236" i="18"/>
  <c r="H236" i="18"/>
  <c r="G236" i="18"/>
  <c r="L235" i="18"/>
  <c r="J235" i="18"/>
  <c r="K235" i="18" s="1"/>
  <c r="H235" i="18"/>
  <c r="G235" i="18"/>
  <c r="J234" i="18"/>
  <c r="L234" i="18" s="1"/>
  <c r="H234" i="18"/>
  <c r="G234" i="18"/>
  <c r="H233" i="18"/>
  <c r="J233" i="18" s="1"/>
  <c r="G233" i="18"/>
  <c r="J232" i="18"/>
  <c r="L232" i="18" s="1"/>
  <c r="H232" i="18"/>
  <c r="G232" i="18"/>
  <c r="L231" i="18"/>
  <c r="K231" i="18"/>
  <c r="J231" i="18"/>
  <c r="H231" i="18"/>
  <c r="G231" i="18"/>
  <c r="H230" i="18"/>
  <c r="J230" i="18" s="1"/>
  <c r="G230" i="18"/>
  <c r="H229" i="18"/>
  <c r="J229" i="18" s="1"/>
  <c r="G229" i="18"/>
  <c r="H228" i="18"/>
  <c r="J228" i="18" s="1"/>
  <c r="G228" i="18"/>
  <c r="H227" i="18"/>
  <c r="J227" i="18" s="1"/>
  <c r="G227" i="18"/>
  <c r="K226" i="18"/>
  <c r="J226" i="18"/>
  <c r="L226" i="18" s="1"/>
  <c r="H226" i="18"/>
  <c r="G226" i="18"/>
  <c r="L225" i="18"/>
  <c r="K225" i="18"/>
  <c r="J225" i="18"/>
  <c r="H225" i="18"/>
  <c r="G225" i="18"/>
  <c r="L224" i="18"/>
  <c r="H224" i="18"/>
  <c r="J224" i="18" s="1"/>
  <c r="K224" i="18" s="1"/>
  <c r="G224" i="18"/>
  <c r="H223" i="18"/>
  <c r="J223" i="18" s="1"/>
  <c r="G223" i="18"/>
  <c r="J222" i="18"/>
  <c r="L222" i="18" s="1"/>
  <c r="H222" i="18"/>
  <c r="G222" i="18"/>
  <c r="H221" i="18"/>
  <c r="J221" i="18" s="1"/>
  <c r="G221" i="18"/>
  <c r="J220" i="18"/>
  <c r="H220" i="18"/>
  <c r="G220" i="18"/>
  <c r="L219" i="18"/>
  <c r="K219" i="18"/>
  <c r="J219" i="18"/>
  <c r="H219" i="18"/>
  <c r="G219" i="18"/>
  <c r="H218" i="18"/>
  <c r="J218" i="18" s="1"/>
  <c r="K218" i="18" s="1"/>
  <c r="G218" i="18"/>
  <c r="H217" i="18"/>
  <c r="J217" i="18" s="1"/>
  <c r="G217" i="18"/>
  <c r="H216" i="18"/>
  <c r="J216" i="18" s="1"/>
  <c r="G216" i="18"/>
  <c r="H215" i="18"/>
  <c r="J215" i="18" s="1"/>
  <c r="L215" i="18" s="1"/>
  <c r="G215" i="18"/>
  <c r="J214" i="18"/>
  <c r="L214" i="18" s="1"/>
  <c r="H214" i="18"/>
  <c r="G214" i="18"/>
  <c r="L213" i="18"/>
  <c r="K213" i="18"/>
  <c r="J213" i="18"/>
  <c r="H213" i="18"/>
  <c r="G213" i="18"/>
  <c r="L212" i="18"/>
  <c r="K212" i="18"/>
  <c r="J212" i="18"/>
  <c r="H212" i="18"/>
  <c r="G212" i="18"/>
  <c r="H211" i="18"/>
  <c r="J211" i="18" s="1"/>
  <c r="G211" i="18"/>
  <c r="H210" i="18"/>
  <c r="J210" i="18" s="1"/>
  <c r="G210" i="18"/>
  <c r="J209" i="18"/>
  <c r="H209" i="18"/>
  <c r="G209" i="18"/>
  <c r="L208" i="18"/>
  <c r="K208" i="18"/>
  <c r="J208" i="18"/>
  <c r="H208" i="18"/>
  <c r="G208" i="18"/>
  <c r="L207" i="18"/>
  <c r="K207" i="18"/>
  <c r="J207" i="18"/>
  <c r="H207" i="18"/>
  <c r="G207" i="18"/>
  <c r="H206" i="18"/>
  <c r="J206" i="18" s="1"/>
  <c r="K206" i="18" s="1"/>
  <c r="G206" i="18"/>
  <c r="H205" i="18"/>
  <c r="J205" i="18" s="1"/>
  <c r="G205" i="18"/>
  <c r="H204" i="18"/>
  <c r="J204" i="18" s="1"/>
  <c r="G204" i="18"/>
  <c r="H203" i="18"/>
  <c r="J203" i="18" s="1"/>
  <c r="G203" i="18"/>
  <c r="J202" i="18"/>
  <c r="L202" i="18" s="1"/>
  <c r="H202" i="18"/>
  <c r="G202" i="18"/>
  <c r="L201" i="18"/>
  <c r="K201" i="18"/>
  <c r="J201" i="18"/>
  <c r="H201" i="18"/>
  <c r="G201" i="18"/>
  <c r="L200" i="18"/>
  <c r="H200" i="18"/>
  <c r="J200" i="18" s="1"/>
  <c r="K200" i="18" s="1"/>
  <c r="G200" i="18"/>
  <c r="H199" i="18"/>
  <c r="J199" i="18" s="1"/>
  <c r="G199" i="18"/>
  <c r="J198" i="18"/>
  <c r="H198" i="18"/>
  <c r="G198" i="18"/>
  <c r="J197" i="18"/>
  <c r="H197" i="18"/>
  <c r="G197" i="18"/>
  <c r="J196" i="18"/>
  <c r="L196" i="18" s="1"/>
  <c r="H196" i="18"/>
  <c r="G196" i="18"/>
  <c r="L195" i="18"/>
  <c r="K195" i="18"/>
  <c r="J195" i="18"/>
  <c r="H195" i="18"/>
  <c r="G195" i="18"/>
  <c r="L194" i="18"/>
  <c r="H194" i="18"/>
  <c r="J194" i="18" s="1"/>
  <c r="K194" i="18" s="1"/>
  <c r="G194" i="18"/>
  <c r="H191" i="18"/>
  <c r="J191" i="18" s="1"/>
  <c r="G191" i="18"/>
  <c r="H190" i="18"/>
  <c r="J190" i="18" s="1"/>
  <c r="G190" i="18"/>
  <c r="H189" i="18"/>
  <c r="J189" i="18" s="1"/>
  <c r="G189" i="18"/>
  <c r="H188" i="18"/>
  <c r="J188" i="18" s="1"/>
  <c r="G188" i="18"/>
  <c r="H187" i="18"/>
  <c r="J187" i="18" s="1"/>
  <c r="K187" i="18" s="1"/>
  <c r="G187" i="18"/>
  <c r="H186" i="18"/>
  <c r="J186" i="18" s="1"/>
  <c r="G186" i="18"/>
  <c r="H185" i="18"/>
  <c r="J185" i="18" s="1"/>
  <c r="G185" i="18"/>
  <c r="H184" i="18"/>
  <c r="J184" i="18" s="1"/>
  <c r="G184" i="18"/>
  <c r="J183" i="18"/>
  <c r="L183" i="18" s="1"/>
  <c r="H183" i="18"/>
  <c r="G183" i="18"/>
  <c r="H182" i="18"/>
  <c r="J182" i="18" s="1"/>
  <c r="G182" i="18"/>
  <c r="H181" i="18"/>
  <c r="J181" i="18" s="1"/>
  <c r="K181" i="18" s="1"/>
  <c r="G181" i="18"/>
  <c r="H180" i="18"/>
  <c r="J180" i="18" s="1"/>
  <c r="K180" i="18" s="1"/>
  <c r="G180" i="18"/>
  <c r="H179" i="18"/>
  <c r="J179" i="18" s="1"/>
  <c r="G179" i="18"/>
  <c r="H178" i="18"/>
  <c r="J178" i="18" s="1"/>
  <c r="G178" i="18"/>
  <c r="H177" i="18"/>
  <c r="J177" i="18" s="1"/>
  <c r="L177" i="18" s="1"/>
  <c r="G177" i="18"/>
  <c r="H176" i="18"/>
  <c r="J176" i="18" s="1"/>
  <c r="L176" i="18" s="1"/>
  <c r="G176" i="18"/>
  <c r="H175" i="18"/>
  <c r="J175" i="18" s="1"/>
  <c r="K175" i="18" s="1"/>
  <c r="G175" i="18"/>
  <c r="H174" i="18"/>
  <c r="J174" i="18" s="1"/>
  <c r="G174" i="18"/>
  <c r="H173" i="18"/>
  <c r="J173" i="18" s="1"/>
  <c r="G173" i="18"/>
  <c r="H172" i="18"/>
  <c r="J172" i="18" s="1"/>
  <c r="L172" i="18" s="1"/>
  <c r="G172" i="18"/>
  <c r="H171" i="18"/>
  <c r="J171" i="18" s="1"/>
  <c r="L171" i="18" s="1"/>
  <c r="G171" i="18"/>
  <c r="H170" i="18"/>
  <c r="J170" i="18" s="1"/>
  <c r="L170" i="18" s="1"/>
  <c r="G170" i="18"/>
  <c r="H169" i="18"/>
  <c r="J169" i="18" s="1"/>
  <c r="L169" i="18" s="1"/>
  <c r="G169" i="18"/>
  <c r="H168" i="18"/>
  <c r="J168" i="18" s="1"/>
  <c r="G168" i="18"/>
  <c r="H167" i="18"/>
  <c r="J167" i="18" s="1"/>
  <c r="G167" i="18"/>
  <c r="J164" i="18"/>
  <c r="L164" i="18" s="1"/>
  <c r="H164" i="18"/>
  <c r="G164" i="18"/>
  <c r="H163" i="18"/>
  <c r="J163" i="18" s="1"/>
  <c r="L163" i="18" s="1"/>
  <c r="G163" i="18"/>
  <c r="H162" i="18"/>
  <c r="J162" i="18" s="1"/>
  <c r="K162" i="18" s="1"/>
  <c r="G162" i="18"/>
  <c r="H161" i="18"/>
  <c r="J161" i="18" s="1"/>
  <c r="G161" i="18"/>
  <c r="J160" i="18"/>
  <c r="H160" i="18"/>
  <c r="G160" i="18"/>
  <c r="J159" i="18"/>
  <c r="H159" i="18"/>
  <c r="G159" i="18"/>
  <c r="J158" i="18"/>
  <c r="L158" i="18" s="1"/>
  <c r="H158" i="18"/>
  <c r="H165" i="18" s="1"/>
  <c r="G158" i="18"/>
  <c r="H155" i="18"/>
  <c r="J155" i="18" s="1"/>
  <c r="K155" i="18" s="1"/>
  <c r="G155" i="18"/>
  <c r="J154" i="18"/>
  <c r="L154" i="18" s="1"/>
  <c r="H154" i="18"/>
  <c r="G154" i="18"/>
  <c r="H153" i="18"/>
  <c r="J153" i="18" s="1"/>
  <c r="G153" i="18"/>
  <c r="J152" i="18"/>
  <c r="H152" i="18"/>
  <c r="G152" i="18"/>
  <c r="J151" i="18"/>
  <c r="L151" i="18" s="1"/>
  <c r="H151" i="18"/>
  <c r="G151" i="18"/>
  <c r="J150" i="18"/>
  <c r="L150" i="18" s="1"/>
  <c r="H150" i="18"/>
  <c r="G150" i="18"/>
  <c r="H149" i="18"/>
  <c r="G149" i="18"/>
  <c r="H148" i="18"/>
  <c r="J148" i="18" s="1"/>
  <c r="G148" i="18"/>
  <c r="H147" i="18"/>
  <c r="J147" i="18" s="1"/>
  <c r="G147" i="18"/>
  <c r="J146" i="18"/>
  <c r="L146" i="18" s="1"/>
  <c r="H146" i="18"/>
  <c r="G146" i="18"/>
  <c r="J145" i="18"/>
  <c r="L145" i="18" s="1"/>
  <c r="H145" i="18"/>
  <c r="G145" i="18"/>
  <c r="K144" i="18"/>
  <c r="H144" i="18"/>
  <c r="J144" i="18" s="1"/>
  <c r="L144" i="18" s="1"/>
  <c r="G144" i="18"/>
  <c r="H143" i="18"/>
  <c r="J143" i="18" s="1"/>
  <c r="K143" i="18" s="1"/>
  <c r="G143" i="18"/>
  <c r="H142" i="18"/>
  <c r="J142" i="18" s="1"/>
  <c r="G142" i="18"/>
  <c r="J141" i="18"/>
  <c r="H141" i="18"/>
  <c r="G141" i="18"/>
  <c r="J140" i="18"/>
  <c r="H140" i="18"/>
  <c r="G140" i="18"/>
  <c r="J139" i="18"/>
  <c r="L139" i="18" s="1"/>
  <c r="H139" i="18"/>
  <c r="G139" i="18"/>
  <c r="J138" i="18"/>
  <c r="L138" i="18" s="1"/>
  <c r="H138" i="18"/>
  <c r="G138" i="18"/>
  <c r="L137" i="18"/>
  <c r="H137" i="18"/>
  <c r="J137" i="18" s="1"/>
  <c r="K137" i="18" s="1"/>
  <c r="G137" i="18"/>
  <c r="H136" i="18"/>
  <c r="J136" i="18" s="1"/>
  <c r="G136" i="18"/>
  <c r="L135" i="18"/>
  <c r="K135" i="18"/>
  <c r="H135" i="18"/>
  <c r="G135" i="18"/>
  <c r="H134" i="18"/>
  <c r="G134" i="18"/>
  <c r="H133" i="18"/>
  <c r="G133" i="18"/>
  <c r="L132" i="18"/>
  <c r="K132" i="18"/>
  <c r="H132" i="18"/>
  <c r="G132" i="18"/>
  <c r="H131" i="18"/>
  <c r="G131" i="18"/>
  <c r="L130" i="18"/>
  <c r="K130" i="18"/>
  <c r="H130" i="18"/>
  <c r="G130" i="18"/>
  <c r="H129" i="18"/>
  <c r="G129" i="18"/>
  <c r="L128" i="18"/>
  <c r="K128" i="18"/>
  <c r="H128" i="18"/>
  <c r="G128" i="18"/>
  <c r="L127" i="18"/>
  <c r="K127" i="18"/>
  <c r="H127" i="18"/>
  <c r="G127" i="18"/>
  <c r="L126" i="18"/>
  <c r="K126" i="18"/>
  <c r="H126" i="18"/>
  <c r="G126" i="18"/>
  <c r="L125" i="18"/>
  <c r="K125" i="18"/>
  <c r="H125" i="18"/>
  <c r="G125" i="18"/>
  <c r="H124" i="18"/>
  <c r="G124" i="18"/>
  <c r="L123" i="18"/>
  <c r="K123" i="18"/>
  <c r="H123" i="18"/>
  <c r="G123" i="18"/>
  <c r="H122" i="18"/>
  <c r="L122" i="18" s="1"/>
  <c r="G122" i="18"/>
  <c r="H121" i="18"/>
  <c r="K121" i="18" s="1"/>
  <c r="G121" i="18"/>
  <c r="H120" i="18"/>
  <c r="G120" i="18"/>
  <c r="L119" i="18"/>
  <c r="K119" i="18"/>
  <c r="H119" i="18"/>
  <c r="G119" i="18"/>
  <c r="H118" i="18"/>
  <c r="J118" i="18" s="1"/>
  <c r="G118" i="18"/>
  <c r="L115" i="18"/>
  <c r="K115" i="18"/>
  <c r="J115" i="18"/>
  <c r="H115" i="18"/>
  <c r="G115" i="18"/>
  <c r="L114" i="18"/>
  <c r="J114" i="18"/>
  <c r="K114" i="18" s="1"/>
  <c r="H114" i="18"/>
  <c r="G114" i="18"/>
  <c r="J113" i="18"/>
  <c r="L113" i="18" s="1"/>
  <c r="H113" i="18"/>
  <c r="G113" i="18"/>
  <c r="H112" i="18"/>
  <c r="J112" i="18" s="1"/>
  <c r="G112" i="18"/>
  <c r="H111" i="18"/>
  <c r="J111" i="18" s="1"/>
  <c r="G111" i="18"/>
  <c r="J110" i="18"/>
  <c r="K110" i="18" s="1"/>
  <c r="H110" i="18"/>
  <c r="G110" i="18"/>
  <c r="J109" i="18"/>
  <c r="L109" i="18" s="1"/>
  <c r="H109" i="18"/>
  <c r="G109" i="18"/>
  <c r="H108" i="18"/>
  <c r="J108" i="18" s="1"/>
  <c r="K108" i="18" s="1"/>
  <c r="G108" i="18"/>
  <c r="H107" i="18"/>
  <c r="J107" i="18" s="1"/>
  <c r="G107" i="18"/>
  <c r="H106" i="18"/>
  <c r="J106" i="18" s="1"/>
  <c r="G106" i="18"/>
  <c r="H105" i="18"/>
  <c r="J105" i="18" s="1"/>
  <c r="G105" i="18"/>
  <c r="H104" i="18"/>
  <c r="J104" i="18" s="1"/>
  <c r="L104" i="18" s="1"/>
  <c r="G104" i="18"/>
  <c r="H101" i="18"/>
  <c r="J101" i="18" s="1"/>
  <c r="L101" i="18" s="1"/>
  <c r="G101" i="18"/>
  <c r="H100" i="18"/>
  <c r="J100" i="18" s="1"/>
  <c r="G100" i="18"/>
  <c r="H99" i="18"/>
  <c r="J99" i="18" s="1"/>
  <c r="G99" i="18"/>
  <c r="H98" i="18"/>
  <c r="G98" i="18"/>
  <c r="H97" i="18"/>
  <c r="J97" i="18" s="1"/>
  <c r="L97" i="18" s="1"/>
  <c r="G97" i="18"/>
  <c r="L96" i="18"/>
  <c r="H96" i="18"/>
  <c r="G96" i="18"/>
  <c r="H95" i="18"/>
  <c r="J95" i="18" s="1"/>
  <c r="G95" i="18"/>
  <c r="H94" i="18"/>
  <c r="J94" i="18" s="1"/>
  <c r="K94" i="18" s="1"/>
  <c r="G94" i="18"/>
  <c r="H93" i="18"/>
  <c r="J93" i="18" s="1"/>
  <c r="G93" i="18"/>
  <c r="H90" i="18"/>
  <c r="J90" i="18" s="1"/>
  <c r="K90" i="18" s="1"/>
  <c r="G90" i="18"/>
  <c r="F88" i="18"/>
  <c r="G88" i="18" s="1"/>
  <c r="F87" i="18"/>
  <c r="F86" i="18"/>
  <c r="H86" i="18" s="1"/>
  <c r="J86" i="18" s="1"/>
  <c r="F85" i="18"/>
  <c r="H85" i="18" s="1"/>
  <c r="J85" i="18" s="1"/>
  <c r="H84" i="18"/>
  <c r="J84" i="18" s="1"/>
  <c r="L84" i="18" s="1"/>
  <c r="G84" i="18"/>
  <c r="F82" i="18"/>
  <c r="H82" i="18" s="1"/>
  <c r="J82" i="18" s="1"/>
  <c r="F81" i="18"/>
  <c r="G81" i="18" s="1"/>
  <c r="F80" i="18"/>
  <c r="F83" i="18" s="1"/>
  <c r="F79" i="18"/>
  <c r="H79" i="18" s="1"/>
  <c r="J79" i="18" s="1"/>
  <c r="H78" i="18"/>
  <c r="J78" i="18" s="1"/>
  <c r="L78" i="18" s="1"/>
  <c r="G78" i="18"/>
  <c r="F76" i="18"/>
  <c r="G76" i="18" s="1"/>
  <c r="F75" i="18"/>
  <c r="H75" i="18" s="1"/>
  <c r="J75" i="18" s="1"/>
  <c r="F74" i="18"/>
  <c r="F77" i="18" s="1"/>
  <c r="F73" i="18"/>
  <c r="H73" i="18" s="1"/>
  <c r="J73" i="18" s="1"/>
  <c r="H72" i="18"/>
  <c r="J72" i="18" s="1"/>
  <c r="G72" i="18"/>
  <c r="F70" i="18"/>
  <c r="H70" i="18" s="1"/>
  <c r="J70" i="18" s="1"/>
  <c r="K70" i="18" s="1"/>
  <c r="G69" i="18"/>
  <c r="F69" i="18"/>
  <c r="H69" i="18" s="1"/>
  <c r="J69" i="18" s="1"/>
  <c r="F68" i="18"/>
  <c r="H68" i="18" s="1"/>
  <c r="J68" i="18" s="1"/>
  <c r="L68" i="18" s="1"/>
  <c r="F67" i="18"/>
  <c r="H66" i="18"/>
  <c r="J66" i="18" s="1"/>
  <c r="F66" i="18"/>
  <c r="G66" i="18" s="1"/>
  <c r="H65" i="18"/>
  <c r="G65" i="18"/>
  <c r="F62" i="18"/>
  <c r="H62" i="18" s="1"/>
  <c r="J62" i="18" s="1"/>
  <c r="F61" i="18"/>
  <c r="G61" i="18" s="1"/>
  <c r="F60" i="18"/>
  <c r="H60" i="18" s="1"/>
  <c r="J60" i="18" s="1"/>
  <c r="L60" i="18" s="1"/>
  <c r="H59" i="18"/>
  <c r="J59" i="18" s="1"/>
  <c r="L59" i="18" s="1"/>
  <c r="G59" i="18"/>
  <c r="F58" i="18"/>
  <c r="H58" i="18" s="1"/>
  <c r="J58" i="18" s="1"/>
  <c r="F57" i="18"/>
  <c r="H57" i="18" s="1"/>
  <c r="J57" i="18" s="1"/>
  <c r="F56" i="18"/>
  <c r="H56" i="18" s="1"/>
  <c r="J56" i="18" s="1"/>
  <c r="F55" i="18"/>
  <c r="H55" i="18" s="1"/>
  <c r="J55" i="18" s="1"/>
  <c r="H54" i="18"/>
  <c r="J54" i="18" s="1"/>
  <c r="G54" i="18"/>
  <c r="F53" i="18"/>
  <c r="H53" i="18" s="1"/>
  <c r="J53" i="18" s="1"/>
  <c r="F52" i="18"/>
  <c r="H52" i="18" s="1"/>
  <c r="J52" i="18" s="1"/>
  <c r="F51" i="18"/>
  <c r="H51" i="18" s="1"/>
  <c r="J51" i="18" s="1"/>
  <c r="H50" i="18"/>
  <c r="J50" i="18" s="1"/>
  <c r="G50" i="18"/>
  <c r="F48" i="18"/>
  <c r="H48" i="18" s="1"/>
  <c r="J48" i="18" s="1"/>
  <c r="G47" i="18"/>
  <c r="F47" i="18"/>
  <c r="H47" i="18" s="1"/>
  <c r="J47" i="18" s="1"/>
  <c r="L47" i="18" s="1"/>
  <c r="F46" i="18"/>
  <c r="G46" i="18" s="1"/>
  <c r="F45" i="18"/>
  <c r="H45" i="18" s="1"/>
  <c r="J45" i="18" s="1"/>
  <c r="G44" i="18"/>
  <c r="F44" i="18"/>
  <c r="H44" i="18" s="1"/>
  <c r="J44" i="18" s="1"/>
  <c r="L44" i="18" s="1"/>
  <c r="H43" i="18"/>
  <c r="J43" i="18" s="1"/>
  <c r="F43" i="18"/>
  <c r="G43" i="18" s="1"/>
  <c r="H42" i="18"/>
  <c r="J42" i="18" s="1"/>
  <c r="G42" i="18"/>
  <c r="F40" i="18"/>
  <c r="G40" i="18" s="1"/>
  <c r="F39" i="18"/>
  <c r="H39" i="18" s="1"/>
  <c r="J39" i="18" s="1"/>
  <c r="F38" i="18"/>
  <c r="H38" i="18" s="1"/>
  <c r="J38" i="18" s="1"/>
  <c r="F37" i="18"/>
  <c r="H37" i="18" s="1"/>
  <c r="J37" i="18" s="1"/>
  <c r="L37" i="18" s="1"/>
  <c r="F36" i="18"/>
  <c r="H36" i="18" s="1"/>
  <c r="J36" i="18" s="1"/>
  <c r="F35" i="18"/>
  <c r="F41" i="18" s="1"/>
  <c r="H34" i="18"/>
  <c r="J34" i="18" s="1"/>
  <c r="L34" i="18" s="1"/>
  <c r="G34" i="18"/>
  <c r="H31" i="18"/>
  <c r="J31" i="18" s="1"/>
  <c r="G31" i="18"/>
  <c r="H30" i="18"/>
  <c r="J30" i="18" s="1"/>
  <c r="G30" i="18"/>
  <c r="H29" i="18"/>
  <c r="J29" i="18" s="1"/>
  <c r="G29" i="18"/>
  <c r="H28" i="18"/>
  <c r="J28" i="18" s="1"/>
  <c r="L28" i="18" s="1"/>
  <c r="G28" i="18"/>
  <c r="H27" i="18"/>
  <c r="J27" i="18" s="1"/>
  <c r="G27" i="18"/>
  <c r="H26" i="18"/>
  <c r="G26" i="18"/>
  <c r="F23" i="18"/>
  <c r="H23" i="18" s="1"/>
  <c r="J23" i="18" s="1"/>
  <c r="H22" i="18"/>
  <c r="J22" i="18" s="1"/>
  <c r="L22" i="18" s="1"/>
  <c r="G22" i="18"/>
  <c r="H21" i="18"/>
  <c r="J21" i="18" s="1"/>
  <c r="L21" i="18" s="1"/>
  <c r="G21" i="18"/>
  <c r="H20" i="18"/>
  <c r="J20" i="18" s="1"/>
  <c r="G20" i="18"/>
  <c r="F19" i="18"/>
  <c r="H19" i="18" s="1"/>
  <c r="J19" i="18" s="1"/>
  <c r="H18" i="18"/>
  <c r="J18" i="18" s="1"/>
  <c r="L18" i="18" s="1"/>
  <c r="G18" i="18"/>
  <c r="F17" i="18"/>
  <c r="H17" i="18" s="1"/>
  <c r="J17" i="18" s="1"/>
  <c r="H16" i="18"/>
  <c r="J16" i="18" s="1"/>
  <c r="G16" i="18"/>
  <c r="F15" i="18"/>
  <c r="H15" i="18" s="1"/>
  <c r="J15" i="18" s="1"/>
  <c r="H14" i="18"/>
  <c r="J14" i="18" s="1"/>
  <c r="G14" i="18"/>
  <c r="F13" i="18"/>
  <c r="G13" i="18" s="1"/>
  <c r="H12" i="18"/>
  <c r="J12" i="18" s="1"/>
  <c r="G12" i="18"/>
  <c r="F11" i="18"/>
  <c r="H11" i="18" s="1"/>
  <c r="J11" i="18" s="1"/>
  <c r="H10" i="18"/>
  <c r="J10" i="18" s="1"/>
  <c r="L10" i="18" s="1"/>
  <c r="G10" i="18"/>
  <c r="F9" i="18"/>
  <c r="H9" i="18" s="1"/>
  <c r="J9" i="18" s="1"/>
  <c r="F8" i="18"/>
  <c r="H8" i="18" s="1"/>
  <c r="J8" i="18" s="1"/>
  <c r="H7" i="18"/>
  <c r="J7" i="18" s="1"/>
  <c r="G7" i="18"/>
  <c r="F6" i="18"/>
  <c r="H6" i="18" s="1"/>
  <c r="J6" i="18" s="1"/>
  <c r="F5" i="18"/>
  <c r="H5" i="18" s="1"/>
  <c r="J5" i="18" s="1"/>
  <c r="H4" i="18"/>
  <c r="J4" i="18" s="1"/>
  <c r="G4" i="18"/>
  <c r="P413" i="17"/>
  <c r="O413" i="17"/>
  <c r="P412" i="17"/>
  <c r="O412" i="17"/>
  <c r="P411" i="17"/>
  <c r="O411" i="17"/>
  <c r="P410" i="17"/>
  <c r="O410" i="17"/>
  <c r="P409" i="17"/>
  <c r="O409" i="17"/>
  <c r="P408" i="17"/>
  <c r="O408" i="17"/>
  <c r="P407" i="17"/>
  <c r="O407" i="17"/>
  <c r="P406" i="17"/>
  <c r="O406" i="17"/>
  <c r="P405" i="17"/>
  <c r="O405" i="17"/>
  <c r="P404" i="17"/>
  <c r="O404" i="17"/>
  <c r="P403" i="17"/>
  <c r="O403" i="17"/>
  <c r="P402" i="17"/>
  <c r="O402" i="17"/>
  <c r="P401" i="17"/>
  <c r="O401" i="17"/>
  <c r="P400" i="17"/>
  <c r="O400" i="17"/>
  <c r="P399" i="17"/>
  <c r="O399" i="17"/>
  <c r="P398" i="17"/>
  <c r="O398" i="17"/>
  <c r="P397" i="17"/>
  <c r="O397" i="17"/>
  <c r="P396" i="17"/>
  <c r="O396" i="17"/>
  <c r="P394" i="17"/>
  <c r="O394" i="17"/>
  <c r="P393" i="17"/>
  <c r="O393" i="17"/>
  <c r="P392" i="17"/>
  <c r="O392" i="17"/>
  <c r="P391" i="17"/>
  <c r="O391" i="17"/>
  <c r="P390" i="17"/>
  <c r="O390" i="17"/>
  <c r="P389" i="17"/>
  <c r="O389" i="17"/>
  <c r="P388" i="17"/>
  <c r="O388" i="17"/>
  <c r="P387" i="17"/>
  <c r="O387" i="17"/>
  <c r="P386" i="17"/>
  <c r="O386" i="17"/>
  <c r="P385" i="17"/>
  <c r="O385" i="17"/>
  <c r="P384" i="17"/>
  <c r="O384" i="17"/>
  <c r="P383" i="17"/>
  <c r="O383" i="17"/>
  <c r="P382" i="17"/>
  <c r="O382" i="17"/>
  <c r="P381" i="17"/>
  <c r="O381" i="17"/>
  <c r="P380" i="17"/>
  <c r="O380" i="17"/>
  <c r="P379" i="17"/>
  <c r="O379" i="17"/>
  <c r="P378" i="17"/>
  <c r="O378" i="17"/>
  <c r="P377" i="17"/>
  <c r="O377" i="17"/>
  <c r="P376" i="17"/>
  <c r="O376" i="17"/>
  <c r="P375" i="17"/>
  <c r="O375" i="17"/>
  <c r="P374" i="17"/>
  <c r="O374" i="17"/>
  <c r="P373" i="17"/>
  <c r="O373" i="17"/>
  <c r="P372" i="17"/>
  <c r="O372" i="17"/>
  <c r="P371" i="17"/>
  <c r="O371" i="17"/>
  <c r="P370" i="17"/>
  <c r="O370" i="17"/>
  <c r="P369" i="17"/>
  <c r="O369" i="17"/>
  <c r="P368" i="17"/>
  <c r="O368" i="17"/>
  <c r="P367" i="17"/>
  <c r="O367" i="17"/>
  <c r="P366" i="17"/>
  <c r="O366" i="17"/>
  <c r="P365" i="17"/>
  <c r="O365" i="17"/>
  <c r="P364" i="17"/>
  <c r="O364" i="17"/>
  <c r="P363" i="17"/>
  <c r="O363" i="17"/>
  <c r="P362" i="17"/>
  <c r="O362" i="17"/>
  <c r="P361" i="17"/>
  <c r="O361" i="17"/>
  <c r="P360" i="17"/>
  <c r="O360" i="17"/>
  <c r="P358" i="17"/>
  <c r="O358" i="17"/>
  <c r="P356" i="17"/>
  <c r="O356" i="17"/>
  <c r="P355" i="17"/>
  <c r="O355" i="17"/>
  <c r="P354" i="17"/>
  <c r="O354" i="17"/>
  <c r="P353" i="17"/>
  <c r="O353" i="17"/>
  <c r="P352" i="17"/>
  <c r="O352" i="17"/>
  <c r="P351" i="17"/>
  <c r="O351" i="17"/>
  <c r="P350" i="17"/>
  <c r="O350" i="17"/>
  <c r="P349" i="17"/>
  <c r="O349" i="17"/>
  <c r="P348" i="17"/>
  <c r="O348" i="17"/>
  <c r="P345" i="17"/>
  <c r="O345" i="17"/>
  <c r="P344" i="17"/>
  <c r="O344" i="17"/>
  <c r="P343" i="17"/>
  <c r="O343" i="17"/>
  <c r="P342" i="17"/>
  <c r="O342" i="17"/>
  <c r="P341" i="17"/>
  <c r="O341" i="17"/>
  <c r="P340" i="17"/>
  <c r="O340" i="17"/>
  <c r="P339" i="17"/>
  <c r="O339" i="17"/>
  <c r="P338" i="17"/>
  <c r="O338" i="17"/>
  <c r="P337" i="17"/>
  <c r="O337" i="17"/>
  <c r="P336" i="17"/>
  <c r="O336" i="17"/>
  <c r="P335" i="17"/>
  <c r="O335" i="17"/>
  <c r="P334" i="17"/>
  <c r="O334" i="17"/>
  <c r="P333" i="17"/>
  <c r="O333" i="17"/>
  <c r="P332" i="17"/>
  <c r="O332" i="17"/>
  <c r="P331" i="17"/>
  <c r="O331" i="17"/>
  <c r="P330" i="17"/>
  <c r="O330" i="17"/>
  <c r="P329" i="17"/>
  <c r="O329" i="17"/>
  <c r="P328" i="17"/>
  <c r="O328" i="17"/>
  <c r="P327" i="17"/>
  <c r="O327" i="17"/>
  <c r="P326" i="17"/>
  <c r="O326" i="17"/>
  <c r="P325" i="17"/>
  <c r="O325" i="17"/>
  <c r="P324" i="17"/>
  <c r="O324" i="17"/>
  <c r="P323" i="17"/>
  <c r="O323" i="17"/>
  <c r="P322" i="17"/>
  <c r="O322" i="17"/>
  <c r="P321" i="17"/>
  <c r="O321" i="17"/>
  <c r="P320" i="17"/>
  <c r="O320" i="17"/>
  <c r="P319" i="17"/>
  <c r="O319" i="17"/>
  <c r="P318" i="17"/>
  <c r="O318" i="17"/>
  <c r="P317" i="17"/>
  <c r="O317" i="17"/>
  <c r="P316" i="17"/>
  <c r="O316" i="17"/>
  <c r="P315" i="17"/>
  <c r="O315" i="17"/>
  <c r="P314" i="17"/>
  <c r="O314" i="17"/>
  <c r="P313" i="17"/>
  <c r="O313" i="17"/>
  <c r="P312" i="17"/>
  <c r="O312" i="17"/>
  <c r="P311" i="17"/>
  <c r="O311" i="17"/>
  <c r="P310" i="17"/>
  <c r="O310" i="17"/>
  <c r="P309" i="17"/>
  <c r="O309" i="17"/>
  <c r="P308" i="17"/>
  <c r="O308" i="17"/>
  <c r="P307" i="17"/>
  <c r="O307" i="17"/>
  <c r="P306" i="17"/>
  <c r="O306" i="17"/>
  <c r="P305" i="17"/>
  <c r="O305" i="17"/>
  <c r="P304" i="17"/>
  <c r="O304" i="17"/>
  <c r="P303" i="17"/>
  <c r="O303" i="17"/>
  <c r="P302" i="17"/>
  <c r="O302" i="17"/>
  <c r="P301" i="17"/>
  <c r="O301" i="17"/>
  <c r="P300" i="17"/>
  <c r="O300" i="17"/>
  <c r="P299" i="17"/>
  <c r="O299" i="17"/>
  <c r="P298" i="17"/>
  <c r="O298" i="17"/>
  <c r="P295" i="17"/>
  <c r="O295" i="17"/>
  <c r="P294" i="17"/>
  <c r="O294" i="17"/>
  <c r="P293" i="17"/>
  <c r="O293" i="17"/>
  <c r="P292" i="17"/>
  <c r="O292" i="17"/>
  <c r="P291" i="17"/>
  <c r="O291" i="17"/>
  <c r="P290" i="17"/>
  <c r="O290" i="17"/>
  <c r="P289" i="17"/>
  <c r="O289" i="17"/>
  <c r="P288" i="17"/>
  <c r="O288" i="17"/>
  <c r="P287" i="17"/>
  <c r="O287" i="17"/>
  <c r="P286" i="17"/>
  <c r="O286" i="17"/>
  <c r="P285" i="17"/>
  <c r="O285" i="17"/>
  <c r="P284" i="17"/>
  <c r="O284" i="17"/>
  <c r="P283" i="17"/>
  <c r="O283" i="17"/>
  <c r="P282" i="17"/>
  <c r="O282" i="17"/>
  <c r="P281" i="17"/>
  <c r="O281" i="17"/>
  <c r="P280" i="17"/>
  <c r="O280" i="17"/>
  <c r="P279" i="17"/>
  <c r="O279" i="17"/>
  <c r="P278" i="17"/>
  <c r="O278" i="17"/>
  <c r="P277" i="17"/>
  <c r="O277" i="17"/>
  <c r="P276" i="17"/>
  <c r="O276" i="17"/>
  <c r="P275" i="17"/>
  <c r="O275" i="17"/>
  <c r="P274" i="17"/>
  <c r="O274" i="17"/>
  <c r="P273" i="17"/>
  <c r="O273" i="17"/>
  <c r="P272" i="17"/>
  <c r="O272" i="17"/>
  <c r="P271" i="17"/>
  <c r="O271" i="17"/>
  <c r="P270" i="17"/>
  <c r="O270" i="17"/>
  <c r="P269" i="17"/>
  <c r="O269" i="17"/>
  <c r="P268" i="17"/>
  <c r="O268" i="17"/>
  <c r="P267" i="17"/>
  <c r="O267" i="17"/>
  <c r="P266" i="17"/>
  <c r="O266" i="17"/>
  <c r="P265" i="17"/>
  <c r="O265" i="17"/>
  <c r="P264" i="17"/>
  <c r="O264" i="17"/>
  <c r="P263" i="17"/>
  <c r="O263" i="17"/>
  <c r="P262" i="17"/>
  <c r="O262" i="17"/>
  <c r="P261" i="17"/>
  <c r="O261" i="17"/>
  <c r="P260" i="17"/>
  <c r="O260" i="17"/>
  <c r="P259" i="17"/>
  <c r="O259" i="17"/>
  <c r="P258" i="17"/>
  <c r="O258" i="17"/>
  <c r="P257" i="17"/>
  <c r="O257" i="17"/>
  <c r="P256" i="17"/>
  <c r="O256" i="17"/>
  <c r="P255" i="17"/>
  <c r="O255" i="17"/>
  <c r="P254" i="17"/>
  <c r="O254" i="17"/>
  <c r="P253" i="17"/>
  <c r="O253" i="17"/>
  <c r="P252" i="17"/>
  <c r="O252" i="17"/>
  <c r="P251" i="17"/>
  <c r="O251" i="17"/>
  <c r="P248" i="17"/>
  <c r="O248" i="17"/>
  <c r="P247" i="17"/>
  <c r="O247" i="17"/>
  <c r="P246" i="17"/>
  <c r="O246" i="17"/>
  <c r="P245" i="17"/>
  <c r="O245" i="17"/>
  <c r="P244" i="17"/>
  <c r="O244" i="17"/>
  <c r="P243" i="17"/>
  <c r="O243" i="17"/>
  <c r="P241" i="17"/>
  <c r="O241" i="17"/>
  <c r="P240" i="17"/>
  <c r="O240" i="17"/>
  <c r="P239" i="17"/>
  <c r="O239" i="17"/>
  <c r="P238" i="17"/>
  <c r="O238" i="17"/>
  <c r="P237" i="17"/>
  <c r="O237" i="17"/>
  <c r="P236" i="17"/>
  <c r="O236" i="17"/>
  <c r="P235" i="17"/>
  <c r="O235" i="17"/>
  <c r="P234" i="17"/>
  <c r="O234" i="17"/>
  <c r="P233" i="17"/>
  <c r="O233" i="17"/>
  <c r="P232" i="17"/>
  <c r="O232" i="17"/>
  <c r="P231" i="17"/>
  <c r="O231" i="17"/>
  <c r="P230" i="17"/>
  <c r="O230" i="17"/>
  <c r="P229" i="17"/>
  <c r="O229" i="17"/>
  <c r="P228" i="17"/>
  <c r="O228" i="17"/>
  <c r="P227" i="17"/>
  <c r="O227" i="17"/>
  <c r="P226" i="17"/>
  <c r="O226" i="17"/>
  <c r="P225" i="17"/>
  <c r="O225" i="17"/>
  <c r="P224" i="17"/>
  <c r="O224" i="17"/>
  <c r="P223" i="17"/>
  <c r="O223" i="17"/>
  <c r="P222" i="17"/>
  <c r="O222" i="17"/>
  <c r="P221" i="17"/>
  <c r="O221" i="17"/>
  <c r="P220" i="17"/>
  <c r="O220" i="17"/>
  <c r="P219" i="17"/>
  <c r="O219" i="17"/>
  <c r="P218" i="17"/>
  <c r="O218" i="17"/>
  <c r="P217" i="17"/>
  <c r="O217" i="17"/>
  <c r="P216" i="17"/>
  <c r="O216" i="17"/>
  <c r="P215" i="17"/>
  <c r="O215" i="17"/>
  <c r="P214" i="17"/>
  <c r="O214" i="17"/>
  <c r="P213" i="17"/>
  <c r="O213" i="17"/>
  <c r="P212" i="17"/>
  <c r="O212" i="17"/>
  <c r="P211" i="17"/>
  <c r="O211" i="17"/>
  <c r="P210" i="17"/>
  <c r="O210" i="17"/>
  <c r="P209" i="17"/>
  <c r="O209" i="17"/>
  <c r="P208" i="17"/>
  <c r="O208" i="17"/>
  <c r="P207" i="17"/>
  <c r="O207" i="17"/>
  <c r="P206" i="17"/>
  <c r="O206" i="17"/>
  <c r="P205" i="17"/>
  <c r="O205" i="17"/>
  <c r="P204" i="17"/>
  <c r="O204" i="17"/>
  <c r="P203" i="17"/>
  <c r="O203" i="17"/>
  <c r="P202" i="17"/>
  <c r="O202" i="17"/>
  <c r="P201" i="17"/>
  <c r="O201" i="17"/>
  <c r="P200" i="17"/>
  <c r="O200" i="17"/>
  <c r="P199" i="17"/>
  <c r="O199" i="17"/>
  <c r="P198" i="17"/>
  <c r="O198" i="17"/>
  <c r="P197" i="17"/>
  <c r="O197" i="17"/>
  <c r="P196" i="17"/>
  <c r="O196" i="17"/>
  <c r="P195" i="17"/>
  <c r="O195" i="17"/>
  <c r="P194" i="17"/>
  <c r="O194" i="17"/>
  <c r="P191" i="17"/>
  <c r="O191" i="17"/>
  <c r="P190" i="17"/>
  <c r="O190" i="17"/>
  <c r="P189" i="17"/>
  <c r="O189" i="17"/>
  <c r="P188" i="17"/>
  <c r="O188" i="17"/>
  <c r="P187" i="17"/>
  <c r="O187" i="17"/>
  <c r="P186" i="17"/>
  <c r="O186" i="17"/>
  <c r="P185" i="17"/>
  <c r="O185" i="17"/>
  <c r="P184" i="17"/>
  <c r="O184" i="17"/>
  <c r="P183" i="17"/>
  <c r="O183" i="17"/>
  <c r="P182" i="17"/>
  <c r="O182" i="17"/>
  <c r="P181" i="17"/>
  <c r="O181" i="17"/>
  <c r="P180" i="17"/>
  <c r="O180" i="17"/>
  <c r="P179" i="17"/>
  <c r="O179" i="17"/>
  <c r="P178" i="17"/>
  <c r="O178" i="17"/>
  <c r="P177" i="17"/>
  <c r="O177" i="17"/>
  <c r="P176" i="17"/>
  <c r="O176" i="17"/>
  <c r="P175" i="17"/>
  <c r="O175" i="17"/>
  <c r="P174" i="17"/>
  <c r="O174" i="17"/>
  <c r="P173" i="17"/>
  <c r="O173" i="17"/>
  <c r="P172" i="17"/>
  <c r="O172" i="17"/>
  <c r="P171" i="17"/>
  <c r="O171" i="17"/>
  <c r="P170" i="17"/>
  <c r="O170" i="17"/>
  <c r="P169" i="17"/>
  <c r="O169" i="17"/>
  <c r="P168" i="17"/>
  <c r="O168" i="17"/>
  <c r="P167" i="17"/>
  <c r="O167" i="17"/>
  <c r="P164" i="17"/>
  <c r="O164" i="17"/>
  <c r="P163" i="17"/>
  <c r="O163" i="17"/>
  <c r="P162" i="17"/>
  <c r="O162" i="17"/>
  <c r="P161" i="17"/>
  <c r="O161" i="17"/>
  <c r="P160" i="17"/>
  <c r="O160" i="17"/>
  <c r="P159" i="17"/>
  <c r="O159" i="17"/>
  <c r="P158" i="17"/>
  <c r="O158" i="17"/>
  <c r="P155" i="17"/>
  <c r="O155" i="17"/>
  <c r="P154" i="17"/>
  <c r="O154" i="17"/>
  <c r="P153" i="17"/>
  <c r="O153" i="17"/>
  <c r="P152" i="17"/>
  <c r="O152" i="17"/>
  <c r="P151" i="17"/>
  <c r="O151" i="17"/>
  <c r="P150" i="17"/>
  <c r="O150" i="17"/>
  <c r="P149" i="17"/>
  <c r="O149" i="17"/>
  <c r="P148" i="17"/>
  <c r="O148" i="17"/>
  <c r="P147" i="17"/>
  <c r="O147" i="17"/>
  <c r="P146" i="17"/>
  <c r="O146" i="17"/>
  <c r="P145" i="17"/>
  <c r="O145" i="17"/>
  <c r="P144" i="17"/>
  <c r="O144" i="17"/>
  <c r="P143" i="17"/>
  <c r="O143" i="17"/>
  <c r="P142" i="17"/>
  <c r="O142" i="17"/>
  <c r="P141" i="17"/>
  <c r="O141" i="17"/>
  <c r="P140" i="17"/>
  <c r="O140" i="17"/>
  <c r="P139" i="17"/>
  <c r="O139" i="17"/>
  <c r="P138" i="17"/>
  <c r="O138" i="17"/>
  <c r="P137" i="17"/>
  <c r="O137" i="17"/>
  <c r="P136" i="17"/>
  <c r="O136" i="17"/>
  <c r="P135" i="17"/>
  <c r="O135" i="17"/>
  <c r="P134" i="17"/>
  <c r="O134" i="17"/>
  <c r="P133" i="17"/>
  <c r="O133" i="17"/>
  <c r="P132" i="17"/>
  <c r="O132" i="17"/>
  <c r="P131" i="17"/>
  <c r="O131" i="17"/>
  <c r="P130" i="17"/>
  <c r="O130" i="17"/>
  <c r="P129" i="17"/>
  <c r="O129" i="17"/>
  <c r="P128" i="17"/>
  <c r="O128" i="17"/>
  <c r="P127" i="17"/>
  <c r="O127" i="17"/>
  <c r="P126" i="17"/>
  <c r="O126" i="17"/>
  <c r="P125" i="17"/>
  <c r="O125" i="17"/>
  <c r="P124" i="17"/>
  <c r="O124" i="17"/>
  <c r="P123" i="17"/>
  <c r="O123" i="17"/>
  <c r="P122" i="17"/>
  <c r="O122" i="17"/>
  <c r="P121" i="17"/>
  <c r="O121" i="17"/>
  <c r="P120" i="17"/>
  <c r="O120" i="17"/>
  <c r="P119" i="17"/>
  <c r="O119" i="17"/>
  <c r="P118" i="17"/>
  <c r="O118" i="17"/>
  <c r="P115" i="17"/>
  <c r="O115" i="17"/>
  <c r="P114" i="17"/>
  <c r="O114" i="17"/>
  <c r="P113" i="17"/>
  <c r="O113" i="17"/>
  <c r="P112" i="17"/>
  <c r="O112" i="17"/>
  <c r="P111" i="17"/>
  <c r="O111" i="17"/>
  <c r="P110" i="17"/>
  <c r="O110" i="17"/>
  <c r="P109" i="17"/>
  <c r="O109" i="17"/>
  <c r="P108" i="17"/>
  <c r="O108" i="17"/>
  <c r="P107" i="17"/>
  <c r="O107" i="17"/>
  <c r="P106" i="17"/>
  <c r="O106" i="17"/>
  <c r="P105" i="17"/>
  <c r="O105" i="17"/>
  <c r="P104" i="17"/>
  <c r="O104" i="17"/>
  <c r="P101" i="17"/>
  <c r="O101" i="17"/>
  <c r="P100" i="17"/>
  <c r="O100" i="17"/>
  <c r="P99" i="17"/>
  <c r="O99" i="17"/>
  <c r="P98" i="17"/>
  <c r="O98" i="17"/>
  <c r="P97" i="17"/>
  <c r="O97" i="17"/>
  <c r="P96" i="17"/>
  <c r="O96" i="17"/>
  <c r="P95" i="17"/>
  <c r="O95" i="17"/>
  <c r="P94" i="17"/>
  <c r="O94" i="17"/>
  <c r="P93" i="17"/>
  <c r="O93" i="17"/>
  <c r="P92" i="17"/>
  <c r="O92" i="17"/>
  <c r="P90" i="17"/>
  <c r="O90" i="17"/>
  <c r="P89" i="17"/>
  <c r="O89" i="17"/>
  <c r="P88" i="17"/>
  <c r="O88" i="17"/>
  <c r="P87" i="17"/>
  <c r="O87" i="17"/>
  <c r="P86" i="17"/>
  <c r="O86" i="17"/>
  <c r="P85" i="17"/>
  <c r="O85" i="17"/>
  <c r="P84" i="17"/>
  <c r="O84" i="17"/>
  <c r="P83" i="17"/>
  <c r="O83" i="17"/>
  <c r="P82" i="17"/>
  <c r="O82" i="17"/>
  <c r="P81" i="17"/>
  <c r="O81" i="17"/>
  <c r="P80" i="17"/>
  <c r="O80" i="17"/>
  <c r="P79" i="17"/>
  <c r="O79" i="17"/>
  <c r="P78" i="17"/>
  <c r="O78" i="17"/>
  <c r="P77" i="17"/>
  <c r="O77" i="17"/>
  <c r="P76" i="17"/>
  <c r="O76" i="17"/>
  <c r="P75" i="17"/>
  <c r="O75" i="17"/>
  <c r="P74" i="17"/>
  <c r="O74" i="17"/>
  <c r="P73" i="17"/>
  <c r="O73" i="17"/>
  <c r="P72" i="17"/>
  <c r="O72" i="17"/>
  <c r="P71" i="17"/>
  <c r="O71" i="17"/>
  <c r="P70" i="17"/>
  <c r="O70" i="17"/>
  <c r="P69" i="17"/>
  <c r="O69" i="17"/>
  <c r="P68" i="17"/>
  <c r="O68" i="17"/>
  <c r="P67" i="17"/>
  <c r="O67" i="17"/>
  <c r="P66" i="17"/>
  <c r="O66" i="17"/>
  <c r="P65" i="17"/>
  <c r="O65" i="17"/>
  <c r="P62" i="17"/>
  <c r="O62" i="17"/>
  <c r="P61" i="17"/>
  <c r="O61" i="17"/>
  <c r="P60" i="17"/>
  <c r="O60" i="17"/>
  <c r="P59" i="17"/>
  <c r="O59" i="17"/>
  <c r="P58" i="17"/>
  <c r="O58" i="17"/>
  <c r="P57" i="17"/>
  <c r="O57" i="17"/>
  <c r="P56" i="17"/>
  <c r="O56" i="17"/>
  <c r="P55" i="17"/>
  <c r="O55" i="17"/>
  <c r="P54" i="17"/>
  <c r="O54" i="17"/>
  <c r="P53" i="17"/>
  <c r="O53" i="17"/>
  <c r="P52" i="17"/>
  <c r="O52" i="17"/>
  <c r="P51" i="17"/>
  <c r="O51" i="17"/>
  <c r="P50" i="17"/>
  <c r="O50" i="17"/>
  <c r="P49" i="17"/>
  <c r="O49" i="17"/>
  <c r="P48" i="17"/>
  <c r="O48" i="17"/>
  <c r="P47" i="17"/>
  <c r="O47" i="17"/>
  <c r="P46" i="17"/>
  <c r="O46" i="17"/>
  <c r="P45" i="17"/>
  <c r="O45" i="17"/>
  <c r="P44" i="17"/>
  <c r="O44" i="17"/>
  <c r="P43" i="17"/>
  <c r="O43" i="17"/>
  <c r="P42" i="17"/>
  <c r="O42" i="17"/>
  <c r="P41" i="17"/>
  <c r="O41" i="17"/>
  <c r="P40" i="17"/>
  <c r="O40" i="17"/>
  <c r="P39" i="17"/>
  <c r="O39" i="17"/>
  <c r="P38" i="17"/>
  <c r="O38" i="17"/>
  <c r="P37" i="17"/>
  <c r="O37" i="17"/>
  <c r="P36" i="17"/>
  <c r="O36" i="17"/>
  <c r="P35" i="17"/>
  <c r="O35" i="17"/>
  <c r="P34" i="17"/>
  <c r="O34" i="17"/>
  <c r="P31" i="17"/>
  <c r="O31" i="17"/>
  <c r="P30" i="17"/>
  <c r="O30" i="17"/>
  <c r="P29" i="17"/>
  <c r="O29" i="17"/>
  <c r="P28" i="17"/>
  <c r="O28" i="17"/>
  <c r="P27" i="17"/>
  <c r="O27" i="17"/>
  <c r="P26" i="17"/>
  <c r="O26" i="17"/>
  <c r="P23" i="17"/>
  <c r="O23" i="17"/>
  <c r="P22" i="17"/>
  <c r="O22" i="17"/>
  <c r="P21" i="17"/>
  <c r="O21" i="17"/>
  <c r="P20" i="17"/>
  <c r="O20" i="17"/>
  <c r="P19" i="17"/>
  <c r="O19" i="17"/>
  <c r="P18" i="17"/>
  <c r="O18" i="17"/>
  <c r="P17" i="17"/>
  <c r="O17" i="17"/>
  <c r="P16" i="17"/>
  <c r="O16" i="17"/>
  <c r="P15" i="17"/>
  <c r="O15" i="17"/>
  <c r="P14" i="17"/>
  <c r="O14" i="17"/>
  <c r="P13" i="17"/>
  <c r="O13" i="17"/>
  <c r="P12" i="17"/>
  <c r="O12" i="17"/>
  <c r="P11" i="17"/>
  <c r="O11" i="17"/>
  <c r="P10" i="17"/>
  <c r="O10" i="17"/>
  <c r="P9" i="17"/>
  <c r="O9" i="17"/>
  <c r="P8" i="17"/>
  <c r="O8" i="17"/>
  <c r="P7" i="17"/>
  <c r="O7" i="17"/>
  <c r="P6" i="17"/>
  <c r="O6" i="17"/>
  <c r="P5" i="17"/>
  <c r="O5" i="17"/>
  <c r="P4" i="17"/>
  <c r="O4" i="17"/>
  <c r="H425" i="17"/>
  <c r="G425" i="17"/>
  <c r="H424" i="17"/>
  <c r="G424" i="17"/>
  <c r="H423" i="17"/>
  <c r="G423" i="17"/>
  <c r="H422" i="17"/>
  <c r="G422" i="17"/>
  <c r="H421" i="17"/>
  <c r="G421" i="17"/>
  <c r="H420" i="17"/>
  <c r="G420" i="17"/>
  <c r="H419" i="17"/>
  <c r="G419" i="17"/>
  <c r="H418" i="17"/>
  <c r="I14" i="3" s="1"/>
  <c r="G418" i="17"/>
  <c r="H417" i="17"/>
  <c r="G417" i="17"/>
  <c r="H416" i="17"/>
  <c r="G416" i="17"/>
  <c r="H413" i="17"/>
  <c r="J413" i="17" s="1"/>
  <c r="G413" i="17"/>
  <c r="H412" i="17"/>
  <c r="J412" i="17" s="1"/>
  <c r="L412" i="17" s="1"/>
  <c r="G412" i="17"/>
  <c r="H411" i="17"/>
  <c r="J411" i="17" s="1"/>
  <c r="G411" i="17"/>
  <c r="H410" i="17"/>
  <c r="J410" i="17" s="1"/>
  <c r="K410" i="17" s="1"/>
  <c r="G410" i="17"/>
  <c r="H409" i="17"/>
  <c r="J409" i="17" s="1"/>
  <c r="G409" i="17"/>
  <c r="H408" i="17"/>
  <c r="J408" i="17" s="1"/>
  <c r="G408" i="17"/>
  <c r="H407" i="17"/>
  <c r="J407" i="17" s="1"/>
  <c r="G407" i="17"/>
  <c r="H406" i="17"/>
  <c r="J406" i="17" s="1"/>
  <c r="L406" i="17" s="1"/>
  <c r="G406" i="17"/>
  <c r="H405" i="17"/>
  <c r="J405" i="17" s="1"/>
  <c r="L405" i="17" s="1"/>
  <c r="G405" i="17"/>
  <c r="H404" i="17"/>
  <c r="J404" i="17" s="1"/>
  <c r="L404" i="17" s="1"/>
  <c r="G404" i="17"/>
  <c r="H403" i="17"/>
  <c r="J403" i="17" s="1"/>
  <c r="K403" i="17" s="1"/>
  <c r="G403" i="17"/>
  <c r="H402" i="17"/>
  <c r="J402" i="17" s="1"/>
  <c r="G402" i="17"/>
  <c r="H401" i="17"/>
  <c r="J401" i="17" s="1"/>
  <c r="G401" i="17"/>
  <c r="H400" i="17"/>
  <c r="J400" i="17" s="1"/>
  <c r="L400" i="17" s="1"/>
  <c r="G400" i="17"/>
  <c r="H399" i="17"/>
  <c r="J399" i="17" s="1"/>
  <c r="G399" i="17"/>
  <c r="H398" i="17"/>
  <c r="J398" i="17" s="1"/>
  <c r="G398" i="17"/>
  <c r="H397" i="17"/>
  <c r="J397" i="17" s="1"/>
  <c r="G397" i="17"/>
  <c r="H396" i="17"/>
  <c r="J396" i="17" s="1"/>
  <c r="G396" i="17"/>
  <c r="H394" i="17"/>
  <c r="J394" i="17" s="1"/>
  <c r="G394" i="17"/>
  <c r="H393" i="17"/>
  <c r="J393" i="17" s="1"/>
  <c r="L393" i="17" s="1"/>
  <c r="G393" i="17"/>
  <c r="H392" i="17"/>
  <c r="J392" i="17" s="1"/>
  <c r="L392" i="17" s="1"/>
  <c r="G392" i="17"/>
  <c r="H391" i="17"/>
  <c r="J391" i="17" s="1"/>
  <c r="L391" i="17" s="1"/>
  <c r="G391" i="17"/>
  <c r="H390" i="17"/>
  <c r="J390" i="17" s="1"/>
  <c r="G390" i="17"/>
  <c r="H389" i="17"/>
  <c r="J389" i="17" s="1"/>
  <c r="G389" i="17"/>
  <c r="H388" i="17"/>
  <c r="J388" i="17" s="1"/>
  <c r="G388" i="17"/>
  <c r="H387" i="17"/>
  <c r="J387" i="17" s="1"/>
  <c r="L387" i="17" s="1"/>
  <c r="G387" i="17"/>
  <c r="H386" i="17"/>
  <c r="J386" i="17" s="1"/>
  <c r="G386" i="17"/>
  <c r="H385" i="17"/>
  <c r="J385" i="17" s="1"/>
  <c r="K385" i="17" s="1"/>
  <c r="G385" i="17"/>
  <c r="H384" i="17"/>
  <c r="J384" i="17" s="1"/>
  <c r="G384" i="17"/>
  <c r="H383" i="17"/>
  <c r="J383" i="17" s="1"/>
  <c r="G383" i="17"/>
  <c r="H382" i="17"/>
  <c r="J382" i="17" s="1"/>
  <c r="G382" i="17"/>
  <c r="H381" i="17"/>
  <c r="J381" i="17" s="1"/>
  <c r="L381" i="17" s="1"/>
  <c r="G381" i="17"/>
  <c r="H380" i="17"/>
  <c r="J380" i="17" s="1"/>
  <c r="L380" i="17" s="1"/>
  <c r="G380" i="17"/>
  <c r="H379" i="17"/>
  <c r="J379" i="17" s="1"/>
  <c r="L379" i="17" s="1"/>
  <c r="G379" i="17"/>
  <c r="H378" i="17"/>
  <c r="J378" i="17" s="1"/>
  <c r="G378" i="17"/>
  <c r="H377" i="17"/>
  <c r="J377" i="17" s="1"/>
  <c r="G377" i="17"/>
  <c r="H376" i="17"/>
  <c r="J376" i="17" s="1"/>
  <c r="G376" i="17"/>
  <c r="H375" i="17"/>
  <c r="J375" i="17" s="1"/>
  <c r="L375" i="17" s="1"/>
  <c r="G375" i="17"/>
  <c r="H374" i="17"/>
  <c r="J374" i="17" s="1"/>
  <c r="G374" i="17"/>
  <c r="H373" i="17"/>
  <c r="J373" i="17" s="1"/>
  <c r="G373" i="17"/>
  <c r="H372" i="17"/>
  <c r="J372" i="17" s="1"/>
  <c r="G372" i="17"/>
  <c r="H371" i="17"/>
  <c r="J371" i="17" s="1"/>
  <c r="G371" i="17"/>
  <c r="H370" i="17"/>
  <c r="J370" i="17" s="1"/>
  <c r="G370" i="17"/>
  <c r="H369" i="17"/>
  <c r="J369" i="17" s="1"/>
  <c r="L369" i="17" s="1"/>
  <c r="G369" i="17"/>
  <c r="H368" i="17"/>
  <c r="J368" i="17" s="1"/>
  <c r="L368" i="17" s="1"/>
  <c r="G368" i="17"/>
  <c r="H367" i="17"/>
  <c r="J367" i="17" s="1"/>
  <c r="L367" i="17" s="1"/>
  <c r="G367" i="17"/>
  <c r="H366" i="17"/>
  <c r="J366" i="17" s="1"/>
  <c r="G366" i="17"/>
  <c r="H365" i="17"/>
  <c r="J365" i="17" s="1"/>
  <c r="G365" i="17"/>
  <c r="H364" i="17"/>
  <c r="J364" i="17" s="1"/>
  <c r="G364" i="17"/>
  <c r="H363" i="17"/>
  <c r="J363" i="17" s="1"/>
  <c r="L363" i="17" s="1"/>
  <c r="G363" i="17"/>
  <c r="H362" i="17"/>
  <c r="J362" i="17" s="1"/>
  <c r="G362" i="17"/>
  <c r="H361" i="17"/>
  <c r="J361" i="17" s="1"/>
  <c r="K361" i="17" s="1"/>
  <c r="G361" i="17"/>
  <c r="H360" i="17"/>
  <c r="J360" i="17" s="1"/>
  <c r="G360" i="17"/>
  <c r="H358" i="17"/>
  <c r="J358" i="17" s="1"/>
  <c r="G358" i="17"/>
  <c r="H356" i="17"/>
  <c r="J356" i="17" s="1"/>
  <c r="G356" i="17"/>
  <c r="H355" i="17"/>
  <c r="J355" i="17" s="1"/>
  <c r="L355" i="17" s="1"/>
  <c r="G355" i="17"/>
  <c r="H354" i="17"/>
  <c r="J354" i="17" s="1"/>
  <c r="K354" i="17" s="1"/>
  <c r="G354" i="17"/>
  <c r="H353" i="17"/>
  <c r="J353" i="17" s="1"/>
  <c r="L353" i="17" s="1"/>
  <c r="G353" i="17"/>
  <c r="H352" i="17"/>
  <c r="J352" i="17" s="1"/>
  <c r="G352" i="17"/>
  <c r="H351" i="17"/>
  <c r="J351" i="17" s="1"/>
  <c r="G351" i="17"/>
  <c r="H350" i="17"/>
  <c r="J350" i="17" s="1"/>
  <c r="G350" i="17"/>
  <c r="H349" i="17"/>
  <c r="J349" i="17" s="1"/>
  <c r="L349" i="17" s="1"/>
  <c r="G349" i="17"/>
  <c r="H345" i="17"/>
  <c r="J345" i="17" s="1"/>
  <c r="G345" i="17"/>
  <c r="H344" i="17"/>
  <c r="J344" i="17" s="1"/>
  <c r="G344" i="17"/>
  <c r="H343" i="17"/>
  <c r="J343" i="17" s="1"/>
  <c r="L343" i="17" s="1"/>
  <c r="G343" i="17"/>
  <c r="H342" i="17"/>
  <c r="J342" i="17" s="1"/>
  <c r="G342" i="17"/>
  <c r="H341" i="17"/>
  <c r="J341" i="17" s="1"/>
  <c r="G341" i="17"/>
  <c r="H340" i="17"/>
  <c r="J340" i="17" s="1"/>
  <c r="G340" i="17"/>
  <c r="H339" i="17"/>
  <c r="J339" i="17" s="1"/>
  <c r="G339" i="17"/>
  <c r="H338" i="17"/>
  <c r="J338" i="17" s="1"/>
  <c r="G338" i="17"/>
  <c r="H337" i="17"/>
  <c r="J337" i="17" s="1"/>
  <c r="L337" i="17" s="1"/>
  <c r="G337" i="17"/>
  <c r="H336" i="17"/>
  <c r="J336" i="17" s="1"/>
  <c r="K336" i="17" s="1"/>
  <c r="G336" i="17"/>
  <c r="H335" i="17"/>
  <c r="J335" i="17" s="1"/>
  <c r="L335" i="17" s="1"/>
  <c r="G335" i="17"/>
  <c r="H334" i="17"/>
  <c r="J334" i="17" s="1"/>
  <c r="G334" i="17"/>
  <c r="H333" i="17"/>
  <c r="J333" i="17" s="1"/>
  <c r="G333" i="17"/>
  <c r="H332" i="17"/>
  <c r="J332" i="17" s="1"/>
  <c r="G332" i="17"/>
  <c r="H331" i="17"/>
  <c r="J331" i="17" s="1"/>
  <c r="L331" i="17" s="1"/>
  <c r="G331" i="17"/>
  <c r="H330" i="17"/>
  <c r="J330" i="17" s="1"/>
  <c r="G330" i="17"/>
  <c r="H329" i="17"/>
  <c r="J329" i="17" s="1"/>
  <c r="G329" i="17"/>
  <c r="H328" i="17"/>
  <c r="J328" i="17" s="1"/>
  <c r="G328" i="17"/>
  <c r="H327" i="17"/>
  <c r="J327" i="17" s="1"/>
  <c r="G327" i="17"/>
  <c r="H326" i="17"/>
  <c r="J326" i="17" s="1"/>
  <c r="G326" i="17"/>
  <c r="H325" i="17"/>
  <c r="J325" i="17" s="1"/>
  <c r="L325" i="17" s="1"/>
  <c r="G325" i="17"/>
  <c r="H324" i="17"/>
  <c r="J324" i="17" s="1"/>
  <c r="L324" i="17" s="1"/>
  <c r="G324" i="17"/>
  <c r="H323" i="17"/>
  <c r="J323" i="17" s="1"/>
  <c r="L323" i="17" s="1"/>
  <c r="G323" i="17"/>
  <c r="H322" i="17"/>
  <c r="J322" i="17" s="1"/>
  <c r="G322" i="17"/>
  <c r="H321" i="17"/>
  <c r="J321" i="17" s="1"/>
  <c r="G321" i="17"/>
  <c r="H320" i="17"/>
  <c r="J320" i="17" s="1"/>
  <c r="G320" i="17"/>
  <c r="H319" i="17"/>
  <c r="J319" i="17" s="1"/>
  <c r="L319" i="17" s="1"/>
  <c r="G319" i="17"/>
  <c r="H318" i="17"/>
  <c r="J318" i="17" s="1"/>
  <c r="G318" i="17"/>
  <c r="H317" i="17"/>
  <c r="J317" i="17" s="1"/>
  <c r="G317" i="17"/>
  <c r="H316" i="17"/>
  <c r="J316" i="17" s="1"/>
  <c r="G316" i="17"/>
  <c r="H315" i="17"/>
  <c r="J315" i="17" s="1"/>
  <c r="G315" i="17"/>
  <c r="H314" i="17"/>
  <c r="J314" i="17" s="1"/>
  <c r="G314" i="17"/>
  <c r="H313" i="17"/>
  <c r="J313" i="17" s="1"/>
  <c r="L313" i="17" s="1"/>
  <c r="G313" i="17"/>
  <c r="H312" i="17"/>
  <c r="J312" i="17" s="1"/>
  <c r="K312" i="17" s="1"/>
  <c r="G312" i="17"/>
  <c r="H311" i="17"/>
  <c r="J311" i="17" s="1"/>
  <c r="L311" i="17" s="1"/>
  <c r="G311" i="17"/>
  <c r="H310" i="17"/>
  <c r="J310" i="17" s="1"/>
  <c r="G310" i="17"/>
  <c r="H309" i="17"/>
  <c r="J309" i="17" s="1"/>
  <c r="G309" i="17"/>
  <c r="H308" i="17"/>
  <c r="J308" i="17" s="1"/>
  <c r="G308" i="17"/>
  <c r="H307" i="17"/>
  <c r="J307" i="17" s="1"/>
  <c r="G307" i="17"/>
  <c r="H306" i="17"/>
  <c r="J306" i="17" s="1"/>
  <c r="G306" i="17"/>
  <c r="H305" i="17"/>
  <c r="J305" i="17" s="1"/>
  <c r="G305" i="17"/>
  <c r="H304" i="17"/>
  <c r="J304" i="17" s="1"/>
  <c r="G304" i="17"/>
  <c r="H303" i="17"/>
  <c r="J303" i="17" s="1"/>
  <c r="G303" i="17"/>
  <c r="H302" i="17"/>
  <c r="J302" i="17" s="1"/>
  <c r="G302" i="17"/>
  <c r="H301" i="17"/>
  <c r="J301" i="17" s="1"/>
  <c r="L301" i="17" s="1"/>
  <c r="G301" i="17"/>
  <c r="H300" i="17"/>
  <c r="J300" i="17" s="1"/>
  <c r="L300" i="17" s="1"/>
  <c r="G300" i="17"/>
  <c r="H299" i="17"/>
  <c r="J299" i="17" s="1"/>
  <c r="L299" i="17" s="1"/>
  <c r="G299" i="17"/>
  <c r="H298" i="17"/>
  <c r="J298" i="17" s="1"/>
  <c r="G298" i="17"/>
  <c r="H295" i="17"/>
  <c r="J295" i="17" s="1"/>
  <c r="G295" i="17"/>
  <c r="H294" i="17"/>
  <c r="J294" i="17" s="1"/>
  <c r="L294" i="17" s="1"/>
  <c r="G294" i="17"/>
  <c r="H293" i="17"/>
  <c r="J293" i="17" s="1"/>
  <c r="L293" i="17" s="1"/>
  <c r="G293" i="17"/>
  <c r="H292" i="17"/>
  <c r="J292" i="17" s="1"/>
  <c r="L292" i="17" s="1"/>
  <c r="G292" i="17"/>
  <c r="H291" i="17"/>
  <c r="J291" i="17" s="1"/>
  <c r="G291" i="17"/>
  <c r="H290" i="17"/>
  <c r="J290" i="17" s="1"/>
  <c r="G290" i="17"/>
  <c r="H289" i="17"/>
  <c r="J289" i="17" s="1"/>
  <c r="G289" i="17"/>
  <c r="H288" i="17"/>
  <c r="J288" i="17" s="1"/>
  <c r="L288" i="17" s="1"/>
  <c r="G288" i="17"/>
  <c r="H287" i="17"/>
  <c r="J287" i="17" s="1"/>
  <c r="G287" i="17"/>
  <c r="H286" i="17"/>
  <c r="J286" i="17" s="1"/>
  <c r="G286" i="17"/>
  <c r="H285" i="17"/>
  <c r="J285" i="17" s="1"/>
  <c r="G285" i="17"/>
  <c r="H284" i="17"/>
  <c r="J284" i="17" s="1"/>
  <c r="G284" i="17"/>
  <c r="H283" i="17"/>
  <c r="J283" i="17" s="1"/>
  <c r="G283" i="17"/>
  <c r="H282" i="17"/>
  <c r="J282" i="17" s="1"/>
  <c r="L282" i="17" s="1"/>
  <c r="G282" i="17"/>
  <c r="H281" i="17"/>
  <c r="J281" i="17" s="1"/>
  <c r="L281" i="17" s="1"/>
  <c r="G281" i="17"/>
  <c r="H280" i="17"/>
  <c r="J280" i="17" s="1"/>
  <c r="L280" i="17" s="1"/>
  <c r="G280" i="17"/>
  <c r="H279" i="17"/>
  <c r="J279" i="17" s="1"/>
  <c r="G279" i="17"/>
  <c r="H278" i="17"/>
  <c r="J278" i="17" s="1"/>
  <c r="G278" i="17"/>
  <c r="H277" i="17"/>
  <c r="J277" i="17" s="1"/>
  <c r="G277" i="17"/>
  <c r="H276" i="17"/>
  <c r="J276" i="17" s="1"/>
  <c r="L276" i="17" s="1"/>
  <c r="G276" i="17"/>
  <c r="H275" i="17"/>
  <c r="J275" i="17" s="1"/>
  <c r="G275" i="17"/>
  <c r="H274" i="17"/>
  <c r="J274" i="17" s="1"/>
  <c r="K274" i="17" s="1"/>
  <c r="G274" i="17"/>
  <c r="H273" i="17"/>
  <c r="J273" i="17" s="1"/>
  <c r="G273" i="17"/>
  <c r="H272" i="17"/>
  <c r="J272" i="17" s="1"/>
  <c r="G272" i="17"/>
  <c r="H271" i="17"/>
  <c r="J271" i="17" s="1"/>
  <c r="G271" i="17"/>
  <c r="H270" i="17"/>
  <c r="J270" i="17" s="1"/>
  <c r="L270" i="17" s="1"/>
  <c r="G270" i="17"/>
  <c r="H269" i="17"/>
  <c r="J269" i="17" s="1"/>
  <c r="L269" i="17" s="1"/>
  <c r="G269" i="17"/>
  <c r="H268" i="17"/>
  <c r="J268" i="17" s="1"/>
  <c r="L268" i="17" s="1"/>
  <c r="G268" i="17"/>
  <c r="H267" i="17"/>
  <c r="J267" i="17" s="1"/>
  <c r="G267" i="17"/>
  <c r="H266" i="17"/>
  <c r="J266" i="17" s="1"/>
  <c r="K266" i="17" s="1"/>
  <c r="G266" i="17"/>
  <c r="H265" i="17"/>
  <c r="J265" i="17" s="1"/>
  <c r="G265" i="17"/>
  <c r="H264" i="17"/>
  <c r="J264" i="17" s="1"/>
  <c r="L264" i="17" s="1"/>
  <c r="G264" i="17"/>
  <c r="H263" i="17"/>
  <c r="J263" i="17" s="1"/>
  <c r="G263" i="17"/>
  <c r="H262" i="17"/>
  <c r="J262" i="17" s="1"/>
  <c r="K262" i="17" s="1"/>
  <c r="G262" i="17"/>
  <c r="H261" i="17"/>
  <c r="J261" i="17" s="1"/>
  <c r="L261" i="17" s="1"/>
  <c r="G261" i="17"/>
  <c r="H260" i="17"/>
  <c r="J260" i="17" s="1"/>
  <c r="G260" i="17"/>
  <c r="H259" i="17"/>
  <c r="J259" i="17" s="1"/>
  <c r="G259" i="17"/>
  <c r="H258" i="17"/>
  <c r="J258" i="17" s="1"/>
  <c r="L258" i="17" s="1"/>
  <c r="G258" i="17"/>
  <c r="H257" i="17"/>
  <c r="J257" i="17" s="1"/>
  <c r="L257" i="17" s="1"/>
  <c r="G257" i="17"/>
  <c r="H256" i="17"/>
  <c r="J256" i="17" s="1"/>
  <c r="G256" i="17"/>
  <c r="H255" i="17"/>
  <c r="J255" i="17" s="1"/>
  <c r="G255" i="17"/>
  <c r="H254" i="17"/>
  <c r="J254" i="17" s="1"/>
  <c r="K254" i="17" s="1"/>
  <c r="G254" i="17"/>
  <c r="H253" i="17"/>
  <c r="J253" i="17" s="1"/>
  <c r="G253" i="17"/>
  <c r="H252" i="17"/>
  <c r="J252" i="17" s="1"/>
  <c r="L252" i="17" s="1"/>
  <c r="G252" i="17"/>
  <c r="H251" i="17"/>
  <c r="G251" i="17"/>
  <c r="H248" i="17"/>
  <c r="J248" i="17" s="1"/>
  <c r="G248" i="17"/>
  <c r="H247" i="17"/>
  <c r="J247" i="17" s="1"/>
  <c r="K247" i="17" s="1"/>
  <c r="G247" i="17"/>
  <c r="H246" i="17"/>
  <c r="J246" i="17" s="1"/>
  <c r="G246" i="17"/>
  <c r="H245" i="17"/>
  <c r="J245" i="17" s="1"/>
  <c r="L245" i="17" s="1"/>
  <c r="G245" i="17"/>
  <c r="H244" i="17"/>
  <c r="G244" i="17"/>
  <c r="H241" i="17"/>
  <c r="J241" i="17" s="1"/>
  <c r="G241" i="17"/>
  <c r="H240" i="17"/>
  <c r="J240" i="17" s="1"/>
  <c r="L240" i="17" s="1"/>
  <c r="G240" i="17"/>
  <c r="H239" i="17"/>
  <c r="J239" i="17" s="1"/>
  <c r="G239" i="17"/>
  <c r="H238" i="17"/>
  <c r="J238" i="17" s="1"/>
  <c r="K238" i="17" s="1"/>
  <c r="G238" i="17"/>
  <c r="H237" i="17"/>
  <c r="J237" i="17" s="1"/>
  <c r="L237" i="17" s="1"/>
  <c r="G237" i="17"/>
  <c r="H236" i="17"/>
  <c r="J236" i="17" s="1"/>
  <c r="G236" i="17"/>
  <c r="H235" i="17"/>
  <c r="J235" i="17" s="1"/>
  <c r="G235" i="17"/>
  <c r="H234" i="17"/>
  <c r="J234" i="17" s="1"/>
  <c r="L234" i="17" s="1"/>
  <c r="G234" i="17"/>
  <c r="H233" i="17"/>
  <c r="J233" i="17" s="1"/>
  <c r="L233" i="17" s="1"/>
  <c r="G233" i="17"/>
  <c r="H232" i="17"/>
  <c r="J232" i="17" s="1"/>
  <c r="G232" i="17"/>
  <c r="H231" i="17"/>
  <c r="J231" i="17" s="1"/>
  <c r="G231" i="17"/>
  <c r="H230" i="17"/>
  <c r="J230" i="17" s="1"/>
  <c r="K230" i="17" s="1"/>
  <c r="G230" i="17"/>
  <c r="H229" i="17"/>
  <c r="J229" i="17" s="1"/>
  <c r="G229" i="17"/>
  <c r="H228" i="17"/>
  <c r="J228" i="17" s="1"/>
  <c r="L228" i="17" s="1"/>
  <c r="G228" i="17"/>
  <c r="H227" i="17"/>
  <c r="J227" i="17" s="1"/>
  <c r="G227" i="17"/>
  <c r="H226" i="17"/>
  <c r="J226" i="17" s="1"/>
  <c r="K226" i="17" s="1"/>
  <c r="G226" i="17"/>
  <c r="H225" i="17"/>
  <c r="J225" i="17" s="1"/>
  <c r="L225" i="17" s="1"/>
  <c r="G225" i="17"/>
  <c r="H224" i="17"/>
  <c r="J224" i="17" s="1"/>
  <c r="G224" i="17"/>
  <c r="H223" i="17"/>
  <c r="J223" i="17" s="1"/>
  <c r="G223" i="17"/>
  <c r="H222" i="17"/>
  <c r="J222" i="17" s="1"/>
  <c r="L222" i="17" s="1"/>
  <c r="G222" i="17"/>
  <c r="H221" i="17"/>
  <c r="J221" i="17" s="1"/>
  <c r="L221" i="17" s="1"/>
  <c r="G221" i="17"/>
  <c r="H220" i="17"/>
  <c r="J220" i="17" s="1"/>
  <c r="G220" i="17"/>
  <c r="H219" i="17"/>
  <c r="J219" i="17" s="1"/>
  <c r="G219" i="17"/>
  <c r="H218" i="17"/>
  <c r="J218" i="17" s="1"/>
  <c r="K218" i="17" s="1"/>
  <c r="G218" i="17"/>
  <c r="H217" i="17"/>
  <c r="J217" i="17" s="1"/>
  <c r="G217" i="17"/>
  <c r="H216" i="17"/>
  <c r="J216" i="17" s="1"/>
  <c r="L216" i="17" s="1"/>
  <c r="G216" i="17"/>
  <c r="H215" i="17"/>
  <c r="J215" i="17" s="1"/>
  <c r="G215" i="17"/>
  <c r="H214" i="17"/>
  <c r="J214" i="17" s="1"/>
  <c r="K214" i="17" s="1"/>
  <c r="G214" i="17"/>
  <c r="H213" i="17"/>
  <c r="J213" i="17" s="1"/>
  <c r="L213" i="17" s="1"/>
  <c r="G213" i="17"/>
  <c r="H212" i="17"/>
  <c r="J212" i="17" s="1"/>
  <c r="K212" i="17" s="1"/>
  <c r="G212" i="17"/>
  <c r="H211" i="17"/>
  <c r="J211" i="17" s="1"/>
  <c r="G211" i="17"/>
  <c r="H210" i="17"/>
  <c r="J210" i="17" s="1"/>
  <c r="L210" i="17" s="1"/>
  <c r="G210" i="17"/>
  <c r="H209" i="17"/>
  <c r="J209" i="17" s="1"/>
  <c r="L209" i="17" s="1"/>
  <c r="G209" i="17"/>
  <c r="H208" i="17"/>
  <c r="J208" i="17" s="1"/>
  <c r="K208" i="17" s="1"/>
  <c r="G208" i="17"/>
  <c r="H207" i="17"/>
  <c r="J207" i="17" s="1"/>
  <c r="G207" i="17"/>
  <c r="H206" i="17"/>
  <c r="J206" i="17" s="1"/>
  <c r="K206" i="17" s="1"/>
  <c r="G206" i="17"/>
  <c r="H205" i="17"/>
  <c r="J205" i="17" s="1"/>
  <c r="G205" i="17"/>
  <c r="H204" i="17"/>
  <c r="J204" i="17" s="1"/>
  <c r="L204" i="17" s="1"/>
  <c r="G204" i="17"/>
  <c r="H203" i="17"/>
  <c r="J203" i="17" s="1"/>
  <c r="L203" i="17" s="1"/>
  <c r="G203" i="17"/>
  <c r="H202" i="17"/>
  <c r="J202" i="17" s="1"/>
  <c r="K202" i="17" s="1"/>
  <c r="G202" i="17"/>
  <c r="H201" i="17"/>
  <c r="J201" i="17" s="1"/>
  <c r="L201" i="17" s="1"/>
  <c r="G201" i="17"/>
  <c r="H200" i="17"/>
  <c r="J200" i="17" s="1"/>
  <c r="K200" i="17" s="1"/>
  <c r="G200" i="17"/>
  <c r="H199" i="17"/>
  <c r="G199" i="17"/>
  <c r="H198" i="17"/>
  <c r="J198" i="17" s="1"/>
  <c r="G198" i="17"/>
  <c r="H197" i="17"/>
  <c r="J197" i="17" s="1"/>
  <c r="G197" i="17"/>
  <c r="H196" i="17"/>
  <c r="J196" i="17" s="1"/>
  <c r="K196" i="17" s="1"/>
  <c r="G196" i="17"/>
  <c r="H195" i="17"/>
  <c r="J195" i="17" s="1"/>
  <c r="G195" i="17"/>
  <c r="H194" i="17"/>
  <c r="J194" i="17" s="1"/>
  <c r="K194" i="17" s="1"/>
  <c r="G194" i="17"/>
  <c r="H191" i="17"/>
  <c r="J191" i="17" s="1"/>
  <c r="G191" i="17"/>
  <c r="H190" i="17"/>
  <c r="J190" i="17" s="1"/>
  <c r="G190" i="17"/>
  <c r="H189" i="17"/>
  <c r="J189" i="17" s="1"/>
  <c r="L189" i="17" s="1"/>
  <c r="G189" i="17"/>
  <c r="H188" i="17"/>
  <c r="J188" i="17" s="1"/>
  <c r="G188" i="17"/>
  <c r="H187" i="17"/>
  <c r="J187" i="17" s="1"/>
  <c r="K187" i="17" s="1"/>
  <c r="G187" i="17"/>
  <c r="H186" i="17"/>
  <c r="J186" i="17" s="1"/>
  <c r="G186" i="17"/>
  <c r="H185" i="17"/>
  <c r="J185" i="17" s="1"/>
  <c r="L185" i="17" s="1"/>
  <c r="G185" i="17"/>
  <c r="H184" i="17"/>
  <c r="J184" i="17" s="1"/>
  <c r="L184" i="17" s="1"/>
  <c r="G184" i="17"/>
  <c r="H183" i="17"/>
  <c r="J183" i="17" s="1"/>
  <c r="K183" i="17" s="1"/>
  <c r="G183" i="17"/>
  <c r="H182" i="17"/>
  <c r="J182" i="17" s="1"/>
  <c r="L182" i="17" s="1"/>
  <c r="G182" i="17"/>
  <c r="H181" i="17"/>
  <c r="J181" i="17" s="1"/>
  <c r="K181" i="17" s="1"/>
  <c r="G181" i="17"/>
  <c r="H180" i="17"/>
  <c r="J180" i="17" s="1"/>
  <c r="G180" i="17"/>
  <c r="H179" i="17"/>
  <c r="J179" i="17" s="1"/>
  <c r="G179" i="17"/>
  <c r="H178" i="17"/>
  <c r="J178" i="17" s="1"/>
  <c r="L178" i="17" s="1"/>
  <c r="G178" i="17"/>
  <c r="H177" i="17"/>
  <c r="J177" i="17" s="1"/>
  <c r="G177" i="17"/>
  <c r="H176" i="17"/>
  <c r="J176" i="17" s="1"/>
  <c r="G176" i="17"/>
  <c r="H175" i="17"/>
  <c r="J175" i="17" s="1"/>
  <c r="K175" i="17" s="1"/>
  <c r="G175" i="17"/>
  <c r="H174" i="17"/>
  <c r="J174" i="17" s="1"/>
  <c r="G174" i="17"/>
  <c r="H173" i="17"/>
  <c r="J173" i="17" s="1"/>
  <c r="L173" i="17" s="1"/>
  <c r="G173" i="17"/>
  <c r="H172" i="17"/>
  <c r="J172" i="17" s="1"/>
  <c r="G172" i="17"/>
  <c r="H171" i="17"/>
  <c r="J171" i="17" s="1"/>
  <c r="K171" i="17" s="1"/>
  <c r="G171" i="17"/>
  <c r="H170" i="17"/>
  <c r="J170" i="17" s="1"/>
  <c r="L170" i="17" s="1"/>
  <c r="G170" i="17"/>
  <c r="H169" i="17"/>
  <c r="J169" i="17" s="1"/>
  <c r="K169" i="17" s="1"/>
  <c r="G169" i="17"/>
  <c r="H168" i="17"/>
  <c r="J168" i="17" s="1"/>
  <c r="G168" i="17"/>
  <c r="H167" i="17"/>
  <c r="J167" i="17" s="1"/>
  <c r="G167" i="17"/>
  <c r="H164" i="17"/>
  <c r="J164" i="17" s="1"/>
  <c r="K164" i="17" s="1"/>
  <c r="G164" i="17"/>
  <c r="H163" i="17"/>
  <c r="J163" i="17" s="1"/>
  <c r="L163" i="17" s="1"/>
  <c r="G163" i="17"/>
  <c r="H162" i="17"/>
  <c r="J162" i="17" s="1"/>
  <c r="K162" i="17" s="1"/>
  <c r="G162" i="17"/>
  <c r="H161" i="17"/>
  <c r="J161" i="17" s="1"/>
  <c r="G161" i="17"/>
  <c r="H160" i="17"/>
  <c r="J160" i="17" s="1"/>
  <c r="G160" i="17"/>
  <c r="H159" i="17"/>
  <c r="J159" i="17" s="1"/>
  <c r="K159" i="17" s="1"/>
  <c r="G159" i="17"/>
  <c r="H158" i="17"/>
  <c r="J158" i="17" s="1"/>
  <c r="K158" i="17" s="1"/>
  <c r="G158" i="17"/>
  <c r="H155" i="17"/>
  <c r="J155" i="17" s="1"/>
  <c r="K155" i="17" s="1"/>
  <c r="G155" i="17"/>
  <c r="H154" i="17"/>
  <c r="J154" i="17" s="1"/>
  <c r="G154" i="17"/>
  <c r="H153" i="17"/>
  <c r="J153" i="17" s="1"/>
  <c r="G153" i="17"/>
  <c r="H152" i="17"/>
  <c r="J152" i="17" s="1"/>
  <c r="L152" i="17" s="1"/>
  <c r="G152" i="17"/>
  <c r="H151" i="17"/>
  <c r="J151" i="17" s="1"/>
  <c r="K151" i="17" s="1"/>
  <c r="G151" i="17"/>
  <c r="H150" i="17"/>
  <c r="J150" i="17" s="1"/>
  <c r="G150" i="17"/>
  <c r="G149" i="17"/>
  <c r="H149" i="17"/>
  <c r="G148" i="17"/>
  <c r="H147" i="17"/>
  <c r="J147" i="17" s="1"/>
  <c r="K147" i="17" s="1"/>
  <c r="H146" i="17"/>
  <c r="J146" i="17" s="1"/>
  <c r="K146" i="17" s="1"/>
  <c r="H145" i="17"/>
  <c r="J145" i="17" s="1"/>
  <c r="G144" i="17"/>
  <c r="H143" i="17"/>
  <c r="J143" i="17" s="1"/>
  <c r="K143" i="17" s="1"/>
  <c r="H142" i="17"/>
  <c r="J142" i="17" s="1"/>
  <c r="H141" i="17"/>
  <c r="J141" i="17" s="1"/>
  <c r="H140" i="17"/>
  <c r="J140" i="17" s="1"/>
  <c r="K140" i="17" s="1"/>
  <c r="H139" i="17"/>
  <c r="J139" i="17" s="1"/>
  <c r="H138" i="17"/>
  <c r="J138" i="17" s="1"/>
  <c r="K138" i="17" s="1"/>
  <c r="G138" i="17"/>
  <c r="H137" i="17"/>
  <c r="J137" i="17" s="1"/>
  <c r="K137" i="17" s="1"/>
  <c r="H136" i="17"/>
  <c r="J136" i="17" s="1"/>
  <c r="H135" i="17"/>
  <c r="H134" i="17"/>
  <c r="H133" i="17"/>
  <c r="J133" i="17" s="1"/>
  <c r="G133" i="17"/>
  <c r="H132" i="17"/>
  <c r="G132" i="17"/>
  <c r="H130" i="17"/>
  <c r="G130" i="17"/>
  <c r="H129" i="17"/>
  <c r="G129" i="17"/>
  <c r="H128" i="17"/>
  <c r="G128" i="17"/>
  <c r="H127" i="17"/>
  <c r="G127" i="17"/>
  <c r="H126" i="17"/>
  <c r="G126" i="17"/>
  <c r="H125" i="17"/>
  <c r="G125" i="17"/>
  <c r="L125" i="17" s="1"/>
  <c r="H124" i="17"/>
  <c r="G124" i="17"/>
  <c r="H123" i="17"/>
  <c r="G123" i="17"/>
  <c r="H122" i="17"/>
  <c r="J122" i="17" s="1"/>
  <c r="L122" i="17" s="1"/>
  <c r="G122" i="17"/>
  <c r="H121" i="17"/>
  <c r="J121" i="17" s="1"/>
  <c r="L121" i="17" s="1"/>
  <c r="G121" i="17"/>
  <c r="H120" i="17"/>
  <c r="J120" i="17" s="1"/>
  <c r="K120" i="17" s="1"/>
  <c r="G120" i="17"/>
  <c r="H119" i="17"/>
  <c r="G119" i="17"/>
  <c r="H118" i="17"/>
  <c r="J118" i="17" s="1"/>
  <c r="L118" i="17" s="1"/>
  <c r="G118" i="17"/>
  <c r="H115" i="17"/>
  <c r="J115" i="17" s="1"/>
  <c r="K115" i="17" s="1"/>
  <c r="G115" i="17"/>
  <c r="H114" i="17"/>
  <c r="J114" i="17" s="1"/>
  <c r="G114" i="17"/>
  <c r="H113" i="17"/>
  <c r="J113" i="17" s="1"/>
  <c r="L113" i="17" s="1"/>
  <c r="G113" i="17"/>
  <c r="H112" i="17"/>
  <c r="J112" i="17" s="1"/>
  <c r="K112" i="17" s="1"/>
  <c r="G112" i="17"/>
  <c r="H111" i="17"/>
  <c r="J111" i="17" s="1"/>
  <c r="G111" i="17"/>
  <c r="H110" i="17"/>
  <c r="J110" i="17" s="1"/>
  <c r="L110" i="17" s="1"/>
  <c r="G110" i="17"/>
  <c r="H109" i="17"/>
  <c r="J109" i="17" s="1"/>
  <c r="G109" i="17"/>
  <c r="H108" i="17"/>
  <c r="J108" i="17" s="1"/>
  <c r="K108" i="17" s="1"/>
  <c r="G108" i="17"/>
  <c r="H107" i="17"/>
  <c r="J107" i="17" s="1"/>
  <c r="L107" i="17" s="1"/>
  <c r="G107" i="17"/>
  <c r="H106" i="17"/>
  <c r="J106" i="17" s="1"/>
  <c r="K106" i="17" s="1"/>
  <c r="G106" i="17"/>
  <c r="H105" i="17"/>
  <c r="G105" i="17"/>
  <c r="H104" i="17"/>
  <c r="J104" i="17" s="1"/>
  <c r="G104" i="17"/>
  <c r="H101" i="17"/>
  <c r="J101" i="17" s="1"/>
  <c r="G101" i="17"/>
  <c r="H100" i="17"/>
  <c r="J100" i="17" s="1"/>
  <c r="G100" i="17"/>
  <c r="H99" i="17"/>
  <c r="J99" i="17" s="1"/>
  <c r="L99" i="17" s="1"/>
  <c r="G99" i="17"/>
  <c r="H98" i="17"/>
  <c r="G98" i="17"/>
  <c r="H97" i="17"/>
  <c r="J97" i="17" s="1"/>
  <c r="G97" i="17"/>
  <c r="H96" i="17"/>
  <c r="L96" i="17" s="1"/>
  <c r="G96" i="17"/>
  <c r="H95" i="17"/>
  <c r="J95" i="17" s="1"/>
  <c r="G95" i="17"/>
  <c r="H94" i="17"/>
  <c r="J94" i="17" s="1"/>
  <c r="K94" i="17" s="1"/>
  <c r="G94" i="17"/>
  <c r="H93" i="17"/>
  <c r="J93" i="17" s="1"/>
  <c r="L93" i="17" s="1"/>
  <c r="G93" i="17"/>
  <c r="H90" i="17"/>
  <c r="J90" i="17" s="1"/>
  <c r="L90" i="17" s="1"/>
  <c r="G90" i="17"/>
  <c r="F88" i="17"/>
  <c r="G88" i="17" s="1"/>
  <c r="F87" i="17"/>
  <c r="G87" i="17" s="1"/>
  <c r="F86" i="17"/>
  <c r="F89" i="17" s="1"/>
  <c r="F85" i="17"/>
  <c r="G85" i="17" s="1"/>
  <c r="H84" i="17"/>
  <c r="J84" i="17" s="1"/>
  <c r="G84" i="17"/>
  <c r="F82" i="17"/>
  <c r="H82" i="17" s="1"/>
  <c r="J82" i="17" s="1"/>
  <c r="K82" i="17" s="1"/>
  <c r="F81" i="17"/>
  <c r="H81" i="17" s="1"/>
  <c r="J81" i="17" s="1"/>
  <c r="K81" i="17" s="1"/>
  <c r="F80" i="17"/>
  <c r="F83" i="17" s="1"/>
  <c r="G83" i="17" s="1"/>
  <c r="F79" i="17"/>
  <c r="G79" i="17" s="1"/>
  <c r="H78" i="17"/>
  <c r="J78" i="17" s="1"/>
  <c r="G78" i="17"/>
  <c r="F76" i="17"/>
  <c r="H76" i="17" s="1"/>
  <c r="J76" i="17" s="1"/>
  <c r="K76" i="17" s="1"/>
  <c r="F75" i="17"/>
  <c r="G75" i="17" s="1"/>
  <c r="F74" i="17"/>
  <c r="F77" i="17" s="1"/>
  <c r="H77" i="17" s="1"/>
  <c r="J77" i="17" s="1"/>
  <c r="F73" i="17"/>
  <c r="H73" i="17" s="1"/>
  <c r="J73" i="17" s="1"/>
  <c r="H72" i="17"/>
  <c r="J72" i="17" s="1"/>
  <c r="G72" i="17"/>
  <c r="F70" i="17"/>
  <c r="G70" i="17" s="1"/>
  <c r="F69" i="17"/>
  <c r="H69" i="17" s="1"/>
  <c r="J69" i="17" s="1"/>
  <c r="F68" i="17"/>
  <c r="H68" i="17" s="1"/>
  <c r="J68" i="17" s="1"/>
  <c r="F67" i="17"/>
  <c r="G67" i="17" s="1"/>
  <c r="F66" i="17"/>
  <c r="H66" i="17" s="1"/>
  <c r="J66" i="17" s="1"/>
  <c r="H65" i="17"/>
  <c r="J65" i="17" s="1"/>
  <c r="G65" i="17"/>
  <c r="F62" i="17"/>
  <c r="H62" i="17" s="1"/>
  <c r="J62" i="17" s="1"/>
  <c r="F61" i="17"/>
  <c r="H61" i="17" s="1"/>
  <c r="J61" i="17" s="1"/>
  <c r="F60" i="17"/>
  <c r="H60" i="17" s="1"/>
  <c r="J60" i="17" s="1"/>
  <c r="L60" i="17" s="1"/>
  <c r="H59" i="17"/>
  <c r="J59" i="17" s="1"/>
  <c r="L59" i="17" s="1"/>
  <c r="G59" i="17"/>
  <c r="F58" i="17"/>
  <c r="H58" i="17" s="1"/>
  <c r="J58" i="17" s="1"/>
  <c r="F57" i="17"/>
  <c r="H57" i="17" s="1"/>
  <c r="J57" i="17" s="1"/>
  <c r="F56" i="17"/>
  <c r="G56" i="17" s="1"/>
  <c r="F55" i="17"/>
  <c r="H55" i="17" s="1"/>
  <c r="J55" i="17" s="1"/>
  <c r="H54" i="17"/>
  <c r="J54" i="17" s="1"/>
  <c r="G54" i="17"/>
  <c r="F53" i="17"/>
  <c r="H53" i="17" s="1"/>
  <c r="J53" i="17" s="1"/>
  <c r="F52" i="17"/>
  <c r="H52" i="17" s="1"/>
  <c r="J52" i="17" s="1"/>
  <c r="F51" i="17"/>
  <c r="H51" i="17" s="1"/>
  <c r="J51" i="17" s="1"/>
  <c r="H50" i="17"/>
  <c r="J50" i="17" s="1"/>
  <c r="G50" i="17"/>
  <c r="F48" i="17"/>
  <c r="H48" i="17" s="1"/>
  <c r="J48" i="17" s="1"/>
  <c r="F47" i="17"/>
  <c r="H47" i="17" s="1"/>
  <c r="J47" i="17" s="1"/>
  <c r="F46" i="17"/>
  <c r="G46" i="17" s="1"/>
  <c r="F45" i="17"/>
  <c r="H45" i="17" s="1"/>
  <c r="J45" i="17" s="1"/>
  <c r="F44" i="17"/>
  <c r="H44" i="17" s="1"/>
  <c r="J44" i="17" s="1"/>
  <c r="F43" i="17"/>
  <c r="G43" i="17" s="1"/>
  <c r="H42" i="17"/>
  <c r="J42" i="17" s="1"/>
  <c r="G42" i="17"/>
  <c r="F40" i="17"/>
  <c r="H40" i="17" s="1"/>
  <c r="J40" i="17" s="1"/>
  <c r="L40" i="17" s="1"/>
  <c r="F39" i="17"/>
  <c r="H39" i="17" s="1"/>
  <c r="J39" i="17" s="1"/>
  <c r="F38" i="17"/>
  <c r="H38" i="17" s="1"/>
  <c r="J38" i="17" s="1"/>
  <c r="F37" i="17"/>
  <c r="G37" i="17" s="1"/>
  <c r="F36" i="17"/>
  <c r="H36" i="17" s="1"/>
  <c r="J36" i="17" s="1"/>
  <c r="F35" i="17"/>
  <c r="G35" i="17" s="1"/>
  <c r="H34" i="17"/>
  <c r="J34" i="17" s="1"/>
  <c r="L34" i="17" s="1"/>
  <c r="G34" i="17"/>
  <c r="H31" i="17"/>
  <c r="G31" i="17"/>
  <c r="H30" i="17"/>
  <c r="G30" i="17"/>
  <c r="H29" i="17"/>
  <c r="G29" i="17"/>
  <c r="H28" i="17"/>
  <c r="G28" i="17"/>
  <c r="H27" i="17"/>
  <c r="G27" i="17"/>
  <c r="H26" i="17"/>
  <c r="G26" i="17"/>
  <c r="F23" i="17"/>
  <c r="H23" i="17" s="1"/>
  <c r="J23" i="17" s="1"/>
  <c r="H22" i="17"/>
  <c r="J22" i="17" s="1"/>
  <c r="G22" i="17"/>
  <c r="H21" i="17"/>
  <c r="J21" i="17" s="1"/>
  <c r="G21" i="17"/>
  <c r="H20" i="17"/>
  <c r="J20" i="17" s="1"/>
  <c r="G20" i="17"/>
  <c r="F19" i="17"/>
  <c r="H19" i="17" s="1"/>
  <c r="J19" i="17" s="1"/>
  <c r="H18" i="17"/>
  <c r="J18" i="17" s="1"/>
  <c r="G18" i="17"/>
  <c r="F17" i="17"/>
  <c r="G17" i="17" s="1"/>
  <c r="H16" i="17"/>
  <c r="J16" i="17" s="1"/>
  <c r="G16" i="17"/>
  <c r="F15" i="17"/>
  <c r="H15" i="17" s="1"/>
  <c r="J15" i="17" s="1"/>
  <c r="H14" i="17"/>
  <c r="J14" i="17" s="1"/>
  <c r="L14" i="17" s="1"/>
  <c r="G14" i="17"/>
  <c r="F13" i="17"/>
  <c r="H13" i="17" s="1"/>
  <c r="J13" i="17" s="1"/>
  <c r="L13" i="17" s="1"/>
  <c r="H12" i="17"/>
  <c r="J12" i="17" s="1"/>
  <c r="G12" i="17"/>
  <c r="F11" i="17"/>
  <c r="H11" i="17" s="1"/>
  <c r="J11" i="17" s="1"/>
  <c r="H10" i="17"/>
  <c r="J10" i="17" s="1"/>
  <c r="G10" i="17"/>
  <c r="F9" i="17"/>
  <c r="H9" i="17" s="1"/>
  <c r="J9" i="17" s="1"/>
  <c r="F8" i="17"/>
  <c r="H8" i="17" s="1"/>
  <c r="J8" i="17" s="1"/>
  <c r="H7" i="17"/>
  <c r="J7" i="17" s="1"/>
  <c r="G7" i="17"/>
  <c r="F6" i="17"/>
  <c r="H6" i="17" s="1"/>
  <c r="J6" i="17" s="1"/>
  <c r="L6" i="17" s="1"/>
  <c r="F5" i="17"/>
  <c r="H5" i="17" s="1"/>
  <c r="H4" i="17"/>
  <c r="J4" i="17" s="1"/>
  <c r="G4" i="17"/>
  <c r="F149" i="16"/>
  <c r="H149" i="16" s="1"/>
  <c r="J149" i="16" s="1"/>
  <c r="L149" i="16" s="1"/>
  <c r="F148" i="16"/>
  <c r="H148" i="16" s="1"/>
  <c r="J148" i="16" s="1"/>
  <c r="F147" i="16"/>
  <c r="F146" i="16"/>
  <c r="G146" i="16" s="1"/>
  <c r="F145" i="16"/>
  <c r="H145" i="16" s="1"/>
  <c r="J145" i="16" s="1"/>
  <c r="F144" i="16"/>
  <c r="G144" i="16" s="1"/>
  <c r="F143" i="16"/>
  <c r="H143" i="16" s="1"/>
  <c r="J143" i="16" s="1"/>
  <c r="F142" i="16"/>
  <c r="G142" i="16" s="1"/>
  <c r="F141" i="16"/>
  <c r="G141" i="16" s="1"/>
  <c r="F140" i="16"/>
  <c r="H140" i="16" s="1"/>
  <c r="J140" i="16" s="1"/>
  <c r="F139" i="16"/>
  <c r="F138" i="16"/>
  <c r="H138" i="16" s="1"/>
  <c r="J138" i="16" s="1"/>
  <c r="F137" i="16"/>
  <c r="H137" i="16" s="1"/>
  <c r="J137" i="16" s="1"/>
  <c r="F131" i="16"/>
  <c r="H131" i="16" s="1"/>
  <c r="J131" i="16" s="1"/>
  <c r="L131" i="16" s="1"/>
  <c r="F136" i="16"/>
  <c r="H136" i="16" s="1"/>
  <c r="J136" i="16" s="1"/>
  <c r="F135" i="16"/>
  <c r="H135" i="16" s="1"/>
  <c r="J135" i="16" s="1"/>
  <c r="F134" i="16"/>
  <c r="G134" i="16" s="1"/>
  <c r="H425" i="16"/>
  <c r="G425" i="16"/>
  <c r="H424" i="16"/>
  <c r="G424" i="16"/>
  <c r="H423" i="16"/>
  <c r="G423" i="16"/>
  <c r="H422" i="16"/>
  <c r="G422" i="16"/>
  <c r="H421" i="16"/>
  <c r="G421" i="16"/>
  <c r="H420" i="16"/>
  <c r="G420" i="16"/>
  <c r="H419" i="16"/>
  <c r="G419" i="16"/>
  <c r="H418" i="16"/>
  <c r="J14" i="3" s="1"/>
  <c r="G418" i="16"/>
  <c r="H417" i="16"/>
  <c r="G417" i="16"/>
  <c r="H416" i="16"/>
  <c r="G416" i="16"/>
  <c r="P413" i="16"/>
  <c r="O413" i="16"/>
  <c r="H413" i="16"/>
  <c r="J413" i="16" s="1"/>
  <c r="G413" i="16"/>
  <c r="P412" i="16"/>
  <c r="O412" i="16"/>
  <c r="H412" i="16"/>
  <c r="J412" i="16" s="1"/>
  <c r="G412" i="16"/>
  <c r="P411" i="16"/>
  <c r="O411" i="16"/>
  <c r="H411" i="16"/>
  <c r="J411" i="16" s="1"/>
  <c r="G411" i="16"/>
  <c r="P410" i="16"/>
  <c r="O410" i="16"/>
  <c r="H410" i="16"/>
  <c r="J410" i="16" s="1"/>
  <c r="L410" i="16" s="1"/>
  <c r="G410" i="16"/>
  <c r="P409" i="16"/>
  <c r="O409" i="16"/>
  <c r="H409" i="16"/>
  <c r="J409" i="16" s="1"/>
  <c r="G409" i="16"/>
  <c r="P408" i="16"/>
  <c r="O408" i="16"/>
  <c r="H408" i="16"/>
  <c r="J408" i="16" s="1"/>
  <c r="G408" i="16"/>
  <c r="P407" i="16"/>
  <c r="O407" i="16"/>
  <c r="H407" i="16"/>
  <c r="J407" i="16" s="1"/>
  <c r="G407" i="16"/>
  <c r="P406" i="16"/>
  <c r="O406" i="16"/>
  <c r="H406" i="16"/>
  <c r="J406" i="16" s="1"/>
  <c r="G406" i="16"/>
  <c r="P405" i="16"/>
  <c r="O405" i="16"/>
  <c r="H405" i="16"/>
  <c r="J405" i="16" s="1"/>
  <c r="G405" i="16"/>
  <c r="P404" i="16"/>
  <c r="O404" i="16"/>
  <c r="H404" i="16"/>
  <c r="J404" i="16" s="1"/>
  <c r="K404" i="16" s="1"/>
  <c r="G404" i="16"/>
  <c r="P403" i="16"/>
  <c r="O403" i="16"/>
  <c r="H403" i="16"/>
  <c r="J403" i="16" s="1"/>
  <c r="L403" i="16" s="1"/>
  <c r="G403" i="16"/>
  <c r="P402" i="16"/>
  <c r="O402" i="16"/>
  <c r="H402" i="16"/>
  <c r="J402" i="16" s="1"/>
  <c r="L402" i="16" s="1"/>
  <c r="G402" i="16"/>
  <c r="P401" i="16"/>
  <c r="O401" i="16"/>
  <c r="H401" i="16"/>
  <c r="J401" i="16" s="1"/>
  <c r="G401" i="16"/>
  <c r="P400" i="16"/>
  <c r="O400" i="16"/>
  <c r="H400" i="16"/>
  <c r="J400" i="16" s="1"/>
  <c r="G400" i="16"/>
  <c r="P399" i="16"/>
  <c r="O399" i="16"/>
  <c r="H399" i="16"/>
  <c r="J399" i="16" s="1"/>
  <c r="L399" i="16" s="1"/>
  <c r="G399" i="16"/>
  <c r="P398" i="16"/>
  <c r="O398" i="16"/>
  <c r="H398" i="16"/>
  <c r="J398" i="16" s="1"/>
  <c r="G398" i="16"/>
  <c r="P397" i="16"/>
  <c r="O397" i="16"/>
  <c r="H397" i="16"/>
  <c r="J397" i="16" s="1"/>
  <c r="G397" i="16"/>
  <c r="P396" i="16"/>
  <c r="O396" i="16"/>
  <c r="H396" i="16"/>
  <c r="J396" i="16" s="1"/>
  <c r="G396" i="16"/>
  <c r="P394" i="16"/>
  <c r="O394" i="16"/>
  <c r="H394" i="16"/>
  <c r="J394" i="16" s="1"/>
  <c r="L394" i="16" s="1"/>
  <c r="G394" i="16"/>
  <c r="P393" i="16"/>
  <c r="O393" i="16"/>
  <c r="H393" i="16"/>
  <c r="J393" i="16" s="1"/>
  <c r="G393" i="16"/>
  <c r="P392" i="16"/>
  <c r="O392" i="16"/>
  <c r="H392" i="16"/>
  <c r="J392" i="16" s="1"/>
  <c r="G392" i="16"/>
  <c r="P391" i="16"/>
  <c r="O391" i="16"/>
  <c r="H391" i="16"/>
  <c r="J391" i="16" s="1"/>
  <c r="G391" i="16"/>
  <c r="P390" i="16"/>
  <c r="O390" i="16"/>
  <c r="H390" i="16"/>
  <c r="J390" i="16" s="1"/>
  <c r="G390" i="16"/>
  <c r="P389" i="16"/>
  <c r="O389" i="16"/>
  <c r="H389" i="16"/>
  <c r="J389" i="16" s="1"/>
  <c r="G389" i="16"/>
  <c r="P388" i="16"/>
  <c r="O388" i="16"/>
  <c r="H388" i="16"/>
  <c r="J388" i="16" s="1"/>
  <c r="G388" i="16"/>
  <c r="P387" i="16"/>
  <c r="O387" i="16"/>
  <c r="H387" i="16"/>
  <c r="J387" i="16" s="1"/>
  <c r="K387" i="16" s="1"/>
  <c r="G387" i="16"/>
  <c r="P386" i="16"/>
  <c r="O386" i="16"/>
  <c r="H386" i="16"/>
  <c r="J386" i="16" s="1"/>
  <c r="K386" i="16" s="1"/>
  <c r="G386" i="16"/>
  <c r="P385" i="16"/>
  <c r="O385" i="16"/>
  <c r="H385" i="16"/>
  <c r="J385" i="16" s="1"/>
  <c r="G385" i="16"/>
  <c r="P384" i="16"/>
  <c r="O384" i="16"/>
  <c r="H384" i="16"/>
  <c r="J384" i="16" s="1"/>
  <c r="G384" i="16"/>
  <c r="P383" i="16"/>
  <c r="O383" i="16"/>
  <c r="H383" i="16"/>
  <c r="J383" i="16" s="1"/>
  <c r="G383" i="16"/>
  <c r="P382" i="16"/>
  <c r="O382" i="16"/>
  <c r="H382" i="16"/>
  <c r="J382" i="16" s="1"/>
  <c r="G382" i="16"/>
  <c r="P381" i="16"/>
  <c r="O381" i="16"/>
  <c r="H381" i="16"/>
  <c r="J381" i="16" s="1"/>
  <c r="G381" i="16"/>
  <c r="P380" i="16"/>
  <c r="O380" i="16"/>
  <c r="H380" i="16"/>
  <c r="J380" i="16" s="1"/>
  <c r="L380" i="16" s="1"/>
  <c r="G380" i="16"/>
  <c r="P379" i="16"/>
  <c r="O379" i="16"/>
  <c r="H379" i="16"/>
  <c r="J379" i="16" s="1"/>
  <c r="K379" i="16" s="1"/>
  <c r="G379" i="16"/>
  <c r="P378" i="16"/>
  <c r="O378" i="16"/>
  <c r="H378" i="16"/>
  <c r="J378" i="16" s="1"/>
  <c r="L378" i="16" s="1"/>
  <c r="G378" i="16"/>
  <c r="P377" i="16"/>
  <c r="O377" i="16"/>
  <c r="H377" i="16"/>
  <c r="J377" i="16" s="1"/>
  <c r="L377" i="16" s="1"/>
  <c r="G377" i="16"/>
  <c r="P376" i="16"/>
  <c r="O376" i="16"/>
  <c r="H376" i="16"/>
  <c r="J376" i="16" s="1"/>
  <c r="G376" i="16"/>
  <c r="P375" i="16"/>
  <c r="O375" i="16"/>
  <c r="H375" i="16"/>
  <c r="J375" i="16" s="1"/>
  <c r="G375" i="16"/>
  <c r="P374" i="16"/>
  <c r="O374" i="16"/>
  <c r="H374" i="16"/>
  <c r="J374" i="16" s="1"/>
  <c r="G374" i="16"/>
  <c r="P373" i="16"/>
  <c r="O373" i="16"/>
  <c r="H373" i="16"/>
  <c r="J373" i="16" s="1"/>
  <c r="G373" i="16"/>
  <c r="P372" i="16"/>
  <c r="O372" i="16"/>
  <c r="H372" i="16"/>
  <c r="J372" i="16" s="1"/>
  <c r="G372" i="16"/>
  <c r="P371" i="16"/>
  <c r="O371" i="16"/>
  <c r="H371" i="16"/>
  <c r="J371" i="16" s="1"/>
  <c r="G371" i="16"/>
  <c r="P370" i="16"/>
  <c r="O370" i="16"/>
  <c r="H370" i="16"/>
  <c r="J370" i="16" s="1"/>
  <c r="K370" i="16" s="1"/>
  <c r="G370" i="16"/>
  <c r="P369" i="16"/>
  <c r="O369" i="16"/>
  <c r="H369" i="16"/>
  <c r="J369" i="16" s="1"/>
  <c r="G369" i="16"/>
  <c r="P368" i="16"/>
  <c r="O368" i="16"/>
  <c r="H368" i="16"/>
  <c r="J368" i="16" s="1"/>
  <c r="G368" i="16"/>
  <c r="P367" i="16"/>
  <c r="O367" i="16"/>
  <c r="H367" i="16"/>
  <c r="J367" i="16" s="1"/>
  <c r="G367" i="16"/>
  <c r="P366" i="16"/>
  <c r="O366" i="16"/>
  <c r="H366" i="16"/>
  <c r="J366" i="16" s="1"/>
  <c r="G366" i="16"/>
  <c r="P365" i="16"/>
  <c r="O365" i="16"/>
  <c r="H365" i="16"/>
  <c r="J365" i="16" s="1"/>
  <c r="G365" i="16"/>
  <c r="P364" i="16"/>
  <c r="O364" i="16"/>
  <c r="H364" i="16"/>
  <c r="J364" i="16" s="1"/>
  <c r="G364" i="16"/>
  <c r="P363" i="16"/>
  <c r="O363" i="16"/>
  <c r="H363" i="16"/>
  <c r="J363" i="16" s="1"/>
  <c r="G363" i="16"/>
  <c r="P362" i="16"/>
  <c r="O362" i="16"/>
  <c r="H362" i="16"/>
  <c r="J362" i="16" s="1"/>
  <c r="L362" i="16" s="1"/>
  <c r="G362" i="16"/>
  <c r="P361" i="16"/>
  <c r="O361" i="16"/>
  <c r="H361" i="16"/>
  <c r="J361" i="16" s="1"/>
  <c r="G361" i="16"/>
  <c r="P360" i="16"/>
  <c r="O360" i="16"/>
  <c r="H360" i="16"/>
  <c r="J360" i="16" s="1"/>
  <c r="G360" i="16"/>
  <c r="P358" i="16"/>
  <c r="O358" i="16"/>
  <c r="H358" i="16"/>
  <c r="J358" i="16" s="1"/>
  <c r="G358" i="16"/>
  <c r="P356" i="16"/>
  <c r="O356" i="16"/>
  <c r="H356" i="16"/>
  <c r="J356" i="16" s="1"/>
  <c r="G356" i="16"/>
  <c r="P355" i="16"/>
  <c r="O355" i="16"/>
  <c r="H355" i="16"/>
  <c r="J355" i="16" s="1"/>
  <c r="K355" i="16" s="1"/>
  <c r="G355" i="16"/>
  <c r="P354" i="16"/>
  <c r="O354" i="16"/>
  <c r="H354" i="16"/>
  <c r="J354" i="16" s="1"/>
  <c r="G354" i="16"/>
  <c r="P353" i="16"/>
  <c r="O353" i="16"/>
  <c r="H353" i="16"/>
  <c r="J353" i="16" s="1"/>
  <c r="K353" i="16" s="1"/>
  <c r="G353" i="16"/>
  <c r="P352" i="16"/>
  <c r="O352" i="16"/>
  <c r="H352" i="16"/>
  <c r="J352" i="16" s="1"/>
  <c r="K352" i="16" s="1"/>
  <c r="G352" i="16"/>
  <c r="P351" i="16"/>
  <c r="O351" i="16"/>
  <c r="H351" i="16"/>
  <c r="J351" i="16" s="1"/>
  <c r="G351" i="16"/>
  <c r="P350" i="16"/>
  <c r="O350" i="16"/>
  <c r="H350" i="16"/>
  <c r="J350" i="16" s="1"/>
  <c r="G350" i="16"/>
  <c r="P349" i="16"/>
  <c r="O349" i="16"/>
  <c r="H349" i="16"/>
  <c r="G349" i="16"/>
  <c r="P348" i="16"/>
  <c r="O348" i="16"/>
  <c r="P345" i="16"/>
  <c r="O345" i="16"/>
  <c r="H345" i="16"/>
  <c r="J345" i="16" s="1"/>
  <c r="L345" i="16" s="1"/>
  <c r="G345" i="16"/>
  <c r="P344" i="16"/>
  <c r="O344" i="16"/>
  <c r="H344" i="16"/>
  <c r="J344" i="16" s="1"/>
  <c r="G344" i="16"/>
  <c r="P343" i="16"/>
  <c r="O343" i="16"/>
  <c r="H343" i="16"/>
  <c r="J343" i="16" s="1"/>
  <c r="G343" i="16"/>
  <c r="P342" i="16"/>
  <c r="O342" i="16"/>
  <c r="H342" i="16"/>
  <c r="J342" i="16" s="1"/>
  <c r="G342" i="16"/>
  <c r="P341" i="16"/>
  <c r="O341" i="16"/>
  <c r="H341" i="16"/>
  <c r="J341" i="16" s="1"/>
  <c r="G341" i="16"/>
  <c r="P340" i="16"/>
  <c r="O340" i="16"/>
  <c r="H340" i="16"/>
  <c r="J340" i="16" s="1"/>
  <c r="G340" i="16"/>
  <c r="P339" i="16"/>
  <c r="O339" i="16"/>
  <c r="H339" i="16"/>
  <c r="J339" i="16" s="1"/>
  <c r="K339" i="16" s="1"/>
  <c r="G339" i="16"/>
  <c r="P338" i="16"/>
  <c r="O338" i="16"/>
  <c r="H338" i="16"/>
  <c r="J338" i="16" s="1"/>
  <c r="K338" i="16" s="1"/>
  <c r="G338" i="16"/>
  <c r="P337" i="16"/>
  <c r="O337" i="16"/>
  <c r="H337" i="16"/>
  <c r="J337" i="16" s="1"/>
  <c r="G337" i="16"/>
  <c r="P336" i="16"/>
  <c r="O336" i="16"/>
  <c r="H336" i="16"/>
  <c r="J336" i="16" s="1"/>
  <c r="G336" i="16"/>
  <c r="P335" i="16"/>
  <c r="O335" i="16"/>
  <c r="H335" i="16"/>
  <c r="J335" i="16" s="1"/>
  <c r="G335" i="16"/>
  <c r="P334" i="16"/>
  <c r="O334" i="16"/>
  <c r="H334" i="16"/>
  <c r="J334" i="16" s="1"/>
  <c r="G334" i="16"/>
  <c r="P333" i="16"/>
  <c r="O333" i="16"/>
  <c r="H333" i="16"/>
  <c r="J333" i="16" s="1"/>
  <c r="G333" i="16"/>
  <c r="P332" i="16"/>
  <c r="O332" i="16"/>
  <c r="H332" i="16"/>
  <c r="J332" i="16" s="1"/>
  <c r="G332" i="16"/>
  <c r="P331" i="16"/>
  <c r="O331" i="16"/>
  <c r="H331" i="16"/>
  <c r="J331" i="16" s="1"/>
  <c r="K331" i="16" s="1"/>
  <c r="G331" i="16"/>
  <c r="P330" i="16"/>
  <c r="O330" i="16"/>
  <c r="H330" i="16"/>
  <c r="J330" i="16" s="1"/>
  <c r="L330" i="16" s="1"/>
  <c r="G330" i="16"/>
  <c r="P329" i="16"/>
  <c r="O329" i="16"/>
  <c r="H329" i="16"/>
  <c r="J329" i="16" s="1"/>
  <c r="G329" i="16"/>
  <c r="P328" i="16"/>
  <c r="O328" i="16"/>
  <c r="H328" i="16"/>
  <c r="J328" i="16" s="1"/>
  <c r="G328" i="16"/>
  <c r="P327" i="16"/>
  <c r="O327" i="16"/>
  <c r="H327" i="16"/>
  <c r="J327" i="16" s="1"/>
  <c r="G327" i="16"/>
  <c r="P326" i="16"/>
  <c r="O326" i="16"/>
  <c r="H326" i="16"/>
  <c r="J326" i="16" s="1"/>
  <c r="G326" i="16"/>
  <c r="P325" i="16"/>
  <c r="O325" i="16"/>
  <c r="H325" i="16"/>
  <c r="J325" i="16" s="1"/>
  <c r="K325" i="16" s="1"/>
  <c r="G325" i="16"/>
  <c r="P324" i="16"/>
  <c r="O324" i="16"/>
  <c r="H324" i="16"/>
  <c r="J324" i="16" s="1"/>
  <c r="G324" i="16"/>
  <c r="P323" i="16"/>
  <c r="O323" i="16"/>
  <c r="H323" i="16"/>
  <c r="J323" i="16" s="1"/>
  <c r="K323" i="16" s="1"/>
  <c r="G323" i="16"/>
  <c r="P322" i="16"/>
  <c r="O322" i="16"/>
  <c r="H322" i="16"/>
  <c r="J322" i="16" s="1"/>
  <c r="K322" i="16" s="1"/>
  <c r="G322" i="16"/>
  <c r="P321" i="16"/>
  <c r="O321" i="16"/>
  <c r="H321" i="16"/>
  <c r="J321" i="16" s="1"/>
  <c r="G321" i="16"/>
  <c r="P320" i="16"/>
  <c r="O320" i="16"/>
  <c r="H320" i="16"/>
  <c r="J320" i="16" s="1"/>
  <c r="G320" i="16"/>
  <c r="P319" i="16"/>
  <c r="O319" i="16"/>
  <c r="H319" i="16"/>
  <c r="J319" i="16" s="1"/>
  <c r="G319" i="16"/>
  <c r="P318" i="16"/>
  <c r="O318" i="16"/>
  <c r="H318" i="16"/>
  <c r="J318" i="16" s="1"/>
  <c r="G318" i="16"/>
  <c r="P317" i="16"/>
  <c r="O317" i="16"/>
  <c r="H317" i="16"/>
  <c r="J317" i="16" s="1"/>
  <c r="G317" i="16"/>
  <c r="P316" i="16"/>
  <c r="O316" i="16"/>
  <c r="H316" i="16"/>
  <c r="J316" i="16" s="1"/>
  <c r="G316" i="16"/>
  <c r="P315" i="16"/>
  <c r="O315" i="16"/>
  <c r="H315" i="16"/>
  <c r="J315" i="16" s="1"/>
  <c r="G315" i="16"/>
  <c r="P314" i="16"/>
  <c r="O314" i="16"/>
  <c r="H314" i="16"/>
  <c r="J314" i="16" s="1"/>
  <c r="L314" i="16" s="1"/>
  <c r="G314" i="16"/>
  <c r="P313" i="16"/>
  <c r="O313" i="16"/>
  <c r="H313" i="16"/>
  <c r="J313" i="16" s="1"/>
  <c r="L313" i="16" s="1"/>
  <c r="G313" i="16"/>
  <c r="P312" i="16"/>
  <c r="O312" i="16"/>
  <c r="H312" i="16"/>
  <c r="J312" i="16" s="1"/>
  <c r="G312" i="16"/>
  <c r="P311" i="16"/>
  <c r="O311" i="16"/>
  <c r="H311" i="16"/>
  <c r="J311" i="16" s="1"/>
  <c r="G311" i="16"/>
  <c r="P310" i="16"/>
  <c r="O310" i="16"/>
  <c r="H310" i="16"/>
  <c r="J310" i="16" s="1"/>
  <c r="L310" i="16" s="1"/>
  <c r="G310" i="16"/>
  <c r="P309" i="16"/>
  <c r="O309" i="16"/>
  <c r="H309" i="16"/>
  <c r="J309" i="16" s="1"/>
  <c r="K309" i="16" s="1"/>
  <c r="G309" i="16"/>
  <c r="P308" i="16"/>
  <c r="O308" i="16"/>
  <c r="H308" i="16"/>
  <c r="J308" i="16" s="1"/>
  <c r="G308" i="16"/>
  <c r="P307" i="16"/>
  <c r="O307" i="16"/>
  <c r="H307" i="16"/>
  <c r="J307" i="16" s="1"/>
  <c r="K307" i="16" s="1"/>
  <c r="G307" i="16"/>
  <c r="P306" i="16"/>
  <c r="O306" i="16"/>
  <c r="H306" i="16"/>
  <c r="J306" i="16" s="1"/>
  <c r="L306" i="16" s="1"/>
  <c r="G306" i="16"/>
  <c r="P305" i="16"/>
  <c r="O305" i="16"/>
  <c r="H305" i="16"/>
  <c r="J305" i="16" s="1"/>
  <c r="L305" i="16" s="1"/>
  <c r="G305" i="16"/>
  <c r="P304" i="16"/>
  <c r="O304" i="16"/>
  <c r="H304" i="16"/>
  <c r="J304" i="16" s="1"/>
  <c r="G304" i="16"/>
  <c r="P303" i="16"/>
  <c r="O303" i="16"/>
  <c r="H303" i="16"/>
  <c r="J303" i="16" s="1"/>
  <c r="G303" i="16"/>
  <c r="P302" i="16"/>
  <c r="O302" i="16"/>
  <c r="H302" i="16"/>
  <c r="J302" i="16" s="1"/>
  <c r="G302" i="16"/>
  <c r="P301" i="16"/>
  <c r="O301" i="16"/>
  <c r="H301" i="16"/>
  <c r="J301" i="16" s="1"/>
  <c r="K301" i="16" s="1"/>
  <c r="G301" i="16"/>
  <c r="P300" i="16"/>
  <c r="O300" i="16"/>
  <c r="H300" i="16"/>
  <c r="J300" i="16" s="1"/>
  <c r="L300" i="16" s="1"/>
  <c r="G300" i="16"/>
  <c r="P299" i="16"/>
  <c r="O299" i="16"/>
  <c r="H299" i="16"/>
  <c r="J299" i="16" s="1"/>
  <c r="G299" i="16"/>
  <c r="P298" i="16"/>
  <c r="O298" i="16"/>
  <c r="H298" i="16"/>
  <c r="J298" i="16" s="1"/>
  <c r="L298" i="16" s="1"/>
  <c r="G298" i="16"/>
  <c r="P295" i="16"/>
  <c r="O295" i="16"/>
  <c r="H295" i="16"/>
  <c r="J295" i="16" s="1"/>
  <c r="K295" i="16" s="1"/>
  <c r="G295" i="16"/>
  <c r="P294" i="16"/>
  <c r="O294" i="16"/>
  <c r="H294" i="16"/>
  <c r="J294" i="16" s="1"/>
  <c r="G294" i="16"/>
  <c r="P293" i="16"/>
  <c r="O293" i="16"/>
  <c r="H293" i="16"/>
  <c r="J293" i="16" s="1"/>
  <c r="G293" i="16"/>
  <c r="P292" i="16"/>
  <c r="O292" i="16"/>
  <c r="H292" i="16"/>
  <c r="J292" i="16" s="1"/>
  <c r="G292" i="16"/>
  <c r="P291" i="16"/>
  <c r="O291" i="16"/>
  <c r="H291" i="16"/>
  <c r="J291" i="16" s="1"/>
  <c r="G291" i="16"/>
  <c r="P290" i="16"/>
  <c r="O290" i="16"/>
  <c r="H290" i="16"/>
  <c r="J290" i="16" s="1"/>
  <c r="G290" i="16"/>
  <c r="P289" i="16"/>
  <c r="O289" i="16"/>
  <c r="H289" i="16"/>
  <c r="J289" i="16" s="1"/>
  <c r="G289" i="16"/>
  <c r="P288" i="16"/>
  <c r="O288" i="16"/>
  <c r="H288" i="16"/>
  <c r="J288" i="16" s="1"/>
  <c r="K288" i="16" s="1"/>
  <c r="G288" i="16"/>
  <c r="P287" i="16"/>
  <c r="O287" i="16"/>
  <c r="H287" i="16"/>
  <c r="J287" i="16" s="1"/>
  <c r="L287" i="16" s="1"/>
  <c r="G287" i="16"/>
  <c r="P286" i="16"/>
  <c r="O286" i="16"/>
  <c r="H286" i="16"/>
  <c r="J286" i="16" s="1"/>
  <c r="L286" i="16" s="1"/>
  <c r="G286" i="16"/>
  <c r="P285" i="16"/>
  <c r="O285" i="16"/>
  <c r="H285" i="16"/>
  <c r="J285" i="16" s="1"/>
  <c r="G285" i="16"/>
  <c r="P284" i="16"/>
  <c r="O284" i="16"/>
  <c r="H284" i="16"/>
  <c r="J284" i="16" s="1"/>
  <c r="G284" i="16"/>
  <c r="P283" i="16"/>
  <c r="O283" i="16"/>
  <c r="H283" i="16"/>
  <c r="J283" i="16" s="1"/>
  <c r="G283" i="16"/>
  <c r="P282" i="16"/>
  <c r="O282" i="16"/>
  <c r="H282" i="16"/>
  <c r="J282" i="16" s="1"/>
  <c r="G282" i="16"/>
  <c r="P281" i="16"/>
  <c r="O281" i="16"/>
  <c r="H281" i="16"/>
  <c r="J281" i="16" s="1"/>
  <c r="G281" i="16"/>
  <c r="P280" i="16"/>
  <c r="O280" i="16"/>
  <c r="H280" i="16"/>
  <c r="J280" i="16" s="1"/>
  <c r="K280" i="16" s="1"/>
  <c r="G280" i="16"/>
  <c r="P279" i="16"/>
  <c r="O279" i="16"/>
  <c r="H279" i="16"/>
  <c r="J279" i="16" s="1"/>
  <c r="G279" i="16"/>
  <c r="P278" i="16"/>
  <c r="O278" i="16"/>
  <c r="H278" i="16"/>
  <c r="J278" i="16" s="1"/>
  <c r="L278" i="16" s="1"/>
  <c r="G278" i="16"/>
  <c r="P277" i="16"/>
  <c r="O277" i="16"/>
  <c r="H277" i="16"/>
  <c r="J277" i="16" s="1"/>
  <c r="G277" i="16"/>
  <c r="P276" i="16"/>
  <c r="O276" i="16"/>
  <c r="H276" i="16"/>
  <c r="J276" i="16" s="1"/>
  <c r="G276" i="16"/>
  <c r="P275" i="16"/>
  <c r="O275" i="16"/>
  <c r="H275" i="16"/>
  <c r="J275" i="16" s="1"/>
  <c r="G275" i="16"/>
  <c r="P274" i="16"/>
  <c r="O274" i="16"/>
  <c r="H274" i="16"/>
  <c r="J274" i="16" s="1"/>
  <c r="G274" i="16"/>
  <c r="P273" i="16"/>
  <c r="O273" i="16"/>
  <c r="H273" i="16"/>
  <c r="J273" i="16" s="1"/>
  <c r="L273" i="16" s="1"/>
  <c r="G273" i="16"/>
  <c r="P272" i="16"/>
  <c r="O272" i="16"/>
  <c r="H272" i="16"/>
  <c r="J272" i="16" s="1"/>
  <c r="L272" i="16" s="1"/>
  <c r="G272" i="16"/>
  <c r="P271" i="16"/>
  <c r="O271" i="16"/>
  <c r="H271" i="16"/>
  <c r="J271" i="16" s="1"/>
  <c r="K271" i="16" s="1"/>
  <c r="G271" i="16"/>
  <c r="P270" i="16"/>
  <c r="O270" i="16"/>
  <c r="H270" i="16"/>
  <c r="J270" i="16" s="1"/>
  <c r="L270" i="16" s="1"/>
  <c r="G270" i="16"/>
  <c r="P269" i="16"/>
  <c r="O269" i="16"/>
  <c r="H269" i="16"/>
  <c r="J269" i="16" s="1"/>
  <c r="G269" i="16"/>
  <c r="P268" i="16"/>
  <c r="O268" i="16"/>
  <c r="H268" i="16"/>
  <c r="J268" i="16" s="1"/>
  <c r="G268" i="16"/>
  <c r="P267" i="16"/>
  <c r="O267" i="16"/>
  <c r="H267" i="16"/>
  <c r="J267" i="16" s="1"/>
  <c r="G267" i="16"/>
  <c r="P266" i="16"/>
  <c r="O266" i="16"/>
  <c r="H266" i="16"/>
  <c r="J266" i="16" s="1"/>
  <c r="G266" i="16"/>
  <c r="P265" i="16"/>
  <c r="O265" i="16"/>
  <c r="H265" i="16"/>
  <c r="J265" i="16" s="1"/>
  <c r="G265" i="16"/>
  <c r="P264" i="16"/>
  <c r="O264" i="16"/>
  <c r="H264" i="16"/>
  <c r="J264" i="16" s="1"/>
  <c r="K264" i="16" s="1"/>
  <c r="G264" i="16"/>
  <c r="P263" i="16"/>
  <c r="O263" i="16"/>
  <c r="H263" i="16"/>
  <c r="J263" i="16" s="1"/>
  <c r="L263" i="16" s="1"/>
  <c r="G263" i="16"/>
  <c r="P262" i="16"/>
  <c r="O262" i="16"/>
  <c r="H262" i="16"/>
  <c r="J262" i="16" s="1"/>
  <c r="L262" i="16" s="1"/>
  <c r="G262" i="16"/>
  <c r="P261" i="16"/>
  <c r="O261" i="16"/>
  <c r="H261" i="16"/>
  <c r="J261" i="16" s="1"/>
  <c r="G261" i="16"/>
  <c r="P260" i="16"/>
  <c r="O260" i="16"/>
  <c r="H260" i="16"/>
  <c r="J260" i="16" s="1"/>
  <c r="G260" i="16"/>
  <c r="P259" i="16"/>
  <c r="O259" i="16"/>
  <c r="H259" i="16"/>
  <c r="J259" i="16" s="1"/>
  <c r="G259" i="16"/>
  <c r="P258" i="16"/>
  <c r="O258" i="16"/>
  <c r="H258" i="16"/>
  <c r="J258" i="16" s="1"/>
  <c r="G258" i="16"/>
  <c r="P257" i="16"/>
  <c r="O257" i="16"/>
  <c r="H257" i="16"/>
  <c r="J257" i="16" s="1"/>
  <c r="L257" i="16" s="1"/>
  <c r="G257" i="16"/>
  <c r="P256" i="16"/>
  <c r="O256" i="16"/>
  <c r="H256" i="16"/>
  <c r="J256" i="16" s="1"/>
  <c r="K256" i="16" s="1"/>
  <c r="G256" i="16"/>
  <c r="P255" i="16"/>
  <c r="O255" i="16"/>
  <c r="H255" i="16"/>
  <c r="J255" i="16" s="1"/>
  <c r="K255" i="16" s="1"/>
  <c r="G255" i="16"/>
  <c r="P254" i="16"/>
  <c r="O254" i="16"/>
  <c r="H254" i="16"/>
  <c r="J254" i="16" s="1"/>
  <c r="G254" i="16"/>
  <c r="P253" i="16"/>
  <c r="O253" i="16"/>
  <c r="H253" i="16"/>
  <c r="J253" i="16" s="1"/>
  <c r="G253" i="16"/>
  <c r="P252" i="16"/>
  <c r="O252" i="16"/>
  <c r="H252" i="16"/>
  <c r="J252" i="16" s="1"/>
  <c r="G252" i="16"/>
  <c r="P251" i="16"/>
  <c r="O251" i="16"/>
  <c r="H251" i="16"/>
  <c r="G251" i="16"/>
  <c r="P248" i="16"/>
  <c r="O248" i="16"/>
  <c r="H248" i="16"/>
  <c r="J248" i="16" s="1"/>
  <c r="G248" i="16"/>
  <c r="P247" i="16"/>
  <c r="O247" i="16"/>
  <c r="H247" i="16"/>
  <c r="J247" i="16" s="1"/>
  <c r="G247" i="16"/>
  <c r="P246" i="16"/>
  <c r="O246" i="16"/>
  <c r="H246" i="16"/>
  <c r="J246" i="16" s="1"/>
  <c r="G246" i="16"/>
  <c r="P245" i="16"/>
  <c r="O245" i="16"/>
  <c r="H245" i="16"/>
  <c r="J245" i="16" s="1"/>
  <c r="G245" i="16"/>
  <c r="P244" i="16"/>
  <c r="O244" i="16"/>
  <c r="H244" i="16"/>
  <c r="J244" i="16" s="1"/>
  <c r="G244" i="16"/>
  <c r="P243" i="16"/>
  <c r="O243" i="16"/>
  <c r="P241" i="16"/>
  <c r="O241" i="16"/>
  <c r="H241" i="16"/>
  <c r="J241" i="16" s="1"/>
  <c r="G241" i="16"/>
  <c r="P240" i="16"/>
  <c r="O240" i="16"/>
  <c r="H240" i="16"/>
  <c r="J240" i="16" s="1"/>
  <c r="K240" i="16" s="1"/>
  <c r="G240" i="16"/>
  <c r="P239" i="16"/>
  <c r="O239" i="16"/>
  <c r="H239" i="16"/>
  <c r="J239" i="16" s="1"/>
  <c r="K239" i="16" s="1"/>
  <c r="G239" i="16"/>
  <c r="P238" i="16"/>
  <c r="O238" i="16"/>
  <c r="H238" i="16"/>
  <c r="J238" i="16" s="1"/>
  <c r="L238" i="16" s="1"/>
  <c r="G238" i="16"/>
  <c r="P237" i="16"/>
  <c r="O237" i="16"/>
  <c r="H237" i="16"/>
  <c r="J237" i="16" s="1"/>
  <c r="G237" i="16"/>
  <c r="P236" i="16"/>
  <c r="O236" i="16"/>
  <c r="H236" i="16"/>
  <c r="J236" i="16" s="1"/>
  <c r="G236" i="16"/>
  <c r="P235" i="16"/>
  <c r="O235" i="16"/>
  <c r="H235" i="16"/>
  <c r="J235" i="16" s="1"/>
  <c r="G235" i="16"/>
  <c r="P234" i="16"/>
  <c r="O234" i="16"/>
  <c r="H234" i="16"/>
  <c r="J234" i="16" s="1"/>
  <c r="G234" i="16"/>
  <c r="P233" i="16"/>
  <c r="O233" i="16"/>
  <c r="H233" i="16"/>
  <c r="J233" i="16" s="1"/>
  <c r="G233" i="16"/>
  <c r="P232" i="16"/>
  <c r="O232" i="16"/>
  <c r="H232" i="16"/>
  <c r="J232" i="16" s="1"/>
  <c r="K232" i="16" s="1"/>
  <c r="G232" i="16"/>
  <c r="P231" i="16"/>
  <c r="O231" i="16"/>
  <c r="H231" i="16"/>
  <c r="J231" i="16" s="1"/>
  <c r="L231" i="16" s="1"/>
  <c r="G231" i="16"/>
  <c r="P230" i="16"/>
  <c r="O230" i="16"/>
  <c r="H230" i="16"/>
  <c r="J230" i="16" s="1"/>
  <c r="L230" i="16" s="1"/>
  <c r="G230" i="16"/>
  <c r="P229" i="16"/>
  <c r="O229" i="16"/>
  <c r="H229" i="16"/>
  <c r="J229" i="16" s="1"/>
  <c r="G229" i="16"/>
  <c r="P228" i="16"/>
  <c r="O228" i="16"/>
  <c r="H228" i="16"/>
  <c r="J228" i="16" s="1"/>
  <c r="G228" i="16"/>
  <c r="P227" i="16"/>
  <c r="O227" i="16"/>
  <c r="H227" i="16"/>
  <c r="J227" i="16" s="1"/>
  <c r="G227" i="16"/>
  <c r="P226" i="16"/>
  <c r="O226" i="16"/>
  <c r="H226" i="16"/>
  <c r="J226" i="16" s="1"/>
  <c r="G226" i="16"/>
  <c r="P225" i="16"/>
  <c r="O225" i="16"/>
  <c r="H225" i="16"/>
  <c r="J225" i="16" s="1"/>
  <c r="G225" i="16"/>
  <c r="P224" i="16"/>
  <c r="O224" i="16"/>
  <c r="H224" i="16"/>
  <c r="J224" i="16" s="1"/>
  <c r="G224" i="16"/>
  <c r="P223" i="16"/>
  <c r="O223" i="16"/>
  <c r="H223" i="16"/>
  <c r="J223" i="16" s="1"/>
  <c r="G223" i="16"/>
  <c r="P222" i="16"/>
  <c r="O222" i="16"/>
  <c r="H222" i="16"/>
  <c r="J222" i="16" s="1"/>
  <c r="L222" i="16" s="1"/>
  <c r="G222" i="16"/>
  <c r="P221" i="16"/>
  <c r="O221" i="16"/>
  <c r="H221" i="16"/>
  <c r="J221" i="16" s="1"/>
  <c r="G221" i="16"/>
  <c r="P220" i="16"/>
  <c r="O220" i="16"/>
  <c r="H220" i="16"/>
  <c r="J220" i="16" s="1"/>
  <c r="G220" i="16"/>
  <c r="P219" i="16"/>
  <c r="O219" i="16"/>
  <c r="H219" i="16"/>
  <c r="J219" i="16" s="1"/>
  <c r="G219" i="16"/>
  <c r="P218" i="16"/>
  <c r="O218" i="16"/>
  <c r="H218" i="16"/>
  <c r="J218" i="16" s="1"/>
  <c r="G218" i="16"/>
  <c r="P217" i="16"/>
  <c r="O217" i="16"/>
  <c r="H217" i="16"/>
  <c r="J217" i="16" s="1"/>
  <c r="L217" i="16" s="1"/>
  <c r="G217" i="16"/>
  <c r="P216" i="16"/>
  <c r="O216" i="16"/>
  <c r="H216" i="16"/>
  <c r="J216" i="16" s="1"/>
  <c r="K216" i="16" s="1"/>
  <c r="G216" i="16"/>
  <c r="P215" i="16"/>
  <c r="O215" i="16"/>
  <c r="H215" i="16"/>
  <c r="J215" i="16" s="1"/>
  <c r="G215" i="16"/>
  <c r="P214" i="16"/>
  <c r="O214" i="16"/>
  <c r="H214" i="16"/>
  <c r="J214" i="16" s="1"/>
  <c r="L214" i="16" s="1"/>
  <c r="G214" i="16"/>
  <c r="P213" i="16"/>
  <c r="O213" i="16"/>
  <c r="H213" i="16"/>
  <c r="J213" i="16" s="1"/>
  <c r="G213" i="16"/>
  <c r="P212" i="16"/>
  <c r="O212" i="16"/>
  <c r="H212" i="16"/>
  <c r="J212" i="16" s="1"/>
  <c r="G212" i="16"/>
  <c r="P211" i="16"/>
  <c r="O211" i="16"/>
  <c r="H211" i="16"/>
  <c r="J211" i="16" s="1"/>
  <c r="G211" i="16"/>
  <c r="P210" i="16"/>
  <c r="O210" i="16"/>
  <c r="H210" i="16"/>
  <c r="J210" i="16" s="1"/>
  <c r="G210" i="16"/>
  <c r="P209" i="16"/>
  <c r="O209" i="16"/>
  <c r="H209" i="16"/>
  <c r="J209" i="16" s="1"/>
  <c r="G209" i="16"/>
  <c r="P208" i="16"/>
  <c r="O208" i="16"/>
  <c r="H208" i="16"/>
  <c r="J208" i="16" s="1"/>
  <c r="G208" i="16"/>
  <c r="P207" i="16"/>
  <c r="O207" i="16"/>
  <c r="H207" i="16"/>
  <c r="J207" i="16" s="1"/>
  <c r="L207" i="16" s="1"/>
  <c r="G207" i="16"/>
  <c r="P206" i="16"/>
  <c r="O206" i="16"/>
  <c r="H206" i="16"/>
  <c r="J206" i="16" s="1"/>
  <c r="L206" i="16" s="1"/>
  <c r="G206" i="16"/>
  <c r="P205" i="16"/>
  <c r="O205" i="16"/>
  <c r="H205" i="16"/>
  <c r="J205" i="16" s="1"/>
  <c r="G205" i="16"/>
  <c r="P204" i="16"/>
  <c r="O204" i="16"/>
  <c r="H204" i="16"/>
  <c r="J204" i="16" s="1"/>
  <c r="G204" i="16"/>
  <c r="P203" i="16"/>
  <c r="O203" i="16"/>
  <c r="H203" i="16"/>
  <c r="J203" i="16" s="1"/>
  <c r="G203" i="16"/>
  <c r="P202" i="16"/>
  <c r="O202" i="16"/>
  <c r="H202" i="16"/>
  <c r="J202" i="16" s="1"/>
  <c r="G202" i="16"/>
  <c r="P201" i="16"/>
  <c r="O201" i="16"/>
  <c r="H201" i="16"/>
  <c r="J201" i="16" s="1"/>
  <c r="G201" i="16"/>
  <c r="P200" i="16"/>
  <c r="O200" i="16"/>
  <c r="H200" i="16"/>
  <c r="J200" i="16" s="1"/>
  <c r="K200" i="16" s="1"/>
  <c r="G200" i="16"/>
  <c r="P199" i="16"/>
  <c r="O199" i="16"/>
  <c r="H199" i="16"/>
  <c r="J199" i="16" s="1"/>
  <c r="L199" i="16" s="1"/>
  <c r="G199" i="16"/>
  <c r="P198" i="16"/>
  <c r="O198" i="16"/>
  <c r="H198" i="16"/>
  <c r="J198" i="16" s="1"/>
  <c r="L198" i="16" s="1"/>
  <c r="G198" i="16"/>
  <c r="P197" i="16"/>
  <c r="O197" i="16"/>
  <c r="H197" i="16"/>
  <c r="J197" i="16" s="1"/>
  <c r="G197" i="16"/>
  <c r="P196" i="16"/>
  <c r="O196" i="16"/>
  <c r="H196" i="16"/>
  <c r="J196" i="16" s="1"/>
  <c r="G196" i="16"/>
  <c r="P195" i="16"/>
  <c r="O195" i="16"/>
  <c r="H195" i="16"/>
  <c r="J195" i="16" s="1"/>
  <c r="G195" i="16"/>
  <c r="P194" i="16"/>
  <c r="O194" i="16"/>
  <c r="H194" i="16"/>
  <c r="J194" i="16" s="1"/>
  <c r="G194" i="16"/>
  <c r="P191" i="16"/>
  <c r="O191" i="16"/>
  <c r="H191" i="16"/>
  <c r="J191" i="16" s="1"/>
  <c r="G191" i="16"/>
  <c r="P190" i="16"/>
  <c r="O190" i="16"/>
  <c r="H190" i="16"/>
  <c r="J190" i="16" s="1"/>
  <c r="G190" i="16"/>
  <c r="P189" i="16"/>
  <c r="O189" i="16"/>
  <c r="H189" i="16"/>
  <c r="J189" i="16" s="1"/>
  <c r="K189" i="16" s="1"/>
  <c r="G189" i="16"/>
  <c r="P188" i="16"/>
  <c r="O188" i="16"/>
  <c r="H188" i="16"/>
  <c r="J188" i="16" s="1"/>
  <c r="L188" i="16" s="1"/>
  <c r="G188" i="16"/>
  <c r="P187" i="16"/>
  <c r="O187" i="16"/>
  <c r="H187" i="16"/>
  <c r="J187" i="16" s="1"/>
  <c r="L187" i="16" s="1"/>
  <c r="G187" i="16"/>
  <c r="P186" i="16"/>
  <c r="O186" i="16"/>
  <c r="H186" i="16"/>
  <c r="J186" i="16" s="1"/>
  <c r="G186" i="16"/>
  <c r="P185" i="16"/>
  <c r="O185" i="16"/>
  <c r="H185" i="16"/>
  <c r="J185" i="16" s="1"/>
  <c r="G185" i="16"/>
  <c r="P184" i="16"/>
  <c r="O184" i="16"/>
  <c r="H184" i="16"/>
  <c r="J184" i="16" s="1"/>
  <c r="L184" i="16" s="1"/>
  <c r="G184" i="16"/>
  <c r="P183" i="16"/>
  <c r="O183" i="16"/>
  <c r="H183" i="16"/>
  <c r="J183" i="16" s="1"/>
  <c r="G183" i="16"/>
  <c r="P182" i="16"/>
  <c r="O182" i="16"/>
  <c r="H182" i="16"/>
  <c r="J182" i="16" s="1"/>
  <c r="G182" i="16"/>
  <c r="P181" i="16"/>
  <c r="O181" i="16"/>
  <c r="H181" i="16"/>
  <c r="J181" i="16" s="1"/>
  <c r="K181" i="16" s="1"/>
  <c r="G181" i="16"/>
  <c r="P180" i="16"/>
  <c r="O180" i="16"/>
  <c r="H180" i="16"/>
  <c r="J180" i="16" s="1"/>
  <c r="L180" i="16" s="1"/>
  <c r="G180" i="16"/>
  <c r="P179" i="16"/>
  <c r="O179" i="16"/>
  <c r="H179" i="16"/>
  <c r="J179" i="16" s="1"/>
  <c r="L179" i="16" s="1"/>
  <c r="G179" i="16"/>
  <c r="P178" i="16"/>
  <c r="O178" i="16"/>
  <c r="H178" i="16"/>
  <c r="J178" i="16" s="1"/>
  <c r="G178" i="16"/>
  <c r="P177" i="16"/>
  <c r="O177" i="16"/>
  <c r="H177" i="16"/>
  <c r="J177" i="16" s="1"/>
  <c r="L177" i="16" s="1"/>
  <c r="G177" i="16"/>
  <c r="P176" i="16"/>
  <c r="O176" i="16"/>
  <c r="H176" i="16"/>
  <c r="J176" i="16" s="1"/>
  <c r="G176" i="16"/>
  <c r="P175" i="16"/>
  <c r="O175" i="16"/>
  <c r="H175" i="16"/>
  <c r="J175" i="16" s="1"/>
  <c r="G175" i="16"/>
  <c r="P174" i="16"/>
  <c r="O174" i="16"/>
  <c r="H174" i="16"/>
  <c r="J174" i="16" s="1"/>
  <c r="G174" i="16"/>
  <c r="P173" i="16"/>
  <c r="O173" i="16"/>
  <c r="H173" i="16"/>
  <c r="J173" i="16" s="1"/>
  <c r="K173" i="16" s="1"/>
  <c r="G173" i="16"/>
  <c r="P172" i="16"/>
  <c r="O172" i="16"/>
  <c r="H172" i="16"/>
  <c r="J172" i="16" s="1"/>
  <c r="K172" i="16" s="1"/>
  <c r="G172" i="16"/>
  <c r="P171" i="16"/>
  <c r="O171" i="16"/>
  <c r="H171" i="16"/>
  <c r="J171" i="16" s="1"/>
  <c r="L171" i="16" s="1"/>
  <c r="G171" i="16"/>
  <c r="P170" i="16"/>
  <c r="O170" i="16"/>
  <c r="H170" i="16"/>
  <c r="J170" i="16" s="1"/>
  <c r="K170" i="16" s="1"/>
  <c r="G170" i="16"/>
  <c r="P169" i="16"/>
  <c r="O169" i="16"/>
  <c r="H169" i="16"/>
  <c r="J169" i="16" s="1"/>
  <c r="L169" i="16" s="1"/>
  <c r="G169" i="16"/>
  <c r="P168" i="16"/>
  <c r="O168" i="16"/>
  <c r="H168" i="16"/>
  <c r="J168" i="16" s="1"/>
  <c r="G168" i="16"/>
  <c r="P167" i="16"/>
  <c r="O167" i="16"/>
  <c r="H167" i="16"/>
  <c r="G167" i="16"/>
  <c r="P164" i="16"/>
  <c r="O164" i="16"/>
  <c r="H164" i="16"/>
  <c r="J164" i="16" s="1"/>
  <c r="G164" i="16"/>
  <c r="P163" i="16"/>
  <c r="O163" i="16"/>
  <c r="H163" i="16"/>
  <c r="J163" i="16" s="1"/>
  <c r="G163" i="16"/>
  <c r="P162" i="16"/>
  <c r="O162" i="16"/>
  <c r="H162" i="16"/>
  <c r="J162" i="16" s="1"/>
  <c r="K162" i="16" s="1"/>
  <c r="G162" i="16"/>
  <c r="P161" i="16"/>
  <c r="O161" i="16"/>
  <c r="H161" i="16"/>
  <c r="J161" i="16" s="1"/>
  <c r="K161" i="16" s="1"/>
  <c r="G161" i="16"/>
  <c r="P160" i="16"/>
  <c r="O160" i="16"/>
  <c r="H160" i="16"/>
  <c r="J160" i="16" s="1"/>
  <c r="G160" i="16"/>
  <c r="P159" i="16"/>
  <c r="O159" i="16"/>
  <c r="H159" i="16"/>
  <c r="J159" i="16" s="1"/>
  <c r="K159" i="16" s="1"/>
  <c r="G159" i="16"/>
  <c r="P158" i="16"/>
  <c r="O158" i="16"/>
  <c r="H158" i="16"/>
  <c r="J158" i="16" s="1"/>
  <c r="L158" i="16" s="1"/>
  <c r="G158" i="16"/>
  <c r="P155" i="16"/>
  <c r="O155" i="16"/>
  <c r="H155" i="16"/>
  <c r="J155" i="16" s="1"/>
  <c r="L155" i="16" s="1"/>
  <c r="G155" i="16"/>
  <c r="P154" i="16"/>
  <c r="O154" i="16"/>
  <c r="H154" i="16"/>
  <c r="J154" i="16" s="1"/>
  <c r="G154" i="16"/>
  <c r="P153" i="16"/>
  <c r="O153" i="16"/>
  <c r="H153" i="16"/>
  <c r="J153" i="16" s="1"/>
  <c r="G153" i="16"/>
  <c r="P152" i="16"/>
  <c r="O152" i="16"/>
  <c r="H152" i="16"/>
  <c r="J152" i="16" s="1"/>
  <c r="G152" i="16"/>
  <c r="P151" i="16"/>
  <c r="O151" i="16"/>
  <c r="H151" i="16"/>
  <c r="J151" i="16" s="1"/>
  <c r="G151" i="16"/>
  <c r="P150" i="16"/>
  <c r="O150" i="16"/>
  <c r="H150" i="16"/>
  <c r="J150" i="16" s="1"/>
  <c r="K150" i="16" s="1"/>
  <c r="G150" i="16"/>
  <c r="P149" i="16"/>
  <c r="O149" i="16"/>
  <c r="P148" i="16"/>
  <c r="O148" i="16"/>
  <c r="P147" i="16"/>
  <c r="O147" i="16"/>
  <c r="H147" i="16"/>
  <c r="J147" i="16" s="1"/>
  <c r="L147" i="16" s="1"/>
  <c r="G147" i="16"/>
  <c r="P146" i="16"/>
  <c r="O146" i="16"/>
  <c r="P145" i="16"/>
  <c r="O145" i="16"/>
  <c r="P144" i="16"/>
  <c r="O144" i="16"/>
  <c r="P143" i="16"/>
  <c r="O143" i="16"/>
  <c r="P142" i="16"/>
  <c r="O142" i="16"/>
  <c r="P141" i="16"/>
  <c r="O141" i="16"/>
  <c r="P140" i="16"/>
  <c r="O140" i="16"/>
  <c r="P139" i="16"/>
  <c r="O139" i="16"/>
  <c r="H139" i="16"/>
  <c r="J139" i="16" s="1"/>
  <c r="L139" i="16" s="1"/>
  <c r="G139" i="16"/>
  <c r="P138" i="16"/>
  <c r="O138" i="16"/>
  <c r="P137" i="16"/>
  <c r="O137" i="16"/>
  <c r="P136" i="16"/>
  <c r="O136" i="16"/>
  <c r="P135" i="16"/>
  <c r="O135" i="16"/>
  <c r="P134" i="16"/>
  <c r="O134" i="16"/>
  <c r="P133" i="16"/>
  <c r="O133" i="16"/>
  <c r="H133" i="16"/>
  <c r="J133" i="16" s="1"/>
  <c r="L133" i="16" s="1"/>
  <c r="G133" i="16"/>
  <c r="P132" i="16"/>
  <c r="O132" i="16"/>
  <c r="H132" i="16"/>
  <c r="J132" i="16" s="1"/>
  <c r="K132" i="16" s="1"/>
  <c r="G132" i="16"/>
  <c r="P131" i="16"/>
  <c r="O131" i="16"/>
  <c r="P130" i="16"/>
  <c r="O130" i="16"/>
  <c r="H130" i="16"/>
  <c r="J130" i="16" s="1"/>
  <c r="G130" i="16"/>
  <c r="P129" i="16"/>
  <c r="O129" i="16"/>
  <c r="H129" i="16"/>
  <c r="J129" i="16" s="1"/>
  <c r="G129" i="16"/>
  <c r="P128" i="16"/>
  <c r="O128" i="16"/>
  <c r="H128" i="16"/>
  <c r="J128" i="16" s="1"/>
  <c r="G128" i="16"/>
  <c r="P127" i="16"/>
  <c r="O127" i="16"/>
  <c r="H127" i="16"/>
  <c r="J127" i="16" s="1"/>
  <c r="G127" i="16"/>
  <c r="P126" i="16"/>
  <c r="O126" i="16"/>
  <c r="H126" i="16"/>
  <c r="J126" i="16" s="1"/>
  <c r="K126" i="16" s="1"/>
  <c r="G126" i="16"/>
  <c r="P125" i="16"/>
  <c r="O125" i="16"/>
  <c r="H125" i="16"/>
  <c r="J125" i="16" s="1"/>
  <c r="L125" i="16" s="1"/>
  <c r="G125" i="16"/>
  <c r="P124" i="16"/>
  <c r="O124" i="16"/>
  <c r="H124" i="16"/>
  <c r="J124" i="16" s="1"/>
  <c r="K124" i="16" s="1"/>
  <c r="G124" i="16"/>
  <c r="P123" i="16"/>
  <c r="O123" i="16"/>
  <c r="H123" i="16"/>
  <c r="G123" i="16"/>
  <c r="P122" i="16"/>
  <c r="O122" i="16"/>
  <c r="H122" i="16"/>
  <c r="J122" i="16" s="1"/>
  <c r="G122" i="16"/>
  <c r="P121" i="16"/>
  <c r="O121" i="16"/>
  <c r="H121" i="16"/>
  <c r="J121" i="16" s="1"/>
  <c r="G121" i="16"/>
  <c r="P120" i="16"/>
  <c r="O120" i="16"/>
  <c r="H120" i="16"/>
  <c r="J120" i="16" s="1"/>
  <c r="G120" i="16"/>
  <c r="P119" i="16"/>
  <c r="O119" i="16"/>
  <c r="H119" i="16"/>
  <c r="J119" i="16" s="1"/>
  <c r="G119" i="16"/>
  <c r="P118" i="16"/>
  <c r="O118" i="16"/>
  <c r="H118" i="16"/>
  <c r="J118" i="16" s="1"/>
  <c r="G118" i="16"/>
  <c r="P115" i="16"/>
  <c r="O115" i="16"/>
  <c r="H115" i="16"/>
  <c r="J115" i="16" s="1"/>
  <c r="G115" i="16"/>
  <c r="P114" i="16"/>
  <c r="O114" i="16"/>
  <c r="H114" i="16"/>
  <c r="J114" i="16" s="1"/>
  <c r="L114" i="16" s="1"/>
  <c r="G114" i="16"/>
  <c r="P113" i="16"/>
  <c r="O113" i="16"/>
  <c r="H113" i="16"/>
  <c r="J113" i="16" s="1"/>
  <c r="L113" i="16" s="1"/>
  <c r="G113" i="16"/>
  <c r="P112" i="16"/>
  <c r="O112" i="16"/>
  <c r="H112" i="16"/>
  <c r="J112" i="16" s="1"/>
  <c r="K112" i="16" s="1"/>
  <c r="G112" i="16"/>
  <c r="P111" i="16"/>
  <c r="O111" i="16"/>
  <c r="H111" i="16"/>
  <c r="J111" i="16" s="1"/>
  <c r="L111" i="16" s="1"/>
  <c r="G111" i="16"/>
  <c r="P110" i="16"/>
  <c r="O110" i="16"/>
  <c r="H110" i="16"/>
  <c r="J110" i="16" s="1"/>
  <c r="G110" i="16"/>
  <c r="P109" i="16"/>
  <c r="O109" i="16"/>
  <c r="H109" i="16"/>
  <c r="J109" i="16" s="1"/>
  <c r="G109" i="16"/>
  <c r="P108" i="16"/>
  <c r="O108" i="16"/>
  <c r="H108" i="16"/>
  <c r="J108" i="16" s="1"/>
  <c r="G108" i="16"/>
  <c r="P107" i="16"/>
  <c r="O107" i="16"/>
  <c r="H107" i="16"/>
  <c r="J107" i="16" s="1"/>
  <c r="G107" i="16"/>
  <c r="P106" i="16"/>
  <c r="O106" i="16"/>
  <c r="H106" i="16"/>
  <c r="J106" i="16" s="1"/>
  <c r="L106" i="16" s="1"/>
  <c r="G106" i="16"/>
  <c r="P105" i="16"/>
  <c r="O105" i="16"/>
  <c r="H105" i="16"/>
  <c r="J105" i="16" s="1"/>
  <c r="L105" i="16" s="1"/>
  <c r="G105" i="16"/>
  <c r="P104" i="16"/>
  <c r="O104" i="16"/>
  <c r="H104" i="16"/>
  <c r="J104" i="16" s="1"/>
  <c r="K104" i="16" s="1"/>
  <c r="G104" i="16"/>
  <c r="P101" i="16"/>
  <c r="O101" i="16"/>
  <c r="H101" i="16"/>
  <c r="J101" i="16" s="1"/>
  <c r="L101" i="16" s="1"/>
  <c r="G101" i="16"/>
  <c r="P100" i="16"/>
  <c r="O100" i="16"/>
  <c r="H100" i="16"/>
  <c r="G100" i="16"/>
  <c r="P99" i="16"/>
  <c r="O99" i="16"/>
  <c r="H99" i="16"/>
  <c r="J99" i="16" s="1"/>
  <c r="L99" i="16" s="1"/>
  <c r="G99" i="16"/>
  <c r="P98" i="16"/>
  <c r="O98" i="16"/>
  <c r="H98" i="16"/>
  <c r="G98" i="16"/>
  <c r="P97" i="16"/>
  <c r="O97" i="16"/>
  <c r="H97" i="16"/>
  <c r="J97" i="16" s="1"/>
  <c r="G97" i="16"/>
  <c r="P96" i="16"/>
  <c r="O96" i="16"/>
  <c r="H96" i="16"/>
  <c r="J96" i="16" s="1"/>
  <c r="K96" i="16" s="1"/>
  <c r="G96" i="16"/>
  <c r="P95" i="16"/>
  <c r="O95" i="16"/>
  <c r="H95" i="16"/>
  <c r="J95" i="16" s="1"/>
  <c r="L95" i="16" s="1"/>
  <c r="G95" i="16"/>
  <c r="P94" i="16"/>
  <c r="O94" i="16"/>
  <c r="H94" i="16"/>
  <c r="J94" i="16" s="1"/>
  <c r="L94" i="16" s="1"/>
  <c r="G94" i="16"/>
  <c r="P93" i="16"/>
  <c r="O93" i="16"/>
  <c r="H93" i="16"/>
  <c r="G93" i="16"/>
  <c r="P92" i="16"/>
  <c r="O92" i="16"/>
  <c r="P90" i="16"/>
  <c r="O90" i="16"/>
  <c r="H90" i="16"/>
  <c r="J90" i="16" s="1"/>
  <c r="K90" i="16" s="1"/>
  <c r="G90" i="16"/>
  <c r="P89" i="16"/>
  <c r="O89" i="16"/>
  <c r="P88" i="16"/>
  <c r="O88" i="16"/>
  <c r="F88" i="16"/>
  <c r="H88" i="16" s="1"/>
  <c r="J88" i="16" s="1"/>
  <c r="K88" i="16" s="1"/>
  <c r="P87" i="16"/>
  <c r="O87" i="16"/>
  <c r="F87" i="16"/>
  <c r="H87" i="16" s="1"/>
  <c r="J87" i="16" s="1"/>
  <c r="L87" i="16" s="1"/>
  <c r="P86" i="16"/>
  <c r="O86" i="16"/>
  <c r="F86" i="16"/>
  <c r="H86" i="16" s="1"/>
  <c r="J86" i="16" s="1"/>
  <c r="L86" i="16" s="1"/>
  <c r="P85" i="16"/>
  <c r="O85" i="16"/>
  <c r="F85" i="16"/>
  <c r="H85" i="16" s="1"/>
  <c r="J85" i="16" s="1"/>
  <c r="L85" i="16" s="1"/>
  <c r="P84" i="16"/>
  <c r="O84" i="16"/>
  <c r="H84" i="16"/>
  <c r="J84" i="16" s="1"/>
  <c r="L84" i="16" s="1"/>
  <c r="G84" i="16"/>
  <c r="P83" i="16"/>
  <c r="O83" i="16"/>
  <c r="P82" i="16"/>
  <c r="O82" i="16"/>
  <c r="F82" i="16"/>
  <c r="H82" i="16" s="1"/>
  <c r="J82" i="16" s="1"/>
  <c r="P81" i="16"/>
  <c r="O81" i="16"/>
  <c r="F81" i="16"/>
  <c r="H81" i="16" s="1"/>
  <c r="J81" i="16" s="1"/>
  <c r="P80" i="16"/>
  <c r="O80" i="16"/>
  <c r="F80" i="16"/>
  <c r="H80" i="16" s="1"/>
  <c r="J80" i="16" s="1"/>
  <c r="P79" i="16"/>
  <c r="O79" i="16"/>
  <c r="F79" i="16"/>
  <c r="H79" i="16" s="1"/>
  <c r="J79" i="16" s="1"/>
  <c r="P78" i="16"/>
  <c r="O78" i="16"/>
  <c r="H78" i="16"/>
  <c r="J78" i="16" s="1"/>
  <c r="L78" i="16" s="1"/>
  <c r="G78" i="16"/>
  <c r="P77" i="16"/>
  <c r="O77" i="16"/>
  <c r="P76" i="16"/>
  <c r="O76" i="16"/>
  <c r="F76" i="16"/>
  <c r="G76" i="16" s="1"/>
  <c r="P75" i="16"/>
  <c r="O75" i="16"/>
  <c r="F75" i="16"/>
  <c r="G75" i="16" s="1"/>
  <c r="P74" i="16"/>
  <c r="O74" i="16"/>
  <c r="F74" i="16"/>
  <c r="G74" i="16" s="1"/>
  <c r="P73" i="16"/>
  <c r="O73" i="16"/>
  <c r="F73" i="16"/>
  <c r="G73" i="16" s="1"/>
  <c r="P72" i="16"/>
  <c r="O72" i="16"/>
  <c r="H72" i="16"/>
  <c r="J72" i="16" s="1"/>
  <c r="G72" i="16"/>
  <c r="P71" i="16"/>
  <c r="O71" i="16"/>
  <c r="P70" i="16"/>
  <c r="O70" i="16"/>
  <c r="F70" i="16"/>
  <c r="H70" i="16" s="1"/>
  <c r="J70" i="16" s="1"/>
  <c r="L70" i="16" s="1"/>
  <c r="P69" i="16"/>
  <c r="O69" i="16"/>
  <c r="F69" i="16"/>
  <c r="G69" i="16" s="1"/>
  <c r="P68" i="16"/>
  <c r="O68" i="16"/>
  <c r="F68" i="16"/>
  <c r="G68" i="16" s="1"/>
  <c r="P67" i="16"/>
  <c r="O67" i="16"/>
  <c r="F67" i="16"/>
  <c r="F71" i="16" s="1"/>
  <c r="H71" i="16" s="1"/>
  <c r="J71" i="16" s="1"/>
  <c r="P66" i="16"/>
  <c r="O66" i="16"/>
  <c r="F66" i="16"/>
  <c r="G66" i="16" s="1"/>
  <c r="P65" i="16"/>
  <c r="O65" i="16"/>
  <c r="H65" i="16"/>
  <c r="J65" i="16" s="1"/>
  <c r="L65" i="16" s="1"/>
  <c r="G65" i="16"/>
  <c r="P62" i="16"/>
  <c r="O62" i="16"/>
  <c r="F62" i="16"/>
  <c r="G62" i="16" s="1"/>
  <c r="P61" i="16"/>
  <c r="O61" i="16"/>
  <c r="F61" i="16"/>
  <c r="G61" i="16" s="1"/>
  <c r="P60" i="16"/>
  <c r="O60" i="16"/>
  <c r="F60" i="16"/>
  <c r="G60" i="16" s="1"/>
  <c r="P59" i="16"/>
  <c r="O59" i="16"/>
  <c r="H59" i="16"/>
  <c r="J59" i="16" s="1"/>
  <c r="G59" i="16"/>
  <c r="P58" i="16"/>
  <c r="O58" i="16"/>
  <c r="F58" i="16"/>
  <c r="G58" i="16" s="1"/>
  <c r="P57" i="16"/>
  <c r="O57" i="16"/>
  <c r="F57" i="16"/>
  <c r="G57" i="16" s="1"/>
  <c r="P56" i="16"/>
  <c r="O56" i="16"/>
  <c r="F56" i="16"/>
  <c r="H56" i="16" s="1"/>
  <c r="J56" i="16" s="1"/>
  <c r="L56" i="16" s="1"/>
  <c r="P55" i="16"/>
  <c r="O55" i="16"/>
  <c r="F55" i="16"/>
  <c r="G55" i="16" s="1"/>
  <c r="P54" i="16"/>
  <c r="O54" i="16"/>
  <c r="H54" i="16"/>
  <c r="J54" i="16" s="1"/>
  <c r="L54" i="16" s="1"/>
  <c r="G54" i="16"/>
  <c r="P53" i="16"/>
  <c r="O53" i="16"/>
  <c r="F53" i="16"/>
  <c r="H53" i="16" s="1"/>
  <c r="J53" i="16" s="1"/>
  <c r="P52" i="16"/>
  <c r="O52" i="16"/>
  <c r="F52" i="16"/>
  <c r="H52" i="16" s="1"/>
  <c r="J52" i="16" s="1"/>
  <c r="P51" i="16"/>
  <c r="O51" i="16"/>
  <c r="F51" i="16"/>
  <c r="H51" i="16" s="1"/>
  <c r="J51" i="16" s="1"/>
  <c r="P50" i="16"/>
  <c r="O50" i="16"/>
  <c r="H50" i="16"/>
  <c r="J50" i="16" s="1"/>
  <c r="K50" i="16" s="1"/>
  <c r="G50" i="16"/>
  <c r="P49" i="16"/>
  <c r="O49" i="16"/>
  <c r="P48" i="16"/>
  <c r="O48" i="16"/>
  <c r="F48" i="16"/>
  <c r="G48" i="16" s="1"/>
  <c r="P47" i="16"/>
  <c r="O47" i="16"/>
  <c r="F47" i="16"/>
  <c r="G47" i="16" s="1"/>
  <c r="P46" i="16"/>
  <c r="O46" i="16"/>
  <c r="F46" i="16"/>
  <c r="G46" i="16" s="1"/>
  <c r="P45" i="16"/>
  <c r="O45" i="16"/>
  <c r="F45" i="16"/>
  <c r="G45" i="16" s="1"/>
  <c r="P44" i="16"/>
  <c r="O44" i="16"/>
  <c r="F44" i="16"/>
  <c r="H44" i="16" s="1"/>
  <c r="J44" i="16" s="1"/>
  <c r="P43" i="16"/>
  <c r="O43" i="16"/>
  <c r="F43" i="16"/>
  <c r="H43" i="16" s="1"/>
  <c r="J43" i="16" s="1"/>
  <c r="P42" i="16"/>
  <c r="O42" i="16"/>
  <c r="H42" i="16"/>
  <c r="J42" i="16" s="1"/>
  <c r="G42" i="16"/>
  <c r="P41" i="16"/>
  <c r="O41" i="16"/>
  <c r="P40" i="16"/>
  <c r="O40" i="16"/>
  <c r="F40" i="16"/>
  <c r="H40" i="16" s="1"/>
  <c r="J40" i="16" s="1"/>
  <c r="L40" i="16" s="1"/>
  <c r="P39" i="16"/>
  <c r="O39" i="16"/>
  <c r="F39" i="16"/>
  <c r="H39" i="16" s="1"/>
  <c r="J39" i="16" s="1"/>
  <c r="L39" i="16" s="1"/>
  <c r="P38" i="16"/>
  <c r="O38" i="16"/>
  <c r="F38" i="16"/>
  <c r="G38" i="16" s="1"/>
  <c r="P37" i="16"/>
  <c r="O37" i="16"/>
  <c r="F37" i="16"/>
  <c r="H37" i="16" s="1"/>
  <c r="J37" i="16" s="1"/>
  <c r="L37" i="16" s="1"/>
  <c r="P36" i="16"/>
  <c r="O36" i="16"/>
  <c r="F36" i="16"/>
  <c r="H36" i="16" s="1"/>
  <c r="J36" i="16" s="1"/>
  <c r="L36" i="16" s="1"/>
  <c r="P35" i="16"/>
  <c r="O35" i="16"/>
  <c r="F35" i="16"/>
  <c r="F41" i="16" s="1"/>
  <c r="P34" i="16"/>
  <c r="O34" i="16"/>
  <c r="H34" i="16"/>
  <c r="J34" i="16" s="1"/>
  <c r="L34" i="16" s="1"/>
  <c r="G34" i="16"/>
  <c r="P31" i="16"/>
  <c r="O31" i="16"/>
  <c r="H31" i="16"/>
  <c r="J31" i="16" s="1"/>
  <c r="G31" i="16"/>
  <c r="P30" i="16"/>
  <c r="O30" i="16"/>
  <c r="H30" i="16"/>
  <c r="J30" i="16" s="1"/>
  <c r="L30" i="16" s="1"/>
  <c r="G30" i="16"/>
  <c r="P29" i="16"/>
  <c r="O29" i="16"/>
  <c r="H29" i="16"/>
  <c r="J29" i="16" s="1"/>
  <c r="G29" i="16"/>
  <c r="P28" i="16"/>
  <c r="O28" i="16"/>
  <c r="H28" i="16"/>
  <c r="J28" i="16" s="1"/>
  <c r="G28" i="16"/>
  <c r="P27" i="16"/>
  <c r="O27" i="16"/>
  <c r="H27" i="16"/>
  <c r="J27" i="16" s="1"/>
  <c r="L27" i="16" s="1"/>
  <c r="G27" i="16"/>
  <c r="P26" i="16"/>
  <c r="O26" i="16"/>
  <c r="H26" i="16"/>
  <c r="G26" i="16"/>
  <c r="P23" i="16"/>
  <c r="O23" i="16"/>
  <c r="F23" i="16"/>
  <c r="H23" i="16" s="1"/>
  <c r="J23" i="16" s="1"/>
  <c r="P22" i="16"/>
  <c r="O22" i="16"/>
  <c r="H22" i="16"/>
  <c r="J22" i="16" s="1"/>
  <c r="L22" i="16" s="1"/>
  <c r="G22" i="16"/>
  <c r="P21" i="16"/>
  <c r="O21" i="16"/>
  <c r="H21" i="16"/>
  <c r="J21" i="16" s="1"/>
  <c r="G21" i="16"/>
  <c r="P20" i="16"/>
  <c r="O20" i="16"/>
  <c r="H20" i="16"/>
  <c r="J20" i="16" s="1"/>
  <c r="G20" i="16"/>
  <c r="P19" i="16"/>
  <c r="O19" i="16"/>
  <c r="F19" i="16"/>
  <c r="H19" i="16" s="1"/>
  <c r="J19" i="16" s="1"/>
  <c r="P18" i="16"/>
  <c r="O18" i="16"/>
  <c r="H18" i="16"/>
  <c r="J18" i="16" s="1"/>
  <c r="K18" i="16" s="1"/>
  <c r="G18" i="16"/>
  <c r="P17" i="16"/>
  <c r="O17" i="16"/>
  <c r="F17" i="16"/>
  <c r="H17" i="16" s="1"/>
  <c r="J17" i="16" s="1"/>
  <c r="P16" i="16"/>
  <c r="O16" i="16"/>
  <c r="H16" i="16"/>
  <c r="J16" i="16" s="1"/>
  <c r="G16" i="16"/>
  <c r="P15" i="16"/>
  <c r="O15" i="16"/>
  <c r="F15" i="16"/>
  <c r="H15" i="16" s="1"/>
  <c r="J15" i="16" s="1"/>
  <c r="P14" i="16"/>
  <c r="O14" i="16"/>
  <c r="H14" i="16"/>
  <c r="J14" i="16" s="1"/>
  <c r="L14" i="16" s="1"/>
  <c r="G14" i="16"/>
  <c r="P13" i="16"/>
  <c r="O13" i="16"/>
  <c r="F13" i="16"/>
  <c r="G13" i="16" s="1"/>
  <c r="P12" i="16"/>
  <c r="O12" i="16"/>
  <c r="H12" i="16"/>
  <c r="J12" i="16" s="1"/>
  <c r="G12" i="16"/>
  <c r="P11" i="16"/>
  <c r="O11" i="16"/>
  <c r="F11" i="16"/>
  <c r="H11" i="16" s="1"/>
  <c r="J11" i="16" s="1"/>
  <c r="P10" i="16"/>
  <c r="O10" i="16"/>
  <c r="H10" i="16"/>
  <c r="J10" i="16" s="1"/>
  <c r="G10" i="16"/>
  <c r="P9" i="16"/>
  <c r="O9" i="16"/>
  <c r="F9" i="16"/>
  <c r="H9" i="16" s="1"/>
  <c r="J9" i="16" s="1"/>
  <c r="P8" i="16"/>
  <c r="O8" i="16"/>
  <c r="F8" i="16"/>
  <c r="H8" i="16" s="1"/>
  <c r="J8" i="16" s="1"/>
  <c r="P7" i="16"/>
  <c r="O7" i="16"/>
  <c r="H7" i="16"/>
  <c r="J7" i="16" s="1"/>
  <c r="L7" i="16" s="1"/>
  <c r="G7" i="16"/>
  <c r="P6" i="16"/>
  <c r="O6" i="16"/>
  <c r="F6" i="16"/>
  <c r="H6" i="16" s="1"/>
  <c r="J6" i="16" s="1"/>
  <c r="P5" i="16"/>
  <c r="O5" i="16"/>
  <c r="F5" i="16"/>
  <c r="H5" i="16" s="1"/>
  <c r="J5" i="16" s="1"/>
  <c r="P4" i="16"/>
  <c r="O4" i="16"/>
  <c r="H4" i="16"/>
  <c r="G4" i="16"/>
  <c r="P413" i="15"/>
  <c r="O413" i="15"/>
  <c r="P412" i="15"/>
  <c r="O412" i="15"/>
  <c r="P411" i="15"/>
  <c r="O411" i="15"/>
  <c r="P410" i="15"/>
  <c r="O410" i="15"/>
  <c r="P409" i="15"/>
  <c r="O409" i="15"/>
  <c r="P408" i="15"/>
  <c r="O408" i="15"/>
  <c r="P407" i="15"/>
  <c r="O407" i="15"/>
  <c r="P406" i="15"/>
  <c r="O406" i="15"/>
  <c r="P405" i="15"/>
  <c r="O405" i="15"/>
  <c r="P404" i="15"/>
  <c r="O404" i="15"/>
  <c r="P403" i="15"/>
  <c r="O403" i="15"/>
  <c r="P402" i="15"/>
  <c r="O402" i="15"/>
  <c r="P401" i="15"/>
  <c r="O401" i="15"/>
  <c r="P400" i="15"/>
  <c r="O400" i="15"/>
  <c r="P399" i="15"/>
  <c r="O399" i="15"/>
  <c r="P398" i="15"/>
  <c r="O398" i="15"/>
  <c r="P397" i="15"/>
  <c r="O397" i="15"/>
  <c r="P396" i="15"/>
  <c r="O396" i="15"/>
  <c r="P394" i="15"/>
  <c r="O394" i="15"/>
  <c r="P393" i="15"/>
  <c r="O393" i="15"/>
  <c r="P392" i="15"/>
  <c r="O392" i="15"/>
  <c r="P391" i="15"/>
  <c r="O391" i="15"/>
  <c r="P390" i="15"/>
  <c r="O390" i="15"/>
  <c r="P389" i="15"/>
  <c r="O389" i="15"/>
  <c r="P388" i="15"/>
  <c r="O388" i="15"/>
  <c r="P387" i="15"/>
  <c r="O387" i="15"/>
  <c r="P386" i="15"/>
  <c r="O386" i="15"/>
  <c r="P385" i="15"/>
  <c r="O385" i="15"/>
  <c r="P384" i="15"/>
  <c r="O384" i="15"/>
  <c r="P383" i="15"/>
  <c r="O383" i="15"/>
  <c r="P382" i="15"/>
  <c r="O382" i="15"/>
  <c r="P381" i="15"/>
  <c r="O381" i="15"/>
  <c r="P380" i="15"/>
  <c r="O380" i="15"/>
  <c r="P379" i="15"/>
  <c r="O379" i="15"/>
  <c r="P378" i="15"/>
  <c r="O378" i="15"/>
  <c r="P377" i="15"/>
  <c r="O377" i="15"/>
  <c r="P376" i="15"/>
  <c r="O376" i="15"/>
  <c r="P375" i="15"/>
  <c r="O375" i="15"/>
  <c r="P374" i="15"/>
  <c r="O374" i="15"/>
  <c r="P373" i="15"/>
  <c r="O373" i="15"/>
  <c r="P372" i="15"/>
  <c r="O372" i="15"/>
  <c r="P371" i="15"/>
  <c r="O371" i="15"/>
  <c r="P370" i="15"/>
  <c r="O370" i="15"/>
  <c r="P369" i="15"/>
  <c r="O369" i="15"/>
  <c r="P368" i="15"/>
  <c r="O368" i="15"/>
  <c r="P367" i="15"/>
  <c r="O367" i="15"/>
  <c r="P366" i="15"/>
  <c r="O366" i="15"/>
  <c r="P365" i="15"/>
  <c r="O365" i="15"/>
  <c r="P364" i="15"/>
  <c r="O364" i="15"/>
  <c r="P363" i="15"/>
  <c r="O363" i="15"/>
  <c r="P362" i="15"/>
  <c r="O362" i="15"/>
  <c r="P361" i="15"/>
  <c r="O361" i="15"/>
  <c r="P360" i="15"/>
  <c r="O360" i="15"/>
  <c r="P358" i="15"/>
  <c r="O358" i="15"/>
  <c r="P356" i="15"/>
  <c r="O356" i="15"/>
  <c r="P355" i="15"/>
  <c r="O355" i="15"/>
  <c r="P354" i="15"/>
  <c r="O354" i="15"/>
  <c r="P353" i="15"/>
  <c r="O353" i="15"/>
  <c r="P352" i="15"/>
  <c r="O352" i="15"/>
  <c r="P351" i="15"/>
  <c r="O351" i="15"/>
  <c r="P350" i="15"/>
  <c r="O350" i="15"/>
  <c r="P349" i="15"/>
  <c r="O349" i="15"/>
  <c r="P348" i="15"/>
  <c r="O348" i="15"/>
  <c r="P345" i="15"/>
  <c r="O345" i="15"/>
  <c r="P344" i="15"/>
  <c r="O344" i="15"/>
  <c r="P343" i="15"/>
  <c r="O343" i="15"/>
  <c r="P342" i="15"/>
  <c r="O342" i="15"/>
  <c r="P341" i="15"/>
  <c r="O341" i="15"/>
  <c r="P340" i="15"/>
  <c r="O340" i="15"/>
  <c r="P339" i="15"/>
  <c r="O339" i="15"/>
  <c r="P338" i="15"/>
  <c r="O338" i="15"/>
  <c r="P337" i="15"/>
  <c r="O337" i="15"/>
  <c r="P336" i="15"/>
  <c r="O336" i="15"/>
  <c r="P335" i="15"/>
  <c r="O335" i="15"/>
  <c r="P334" i="15"/>
  <c r="O334" i="15"/>
  <c r="P333" i="15"/>
  <c r="O333" i="15"/>
  <c r="P332" i="15"/>
  <c r="O332" i="15"/>
  <c r="P331" i="15"/>
  <c r="O331" i="15"/>
  <c r="P330" i="15"/>
  <c r="O330" i="15"/>
  <c r="P329" i="15"/>
  <c r="O329" i="15"/>
  <c r="P328" i="15"/>
  <c r="O328" i="15"/>
  <c r="P327" i="15"/>
  <c r="O327" i="15"/>
  <c r="P326" i="15"/>
  <c r="O326" i="15"/>
  <c r="P325" i="15"/>
  <c r="O325" i="15"/>
  <c r="P324" i="15"/>
  <c r="O324" i="15"/>
  <c r="P323" i="15"/>
  <c r="O323" i="15"/>
  <c r="P322" i="15"/>
  <c r="O322" i="15"/>
  <c r="P321" i="15"/>
  <c r="O321" i="15"/>
  <c r="P320" i="15"/>
  <c r="O320" i="15"/>
  <c r="P319" i="15"/>
  <c r="O319" i="15"/>
  <c r="P318" i="15"/>
  <c r="O318" i="15"/>
  <c r="P317" i="15"/>
  <c r="O317" i="15"/>
  <c r="P316" i="15"/>
  <c r="O316" i="15"/>
  <c r="P315" i="15"/>
  <c r="O315" i="15"/>
  <c r="P314" i="15"/>
  <c r="O314" i="15"/>
  <c r="P313" i="15"/>
  <c r="O313" i="15"/>
  <c r="P312" i="15"/>
  <c r="O312" i="15"/>
  <c r="P311" i="15"/>
  <c r="O311" i="15"/>
  <c r="P310" i="15"/>
  <c r="O310" i="15"/>
  <c r="P309" i="15"/>
  <c r="O309" i="15"/>
  <c r="P308" i="15"/>
  <c r="O308" i="15"/>
  <c r="P307" i="15"/>
  <c r="O307" i="15"/>
  <c r="P306" i="15"/>
  <c r="O306" i="15"/>
  <c r="P305" i="15"/>
  <c r="O305" i="15"/>
  <c r="P304" i="15"/>
  <c r="O304" i="15"/>
  <c r="P303" i="15"/>
  <c r="O303" i="15"/>
  <c r="P302" i="15"/>
  <c r="O302" i="15"/>
  <c r="P301" i="15"/>
  <c r="O301" i="15"/>
  <c r="P300" i="15"/>
  <c r="O300" i="15"/>
  <c r="P299" i="15"/>
  <c r="O299" i="15"/>
  <c r="P298" i="15"/>
  <c r="O298" i="15"/>
  <c r="P295" i="15"/>
  <c r="O295" i="15"/>
  <c r="P294" i="15"/>
  <c r="O294" i="15"/>
  <c r="P293" i="15"/>
  <c r="O293" i="15"/>
  <c r="P292" i="15"/>
  <c r="O292" i="15"/>
  <c r="P291" i="15"/>
  <c r="O291" i="15"/>
  <c r="P290" i="15"/>
  <c r="O290" i="15"/>
  <c r="P289" i="15"/>
  <c r="O289" i="15"/>
  <c r="P288" i="15"/>
  <c r="O288" i="15"/>
  <c r="P287" i="15"/>
  <c r="O287" i="15"/>
  <c r="P286" i="15"/>
  <c r="O286" i="15"/>
  <c r="P285" i="15"/>
  <c r="O285" i="15"/>
  <c r="P284" i="15"/>
  <c r="O284" i="15"/>
  <c r="P283" i="15"/>
  <c r="O283" i="15"/>
  <c r="P282" i="15"/>
  <c r="O282" i="15"/>
  <c r="P281" i="15"/>
  <c r="O281" i="15"/>
  <c r="P280" i="15"/>
  <c r="O280" i="15"/>
  <c r="P279" i="15"/>
  <c r="O279" i="15"/>
  <c r="P278" i="15"/>
  <c r="O278" i="15"/>
  <c r="P277" i="15"/>
  <c r="O277" i="15"/>
  <c r="P276" i="15"/>
  <c r="O276" i="15"/>
  <c r="P275" i="15"/>
  <c r="O275" i="15"/>
  <c r="P274" i="15"/>
  <c r="O274" i="15"/>
  <c r="P273" i="15"/>
  <c r="O273" i="15"/>
  <c r="P272" i="15"/>
  <c r="O272" i="15"/>
  <c r="P271" i="15"/>
  <c r="O271" i="15"/>
  <c r="P270" i="15"/>
  <c r="O270" i="15"/>
  <c r="P269" i="15"/>
  <c r="O269" i="15"/>
  <c r="P268" i="15"/>
  <c r="O268" i="15"/>
  <c r="P267" i="15"/>
  <c r="O267" i="15"/>
  <c r="P266" i="15"/>
  <c r="O266" i="15"/>
  <c r="P265" i="15"/>
  <c r="O265" i="15"/>
  <c r="P264" i="15"/>
  <c r="O264" i="15"/>
  <c r="P263" i="15"/>
  <c r="O263" i="15"/>
  <c r="P262" i="15"/>
  <c r="O262" i="15"/>
  <c r="P261" i="15"/>
  <c r="O261" i="15"/>
  <c r="P260" i="15"/>
  <c r="O260" i="15"/>
  <c r="P259" i="15"/>
  <c r="O259" i="15"/>
  <c r="P258" i="15"/>
  <c r="O258" i="15"/>
  <c r="P257" i="15"/>
  <c r="O257" i="15"/>
  <c r="P256" i="15"/>
  <c r="O256" i="15"/>
  <c r="P255" i="15"/>
  <c r="O255" i="15"/>
  <c r="P254" i="15"/>
  <c r="O254" i="15"/>
  <c r="P253" i="15"/>
  <c r="O253" i="15"/>
  <c r="P252" i="15"/>
  <c r="O252" i="15"/>
  <c r="P251" i="15"/>
  <c r="O251" i="15"/>
  <c r="P248" i="15"/>
  <c r="O248" i="15"/>
  <c r="P247" i="15"/>
  <c r="O247" i="15"/>
  <c r="P246" i="15"/>
  <c r="O246" i="15"/>
  <c r="P245" i="15"/>
  <c r="O245" i="15"/>
  <c r="P244" i="15"/>
  <c r="O244" i="15"/>
  <c r="P243" i="15"/>
  <c r="O243" i="15"/>
  <c r="P241" i="15"/>
  <c r="O241" i="15"/>
  <c r="P240" i="15"/>
  <c r="O240" i="15"/>
  <c r="P239" i="15"/>
  <c r="O239" i="15"/>
  <c r="P238" i="15"/>
  <c r="O238" i="15"/>
  <c r="P237" i="15"/>
  <c r="O237" i="15"/>
  <c r="P236" i="15"/>
  <c r="O236" i="15"/>
  <c r="P235" i="15"/>
  <c r="O235" i="15"/>
  <c r="P234" i="15"/>
  <c r="O234" i="15"/>
  <c r="P233" i="15"/>
  <c r="O233" i="15"/>
  <c r="P232" i="15"/>
  <c r="O232" i="15"/>
  <c r="P231" i="15"/>
  <c r="O231" i="15"/>
  <c r="P230" i="15"/>
  <c r="O230" i="15"/>
  <c r="P229" i="15"/>
  <c r="O229" i="15"/>
  <c r="P228" i="15"/>
  <c r="O228" i="15"/>
  <c r="P227" i="15"/>
  <c r="O227" i="15"/>
  <c r="P226" i="15"/>
  <c r="O226" i="15"/>
  <c r="P225" i="15"/>
  <c r="O225" i="15"/>
  <c r="P224" i="15"/>
  <c r="O224" i="15"/>
  <c r="P223" i="15"/>
  <c r="O223" i="15"/>
  <c r="P222" i="15"/>
  <c r="O222" i="15"/>
  <c r="P221" i="15"/>
  <c r="O221" i="15"/>
  <c r="P220" i="15"/>
  <c r="O220" i="15"/>
  <c r="P219" i="15"/>
  <c r="O219" i="15"/>
  <c r="P218" i="15"/>
  <c r="O218" i="15"/>
  <c r="P217" i="15"/>
  <c r="O217" i="15"/>
  <c r="P216" i="15"/>
  <c r="O216" i="15"/>
  <c r="P215" i="15"/>
  <c r="O215" i="15"/>
  <c r="P214" i="15"/>
  <c r="O214" i="15"/>
  <c r="P213" i="15"/>
  <c r="O213" i="15"/>
  <c r="P212" i="15"/>
  <c r="O212" i="15"/>
  <c r="P211" i="15"/>
  <c r="O211" i="15"/>
  <c r="P210" i="15"/>
  <c r="O210" i="15"/>
  <c r="P209" i="15"/>
  <c r="O209" i="15"/>
  <c r="P208" i="15"/>
  <c r="O208" i="15"/>
  <c r="P207" i="15"/>
  <c r="O207" i="15"/>
  <c r="P206" i="15"/>
  <c r="O206" i="15"/>
  <c r="P205" i="15"/>
  <c r="O205" i="15"/>
  <c r="P204" i="15"/>
  <c r="O204" i="15"/>
  <c r="P203" i="15"/>
  <c r="O203" i="15"/>
  <c r="P202" i="15"/>
  <c r="O202" i="15"/>
  <c r="P201" i="15"/>
  <c r="O201" i="15"/>
  <c r="P200" i="15"/>
  <c r="O200" i="15"/>
  <c r="P199" i="15"/>
  <c r="O199" i="15"/>
  <c r="P198" i="15"/>
  <c r="O198" i="15"/>
  <c r="P197" i="15"/>
  <c r="O197" i="15"/>
  <c r="P196" i="15"/>
  <c r="O196" i="15"/>
  <c r="P195" i="15"/>
  <c r="O195" i="15"/>
  <c r="P194" i="15"/>
  <c r="O194" i="15"/>
  <c r="P191" i="15"/>
  <c r="O191" i="15"/>
  <c r="P190" i="15"/>
  <c r="O190" i="15"/>
  <c r="P189" i="15"/>
  <c r="O189" i="15"/>
  <c r="P188" i="15"/>
  <c r="O188" i="15"/>
  <c r="P187" i="15"/>
  <c r="O187" i="15"/>
  <c r="P186" i="15"/>
  <c r="O186" i="15"/>
  <c r="P185" i="15"/>
  <c r="O185" i="15"/>
  <c r="P184" i="15"/>
  <c r="O184" i="15"/>
  <c r="P183" i="15"/>
  <c r="O183" i="15"/>
  <c r="P182" i="15"/>
  <c r="O182" i="15"/>
  <c r="P181" i="15"/>
  <c r="O181" i="15"/>
  <c r="P180" i="15"/>
  <c r="O180" i="15"/>
  <c r="P179" i="15"/>
  <c r="O179" i="15"/>
  <c r="P178" i="15"/>
  <c r="O178" i="15"/>
  <c r="P177" i="15"/>
  <c r="O177" i="15"/>
  <c r="P176" i="15"/>
  <c r="O176" i="15"/>
  <c r="P175" i="15"/>
  <c r="O175" i="15"/>
  <c r="P174" i="15"/>
  <c r="O174" i="15"/>
  <c r="P173" i="15"/>
  <c r="O173" i="15"/>
  <c r="P172" i="15"/>
  <c r="O172" i="15"/>
  <c r="P171" i="15"/>
  <c r="O171" i="15"/>
  <c r="P170" i="15"/>
  <c r="O170" i="15"/>
  <c r="P169" i="15"/>
  <c r="O169" i="15"/>
  <c r="P168" i="15"/>
  <c r="O168" i="15"/>
  <c r="P167" i="15"/>
  <c r="O167" i="15"/>
  <c r="P164" i="15"/>
  <c r="O164" i="15"/>
  <c r="P163" i="15"/>
  <c r="O163" i="15"/>
  <c r="P162" i="15"/>
  <c r="O162" i="15"/>
  <c r="P161" i="15"/>
  <c r="O161" i="15"/>
  <c r="P160" i="15"/>
  <c r="O160" i="15"/>
  <c r="P159" i="15"/>
  <c r="O159" i="15"/>
  <c r="P158" i="15"/>
  <c r="O158" i="15"/>
  <c r="P155" i="15"/>
  <c r="O155" i="15"/>
  <c r="P154" i="15"/>
  <c r="O154" i="15"/>
  <c r="P153" i="15"/>
  <c r="O153" i="15"/>
  <c r="P152" i="15"/>
  <c r="O152" i="15"/>
  <c r="P151" i="15"/>
  <c r="O151" i="15"/>
  <c r="P150" i="15"/>
  <c r="O150" i="15"/>
  <c r="P149" i="15"/>
  <c r="O149" i="15"/>
  <c r="P148" i="15"/>
  <c r="O148" i="15"/>
  <c r="P147" i="15"/>
  <c r="O147" i="15"/>
  <c r="P146" i="15"/>
  <c r="O146" i="15"/>
  <c r="P145" i="15"/>
  <c r="O145" i="15"/>
  <c r="P144" i="15"/>
  <c r="O144" i="15"/>
  <c r="P143" i="15"/>
  <c r="O143" i="15"/>
  <c r="P142" i="15"/>
  <c r="O142" i="15"/>
  <c r="P141" i="15"/>
  <c r="O141" i="15"/>
  <c r="P140" i="15"/>
  <c r="O140" i="15"/>
  <c r="P139" i="15"/>
  <c r="O139" i="15"/>
  <c r="P138" i="15"/>
  <c r="O138" i="15"/>
  <c r="P137" i="15"/>
  <c r="O137" i="15"/>
  <c r="P136" i="15"/>
  <c r="O136" i="15"/>
  <c r="P135" i="15"/>
  <c r="O135" i="15"/>
  <c r="P134" i="15"/>
  <c r="O134" i="15"/>
  <c r="P133" i="15"/>
  <c r="O133" i="15"/>
  <c r="P132" i="15"/>
  <c r="O132" i="15"/>
  <c r="P131" i="15"/>
  <c r="O131" i="15"/>
  <c r="P130" i="15"/>
  <c r="O130" i="15"/>
  <c r="P129" i="15"/>
  <c r="O129" i="15"/>
  <c r="P128" i="15"/>
  <c r="O128" i="15"/>
  <c r="P127" i="15"/>
  <c r="O127" i="15"/>
  <c r="P126" i="15"/>
  <c r="O126" i="15"/>
  <c r="P125" i="15"/>
  <c r="O125" i="15"/>
  <c r="P124" i="15"/>
  <c r="O124" i="15"/>
  <c r="P123" i="15"/>
  <c r="O123" i="15"/>
  <c r="P122" i="15"/>
  <c r="O122" i="15"/>
  <c r="P121" i="15"/>
  <c r="O121" i="15"/>
  <c r="P120" i="15"/>
  <c r="O120" i="15"/>
  <c r="P119" i="15"/>
  <c r="O119" i="15"/>
  <c r="P118" i="15"/>
  <c r="O118" i="15"/>
  <c r="P115" i="15"/>
  <c r="O115" i="15"/>
  <c r="P114" i="15"/>
  <c r="O114" i="15"/>
  <c r="P113" i="15"/>
  <c r="O113" i="15"/>
  <c r="P112" i="15"/>
  <c r="O112" i="15"/>
  <c r="P111" i="15"/>
  <c r="O111" i="15"/>
  <c r="P110" i="15"/>
  <c r="O110" i="15"/>
  <c r="P109" i="15"/>
  <c r="O109" i="15"/>
  <c r="P108" i="15"/>
  <c r="O108" i="15"/>
  <c r="P107" i="15"/>
  <c r="O107" i="15"/>
  <c r="P106" i="15"/>
  <c r="O106" i="15"/>
  <c r="P105" i="15"/>
  <c r="O105" i="15"/>
  <c r="P104" i="15"/>
  <c r="O104" i="15"/>
  <c r="P101" i="15"/>
  <c r="O101" i="15"/>
  <c r="P100" i="15"/>
  <c r="O100" i="15"/>
  <c r="P99" i="15"/>
  <c r="O99" i="15"/>
  <c r="P98" i="15"/>
  <c r="O98" i="15"/>
  <c r="P97" i="15"/>
  <c r="O97" i="15"/>
  <c r="P96" i="15"/>
  <c r="O96" i="15"/>
  <c r="P95" i="15"/>
  <c r="O95" i="15"/>
  <c r="P94" i="15"/>
  <c r="O94" i="15"/>
  <c r="P93" i="15"/>
  <c r="O93" i="15"/>
  <c r="P92" i="15"/>
  <c r="O92" i="15"/>
  <c r="P90" i="15"/>
  <c r="O90" i="15"/>
  <c r="P89" i="15"/>
  <c r="O89" i="15"/>
  <c r="P88" i="15"/>
  <c r="O88" i="15"/>
  <c r="P87" i="15"/>
  <c r="O87" i="15"/>
  <c r="P86" i="15"/>
  <c r="O86" i="15"/>
  <c r="P85" i="15"/>
  <c r="O85" i="15"/>
  <c r="P84" i="15"/>
  <c r="O84" i="15"/>
  <c r="P83" i="15"/>
  <c r="O83" i="15"/>
  <c r="P82" i="15"/>
  <c r="O82" i="15"/>
  <c r="P81" i="15"/>
  <c r="O81" i="15"/>
  <c r="P80" i="15"/>
  <c r="O80" i="15"/>
  <c r="P79" i="15"/>
  <c r="O79" i="15"/>
  <c r="P78" i="15"/>
  <c r="O78" i="15"/>
  <c r="P77" i="15"/>
  <c r="O77" i="15"/>
  <c r="P76" i="15"/>
  <c r="O76" i="15"/>
  <c r="P75" i="15"/>
  <c r="O75" i="15"/>
  <c r="P74" i="15"/>
  <c r="O74" i="15"/>
  <c r="P73" i="15"/>
  <c r="O73" i="15"/>
  <c r="P72" i="15"/>
  <c r="O72" i="15"/>
  <c r="P71" i="15"/>
  <c r="O71" i="15"/>
  <c r="P70" i="15"/>
  <c r="O70" i="15"/>
  <c r="P69" i="15"/>
  <c r="O69" i="15"/>
  <c r="P68" i="15"/>
  <c r="O68" i="15"/>
  <c r="P67" i="15"/>
  <c r="O67" i="15"/>
  <c r="P66" i="15"/>
  <c r="O66" i="15"/>
  <c r="P65" i="15"/>
  <c r="O65" i="15"/>
  <c r="P62" i="15"/>
  <c r="O62" i="15"/>
  <c r="P61" i="15"/>
  <c r="O61" i="15"/>
  <c r="P60" i="15"/>
  <c r="O60" i="15"/>
  <c r="P59" i="15"/>
  <c r="O59" i="15"/>
  <c r="P58" i="15"/>
  <c r="O58" i="15"/>
  <c r="P57" i="15"/>
  <c r="O57" i="15"/>
  <c r="P56" i="15"/>
  <c r="O56" i="15"/>
  <c r="P55" i="15"/>
  <c r="O55" i="15"/>
  <c r="P54" i="15"/>
  <c r="O54" i="15"/>
  <c r="P53" i="15"/>
  <c r="O53" i="15"/>
  <c r="P52" i="15"/>
  <c r="O52" i="15"/>
  <c r="P51" i="15"/>
  <c r="O51" i="15"/>
  <c r="P50" i="15"/>
  <c r="O50" i="15"/>
  <c r="P49" i="15"/>
  <c r="O49" i="15"/>
  <c r="P48" i="15"/>
  <c r="O48" i="15"/>
  <c r="P47" i="15"/>
  <c r="O47" i="15"/>
  <c r="P46" i="15"/>
  <c r="O46" i="15"/>
  <c r="P45" i="15"/>
  <c r="O45" i="15"/>
  <c r="P44" i="15"/>
  <c r="O44" i="15"/>
  <c r="P43" i="15"/>
  <c r="O43" i="15"/>
  <c r="P42" i="15"/>
  <c r="O42" i="15"/>
  <c r="P41" i="15"/>
  <c r="O41" i="15"/>
  <c r="P40" i="15"/>
  <c r="O40" i="15"/>
  <c r="P39" i="15"/>
  <c r="O39" i="15"/>
  <c r="P38" i="15"/>
  <c r="O38" i="15"/>
  <c r="P37" i="15"/>
  <c r="O37" i="15"/>
  <c r="P36" i="15"/>
  <c r="O36" i="15"/>
  <c r="P35" i="15"/>
  <c r="O35" i="15"/>
  <c r="P34" i="15"/>
  <c r="O34" i="15"/>
  <c r="P31" i="15"/>
  <c r="O31" i="15"/>
  <c r="P30" i="15"/>
  <c r="O30" i="15"/>
  <c r="P29" i="15"/>
  <c r="O29" i="15"/>
  <c r="P28" i="15"/>
  <c r="O28" i="15"/>
  <c r="P27" i="15"/>
  <c r="O27" i="15"/>
  <c r="P26" i="15"/>
  <c r="O26" i="15"/>
  <c r="P23" i="15"/>
  <c r="O23" i="15"/>
  <c r="P22" i="15"/>
  <c r="O22" i="15"/>
  <c r="P21" i="15"/>
  <c r="O21" i="15"/>
  <c r="P20" i="15"/>
  <c r="O20" i="15"/>
  <c r="P19" i="15"/>
  <c r="O19" i="15"/>
  <c r="P18" i="15"/>
  <c r="O18" i="15"/>
  <c r="P17" i="15"/>
  <c r="O17" i="15"/>
  <c r="P16" i="15"/>
  <c r="O16" i="15"/>
  <c r="P15" i="15"/>
  <c r="O15" i="15"/>
  <c r="P14" i="15"/>
  <c r="O14" i="15"/>
  <c r="P13" i="15"/>
  <c r="O13" i="15"/>
  <c r="P12" i="15"/>
  <c r="O12" i="15"/>
  <c r="P11" i="15"/>
  <c r="O11" i="15"/>
  <c r="P10" i="15"/>
  <c r="O10" i="15"/>
  <c r="P9" i="15"/>
  <c r="O9" i="15"/>
  <c r="P8" i="15"/>
  <c r="O8" i="15"/>
  <c r="P7" i="15"/>
  <c r="O7" i="15"/>
  <c r="P6" i="15"/>
  <c r="O6" i="15"/>
  <c r="P5" i="15"/>
  <c r="O5" i="15"/>
  <c r="P4" i="15"/>
  <c r="K19" i="25" l="1"/>
  <c r="L19" i="25"/>
  <c r="L13" i="25"/>
  <c r="K13" i="25"/>
  <c r="L173" i="25"/>
  <c r="L93" i="25"/>
  <c r="L102" i="25" s="1"/>
  <c r="K93" i="25"/>
  <c r="L86" i="25"/>
  <c r="K86" i="25"/>
  <c r="L81" i="25"/>
  <c r="K81" i="25"/>
  <c r="L83" i="25"/>
  <c r="K83" i="25"/>
  <c r="L73" i="25"/>
  <c r="K73" i="25"/>
  <c r="K77" i="25"/>
  <c r="L77" i="25"/>
  <c r="L76" i="25"/>
  <c r="K76" i="25"/>
  <c r="L69" i="25"/>
  <c r="K69" i="25"/>
  <c r="L71" i="25"/>
  <c r="K71" i="25"/>
  <c r="L70" i="25"/>
  <c r="K70" i="25"/>
  <c r="L62" i="25"/>
  <c r="K62" i="25"/>
  <c r="L56" i="25"/>
  <c r="K56" i="25"/>
  <c r="K55" i="25"/>
  <c r="L55" i="25"/>
  <c r="L57" i="25"/>
  <c r="K57" i="25"/>
  <c r="L58" i="25"/>
  <c r="K58" i="25"/>
  <c r="L43" i="25"/>
  <c r="K43" i="25"/>
  <c r="K49" i="25"/>
  <c r="L49" i="25"/>
  <c r="L44" i="25"/>
  <c r="K44" i="25"/>
  <c r="H63" i="25"/>
  <c r="L36" i="25"/>
  <c r="K36" i="25"/>
  <c r="L37" i="25"/>
  <c r="K37" i="25"/>
  <c r="L39" i="25"/>
  <c r="K39" i="25"/>
  <c r="K26" i="25"/>
  <c r="L26" i="25"/>
  <c r="L32" i="25" s="1"/>
  <c r="H24" i="25"/>
  <c r="K167" i="25"/>
  <c r="L167" i="25"/>
  <c r="K105" i="25"/>
  <c r="L105" i="25"/>
  <c r="L116" i="25" s="1"/>
  <c r="L158" i="25"/>
  <c r="K158" i="25"/>
  <c r="H89" i="25"/>
  <c r="G89" i="25"/>
  <c r="K349" i="25"/>
  <c r="L349" i="25"/>
  <c r="K39" i="24"/>
  <c r="L73" i="24"/>
  <c r="L71" i="24"/>
  <c r="L67" i="24"/>
  <c r="L86" i="24"/>
  <c r="L82" i="24"/>
  <c r="K70" i="24"/>
  <c r="L47" i="24"/>
  <c r="K47" i="24"/>
  <c r="L74" i="24"/>
  <c r="K74" i="24"/>
  <c r="L49" i="24"/>
  <c r="K49" i="24"/>
  <c r="L26" i="24"/>
  <c r="L32" i="24" s="1"/>
  <c r="K26" i="24"/>
  <c r="L102" i="24"/>
  <c r="K65" i="24"/>
  <c r="L65" i="24"/>
  <c r="L81" i="24"/>
  <c r="K81" i="24"/>
  <c r="L79" i="24"/>
  <c r="K79" i="24"/>
  <c r="L45" i="24"/>
  <c r="K45" i="24"/>
  <c r="G77" i="24"/>
  <c r="H77" i="24"/>
  <c r="L17" i="24"/>
  <c r="K17" i="24"/>
  <c r="L168" i="24"/>
  <c r="K168" i="24"/>
  <c r="L35" i="24"/>
  <c r="K35" i="24"/>
  <c r="L246" i="24"/>
  <c r="K246" i="24"/>
  <c r="L48" i="24"/>
  <c r="K48" i="24"/>
  <c r="L34" i="24"/>
  <c r="K34" i="24"/>
  <c r="K6" i="24"/>
  <c r="L6" i="24"/>
  <c r="G41" i="24"/>
  <c r="H41" i="24"/>
  <c r="B6" i="3" s="1"/>
  <c r="L43" i="24"/>
  <c r="K43" i="24"/>
  <c r="L116" i="24"/>
  <c r="H24" i="24"/>
  <c r="K158" i="24"/>
  <c r="L158" i="24"/>
  <c r="L197" i="24"/>
  <c r="K197" i="24"/>
  <c r="C3" i="3"/>
  <c r="J4" i="23"/>
  <c r="L4" i="23" s="1"/>
  <c r="C8" i="3"/>
  <c r="G80" i="23"/>
  <c r="H80" i="23"/>
  <c r="J80" i="23" s="1"/>
  <c r="G81" i="23"/>
  <c r="G70" i="23"/>
  <c r="H43" i="23"/>
  <c r="J43" i="23" s="1"/>
  <c r="K43" i="23" s="1"/>
  <c r="C5" i="3"/>
  <c r="K286" i="23"/>
  <c r="K282" i="23"/>
  <c r="K273" i="23"/>
  <c r="L273" i="23"/>
  <c r="K277" i="23"/>
  <c r="L274" i="23"/>
  <c r="L261" i="23"/>
  <c r="K261" i="23"/>
  <c r="L259" i="23"/>
  <c r="K251" i="23"/>
  <c r="L251" i="23"/>
  <c r="H296" i="23"/>
  <c r="L190" i="23"/>
  <c r="K190" i="23"/>
  <c r="L189" i="23"/>
  <c r="K189" i="23"/>
  <c r="L170" i="23"/>
  <c r="K174" i="23"/>
  <c r="L171" i="23"/>
  <c r="K168" i="23"/>
  <c r="L172" i="23"/>
  <c r="L114" i="23"/>
  <c r="L94" i="23"/>
  <c r="L97" i="23"/>
  <c r="H88" i="23"/>
  <c r="J88" i="23" s="1"/>
  <c r="K88" i="23" s="1"/>
  <c r="H85" i="23"/>
  <c r="J85" i="23" s="1"/>
  <c r="L85" i="23" s="1"/>
  <c r="G79" i="23"/>
  <c r="G74" i="23"/>
  <c r="K70" i="23"/>
  <c r="L65" i="23"/>
  <c r="K90" i="23"/>
  <c r="K79" i="23"/>
  <c r="G60" i="23"/>
  <c r="G62" i="23"/>
  <c r="H56" i="23"/>
  <c r="K56" i="23" s="1"/>
  <c r="H51" i="23"/>
  <c r="J51" i="23" s="1"/>
  <c r="K51" i="23" s="1"/>
  <c r="G52" i="23"/>
  <c r="G44" i="23"/>
  <c r="G45" i="23"/>
  <c r="G48" i="23"/>
  <c r="G38" i="23"/>
  <c r="L34" i="23"/>
  <c r="K36" i="23"/>
  <c r="K44" i="23"/>
  <c r="K60" i="23"/>
  <c r="K50" i="23"/>
  <c r="L54" i="23"/>
  <c r="H32" i="23"/>
  <c r="K31" i="23"/>
  <c r="H19" i="23"/>
  <c r="J19" i="23" s="1"/>
  <c r="L12" i="23"/>
  <c r="G5" i="23"/>
  <c r="G6" i="23"/>
  <c r="L14" i="23"/>
  <c r="K14" i="23"/>
  <c r="K7" i="23"/>
  <c r="L10" i="23"/>
  <c r="K16" i="23"/>
  <c r="K82" i="23"/>
  <c r="L82" i="23"/>
  <c r="L23" i="23"/>
  <c r="K23" i="23"/>
  <c r="L177" i="23"/>
  <c r="K177" i="23"/>
  <c r="L229" i="23"/>
  <c r="K229" i="23"/>
  <c r="L289" i="23"/>
  <c r="K289" i="23"/>
  <c r="L355" i="23"/>
  <c r="K355" i="23"/>
  <c r="K390" i="23"/>
  <c r="L390" i="23"/>
  <c r="L287" i="23"/>
  <c r="K287" i="23"/>
  <c r="K21" i="23"/>
  <c r="L21" i="23"/>
  <c r="L84" i="23"/>
  <c r="K84" i="23"/>
  <c r="L181" i="23"/>
  <c r="K181" i="23"/>
  <c r="K388" i="23"/>
  <c r="L388" i="23"/>
  <c r="L5" i="23"/>
  <c r="K5" i="23"/>
  <c r="L11" i="23"/>
  <c r="K11" i="23"/>
  <c r="L136" i="23"/>
  <c r="K136" i="23"/>
  <c r="L313" i="23"/>
  <c r="K313" i="23"/>
  <c r="L399" i="23"/>
  <c r="K399" i="23"/>
  <c r="L179" i="23"/>
  <c r="K179" i="23"/>
  <c r="L311" i="23"/>
  <c r="K311" i="23"/>
  <c r="L48" i="23"/>
  <c r="K48" i="23"/>
  <c r="L42" i="23"/>
  <c r="K42" i="23"/>
  <c r="K76" i="23"/>
  <c r="L76" i="23"/>
  <c r="L96" i="23"/>
  <c r="K96" i="23"/>
  <c r="K267" i="23"/>
  <c r="L267" i="23"/>
  <c r="L303" i="23"/>
  <c r="K303" i="23"/>
  <c r="L332" i="23"/>
  <c r="K332" i="23"/>
  <c r="L376" i="23"/>
  <c r="K376" i="23"/>
  <c r="L408" i="23"/>
  <c r="K408" i="23"/>
  <c r="H15" i="23"/>
  <c r="J15" i="23" s="1"/>
  <c r="G15" i="23"/>
  <c r="K27" i="23"/>
  <c r="L27" i="23"/>
  <c r="K101" i="23"/>
  <c r="K108" i="23"/>
  <c r="K219" i="23"/>
  <c r="L219" i="23"/>
  <c r="L255" i="23"/>
  <c r="L291" i="23"/>
  <c r="L13" i="23"/>
  <c r="K13" i="23"/>
  <c r="L30" i="23"/>
  <c r="K30" i="23"/>
  <c r="L52" i="23"/>
  <c r="K52" i="23"/>
  <c r="G55" i="23"/>
  <c r="H55" i="23"/>
  <c r="J55" i="23" s="1"/>
  <c r="L87" i="23"/>
  <c r="K87" i="23"/>
  <c r="K149" i="23"/>
  <c r="K162" i="23"/>
  <c r="L197" i="23"/>
  <c r="K197" i="23"/>
  <c r="K202" i="23"/>
  <c r="L205" i="23"/>
  <c r="K205" i="23"/>
  <c r="L318" i="23"/>
  <c r="K318" i="23"/>
  <c r="J353" i="23"/>
  <c r="K367" i="23"/>
  <c r="L367" i="23"/>
  <c r="L379" i="23"/>
  <c r="K379" i="23"/>
  <c r="K401" i="23"/>
  <c r="G13" i="23"/>
  <c r="G23" i="23"/>
  <c r="G61" i="23"/>
  <c r="K99" i="23"/>
  <c r="L99" i="23"/>
  <c r="L147" i="23"/>
  <c r="K187" i="23"/>
  <c r="L245" i="23"/>
  <c r="K245" i="23"/>
  <c r="K285" i="23"/>
  <c r="L330" i="23"/>
  <c r="K330" i="23"/>
  <c r="L394" i="23"/>
  <c r="K397" i="23"/>
  <c r="L406" i="23"/>
  <c r="L411" i="23"/>
  <c r="L8" i="23"/>
  <c r="G40" i="23"/>
  <c r="K61" i="23"/>
  <c r="L200" i="23"/>
  <c r="K200" i="23"/>
  <c r="L234" i="23"/>
  <c r="K241" i="23"/>
  <c r="L241" i="23"/>
  <c r="L340" i="23"/>
  <c r="K340" i="23"/>
  <c r="K392" i="23"/>
  <c r="G11" i="23"/>
  <c r="L28" i="23"/>
  <c r="K28" i="23"/>
  <c r="K40" i="23"/>
  <c r="H53" i="23"/>
  <c r="J53" i="23" s="1"/>
  <c r="G53" i="23"/>
  <c r="L59" i="23"/>
  <c r="K59" i="23"/>
  <c r="L69" i="23"/>
  <c r="K69" i="23"/>
  <c r="G82" i="23"/>
  <c r="L217" i="23"/>
  <c r="K217" i="23"/>
  <c r="L232" i="23"/>
  <c r="K232" i="23"/>
  <c r="L283" i="23"/>
  <c r="L343" i="23"/>
  <c r="K343" i="23"/>
  <c r="K351" i="23"/>
  <c r="L351" i="23"/>
  <c r="G69" i="23"/>
  <c r="H83" i="23"/>
  <c r="J83" i="23" s="1"/>
  <c r="G83" i="23"/>
  <c r="L163" i="23"/>
  <c r="K163" i="23"/>
  <c r="H242" i="23"/>
  <c r="L220" i="23"/>
  <c r="K239" i="23"/>
  <c r="L239" i="23"/>
  <c r="L263" i="23"/>
  <c r="K263" i="23"/>
  <c r="L276" i="23"/>
  <c r="K276" i="23"/>
  <c r="K309" i="23"/>
  <c r="L6" i="23"/>
  <c r="K6" i="23"/>
  <c r="H9" i="23"/>
  <c r="J9" i="23" s="1"/>
  <c r="G9" i="23"/>
  <c r="H46" i="23"/>
  <c r="J46" i="23" s="1"/>
  <c r="G46" i="23"/>
  <c r="K78" i="23"/>
  <c r="L78" i="23"/>
  <c r="L227" i="23"/>
  <c r="K227" i="23"/>
  <c r="K322" i="23"/>
  <c r="L322" i="23"/>
  <c r="L363" i="23"/>
  <c r="K363" i="23"/>
  <c r="H75" i="23"/>
  <c r="J75" i="23" s="1"/>
  <c r="G75" i="23"/>
  <c r="L266" i="23"/>
  <c r="K266" i="23"/>
  <c r="L307" i="23"/>
  <c r="K307" i="23"/>
  <c r="L349" i="23"/>
  <c r="K349" i="23"/>
  <c r="K19" i="23"/>
  <c r="L19" i="23"/>
  <c r="L38" i="23"/>
  <c r="K38" i="23"/>
  <c r="L62" i="23"/>
  <c r="K62" i="23"/>
  <c r="K126" i="23"/>
  <c r="L126" i="23"/>
  <c r="L139" i="23"/>
  <c r="K139" i="23"/>
  <c r="K175" i="23"/>
  <c r="L175" i="23"/>
  <c r="L218" i="23"/>
  <c r="K218" i="23"/>
  <c r="H57" i="23"/>
  <c r="J57" i="23" s="1"/>
  <c r="G57" i="23"/>
  <c r="F71" i="23"/>
  <c r="H67" i="23"/>
  <c r="J67" i="23" s="1"/>
  <c r="G86" i="23"/>
  <c r="H86" i="23"/>
  <c r="J86" i="23" s="1"/>
  <c r="F89" i="23"/>
  <c r="J105" i="23"/>
  <c r="H116" i="23"/>
  <c r="C9" i="3" s="1"/>
  <c r="L144" i="23"/>
  <c r="K144" i="23"/>
  <c r="L204" i="23"/>
  <c r="K204" i="23"/>
  <c r="L320" i="23"/>
  <c r="K320" i="23"/>
  <c r="K334" i="23"/>
  <c r="L334" i="23"/>
  <c r="K378" i="23"/>
  <c r="L378" i="23"/>
  <c r="L386" i="23"/>
  <c r="K386" i="23"/>
  <c r="H17" i="23"/>
  <c r="J17" i="23" s="1"/>
  <c r="G17" i="23"/>
  <c r="L47" i="23"/>
  <c r="K47" i="23"/>
  <c r="H73" i="23"/>
  <c r="G73" i="23"/>
  <c r="L323" i="23"/>
  <c r="K323" i="23"/>
  <c r="K364" i="23"/>
  <c r="L364" i="23"/>
  <c r="L381" i="23"/>
  <c r="K381" i="23"/>
  <c r="G35" i="23"/>
  <c r="G47" i="23"/>
  <c r="G76" i="23"/>
  <c r="L80" i="23"/>
  <c r="K80" i="23"/>
  <c r="G87" i="23"/>
  <c r="L173" i="23"/>
  <c r="L225" i="23"/>
  <c r="K225" i="23"/>
  <c r="K272" i="23"/>
  <c r="K281" i="23"/>
  <c r="L360" i="23"/>
  <c r="K360" i="23"/>
  <c r="L374" i="23"/>
  <c r="K374" i="23"/>
  <c r="L404" i="23"/>
  <c r="L409" i="23"/>
  <c r="K409" i="23"/>
  <c r="H35" i="23"/>
  <c r="H49" i="23"/>
  <c r="J49" i="23" s="1"/>
  <c r="L51" i="23"/>
  <c r="K150" i="23"/>
  <c r="L150" i="23"/>
  <c r="K188" i="23"/>
  <c r="L188" i="23"/>
  <c r="L210" i="23"/>
  <c r="K210" i="23"/>
  <c r="K223" i="23"/>
  <c r="L223" i="23"/>
  <c r="L279" i="23"/>
  <c r="L292" i="23"/>
  <c r="K292" i="23"/>
  <c r="H346" i="23"/>
  <c r="L402" i="23"/>
  <c r="K402" i="23"/>
  <c r="L29" i="23"/>
  <c r="K29" i="23"/>
  <c r="L158" i="23"/>
  <c r="K158" i="23"/>
  <c r="L216" i="23"/>
  <c r="K216" i="23"/>
  <c r="L260" i="23"/>
  <c r="K260" i="23"/>
  <c r="L341" i="23"/>
  <c r="K341" i="23"/>
  <c r="G41" i="23"/>
  <c r="L95" i="23"/>
  <c r="K95" i="23"/>
  <c r="L115" i="23"/>
  <c r="K115" i="23"/>
  <c r="H156" i="23"/>
  <c r="J123" i="23"/>
  <c r="L148" i="23"/>
  <c r="K148" i="23"/>
  <c r="H165" i="23"/>
  <c r="L221" i="23"/>
  <c r="K221" i="23"/>
  <c r="L290" i="23"/>
  <c r="K290" i="23"/>
  <c r="L317" i="23"/>
  <c r="K317" i="23"/>
  <c r="L372" i="23"/>
  <c r="K372" i="23"/>
  <c r="L400" i="23"/>
  <c r="K400" i="23"/>
  <c r="K407" i="23"/>
  <c r="L407" i="23"/>
  <c r="L412" i="23"/>
  <c r="K412" i="23"/>
  <c r="G8" i="23"/>
  <c r="K41" i="23"/>
  <c r="L43" i="23"/>
  <c r="K45" i="23"/>
  <c r="K74" i="23"/>
  <c r="H102" i="23"/>
  <c r="L109" i="23"/>
  <c r="K109" i="23"/>
  <c r="L111" i="23"/>
  <c r="L113" i="23"/>
  <c r="K113" i="23"/>
  <c r="L135" i="23"/>
  <c r="K146" i="23"/>
  <c r="L169" i="23"/>
  <c r="K169" i="23"/>
  <c r="L203" i="23"/>
  <c r="L228" i="23"/>
  <c r="K228" i="23"/>
  <c r="L252" i="23"/>
  <c r="K252" i="23"/>
  <c r="L256" i="23"/>
  <c r="K256" i="23"/>
  <c r="K265" i="23"/>
  <c r="L270" i="23"/>
  <c r="K270" i="23"/>
  <c r="K284" i="23"/>
  <c r="L288" i="23"/>
  <c r="K288" i="23"/>
  <c r="K299" i="23"/>
  <c r="K301" i="23"/>
  <c r="L312" i="23"/>
  <c r="K312" i="23"/>
  <c r="K335" i="23"/>
  <c r="K337" i="23"/>
  <c r="K370" i="23"/>
  <c r="L370" i="23"/>
  <c r="K382" i="23"/>
  <c r="L382" i="23"/>
  <c r="K22" i="23"/>
  <c r="L22" i="23"/>
  <c r="J26" i="23"/>
  <c r="G37" i="23"/>
  <c r="H39" i="23"/>
  <c r="J39" i="23" s="1"/>
  <c r="G39" i="23"/>
  <c r="H58" i="23"/>
  <c r="J58" i="23" s="1"/>
  <c r="G58" i="23"/>
  <c r="K72" i="23"/>
  <c r="J93" i="23"/>
  <c r="L100" i="23"/>
  <c r="L140" i="23"/>
  <c r="K140" i="23"/>
  <c r="K161" i="23"/>
  <c r="H192" i="23"/>
  <c r="K176" i="23"/>
  <c r="L176" i="23"/>
  <c r="L206" i="23"/>
  <c r="K206" i="23"/>
  <c r="K246" i="23"/>
  <c r="L246" i="23"/>
  <c r="K275" i="23"/>
  <c r="L295" i="23"/>
  <c r="K310" i="23"/>
  <c r="L310" i="23"/>
  <c r="L342" i="23"/>
  <c r="K352" i="23"/>
  <c r="L352" i="23"/>
  <c r="L368" i="23"/>
  <c r="K368" i="23"/>
  <c r="L18" i="23"/>
  <c r="K18" i="23"/>
  <c r="K37" i="23"/>
  <c r="H66" i="23"/>
  <c r="G66" i="23"/>
  <c r="H68" i="23"/>
  <c r="J68" i="23" s="1"/>
  <c r="G68" i="23"/>
  <c r="K81" i="23"/>
  <c r="L81" i="23"/>
  <c r="L98" i="23"/>
  <c r="K98" i="23"/>
  <c r="L107" i="23"/>
  <c r="K107" i="23"/>
  <c r="L167" i="23"/>
  <c r="K167" i="23"/>
  <c r="K231" i="23"/>
  <c r="L231" i="23"/>
  <c r="L236" i="23"/>
  <c r="K236" i="23"/>
  <c r="L240" i="23"/>
  <c r="K240" i="23"/>
  <c r="L268" i="23"/>
  <c r="K268" i="23"/>
  <c r="L315" i="23"/>
  <c r="K315" i="23"/>
  <c r="L375" i="23"/>
  <c r="K375" i="23"/>
  <c r="L387" i="23"/>
  <c r="K387" i="23"/>
  <c r="L405" i="23"/>
  <c r="K405" i="23"/>
  <c r="K138" i="23"/>
  <c r="L138" i="23"/>
  <c r="L191" i="23"/>
  <c r="K191" i="23"/>
  <c r="L199" i="23"/>
  <c r="K199" i="23"/>
  <c r="L331" i="23"/>
  <c r="K331" i="23"/>
  <c r="L350" i="23"/>
  <c r="K350" i="23"/>
  <c r="K338" i="23"/>
  <c r="L338" i="23"/>
  <c r="F77" i="23"/>
  <c r="K278" i="23"/>
  <c r="L298" i="23"/>
  <c r="K316" i="23"/>
  <c r="L336" i="23"/>
  <c r="K336" i="23"/>
  <c r="K345" i="23"/>
  <c r="H426" i="23"/>
  <c r="L294" i="23"/>
  <c r="K300" i="23"/>
  <c r="L302" i="23"/>
  <c r="L314" i="23"/>
  <c r="L362" i="23"/>
  <c r="K380" i="23"/>
  <c r="L180" i="23"/>
  <c r="K180" i="23"/>
  <c r="K356" i="23"/>
  <c r="L356" i="23"/>
  <c r="L385" i="23"/>
  <c r="K385" i="23"/>
  <c r="L178" i="23"/>
  <c r="K178" i="23"/>
  <c r="H249" i="23"/>
  <c r="J244" i="23"/>
  <c r="L264" i="23"/>
  <c r="K264" i="23"/>
  <c r="L319" i="23"/>
  <c r="K319" i="23"/>
  <c r="L354" i="23"/>
  <c r="K354" i="23"/>
  <c r="L383" i="23"/>
  <c r="K383" i="23"/>
  <c r="K104" i="23"/>
  <c r="K128" i="23"/>
  <c r="K152" i="23"/>
  <c r="K269" i="23"/>
  <c r="L271" i="23"/>
  <c r="H13" i="22"/>
  <c r="J13" i="22" s="1"/>
  <c r="H11" i="22"/>
  <c r="D8" i="3"/>
  <c r="H67" i="22"/>
  <c r="J67" i="22" s="1"/>
  <c r="L67" i="22" s="1"/>
  <c r="H70" i="22"/>
  <c r="J70" i="22" s="1"/>
  <c r="L70" i="22" s="1"/>
  <c r="F71" i="22"/>
  <c r="G71" i="22" s="1"/>
  <c r="H48" i="22"/>
  <c r="J48" i="22" s="1"/>
  <c r="F41" i="22"/>
  <c r="G41" i="22" s="1"/>
  <c r="D6" i="3"/>
  <c r="D3" i="3"/>
  <c r="D5" i="3"/>
  <c r="L391" i="22"/>
  <c r="L352" i="22"/>
  <c r="K352" i="22"/>
  <c r="L361" i="22"/>
  <c r="K361" i="22"/>
  <c r="L366" i="22"/>
  <c r="H414" i="22"/>
  <c r="J349" i="22"/>
  <c r="K349" i="22" s="1"/>
  <c r="L358" i="22"/>
  <c r="L383" i="22"/>
  <c r="K378" i="22"/>
  <c r="L283" i="22"/>
  <c r="K286" i="22"/>
  <c r="L286" i="22"/>
  <c r="L279" i="22"/>
  <c r="K279" i="22"/>
  <c r="H296" i="22"/>
  <c r="K263" i="22"/>
  <c r="L271" i="22"/>
  <c r="L177" i="22"/>
  <c r="K172" i="22"/>
  <c r="K168" i="22"/>
  <c r="K176" i="22"/>
  <c r="L181" i="22"/>
  <c r="K188" i="22"/>
  <c r="K239" i="22"/>
  <c r="K248" i="22"/>
  <c r="K262" i="22"/>
  <c r="L284" i="22"/>
  <c r="K298" i="22"/>
  <c r="K310" i="22"/>
  <c r="K374" i="22"/>
  <c r="L379" i="22"/>
  <c r="K394" i="22"/>
  <c r="K410" i="22"/>
  <c r="K195" i="22"/>
  <c r="L200" i="22"/>
  <c r="K255" i="22"/>
  <c r="L260" i="22"/>
  <c r="K267" i="22"/>
  <c r="K227" i="22"/>
  <c r="L232" i="22"/>
  <c r="L367" i="22"/>
  <c r="K392" i="22"/>
  <c r="L408" i="22"/>
  <c r="K215" i="22"/>
  <c r="L220" i="22"/>
  <c r="K306" i="22"/>
  <c r="K318" i="22"/>
  <c r="K338" i="22"/>
  <c r="K390" i="22"/>
  <c r="K398" i="22"/>
  <c r="L403" i="22"/>
  <c r="L208" i="22"/>
  <c r="K275" i="22"/>
  <c r="K370" i="22"/>
  <c r="K385" i="22"/>
  <c r="K184" i="22"/>
  <c r="K235" i="22"/>
  <c r="K244" i="22"/>
  <c r="K290" i="22"/>
  <c r="L292" i="22"/>
  <c r="K333" i="22"/>
  <c r="K351" i="22"/>
  <c r="L353" i="22"/>
  <c r="L196" i="22"/>
  <c r="K211" i="22"/>
  <c r="K233" i="22"/>
  <c r="K254" i="22"/>
  <c r="L256" i="22"/>
  <c r="K326" i="22"/>
  <c r="K373" i="22"/>
  <c r="K226" i="22"/>
  <c r="K231" i="22"/>
  <c r="K314" i="22"/>
  <c r="K399" i="22"/>
  <c r="L404" i="22"/>
  <c r="K345" i="22"/>
  <c r="K214" i="22"/>
  <c r="K106" i="22"/>
  <c r="K134" i="22"/>
  <c r="L147" i="22"/>
  <c r="L107" i="22"/>
  <c r="L119" i="22"/>
  <c r="L127" i="22"/>
  <c r="L115" i="22"/>
  <c r="K130" i="22"/>
  <c r="K140" i="22"/>
  <c r="L151" i="22"/>
  <c r="L95" i="22"/>
  <c r="K101" i="22"/>
  <c r="G87" i="22"/>
  <c r="G85" i="22"/>
  <c r="G88" i="22"/>
  <c r="G86" i="22"/>
  <c r="H86" i="22"/>
  <c r="J86" i="22" s="1"/>
  <c r="K86" i="22" s="1"/>
  <c r="G89" i="22"/>
  <c r="G80" i="22"/>
  <c r="H80" i="22"/>
  <c r="J80" i="22" s="1"/>
  <c r="L80" i="22" s="1"/>
  <c r="G75" i="22"/>
  <c r="G68" i="22"/>
  <c r="H66" i="22"/>
  <c r="J66" i="22" s="1"/>
  <c r="L66" i="22" s="1"/>
  <c r="H69" i="22"/>
  <c r="J69" i="22" s="1"/>
  <c r="K69" i="22" s="1"/>
  <c r="L78" i="22"/>
  <c r="K67" i="22"/>
  <c r="L75" i="22"/>
  <c r="L87" i="22"/>
  <c r="K66" i="22"/>
  <c r="H58" i="22"/>
  <c r="J58" i="22" s="1"/>
  <c r="K58" i="22" s="1"/>
  <c r="H55" i="22"/>
  <c r="J55" i="22" s="1"/>
  <c r="L51" i="22"/>
  <c r="G47" i="22"/>
  <c r="H45" i="22"/>
  <c r="J45" i="22" s="1"/>
  <c r="L45" i="22" s="1"/>
  <c r="G46" i="22"/>
  <c r="F49" i="22"/>
  <c r="H49" i="22" s="1"/>
  <c r="J49" i="22" s="1"/>
  <c r="G39" i="22"/>
  <c r="K54" i="22"/>
  <c r="L54" i="22"/>
  <c r="L57" i="22"/>
  <c r="K39" i="22"/>
  <c r="K42" i="22"/>
  <c r="K50" i="22"/>
  <c r="K34" i="22"/>
  <c r="L31" i="22"/>
  <c r="K31" i="22"/>
  <c r="K26" i="22"/>
  <c r="L29" i="22"/>
  <c r="G19" i="22"/>
  <c r="G17" i="22"/>
  <c r="H15" i="22"/>
  <c r="J15" i="22" s="1"/>
  <c r="L15" i="22" s="1"/>
  <c r="G8" i="22"/>
  <c r="G9" i="22"/>
  <c r="H5" i="22"/>
  <c r="J5" i="22" s="1"/>
  <c r="L5" i="22" s="1"/>
  <c r="L14" i="22"/>
  <c r="K14" i="22"/>
  <c r="K10" i="22"/>
  <c r="L19" i="22"/>
  <c r="L44" i="22"/>
  <c r="K44" i="22"/>
  <c r="K111" i="22"/>
  <c r="L111" i="22"/>
  <c r="L8" i="22"/>
  <c r="K8" i="22"/>
  <c r="L152" i="22"/>
  <c r="K152" i="22"/>
  <c r="K400" i="22"/>
  <c r="L400" i="22"/>
  <c r="L360" i="22"/>
  <c r="K360" i="22"/>
  <c r="K48" i="22"/>
  <c r="L48" i="22"/>
  <c r="K216" i="22"/>
  <c r="L216" i="22"/>
  <c r="K331" i="22"/>
  <c r="L331" i="22"/>
  <c r="L409" i="22"/>
  <c r="K409" i="22"/>
  <c r="L28" i="22"/>
  <c r="K28" i="22"/>
  <c r="K276" i="22"/>
  <c r="L276" i="22"/>
  <c r="L56" i="22"/>
  <c r="K56" i="22"/>
  <c r="L293" i="22"/>
  <c r="K293" i="22"/>
  <c r="L38" i="22"/>
  <c r="K38" i="22"/>
  <c r="L128" i="22"/>
  <c r="K128" i="22"/>
  <c r="K173" i="22"/>
  <c r="L173" i="22"/>
  <c r="L312" i="22"/>
  <c r="K312" i="22"/>
  <c r="L384" i="22"/>
  <c r="K384" i="22"/>
  <c r="L36" i="22"/>
  <c r="K36" i="22"/>
  <c r="L47" i="22"/>
  <c r="K47" i="22"/>
  <c r="L61" i="22"/>
  <c r="K61" i="22"/>
  <c r="K375" i="22"/>
  <c r="L375" i="22"/>
  <c r="L132" i="22"/>
  <c r="K132" i="22"/>
  <c r="L201" i="22"/>
  <c r="K201" i="22"/>
  <c r="L316" i="22"/>
  <c r="K316" i="22"/>
  <c r="L13" i="22"/>
  <c r="K13" i="22"/>
  <c r="L53" i="22"/>
  <c r="K53" i="22"/>
  <c r="L7" i="22"/>
  <c r="K7" i="22"/>
  <c r="L21" i="22"/>
  <c r="K21" i="22"/>
  <c r="L96" i="22"/>
  <c r="K96" i="22"/>
  <c r="J4" i="22"/>
  <c r="L68" i="22"/>
  <c r="K68" i="22"/>
  <c r="H76" i="22"/>
  <c r="J76" i="22" s="1"/>
  <c r="G76" i="22"/>
  <c r="K245" i="22"/>
  <c r="L245" i="22"/>
  <c r="L413" i="22"/>
  <c r="K413" i="22"/>
  <c r="L40" i="22"/>
  <c r="K40" i="22"/>
  <c r="K154" i="22"/>
  <c r="J252" i="22"/>
  <c r="L280" i="22"/>
  <c r="H23" i="22"/>
  <c r="J23" i="22" s="1"/>
  <c r="L27" i="22"/>
  <c r="K27" i="22"/>
  <c r="G38" i="22"/>
  <c r="L60" i="22"/>
  <c r="K60" i="22"/>
  <c r="G82" i="22"/>
  <c r="K89" i="22"/>
  <c r="L89" i="22"/>
  <c r="L137" i="22"/>
  <c r="K137" i="22"/>
  <c r="K175" i="22"/>
  <c r="L180" i="22"/>
  <c r="K180" i="22"/>
  <c r="K362" i="22"/>
  <c r="L35" i="22"/>
  <c r="K35" i="22"/>
  <c r="L46" i="22"/>
  <c r="K46" i="22"/>
  <c r="L120" i="22"/>
  <c r="K120" i="22"/>
  <c r="L182" i="22"/>
  <c r="K182" i="22"/>
  <c r="L229" i="22"/>
  <c r="K229" i="22"/>
  <c r="H74" i="22"/>
  <c r="J74" i="22" s="1"/>
  <c r="F77" i="22"/>
  <c r="L100" i="22"/>
  <c r="K100" i="22"/>
  <c r="L259" i="22"/>
  <c r="K259" i="22"/>
  <c r="K278" i="22"/>
  <c r="L285" i="22"/>
  <c r="K285" i="22"/>
  <c r="L303" i="22"/>
  <c r="L336" i="22"/>
  <c r="K336" i="22"/>
  <c r="L9" i="22"/>
  <c r="K9" i="22"/>
  <c r="L58" i="22"/>
  <c r="H83" i="22"/>
  <c r="J83" i="22" s="1"/>
  <c r="G83" i="22"/>
  <c r="K82" i="22"/>
  <c r="K109" i="22"/>
  <c r="K203" i="22"/>
  <c r="K264" i="22"/>
  <c r="L264" i="22"/>
  <c r="L344" i="22"/>
  <c r="K344" i="22"/>
  <c r="K386" i="22"/>
  <c r="L30" i="22"/>
  <c r="K30" i="22"/>
  <c r="H41" i="22"/>
  <c r="J41" i="22" s="1"/>
  <c r="L43" i="22"/>
  <c r="K43" i="22"/>
  <c r="G61" i="22"/>
  <c r="K80" i="22"/>
  <c r="L90" i="22"/>
  <c r="K90" i="22"/>
  <c r="K121" i="22"/>
  <c r="L145" i="22"/>
  <c r="K169" i="22"/>
  <c r="L169" i="22"/>
  <c r="K190" i="22"/>
  <c r="K218" i="22"/>
  <c r="L223" i="22"/>
  <c r="K223" i="22"/>
  <c r="K295" i="22"/>
  <c r="L327" i="22"/>
  <c r="K363" i="22"/>
  <c r="L363" i="22"/>
  <c r="K402" i="22"/>
  <c r="H32" i="22"/>
  <c r="H52" i="22"/>
  <c r="J52" i="22" s="1"/>
  <c r="G52" i="22"/>
  <c r="L72" i="22"/>
  <c r="K72" i="22"/>
  <c r="K94" i="22"/>
  <c r="K126" i="22"/>
  <c r="L143" i="22"/>
  <c r="K204" i="22"/>
  <c r="L204" i="22"/>
  <c r="L265" i="22"/>
  <c r="K265" i="22"/>
  <c r="L299" i="22"/>
  <c r="K342" i="22"/>
  <c r="L354" i="22"/>
  <c r="K354" i="22"/>
  <c r="K368" i="22"/>
  <c r="K387" i="22"/>
  <c r="L387" i="22"/>
  <c r="K407" i="22"/>
  <c r="L186" i="22"/>
  <c r="K186" i="22"/>
  <c r="H242" i="22"/>
  <c r="K228" i="22"/>
  <c r="L228" i="22"/>
  <c r="L289" i="22"/>
  <c r="K289" i="22"/>
  <c r="L380" i="22"/>
  <c r="K380" i="22"/>
  <c r="K412" i="22"/>
  <c r="L412" i="22"/>
  <c r="L17" i="22"/>
  <c r="K17" i="22"/>
  <c r="K185" i="22"/>
  <c r="L185" i="22"/>
  <c r="L225" i="22"/>
  <c r="K225" i="22"/>
  <c r="L246" i="22"/>
  <c r="K246" i="22"/>
  <c r="L257" i="22"/>
  <c r="K257" i="22"/>
  <c r="L301" i="22"/>
  <c r="K301" i="22"/>
  <c r="L356" i="22"/>
  <c r="K356" i="22"/>
  <c r="L411" i="22"/>
  <c r="K411" i="22"/>
  <c r="L65" i="22"/>
  <c r="K65" i="22"/>
  <c r="K98" i="22"/>
  <c r="L123" i="22"/>
  <c r="L150" i="22"/>
  <c r="K150" i="22"/>
  <c r="K171" i="22"/>
  <c r="L178" i="22"/>
  <c r="K178" i="22"/>
  <c r="K194" i="22"/>
  <c r="L199" i="22"/>
  <c r="K199" i="22"/>
  <c r="K269" i="22"/>
  <c r="L274" i="22"/>
  <c r="K274" i="22"/>
  <c r="L281" i="22"/>
  <c r="K281" i="22"/>
  <c r="K377" i="22"/>
  <c r="L382" i="22"/>
  <c r="K382" i="22"/>
  <c r="L22" i="22"/>
  <c r="K22" i="22"/>
  <c r="K99" i="22"/>
  <c r="L99" i="22"/>
  <c r="L160" i="22"/>
  <c r="K160" i="22"/>
  <c r="L163" i="22"/>
  <c r="K163" i="22"/>
  <c r="L221" i="22"/>
  <c r="K221" i="22"/>
  <c r="L340" i="22"/>
  <c r="K340" i="22"/>
  <c r="K371" i="22"/>
  <c r="L371" i="22"/>
  <c r="L405" i="22"/>
  <c r="K405" i="22"/>
  <c r="L6" i="22"/>
  <c r="K6" i="22"/>
  <c r="K16" i="22"/>
  <c r="K18" i="22"/>
  <c r="L37" i="22"/>
  <c r="K37" i="22"/>
  <c r="G44" i="22"/>
  <c r="K59" i="22"/>
  <c r="K70" i="22"/>
  <c r="L84" i="22"/>
  <c r="L88" i="22"/>
  <c r="L141" i="22"/>
  <c r="K141" i="22"/>
  <c r="K212" i="22"/>
  <c r="L212" i="22"/>
  <c r="K238" i="22"/>
  <c r="L282" i="22"/>
  <c r="K282" i="22"/>
  <c r="L328" i="22"/>
  <c r="K328" i="22"/>
  <c r="L364" i="22"/>
  <c r="K364" i="22"/>
  <c r="K396" i="22"/>
  <c r="L396" i="22"/>
  <c r="L55" i="22"/>
  <c r="K55" i="22"/>
  <c r="K139" i="22"/>
  <c r="L139" i="22"/>
  <c r="L144" i="22"/>
  <c r="K144" i="22"/>
  <c r="L205" i="22"/>
  <c r="K205" i="22"/>
  <c r="K236" i="22"/>
  <c r="L236" i="22"/>
  <c r="L261" i="22"/>
  <c r="K261" i="22"/>
  <c r="L300" i="22"/>
  <c r="K300" i="22"/>
  <c r="K343" i="22"/>
  <c r="L343" i="22"/>
  <c r="L388" i="22"/>
  <c r="K388" i="22"/>
  <c r="L308" i="22"/>
  <c r="K308" i="22"/>
  <c r="L325" i="22"/>
  <c r="K325" i="22"/>
  <c r="L105" i="22"/>
  <c r="K105" i="22"/>
  <c r="L124" i="22"/>
  <c r="K124" i="22"/>
  <c r="L148" i="22"/>
  <c r="K148" i="22"/>
  <c r="K161" i="22"/>
  <c r="L167" i="22"/>
  <c r="K167" i="22"/>
  <c r="J197" i="22"/>
  <c r="L210" i="22"/>
  <c r="K210" i="22"/>
  <c r="L234" i="22"/>
  <c r="K234" i="22"/>
  <c r="H249" i="22"/>
  <c r="L272" i="22"/>
  <c r="K287" i="22"/>
  <c r="K321" i="22"/>
  <c r="L323" i="22"/>
  <c r="K334" i="22"/>
  <c r="L369" i="22"/>
  <c r="K369" i="22"/>
  <c r="L393" i="22"/>
  <c r="K393" i="22"/>
  <c r="H426" i="22"/>
  <c r="L191" i="22"/>
  <c r="K191" i="22"/>
  <c r="L253" i="22"/>
  <c r="K253" i="22"/>
  <c r="L270" i="22"/>
  <c r="K270" i="22"/>
  <c r="L304" i="22"/>
  <c r="K304" i="22"/>
  <c r="L332" i="22"/>
  <c r="K332" i="22"/>
  <c r="L350" i="22"/>
  <c r="K350" i="22"/>
  <c r="G6" i="22"/>
  <c r="K12" i="22"/>
  <c r="K20" i="22"/>
  <c r="G37" i="22"/>
  <c r="G40" i="22"/>
  <c r="G60" i="22"/>
  <c r="H81" i="22"/>
  <c r="J81" i="22" s="1"/>
  <c r="G81" i="22"/>
  <c r="K114" i="22"/>
  <c r="K118" i="22"/>
  <c r="K122" i="22"/>
  <c r="K133" i="22"/>
  <c r="L135" i="22"/>
  <c r="K146" i="22"/>
  <c r="K159" i="22"/>
  <c r="L174" i="22"/>
  <c r="K174" i="22"/>
  <c r="K187" i="22"/>
  <c r="L189" i="22"/>
  <c r="K206" i="22"/>
  <c r="L217" i="22"/>
  <c r="K217" i="22"/>
  <c r="K230" i="22"/>
  <c r="L241" i="22"/>
  <c r="K241" i="22"/>
  <c r="K247" i="22"/>
  <c r="K266" i="22"/>
  <c r="L268" i="22"/>
  <c r="H346" i="22"/>
  <c r="K302" i="22"/>
  <c r="K317" i="22"/>
  <c r="L319" i="22"/>
  <c r="K365" i="22"/>
  <c r="L376" i="22"/>
  <c r="K376" i="22"/>
  <c r="K389" i="22"/>
  <c r="L401" i="22"/>
  <c r="K401" i="22"/>
  <c r="G57" i="22"/>
  <c r="G79" i="22"/>
  <c r="L85" i="22"/>
  <c r="H102" i="22"/>
  <c r="K97" i="22"/>
  <c r="L112" i="22"/>
  <c r="K112" i="22"/>
  <c r="L131" i="22"/>
  <c r="K142" i="22"/>
  <c r="L155" i="22"/>
  <c r="K251" i="22"/>
  <c r="L277" i="22"/>
  <c r="K277" i="22"/>
  <c r="L294" i="22"/>
  <c r="K294" i="22"/>
  <c r="L315" i="22"/>
  <c r="K330" i="22"/>
  <c r="K341" i="22"/>
  <c r="H73" i="22"/>
  <c r="J73" i="22" s="1"/>
  <c r="G73" i="22"/>
  <c r="K79" i="22"/>
  <c r="L93" i="22"/>
  <c r="K93" i="22"/>
  <c r="L129" i="22"/>
  <c r="K129" i="22"/>
  <c r="L153" i="22"/>
  <c r="K153" i="22"/>
  <c r="L170" i="22"/>
  <c r="K170" i="22"/>
  <c r="H192" i="22"/>
  <c r="L213" i="22"/>
  <c r="K213" i="22"/>
  <c r="L237" i="22"/>
  <c r="K237" i="22"/>
  <c r="L313" i="22"/>
  <c r="K313" i="22"/>
  <c r="L372" i="22"/>
  <c r="K372" i="22"/>
  <c r="L397" i="22"/>
  <c r="K397" i="22"/>
  <c r="H62" i="22"/>
  <c r="J62" i="22" s="1"/>
  <c r="G62" i="22"/>
  <c r="H116" i="22"/>
  <c r="D9" i="3" s="1"/>
  <c r="L108" i="22"/>
  <c r="K108" i="22"/>
  <c r="L273" i="22"/>
  <c r="K273" i="22"/>
  <c r="L337" i="22"/>
  <c r="K337" i="22"/>
  <c r="J104" i="22"/>
  <c r="H156" i="22"/>
  <c r="K125" i="22"/>
  <c r="L136" i="22"/>
  <c r="K136" i="22"/>
  <c r="K149" i="22"/>
  <c r="L162" i="22"/>
  <c r="L179" i="22"/>
  <c r="K179" i="22"/>
  <c r="L198" i="22"/>
  <c r="K198" i="22"/>
  <c r="L222" i="22"/>
  <c r="K222" i="22"/>
  <c r="L258" i="22"/>
  <c r="K258" i="22"/>
  <c r="L288" i="22"/>
  <c r="L320" i="22"/>
  <c r="K320" i="22"/>
  <c r="K324" i="22"/>
  <c r="L335" i="22"/>
  <c r="L355" i="22"/>
  <c r="K355" i="22"/>
  <c r="L381" i="22"/>
  <c r="K381" i="22"/>
  <c r="K406" i="22"/>
  <c r="L393" i="21"/>
  <c r="K393" i="21"/>
  <c r="L355" i="21"/>
  <c r="K355" i="21"/>
  <c r="L387" i="21"/>
  <c r="K387" i="21"/>
  <c r="L350" i="21"/>
  <c r="K350" i="21"/>
  <c r="L389" i="21"/>
  <c r="K389" i="21"/>
  <c r="L382" i="21"/>
  <c r="K382" i="21"/>
  <c r="L413" i="21"/>
  <c r="K413" i="21"/>
  <c r="L406" i="21"/>
  <c r="K406" i="21"/>
  <c r="H414" i="21"/>
  <c r="J349" i="21"/>
  <c r="L378" i="21"/>
  <c r="K384" i="21"/>
  <c r="L380" i="21"/>
  <c r="L394" i="21"/>
  <c r="L390" i="21"/>
  <c r="H87" i="21"/>
  <c r="J87" i="21" s="1"/>
  <c r="K87" i="21" s="1"/>
  <c r="E8" i="3"/>
  <c r="G81" i="21"/>
  <c r="H45" i="21"/>
  <c r="J45" i="21" s="1"/>
  <c r="K45" i="21" s="1"/>
  <c r="F41" i="21"/>
  <c r="H41" i="21" s="1"/>
  <c r="J41" i="21" s="1"/>
  <c r="E6" i="3"/>
  <c r="L267" i="21"/>
  <c r="L253" i="21"/>
  <c r="K253" i="21"/>
  <c r="L291" i="21"/>
  <c r="K259" i="21"/>
  <c r="K258" i="21"/>
  <c r="K286" i="21"/>
  <c r="L284" i="21"/>
  <c r="L260" i="21"/>
  <c r="K265" i="21"/>
  <c r="K282" i="21"/>
  <c r="K294" i="21"/>
  <c r="K270" i="21"/>
  <c r="K277" i="21"/>
  <c r="K254" i="21"/>
  <c r="L269" i="21"/>
  <c r="L271" i="21"/>
  <c r="L173" i="21"/>
  <c r="K173" i="21"/>
  <c r="K171" i="21"/>
  <c r="L171" i="21"/>
  <c r="L178" i="21"/>
  <c r="K178" i="21"/>
  <c r="K179" i="21"/>
  <c r="K191" i="21"/>
  <c r="L169" i="21"/>
  <c r="K167" i="21"/>
  <c r="K183" i="21"/>
  <c r="K186" i="21"/>
  <c r="K174" i="21"/>
  <c r="L181" i="21"/>
  <c r="L175" i="21"/>
  <c r="K105" i="21"/>
  <c r="L105" i="21"/>
  <c r="K93" i="21"/>
  <c r="L95" i="21"/>
  <c r="K100" i="21"/>
  <c r="L94" i="21"/>
  <c r="G86" i="21"/>
  <c r="H86" i="21"/>
  <c r="J86" i="21" s="1"/>
  <c r="L86" i="21" s="1"/>
  <c r="G80" i="21"/>
  <c r="H80" i="21"/>
  <c r="J80" i="21" s="1"/>
  <c r="K80" i="21" s="1"/>
  <c r="G76" i="21"/>
  <c r="G73" i="21"/>
  <c r="H71" i="21"/>
  <c r="J71" i="21" s="1"/>
  <c r="L71" i="21" s="1"/>
  <c r="G71" i="21"/>
  <c r="G68" i="21"/>
  <c r="G66" i="21"/>
  <c r="H69" i="21"/>
  <c r="J69" i="21" s="1"/>
  <c r="L69" i="21" s="1"/>
  <c r="L72" i="21"/>
  <c r="K72" i="21"/>
  <c r="L65" i="21"/>
  <c r="K65" i="21"/>
  <c r="K76" i="21"/>
  <c r="L78" i="21"/>
  <c r="K73" i="21"/>
  <c r="L84" i="21"/>
  <c r="G55" i="21"/>
  <c r="H56" i="21"/>
  <c r="J56" i="21" s="1"/>
  <c r="L56" i="21" s="1"/>
  <c r="H53" i="21"/>
  <c r="J53" i="21" s="1"/>
  <c r="L53" i="21" s="1"/>
  <c r="G44" i="21"/>
  <c r="G47" i="21"/>
  <c r="H36" i="21"/>
  <c r="J36" i="21" s="1"/>
  <c r="L36" i="21" s="1"/>
  <c r="G35" i="21"/>
  <c r="L34" i="21"/>
  <c r="K34" i="21"/>
  <c r="K42" i="21"/>
  <c r="L42" i="21"/>
  <c r="L57" i="21"/>
  <c r="K39" i="21"/>
  <c r="L48" i="21"/>
  <c r="K59" i="21"/>
  <c r="L62" i="21"/>
  <c r="L54" i="21"/>
  <c r="K29" i="21"/>
  <c r="L29" i="21"/>
  <c r="H32" i="21"/>
  <c r="L31" i="21"/>
  <c r="G19" i="21"/>
  <c r="G13" i="21"/>
  <c r="G11" i="21"/>
  <c r="G8" i="21"/>
  <c r="L8" i="21"/>
  <c r="K21" i="21"/>
  <c r="K23" i="21"/>
  <c r="L16" i="21"/>
  <c r="K14" i="21"/>
  <c r="L307" i="21"/>
  <c r="K307" i="21"/>
  <c r="L18" i="21"/>
  <c r="K18" i="21"/>
  <c r="L30" i="21"/>
  <c r="K30" i="21"/>
  <c r="L50" i="21"/>
  <c r="K50" i="21"/>
  <c r="L130" i="21"/>
  <c r="K130" i="21"/>
  <c r="L385" i="21"/>
  <c r="K385" i="21"/>
  <c r="L400" i="21"/>
  <c r="K400" i="21"/>
  <c r="K128" i="21"/>
  <c r="L128" i="21"/>
  <c r="L164" i="21"/>
  <c r="H192" i="21"/>
  <c r="J168" i="21"/>
  <c r="L268" i="21"/>
  <c r="K268" i="21"/>
  <c r="K383" i="21"/>
  <c r="L383" i="21"/>
  <c r="L38" i="21"/>
  <c r="K38" i="21"/>
  <c r="L41" i="21"/>
  <c r="K41" i="21"/>
  <c r="G82" i="21"/>
  <c r="H82" i="21"/>
  <c r="J82" i="21" s="1"/>
  <c r="K187" i="21"/>
  <c r="L220" i="21"/>
  <c r="K220" i="21"/>
  <c r="L264" i="21"/>
  <c r="K264" i="21"/>
  <c r="L295" i="21"/>
  <c r="K295" i="21"/>
  <c r="L318" i="21"/>
  <c r="K318" i="21"/>
  <c r="L7" i="21"/>
  <c r="K7" i="21"/>
  <c r="G38" i="21"/>
  <c r="J66" i="21"/>
  <c r="K185" i="21"/>
  <c r="L185" i="21"/>
  <c r="L276" i="21"/>
  <c r="K276" i="21"/>
  <c r="L281" i="21"/>
  <c r="L283" i="21"/>
  <c r="K283" i="21"/>
  <c r="L321" i="21"/>
  <c r="K321" i="21"/>
  <c r="L356" i="21"/>
  <c r="K356" i="21"/>
  <c r="L377" i="21"/>
  <c r="K377" i="21"/>
  <c r="L404" i="21"/>
  <c r="K404" i="21"/>
  <c r="L412" i="21"/>
  <c r="K412" i="21"/>
  <c r="L28" i="21"/>
  <c r="K28" i="21"/>
  <c r="L55" i="21"/>
  <c r="K55" i="21"/>
  <c r="L40" i="21"/>
  <c r="K40" i="21"/>
  <c r="L58" i="21"/>
  <c r="K58" i="21"/>
  <c r="L61" i="21"/>
  <c r="K61" i="21"/>
  <c r="L68" i="21"/>
  <c r="K68" i="21"/>
  <c r="L252" i="21"/>
  <c r="L292" i="21"/>
  <c r="K292" i="21"/>
  <c r="K79" i="21"/>
  <c r="L79" i="21"/>
  <c r="L151" i="21"/>
  <c r="K151" i="21"/>
  <c r="L196" i="21"/>
  <c r="K196" i="21"/>
  <c r="K237" i="21"/>
  <c r="K248" i="21"/>
  <c r="L248" i="21"/>
  <c r="L266" i="21"/>
  <c r="K266" i="21"/>
  <c r="L287" i="21"/>
  <c r="K287" i="21"/>
  <c r="L299" i="21"/>
  <c r="K299" i="21"/>
  <c r="L368" i="21"/>
  <c r="L51" i="21"/>
  <c r="K51" i="21"/>
  <c r="L115" i="21"/>
  <c r="K115" i="21"/>
  <c r="L285" i="21"/>
  <c r="K285" i="21"/>
  <c r="L323" i="21"/>
  <c r="K323" i="21"/>
  <c r="L363" i="21"/>
  <c r="K363" i="21"/>
  <c r="J4" i="21"/>
  <c r="L35" i="21"/>
  <c r="K35" i="21"/>
  <c r="L44" i="21"/>
  <c r="K44" i="21"/>
  <c r="H49" i="21"/>
  <c r="J49" i="21" s="1"/>
  <c r="G49" i="21"/>
  <c r="L88" i="21"/>
  <c r="K88" i="21"/>
  <c r="L108" i="21"/>
  <c r="K108" i="21"/>
  <c r="L120" i="21"/>
  <c r="K120" i="21"/>
  <c r="L176" i="21"/>
  <c r="K176" i="21"/>
  <c r="L197" i="21"/>
  <c r="K197" i="21"/>
  <c r="L349" i="21"/>
  <c r="K349" i="21"/>
  <c r="L354" i="21"/>
  <c r="K354" i="21"/>
  <c r="L161" i="21"/>
  <c r="K161" i="21"/>
  <c r="L218" i="21"/>
  <c r="K218" i="21"/>
  <c r="L402" i="21"/>
  <c r="K402" i="21"/>
  <c r="L47" i="21"/>
  <c r="K47" i="21"/>
  <c r="K104" i="21"/>
  <c r="L104" i="21"/>
  <c r="L159" i="21"/>
  <c r="K159" i="21"/>
  <c r="L302" i="21"/>
  <c r="K302" i="21"/>
  <c r="L319" i="21"/>
  <c r="K319" i="21"/>
  <c r="L375" i="21"/>
  <c r="K375" i="21"/>
  <c r="L15" i="21"/>
  <c r="K15" i="21"/>
  <c r="L170" i="21"/>
  <c r="K170" i="21"/>
  <c r="L216" i="21"/>
  <c r="K216" i="21"/>
  <c r="L85" i="21"/>
  <c r="K85" i="21"/>
  <c r="L172" i="21"/>
  <c r="K172" i="21"/>
  <c r="H242" i="21"/>
  <c r="L257" i="21"/>
  <c r="K257" i="21"/>
  <c r="L290" i="21"/>
  <c r="K290" i="21"/>
  <c r="L333" i="21"/>
  <c r="K333" i="21"/>
  <c r="L381" i="21"/>
  <c r="K381" i="21"/>
  <c r="H426" i="21"/>
  <c r="G52" i="21"/>
  <c r="G61" i="21"/>
  <c r="L83" i="21"/>
  <c r="K83" i="21"/>
  <c r="K96" i="21"/>
  <c r="L126" i="21"/>
  <c r="L142" i="21"/>
  <c r="K142" i="21"/>
  <c r="L177" i="21"/>
  <c r="K177" i="21"/>
  <c r="L199" i="21"/>
  <c r="K199" i="21"/>
  <c r="L208" i="21"/>
  <c r="K208" i="21"/>
  <c r="L244" i="21"/>
  <c r="K244" i="21"/>
  <c r="L293" i="21"/>
  <c r="K303" i="21"/>
  <c r="L303" i="21"/>
  <c r="L314" i="21"/>
  <c r="K324" i="21"/>
  <c r="K326" i="21"/>
  <c r="K338" i="21"/>
  <c r="K340" i="21"/>
  <c r="L345" i="21"/>
  <c r="K345" i="21"/>
  <c r="L398" i="21"/>
  <c r="K398" i="21"/>
  <c r="L405" i="21"/>
  <c r="K405" i="21"/>
  <c r="K407" i="21"/>
  <c r="K5" i="21"/>
  <c r="L20" i="21"/>
  <c r="K20" i="21"/>
  <c r="L74" i="21"/>
  <c r="K74" i="21"/>
  <c r="G88" i="21"/>
  <c r="L111" i="21"/>
  <c r="K111" i="21"/>
  <c r="K118" i="21"/>
  <c r="L122" i="21"/>
  <c r="K122" i="21"/>
  <c r="K135" i="21"/>
  <c r="L137" i="21"/>
  <c r="L140" i="21"/>
  <c r="K140" i="21"/>
  <c r="L163" i="21"/>
  <c r="K163" i="21"/>
  <c r="L230" i="21"/>
  <c r="K230" i="21"/>
  <c r="L275" i="21"/>
  <c r="K275" i="21"/>
  <c r="L280" i="21"/>
  <c r="K280" i="21"/>
  <c r="L334" i="21"/>
  <c r="L367" i="21"/>
  <c r="K367" i="21"/>
  <c r="K372" i="21"/>
  <c r="H17" i="21"/>
  <c r="J17" i="21" s="1"/>
  <c r="G17" i="21"/>
  <c r="L60" i="21"/>
  <c r="K60" i="21"/>
  <c r="L12" i="21"/>
  <c r="K12" i="21"/>
  <c r="H46" i="21"/>
  <c r="J46" i="21" s="1"/>
  <c r="G46" i="21"/>
  <c r="L101" i="21"/>
  <c r="K101" i="21"/>
  <c r="K396" i="21"/>
  <c r="L396" i="21"/>
  <c r="L410" i="21"/>
  <c r="K410" i="21"/>
  <c r="H9" i="21"/>
  <c r="J9" i="21" s="1"/>
  <c r="G9" i="21"/>
  <c r="K13" i="21"/>
  <c r="G15" i="21"/>
  <c r="K19" i="21"/>
  <c r="H43" i="21"/>
  <c r="J43" i="21" s="1"/>
  <c r="G43" i="21"/>
  <c r="K106" i="21"/>
  <c r="L110" i="21"/>
  <c r="K110" i="21"/>
  <c r="L113" i="21"/>
  <c r="K113" i="21"/>
  <c r="L139" i="21"/>
  <c r="K139" i="21"/>
  <c r="L154" i="21"/>
  <c r="K154" i="21"/>
  <c r="L190" i="21"/>
  <c r="K190" i="21"/>
  <c r="L279" i="21"/>
  <c r="L316" i="21"/>
  <c r="K316" i="21"/>
  <c r="L366" i="21"/>
  <c r="L392" i="21"/>
  <c r="K392" i="21"/>
  <c r="K409" i="21"/>
  <c r="K11" i="21"/>
  <c r="G58" i="21"/>
  <c r="K71" i="21"/>
  <c r="L132" i="21"/>
  <c r="K132" i="21"/>
  <c r="L201" i="21"/>
  <c r="K201" i="21"/>
  <c r="L305" i="21"/>
  <c r="K305" i="21"/>
  <c r="K328" i="21"/>
  <c r="L379" i="21"/>
  <c r="K379" i="21"/>
  <c r="L22" i="21"/>
  <c r="K22" i="21"/>
  <c r="K26" i="21"/>
  <c r="L45" i="21"/>
  <c r="L52" i="21"/>
  <c r="K52" i="21"/>
  <c r="K69" i="21"/>
  <c r="L80" i="21"/>
  <c r="K214" i="21"/>
  <c r="L232" i="21"/>
  <c r="K232" i="21"/>
  <c r="L288" i="21"/>
  <c r="K288" i="21"/>
  <c r="L331" i="21"/>
  <c r="K331" i="21"/>
  <c r="L336" i="21"/>
  <c r="L342" i="21"/>
  <c r="K342" i="21"/>
  <c r="K10" i="21"/>
  <c r="L37" i="21"/>
  <c r="K37" i="21"/>
  <c r="G79" i="21"/>
  <c r="K99" i="21"/>
  <c r="L182" i="21"/>
  <c r="K182" i="21"/>
  <c r="K195" i="21"/>
  <c r="L204" i="21"/>
  <c r="L223" i="21"/>
  <c r="L228" i="21"/>
  <c r="K228" i="21"/>
  <c r="L247" i="21"/>
  <c r="K247" i="21"/>
  <c r="K262" i="21"/>
  <c r="L343" i="21"/>
  <c r="K343" i="21"/>
  <c r="L353" i="21"/>
  <c r="K353" i="21"/>
  <c r="L27" i="21"/>
  <c r="K27" i="21"/>
  <c r="H75" i="21"/>
  <c r="J75" i="21" s="1"/>
  <c r="G75" i="21"/>
  <c r="H102" i="21"/>
  <c r="L209" i="21"/>
  <c r="K209" i="21"/>
  <c r="L256" i="21"/>
  <c r="K256" i="21"/>
  <c r="L273" i="21"/>
  <c r="K273" i="21"/>
  <c r="L278" i="21"/>
  <c r="K278" i="21"/>
  <c r="L365" i="21"/>
  <c r="K365" i="21"/>
  <c r="K408" i="21"/>
  <c r="L408" i="21"/>
  <c r="L6" i="21"/>
  <c r="K6" i="21"/>
  <c r="K89" i="21"/>
  <c r="L97" i="21"/>
  <c r="K97" i="21"/>
  <c r="L112" i="21"/>
  <c r="K112" i="21"/>
  <c r="L123" i="21"/>
  <c r="K123" i="21"/>
  <c r="L153" i="21"/>
  <c r="K153" i="21"/>
  <c r="L180" i="21"/>
  <c r="K180" i="21"/>
  <c r="L189" i="21"/>
  <c r="K189" i="21"/>
  <c r="L239" i="21"/>
  <c r="K239" i="21"/>
  <c r="L245" i="21"/>
  <c r="K245" i="21"/>
  <c r="L311" i="21"/>
  <c r="K311" i="21"/>
  <c r="L335" i="21"/>
  <c r="K335" i="21"/>
  <c r="L351" i="21"/>
  <c r="K351" i="21"/>
  <c r="L391" i="21"/>
  <c r="K391" i="21"/>
  <c r="F77" i="21"/>
  <c r="L227" i="21"/>
  <c r="K227" i="21"/>
  <c r="L330" i="21"/>
  <c r="K330" i="21"/>
  <c r="L362" i="21"/>
  <c r="K362" i="21"/>
  <c r="H70" i="21"/>
  <c r="J70" i="21" s="1"/>
  <c r="G70" i="21"/>
  <c r="L90" i="21"/>
  <c r="K90" i="21"/>
  <c r="L134" i="21"/>
  <c r="K134" i="21"/>
  <c r="L369" i="21"/>
  <c r="K369" i="21"/>
  <c r="L371" i="21"/>
  <c r="K373" i="21"/>
  <c r="G6" i="21"/>
  <c r="G37" i="21"/>
  <c r="G40" i="21"/>
  <c r="G60" i="21"/>
  <c r="G74" i="21"/>
  <c r="G83" i="21"/>
  <c r="K138" i="21"/>
  <c r="H156" i="21"/>
  <c r="L184" i="21"/>
  <c r="K184" i="21"/>
  <c r="L203" i="21"/>
  <c r="K203" i="21"/>
  <c r="H296" i="21"/>
  <c r="J251" i="21"/>
  <c r="L272" i="21"/>
  <c r="K274" i="21"/>
  <c r="L315" i="21"/>
  <c r="K317" i="21"/>
  <c r="G57" i="21"/>
  <c r="K81" i="21"/>
  <c r="G85" i="21"/>
  <c r="K188" i="21"/>
  <c r="K207" i="21"/>
  <c r="K226" i="21"/>
  <c r="K255" i="21"/>
  <c r="L327" i="21"/>
  <c r="K329" i="21"/>
  <c r="L358" i="21"/>
  <c r="K361" i="21"/>
  <c r="H67" i="21"/>
  <c r="J67" i="21" s="1"/>
  <c r="G67" i="21"/>
  <c r="G89" i="21"/>
  <c r="L146" i="21"/>
  <c r="K146" i="21"/>
  <c r="L386" i="21"/>
  <c r="K386" i="21"/>
  <c r="L127" i="21"/>
  <c r="K127" i="21"/>
  <c r="L158" i="21"/>
  <c r="K158" i="21"/>
  <c r="L215" i="21"/>
  <c r="K215" i="21"/>
  <c r="L263" i="21"/>
  <c r="K263" i="21"/>
  <c r="L399" i="21"/>
  <c r="K399" i="21"/>
  <c r="G62" i="21"/>
  <c r="L98" i="21"/>
  <c r="K98" i="21"/>
  <c r="H116" i="21"/>
  <c r="E9" i="3" s="1"/>
  <c r="K213" i="21"/>
  <c r="K261" i="21"/>
  <c r="L306" i="21"/>
  <c r="K306" i="21"/>
  <c r="L374" i="21"/>
  <c r="K374" i="21"/>
  <c r="K397" i="21"/>
  <c r="L411" i="21"/>
  <c r="K411" i="21"/>
  <c r="H346" i="21"/>
  <c r="K289" i="21"/>
  <c r="K308" i="21"/>
  <c r="K320" i="21"/>
  <c r="K332" i="21"/>
  <c r="K344" i="21"/>
  <c r="K364" i="21"/>
  <c r="K376" i="21"/>
  <c r="K388" i="21"/>
  <c r="K401" i="21"/>
  <c r="K345" i="20"/>
  <c r="L345" i="20"/>
  <c r="K149" i="20"/>
  <c r="L149" i="20"/>
  <c r="K402" i="20"/>
  <c r="L402" i="20"/>
  <c r="L330" i="20"/>
  <c r="K131" i="20"/>
  <c r="K153" i="20"/>
  <c r="L199" i="20"/>
  <c r="L164" i="20"/>
  <c r="K337" i="20"/>
  <c r="L257" i="20"/>
  <c r="K257" i="20"/>
  <c r="L324" i="20"/>
  <c r="K324" i="20"/>
  <c r="K219" i="20"/>
  <c r="L219" i="20"/>
  <c r="K290" i="20"/>
  <c r="L290" i="20"/>
  <c r="K113" i="20"/>
  <c r="L113" i="20"/>
  <c r="L144" i="20"/>
  <c r="K144" i="20"/>
  <c r="K334" i="20"/>
  <c r="L334" i="20"/>
  <c r="K123" i="20"/>
  <c r="L123" i="20"/>
  <c r="L197" i="20"/>
  <c r="K197" i="20"/>
  <c r="K231" i="20"/>
  <c r="L231" i="20"/>
  <c r="K135" i="20"/>
  <c r="L135" i="20"/>
  <c r="K147" i="20"/>
  <c r="L147" i="20"/>
  <c r="K343" i="20"/>
  <c r="L343" i="20"/>
  <c r="K413" i="20"/>
  <c r="L413" i="20"/>
  <c r="K125" i="20"/>
  <c r="L125" i="20"/>
  <c r="L221" i="20"/>
  <c r="K221" i="20"/>
  <c r="L233" i="20"/>
  <c r="K233" i="20"/>
  <c r="K309" i="20"/>
  <c r="L309" i="20"/>
  <c r="L137" i="20"/>
  <c r="K137" i="20"/>
  <c r="K205" i="20"/>
  <c r="L205" i="20"/>
  <c r="L247" i="20"/>
  <c r="K247" i="20"/>
  <c r="L333" i="20"/>
  <c r="K333" i="20"/>
  <c r="K291" i="20"/>
  <c r="L291" i="20"/>
  <c r="K322" i="20"/>
  <c r="L322" i="20"/>
  <c r="L328" i="20"/>
  <c r="K328" i="20"/>
  <c r="K403" i="20"/>
  <c r="L403" i="20"/>
  <c r="K229" i="20"/>
  <c r="L229" i="20"/>
  <c r="L392" i="20"/>
  <c r="K392" i="20"/>
  <c r="K310" i="20"/>
  <c r="L310" i="20"/>
  <c r="K207" i="20"/>
  <c r="L207" i="20"/>
  <c r="H17" i="20"/>
  <c r="J17" i="20" s="1"/>
  <c r="K17" i="20" s="1"/>
  <c r="G80" i="20"/>
  <c r="K121" i="20"/>
  <c r="H83" i="20"/>
  <c r="J83" i="20" s="1"/>
  <c r="L83" i="20" s="1"/>
  <c r="K129" i="20"/>
  <c r="H165" i="20"/>
  <c r="K356" i="20"/>
  <c r="K106" i="20"/>
  <c r="L202" i="20"/>
  <c r="K236" i="20"/>
  <c r="K305" i="20"/>
  <c r="L373" i="20"/>
  <c r="K133" i="20"/>
  <c r="K155" i="20"/>
  <c r="L223" i="20"/>
  <c r="K258" i="20"/>
  <c r="L211" i="20"/>
  <c r="K141" i="20"/>
  <c r="K145" i="20"/>
  <c r="K302" i="20"/>
  <c r="L386" i="20"/>
  <c r="K119" i="20"/>
  <c r="L195" i="20"/>
  <c r="L217" i="20"/>
  <c r="L238" i="20"/>
  <c r="L248" i="20"/>
  <c r="K341" i="20"/>
  <c r="K162" i="20"/>
  <c r="L298" i="20"/>
  <c r="K143" i="20"/>
  <c r="K209" i="20"/>
  <c r="K214" i="20"/>
  <c r="K218" i="20"/>
  <c r="L235" i="20"/>
  <c r="L317" i="20"/>
  <c r="K222" i="20"/>
  <c r="H80" i="20"/>
  <c r="J80" i="20" s="1"/>
  <c r="K80" i="20" s="1"/>
  <c r="G8" i="20"/>
  <c r="K159" i="20"/>
  <c r="K200" i="20"/>
  <c r="L382" i="20"/>
  <c r="K406" i="20"/>
  <c r="G52" i="20"/>
  <c r="G45" i="20"/>
  <c r="H38" i="20"/>
  <c r="J38" i="20" s="1"/>
  <c r="L38" i="20" s="1"/>
  <c r="H35" i="20"/>
  <c r="J35" i="20" s="1"/>
  <c r="L35" i="20" s="1"/>
  <c r="H426" i="20"/>
  <c r="K390" i="20"/>
  <c r="L390" i="20"/>
  <c r="K377" i="20"/>
  <c r="L377" i="20"/>
  <c r="K366" i="20"/>
  <c r="L366" i="20"/>
  <c r="K378" i="20"/>
  <c r="L378" i="20"/>
  <c r="L365" i="20"/>
  <c r="K365" i="20"/>
  <c r="L361" i="20"/>
  <c r="K352" i="20"/>
  <c r="L352" i="20"/>
  <c r="K283" i="20"/>
  <c r="K279" i="20"/>
  <c r="L279" i="20"/>
  <c r="L275" i="20"/>
  <c r="K267" i="20"/>
  <c r="L267" i="20"/>
  <c r="K270" i="20"/>
  <c r="L259" i="20"/>
  <c r="K255" i="20"/>
  <c r="L255" i="20"/>
  <c r="H192" i="20"/>
  <c r="K182" i="20"/>
  <c r="L187" i="20"/>
  <c r="K180" i="20"/>
  <c r="L175" i="20"/>
  <c r="K168" i="20"/>
  <c r="K104" i="20"/>
  <c r="L104" i="20"/>
  <c r="J105" i="20"/>
  <c r="L105" i="20" s="1"/>
  <c r="F8" i="3"/>
  <c r="L100" i="20"/>
  <c r="F89" i="20"/>
  <c r="G89" i="20" s="1"/>
  <c r="H86" i="20"/>
  <c r="J86" i="20" s="1"/>
  <c r="K86" i="20" s="1"/>
  <c r="G85" i="20"/>
  <c r="G88" i="20"/>
  <c r="G81" i="20"/>
  <c r="H82" i="20"/>
  <c r="J82" i="20" s="1"/>
  <c r="K82" i="20" s="1"/>
  <c r="G75" i="20"/>
  <c r="G73" i="20"/>
  <c r="G76" i="20"/>
  <c r="G66" i="20"/>
  <c r="G68" i="20"/>
  <c r="G69" i="20"/>
  <c r="K84" i="20"/>
  <c r="L80" i="20"/>
  <c r="K72" i="20"/>
  <c r="K88" i="20"/>
  <c r="H61" i="20"/>
  <c r="J61" i="20" s="1"/>
  <c r="L61" i="20" s="1"/>
  <c r="G55" i="20"/>
  <c r="G58" i="20"/>
  <c r="G57" i="20"/>
  <c r="G53" i="20"/>
  <c r="G51" i="20"/>
  <c r="G36" i="20"/>
  <c r="K44" i="20"/>
  <c r="H32" i="20"/>
  <c r="F5" i="3"/>
  <c r="J26" i="20"/>
  <c r="L26" i="20" s="1"/>
  <c r="J27" i="20"/>
  <c r="L27" i="20" s="1"/>
  <c r="K27" i="20"/>
  <c r="G11" i="20"/>
  <c r="K22" i="20"/>
  <c r="L17" i="20"/>
  <c r="K10" i="20"/>
  <c r="K8" i="20"/>
  <c r="L268" i="20"/>
  <c r="K268" i="20"/>
  <c r="L34" i="20"/>
  <c r="K34" i="20"/>
  <c r="J4" i="20"/>
  <c r="L16" i="20"/>
  <c r="L46" i="20"/>
  <c r="K46" i="20"/>
  <c r="L54" i="20"/>
  <c r="K54" i="20"/>
  <c r="H74" i="20"/>
  <c r="J74" i="20" s="1"/>
  <c r="F77" i="20"/>
  <c r="K96" i="20"/>
  <c r="L96" i="20"/>
  <c r="K120" i="20"/>
  <c r="K134" i="20"/>
  <c r="L134" i="20"/>
  <c r="L266" i="20"/>
  <c r="K266" i="20"/>
  <c r="L335" i="20"/>
  <c r="K335" i="20"/>
  <c r="K387" i="20"/>
  <c r="L387" i="20"/>
  <c r="L411" i="20"/>
  <c r="K411" i="20"/>
  <c r="K11" i="20"/>
  <c r="L11" i="20"/>
  <c r="L30" i="20"/>
  <c r="K30" i="20"/>
  <c r="K66" i="20"/>
  <c r="L66" i="20"/>
  <c r="G74" i="20"/>
  <c r="K118" i="20"/>
  <c r="K203" i="20"/>
  <c r="L203" i="20"/>
  <c r="L220" i="20"/>
  <c r="K220" i="20"/>
  <c r="L225" i="20"/>
  <c r="K225" i="20"/>
  <c r="K228" i="20"/>
  <c r="L228" i="20"/>
  <c r="H296" i="20"/>
  <c r="J251" i="20"/>
  <c r="L331" i="20"/>
  <c r="L372" i="20"/>
  <c r="K372" i="20"/>
  <c r="L14" i="20"/>
  <c r="K14" i="20"/>
  <c r="H87" i="20"/>
  <c r="J87" i="20" s="1"/>
  <c r="L132" i="20"/>
  <c r="K132" i="20"/>
  <c r="K198" i="20"/>
  <c r="L208" i="20"/>
  <c r="K208" i="20"/>
  <c r="L256" i="20"/>
  <c r="K256" i="20"/>
  <c r="L261" i="20"/>
  <c r="K261" i="20"/>
  <c r="K264" i="20"/>
  <c r="L264" i="20"/>
  <c r="K319" i="20"/>
  <c r="L319" i="20"/>
  <c r="L329" i="20"/>
  <c r="K329" i="20"/>
  <c r="H242" i="20"/>
  <c r="J196" i="20"/>
  <c r="L216" i="20"/>
  <c r="K245" i="20"/>
  <c r="L245" i="20"/>
  <c r="L311" i="20"/>
  <c r="K311" i="20"/>
  <c r="K28" i="20"/>
  <c r="L28" i="20"/>
  <c r="K47" i="20"/>
  <c r="K57" i="20"/>
  <c r="L69" i="20"/>
  <c r="L304" i="20"/>
  <c r="K304" i="20"/>
  <c r="J314" i="20"/>
  <c r="H346" i="20"/>
  <c r="L412" i="20"/>
  <c r="K412" i="20"/>
  <c r="L76" i="20"/>
  <c r="K76" i="20"/>
  <c r="L232" i="20"/>
  <c r="K232" i="20"/>
  <c r="L273" i="20"/>
  <c r="K273" i="20"/>
  <c r="K146" i="20"/>
  <c r="L146" i="20"/>
  <c r="K204" i="20"/>
  <c r="L204" i="20"/>
  <c r="L299" i="20"/>
  <c r="K299" i="20"/>
  <c r="K185" i="20"/>
  <c r="L185" i="20"/>
  <c r="L48" i="20"/>
  <c r="K48" i="20"/>
  <c r="K142" i="20"/>
  <c r="K288" i="20"/>
  <c r="L288" i="20"/>
  <c r="L6" i="20"/>
  <c r="K6" i="20"/>
  <c r="L51" i="20"/>
  <c r="K51" i="20"/>
  <c r="G6" i="20"/>
  <c r="J358" i="20"/>
  <c r="H414" i="20"/>
  <c r="K55" i="20"/>
  <c r="L55" i="20"/>
  <c r="L292" i="20"/>
  <c r="K292" i="20"/>
  <c r="L29" i="20"/>
  <c r="K29" i="20"/>
  <c r="L36" i="20"/>
  <c r="K36" i="20"/>
  <c r="L45" i="20"/>
  <c r="K45" i="20"/>
  <c r="L53" i="20"/>
  <c r="K65" i="20"/>
  <c r="K79" i="20"/>
  <c r="L79" i="20"/>
  <c r="K98" i="20"/>
  <c r="L98" i="20"/>
  <c r="L234" i="20"/>
  <c r="K234" i="20"/>
  <c r="L376" i="20"/>
  <c r="K376" i="20"/>
  <c r="L391" i="20"/>
  <c r="K391" i="20"/>
  <c r="H43" i="20"/>
  <c r="J43" i="20" s="1"/>
  <c r="F49" i="20"/>
  <c r="K122" i="20"/>
  <c r="L122" i="20"/>
  <c r="K240" i="20"/>
  <c r="L240" i="20"/>
  <c r="K58" i="20"/>
  <c r="L58" i="20"/>
  <c r="L68" i="20"/>
  <c r="K68" i="20"/>
  <c r="L178" i="20"/>
  <c r="K178" i="20"/>
  <c r="K371" i="20"/>
  <c r="L371" i="20"/>
  <c r="K239" i="20"/>
  <c r="L239" i="20"/>
  <c r="L254" i="20"/>
  <c r="K254" i="20"/>
  <c r="K276" i="20"/>
  <c r="L276" i="20"/>
  <c r="K286" i="20"/>
  <c r="L307" i="20"/>
  <c r="K20" i="20"/>
  <c r="H70" i="20"/>
  <c r="J70" i="20" s="1"/>
  <c r="G70" i="20"/>
  <c r="L85" i="20"/>
  <c r="K85" i="20"/>
  <c r="K194" i="20"/>
  <c r="L201" i="20"/>
  <c r="K201" i="20"/>
  <c r="K212" i="20"/>
  <c r="K230" i="20"/>
  <c r="L237" i="20"/>
  <c r="K237" i="20"/>
  <c r="K271" i="20"/>
  <c r="L281" i="20"/>
  <c r="K281" i="20"/>
  <c r="L360" i="20"/>
  <c r="K360" i="20"/>
  <c r="L374" i="20"/>
  <c r="K393" i="20"/>
  <c r="L397" i="20"/>
  <c r="K397" i="20"/>
  <c r="L404" i="20"/>
  <c r="K404" i="20"/>
  <c r="H60" i="20"/>
  <c r="J60" i="20" s="1"/>
  <c r="L62" i="20"/>
  <c r="K62" i="20"/>
  <c r="G79" i="20"/>
  <c r="L112" i="20"/>
  <c r="L114" i="20"/>
  <c r="K127" i="20"/>
  <c r="K136" i="20"/>
  <c r="L136" i="20"/>
  <c r="K151" i="20"/>
  <c r="L174" i="20"/>
  <c r="L176" i="20"/>
  <c r="K190" i="20"/>
  <c r="K226" i="20"/>
  <c r="K252" i="20"/>
  <c r="L252" i="20"/>
  <c r="L353" i="20"/>
  <c r="K353" i="20"/>
  <c r="L379" i="20"/>
  <c r="K379" i="20"/>
  <c r="L384" i="20"/>
  <c r="K384" i="20"/>
  <c r="K400" i="20"/>
  <c r="L400" i="20"/>
  <c r="K7" i="20"/>
  <c r="H9" i="20"/>
  <c r="G9" i="20"/>
  <c r="H37" i="20"/>
  <c r="J37" i="20" s="1"/>
  <c r="L39" i="20"/>
  <c r="K39" i="20"/>
  <c r="G62" i="20"/>
  <c r="J158" i="20"/>
  <c r="K160" i="20"/>
  <c r="K210" i="20"/>
  <c r="K215" i="20"/>
  <c r="L215" i="20"/>
  <c r="L262" i="20"/>
  <c r="K284" i="20"/>
  <c r="L284" i="20"/>
  <c r="K300" i="20"/>
  <c r="L320" i="20"/>
  <c r="K320" i="20"/>
  <c r="K389" i="20"/>
  <c r="K5" i="20"/>
  <c r="G13" i="20"/>
  <c r="H15" i="20"/>
  <c r="J15" i="20" s="1"/>
  <c r="G15" i="20"/>
  <c r="K23" i="20"/>
  <c r="L31" i="20"/>
  <c r="K31" i="20"/>
  <c r="G39" i="20"/>
  <c r="G46" i="20"/>
  <c r="G48" i="20"/>
  <c r="K99" i="20"/>
  <c r="L99" i="20"/>
  <c r="L110" i="20"/>
  <c r="L163" i="20"/>
  <c r="K163" i="20"/>
  <c r="L172" i="20"/>
  <c r="L186" i="20"/>
  <c r="L188" i="20"/>
  <c r="L344" i="20"/>
  <c r="K344" i="20"/>
  <c r="L367" i="20"/>
  <c r="K367" i="20"/>
  <c r="K407" i="20"/>
  <c r="H56" i="20"/>
  <c r="J56" i="20" s="1"/>
  <c r="G56" i="20"/>
  <c r="H13" i="20"/>
  <c r="G19" i="20"/>
  <c r="L21" i="20"/>
  <c r="K21" i="20"/>
  <c r="L50" i="20"/>
  <c r="K52" i="20"/>
  <c r="L81" i="20"/>
  <c r="L90" i="20"/>
  <c r="L94" i="20"/>
  <c r="K108" i="20"/>
  <c r="K130" i="20"/>
  <c r="K154" i="20"/>
  <c r="K170" i="20"/>
  <c r="K206" i="20"/>
  <c r="L213" i="20"/>
  <c r="K213" i="20"/>
  <c r="K224" i="20"/>
  <c r="H249" i="20"/>
  <c r="J244" i="20"/>
  <c r="K303" i="20"/>
  <c r="L303" i="20"/>
  <c r="K342" i="20"/>
  <c r="L342" i="20"/>
  <c r="L363" i="20"/>
  <c r="K375" i="20"/>
  <c r="L375" i="20"/>
  <c r="L398" i="20"/>
  <c r="K398" i="20"/>
  <c r="H19" i="20"/>
  <c r="J19" i="20" s="1"/>
  <c r="L75" i="20"/>
  <c r="H102" i="20"/>
  <c r="L115" i="20"/>
  <c r="K115" i="20"/>
  <c r="L177" i="20"/>
  <c r="K177" i="20"/>
  <c r="L184" i="20"/>
  <c r="K260" i="20"/>
  <c r="L260" i="20"/>
  <c r="L313" i="20"/>
  <c r="K313" i="20"/>
  <c r="L318" i="20"/>
  <c r="L323" i="20"/>
  <c r="K323" i="20"/>
  <c r="K349" i="20"/>
  <c r="L349" i="20"/>
  <c r="L385" i="20"/>
  <c r="K385" i="20"/>
  <c r="L405" i="20"/>
  <c r="K405" i="20"/>
  <c r="L42" i="20"/>
  <c r="K42" i="20"/>
  <c r="L73" i="20"/>
  <c r="K73" i="20"/>
  <c r="K227" i="20"/>
  <c r="L227" i="20"/>
  <c r="L253" i="20"/>
  <c r="K253" i="20"/>
  <c r="L285" i="20"/>
  <c r="K285" i="20"/>
  <c r="L294" i="20"/>
  <c r="K294" i="20"/>
  <c r="L301" i="20"/>
  <c r="K301" i="20"/>
  <c r="L340" i="20"/>
  <c r="K340" i="20"/>
  <c r="H40" i="20"/>
  <c r="J40" i="20" s="1"/>
  <c r="H67" i="20"/>
  <c r="J67" i="20" s="1"/>
  <c r="G67" i="20"/>
  <c r="F71" i="20"/>
  <c r="K111" i="20"/>
  <c r="L111" i="20"/>
  <c r="K124" i="20"/>
  <c r="L124" i="20"/>
  <c r="K139" i="20"/>
  <c r="K148" i="20"/>
  <c r="L148" i="20"/>
  <c r="K173" i="20"/>
  <c r="L173" i="20"/>
  <c r="L189" i="20"/>
  <c r="K189" i="20"/>
  <c r="L280" i="20"/>
  <c r="K280" i="20"/>
  <c r="K316" i="20"/>
  <c r="L326" i="20"/>
  <c r="K326" i="20"/>
  <c r="K380" i="20"/>
  <c r="K339" i="20"/>
  <c r="L339" i="20"/>
  <c r="H116" i="20"/>
  <c r="F9" i="3" s="1"/>
  <c r="L277" i="20"/>
  <c r="K277" i="20"/>
  <c r="L350" i="20"/>
  <c r="K350" i="20"/>
  <c r="K354" i="20"/>
  <c r="K369" i="20"/>
  <c r="K396" i="20"/>
  <c r="L396" i="20"/>
  <c r="K409" i="20"/>
  <c r="L246" i="20"/>
  <c r="K246" i="20"/>
  <c r="K327" i="20"/>
  <c r="L327" i="20"/>
  <c r="L401" i="20"/>
  <c r="K401" i="20"/>
  <c r="L126" i="20"/>
  <c r="K128" i="20"/>
  <c r="L138" i="20"/>
  <c r="K140" i="20"/>
  <c r="L150" i="20"/>
  <c r="K152" i="20"/>
  <c r="L265" i="20"/>
  <c r="K265" i="20"/>
  <c r="K269" i="20"/>
  <c r="K282" i="20"/>
  <c r="K295" i="20"/>
  <c r="K355" i="20"/>
  <c r="K370" i="20"/>
  <c r="K383" i="20"/>
  <c r="L383" i="20"/>
  <c r="L399" i="20"/>
  <c r="K410" i="20"/>
  <c r="K95" i="20"/>
  <c r="K97" i="20"/>
  <c r="L263" i="20"/>
  <c r="K278" i="20"/>
  <c r="L308" i="20"/>
  <c r="K308" i="20"/>
  <c r="K312" i="20"/>
  <c r="K325" i="20"/>
  <c r="K338" i="20"/>
  <c r="K351" i="20"/>
  <c r="G5" i="20"/>
  <c r="K12" i="20"/>
  <c r="K18" i="20"/>
  <c r="G23" i="20"/>
  <c r="F41" i="20"/>
  <c r="G44" i="20"/>
  <c r="G47" i="20"/>
  <c r="K59" i="20"/>
  <c r="L78" i="20"/>
  <c r="K93" i="20"/>
  <c r="K101" i="20"/>
  <c r="K107" i="20"/>
  <c r="K109" i="20"/>
  <c r="K161" i="20"/>
  <c r="K169" i="20"/>
  <c r="K171" i="20"/>
  <c r="K181" i="20"/>
  <c r="K183" i="20"/>
  <c r="K274" i="20"/>
  <c r="L289" i="20"/>
  <c r="K289" i="20"/>
  <c r="K293" i="20"/>
  <c r="L306" i="20"/>
  <c r="K321" i="20"/>
  <c r="L364" i="20"/>
  <c r="K364" i="20"/>
  <c r="K368" i="20"/>
  <c r="K381" i="20"/>
  <c r="K394" i="20"/>
  <c r="K408" i="20"/>
  <c r="L408" i="20"/>
  <c r="H156" i="20"/>
  <c r="K167" i="20"/>
  <c r="K179" i="20"/>
  <c r="K191" i="20"/>
  <c r="L241" i="20"/>
  <c r="K241" i="20"/>
  <c r="K272" i="20"/>
  <c r="L272" i="20"/>
  <c r="L287" i="20"/>
  <c r="L332" i="20"/>
  <c r="K332" i="20"/>
  <c r="K336" i="20"/>
  <c r="L362" i="20"/>
  <c r="K315" i="20"/>
  <c r="L315" i="20"/>
  <c r="L388" i="20"/>
  <c r="K388" i="20"/>
  <c r="G8" i="3"/>
  <c r="G77" i="19"/>
  <c r="G66" i="19"/>
  <c r="K283" i="19"/>
  <c r="L283" i="19"/>
  <c r="K285" i="19"/>
  <c r="L285" i="19"/>
  <c r="L279" i="19"/>
  <c r="K279" i="19"/>
  <c r="K269" i="19"/>
  <c r="L269" i="19"/>
  <c r="L267" i="19"/>
  <c r="K267" i="19"/>
  <c r="L273" i="19"/>
  <c r="K273" i="19"/>
  <c r="L271" i="19"/>
  <c r="K271" i="19"/>
  <c r="L274" i="19"/>
  <c r="K274" i="19"/>
  <c r="L259" i="19"/>
  <c r="K259" i="19"/>
  <c r="K261" i="19"/>
  <c r="L261" i="19"/>
  <c r="K255" i="19"/>
  <c r="L177" i="19"/>
  <c r="K177" i="19"/>
  <c r="L182" i="19"/>
  <c r="L170" i="19"/>
  <c r="K175" i="19"/>
  <c r="L180" i="19"/>
  <c r="L168" i="19"/>
  <c r="L190" i="19"/>
  <c r="L188" i="19"/>
  <c r="L176" i="19"/>
  <c r="H116" i="19"/>
  <c r="G9" i="3" s="1"/>
  <c r="K99" i="19"/>
  <c r="K101" i="19"/>
  <c r="K97" i="19"/>
  <c r="L95" i="19"/>
  <c r="G89" i="19"/>
  <c r="G86" i="19"/>
  <c r="H86" i="19"/>
  <c r="J86" i="19" s="1"/>
  <c r="L86" i="19" s="1"/>
  <c r="H88" i="19"/>
  <c r="J88" i="19" s="1"/>
  <c r="L88" i="19" s="1"/>
  <c r="G80" i="19"/>
  <c r="F83" i="19"/>
  <c r="H83" i="19" s="1"/>
  <c r="J83" i="19" s="1"/>
  <c r="L83" i="19" s="1"/>
  <c r="G75" i="19"/>
  <c r="H68" i="19"/>
  <c r="J68" i="19" s="1"/>
  <c r="L68" i="19" s="1"/>
  <c r="F71" i="19"/>
  <c r="H71" i="19" s="1"/>
  <c r="J71" i="19" s="1"/>
  <c r="G69" i="19"/>
  <c r="K80" i="19"/>
  <c r="L80" i="19"/>
  <c r="K69" i="19"/>
  <c r="L69" i="19"/>
  <c r="K78" i="19"/>
  <c r="K86" i="19"/>
  <c r="L84" i="19"/>
  <c r="K72" i="19"/>
  <c r="G61" i="19"/>
  <c r="H58" i="19"/>
  <c r="J58" i="19" s="1"/>
  <c r="L58" i="19" s="1"/>
  <c r="H55" i="19"/>
  <c r="J55" i="19" s="1"/>
  <c r="L55" i="19" s="1"/>
  <c r="G52" i="19"/>
  <c r="G53" i="19"/>
  <c r="H46" i="19"/>
  <c r="J46" i="19" s="1"/>
  <c r="L46" i="19" s="1"/>
  <c r="G44" i="19"/>
  <c r="G47" i="19"/>
  <c r="G35" i="19"/>
  <c r="G38" i="19"/>
  <c r="H35" i="19"/>
  <c r="J35" i="19" s="1"/>
  <c r="L35" i="19" s="1"/>
  <c r="K44" i="19"/>
  <c r="L50" i="19"/>
  <c r="K38" i="19"/>
  <c r="L53" i="19"/>
  <c r="K59" i="19"/>
  <c r="K26" i="19"/>
  <c r="L28" i="19"/>
  <c r="K27" i="19"/>
  <c r="G23" i="19"/>
  <c r="H5" i="19"/>
  <c r="J5" i="19" s="1"/>
  <c r="L5" i="19" s="1"/>
  <c r="H6" i="19"/>
  <c r="J6" i="19" s="1"/>
  <c r="L6" i="19" s="1"/>
  <c r="K10" i="19"/>
  <c r="L10" i="19"/>
  <c r="H11" i="19"/>
  <c r="G9" i="19"/>
  <c r="H15" i="19"/>
  <c r="J15" i="19" s="1"/>
  <c r="K15" i="19" s="1"/>
  <c r="H8" i="19"/>
  <c r="J8" i="19" s="1"/>
  <c r="L8" i="19" s="1"/>
  <c r="H9" i="19"/>
  <c r="J9" i="19" s="1"/>
  <c r="L9" i="19" s="1"/>
  <c r="L18" i="19"/>
  <c r="K21" i="19"/>
  <c r="L94" i="19"/>
  <c r="K94" i="19"/>
  <c r="L264" i="19"/>
  <c r="K264" i="19"/>
  <c r="L288" i="19"/>
  <c r="K288" i="19"/>
  <c r="L340" i="19"/>
  <c r="K340" i="19"/>
  <c r="L397" i="19"/>
  <c r="K397" i="19"/>
  <c r="L12" i="19"/>
  <c r="K12" i="19"/>
  <c r="L79" i="19"/>
  <c r="K79" i="19"/>
  <c r="L139" i="19"/>
  <c r="K139" i="19"/>
  <c r="L189" i="19"/>
  <c r="K189" i="19"/>
  <c r="L230" i="19"/>
  <c r="K230" i="19"/>
  <c r="L45" i="19"/>
  <c r="K45" i="19"/>
  <c r="L51" i="19"/>
  <c r="K51" i="19"/>
  <c r="L108" i="19"/>
  <c r="K108" i="19"/>
  <c r="K137" i="19"/>
  <c r="L137" i="19"/>
  <c r="L151" i="19"/>
  <c r="K151" i="19"/>
  <c r="L379" i="19"/>
  <c r="K379" i="19"/>
  <c r="L382" i="19"/>
  <c r="K382" i="19"/>
  <c r="L48" i="19"/>
  <c r="K48" i="19"/>
  <c r="L85" i="19"/>
  <c r="K85" i="19"/>
  <c r="L120" i="19"/>
  <c r="K120" i="19"/>
  <c r="L213" i="19"/>
  <c r="K213" i="19"/>
  <c r="L256" i="19"/>
  <c r="K256" i="19"/>
  <c r="L276" i="19"/>
  <c r="K276" i="19"/>
  <c r="L316" i="19"/>
  <c r="K316" i="19"/>
  <c r="L394" i="19"/>
  <c r="K394" i="19"/>
  <c r="L405" i="19"/>
  <c r="K405" i="19"/>
  <c r="G49" i="19"/>
  <c r="H49" i="19"/>
  <c r="J49" i="19" s="1"/>
  <c r="L77" i="19"/>
  <c r="K77" i="19"/>
  <c r="L149" i="19"/>
  <c r="K149" i="19"/>
  <c r="L163" i="19"/>
  <c r="K163" i="19"/>
  <c r="K187" i="19"/>
  <c r="L187" i="19"/>
  <c r="L197" i="19"/>
  <c r="K197" i="19"/>
  <c r="L338" i="19"/>
  <c r="K338" i="19"/>
  <c r="L351" i="19"/>
  <c r="K351" i="19"/>
  <c r="L365" i="19"/>
  <c r="K365" i="19"/>
  <c r="L34" i="19"/>
  <c r="K34" i="19"/>
  <c r="J37" i="19"/>
  <c r="L57" i="19"/>
  <c r="K57" i="19"/>
  <c r="L127" i="19"/>
  <c r="K127" i="19"/>
  <c r="L228" i="19"/>
  <c r="K228" i="19"/>
  <c r="L254" i="19"/>
  <c r="K254" i="19"/>
  <c r="L311" i="19"/>
  <c r="K311" i="19"/>
  <c r="L19" i="19"/>
  <c r="K19" i="19"/>
  <c r="L54" i="19"/>
  <c r="K54" i="19"/>
  <c r="L135" i="19"/>
  <c r="K135" i="19"/>
  <c r="L161" i="19"/>
  <c r="K161" i="19"/>
  <c r="L304" i="19"/>
  <c r="K304" i="19"/>
  <c r="L40" i="19"/>
  <c r="K40" i="19"/>
  <c r="K52" i="19"/>
  <c r="L52" i="19"/>
  <c r="L208" i="19"/>
  <c r="K208" i="19"/>
  <c r="L211" i="19"/>
  <c r="K211" i="19"/>
  <c r="L216" i="19"/>
  <c r="K216" i="19"/>
  <c r="L392" i="19"/>
  <c r="K392" i="19"/>
  <c r="L409" i="19"/>
  <c r="K409" i="19"/>
  <c r="L14" i="19"/>
  <c r="K14" i="19"/>
  <c r="L65" i="19"/>
  <c r="K65" i="19"/>
  <c r="L98" i="19"/>
  <c r="K98" i="19"/>
  <c r="K147" i="19"/>
  <c r="L147" i="19"/>
  <c r="L173" i="19"/>
  <c r="K173" i="19"/>
  <c r="L185" i="19"/>
  <c r="K185" i="19"/>
  <c r="L266" i="19"/>
  <c r="K266" i="19"/>
  <c r="K336" i="19"/>
  <c r="L336" i="19"/>
  <c r="L363" i="19"/>
  <c r="K363" i="19"/>
  <c r="L17" i="19"/>
  <c r="K17" i="19"/>
  <c r="K96" i="19"/>
  <c r="L96" i="19"/>
  <c r="L252" i="19"/>
  <c r="K252" i="19"/>
  <c r="L302" i="19"/>
  <c r="K302" i="19"/>
  <c r="K20" i="19"/>
  <c r="L20" i="19"/>
  <c r="L159" i="19"/>
  <c r="K159" i="19"/>
  <c r="L280" i="19"/>
  <c r="K280" i="19"/>
  <c r="L324" i="19"/>
  <c r="K324" i="19"/>
  <c r="L201" i="19"/>
  <c r="K201" i="19"/>
  <c r="L232" i="19"/>
  <c r="K232" i="19"/>
  <c r="K278" i="19"/>
  <c r="L278" i="19"/>
  <c r="L407" i="19"/>
  <c r="K407" i="19"/>
  <c r="H41" i="19"/>
  <c r="J41" i="19" s="1"/>
  <c r="G41" i="19"/>
  <c r="L223" i="19"/>
  <c r="K223" i="19"/>
  <c r="L301" i="19"/>
  <c r="K301" i="19"/>
  <c r="L330" i="19"/>
  <c r="K330" i="19"/>
  <c r="L333" i="19"/>
  <c r="K333" i="19"/>
  <c r="L368" i="19"/>
  <c r="K368" i="19"/>
  <c r="L413" i="19"/>
  <c r="K413" i="19"/>
  <c r="G5" i="19"/>
  <c r="G17" i="19"/>
  <c r="K29" i="19"/>
  <c r="G37" i="19"/>
  <c r="G48" i="19"/>
  <c r="K55" i="19"/>
  <c r="K68" i="19"/>
  <c r="L70" i="19"/>
  <c r="K70" i="19"/>
  <c r="L275" i="19"/>
  <c r="K275" i="19"/>
  <c r="K281" i="19"/>
  <c r="K290" i="19"/>
  <c r="K326" i="19"/>
  <c r="K328" i="19"/>
  <c r="L371" i="19"/>
  <c r="L380" i="19"/>
  <c r="K380" i="19"/>
  <c r="K7" i="19"/>
  <c r="G11" i="19"/>
  <c r="H13" i="19"/>
  <c r="J13" i="19" s="1"/>
  <c r="G13" i="19"/>
  <c r="L22" i="19"/>
  <c r="G43" i="19"/>
  <c r="K66" i="19"/>
  <c r="G70" i="19"/>
  <c r="L89" i="19"/>
  <c r="K89" i="19"/>
  <c r="K115" i="19"/>
  <c r="L128" i="19"/>
  <c r="K128" i="19"/>
  <c r="H165" i="19"/>
  <c r="L184" i="19"/>
  <c r="K184" i="19"/>
  <c r="L234" i="19"/>
  <c r="K234" i="19"/>
  <c r="L306" i="19"/>
  <c r="K306" i="19"/>
  <c r="L342" i="19"/>
  <c r="K342" i="19"/>
  <c r="L399" i="19"/>
  <c r="K399" i="19"/>
  <c r="L402" i="19"/>
  <c r="K402" i="19"/>
  <c r="G19" i="19"/>
  <c r="H32" i="19"/>
  <c r="H43" i="19"/>
  <c r="J43" i="19" s="1"/>
  <c r="G85" i="19"/>
  <c r="K133" i="19"/>
  <c r="L141" i="19"/>
  <c r="K141" i="19"/>
  <c r="L143" i="19"/>
  <c r="L153" i="19"/>
  <c r="K153" i="19"/>
  <c r="L155" i="19"/>
  <c r="L169" i="19"/>
  <c r="K171" i="19"/>
  <c r="K195" i="19"/>
  <c r="K226" i="19"/>
  <c r="L237" i="19"/>
  <c r="K237" i="19"/>
  <c r="L313" i="19"/>
  <c r="K313" i="19"/>
  <c r="L320" i="19"/>
  <c r="K320" i="19"/>
  <c r="G79" i="19"/>
  <c r="H87" i="19"/>
  <c r="J87" i="19" s="1"/>
  <c r="G87" i="19"/>
  <c r="L126" i="19"/>
  <c r="K126" i="19"/>
  <c r="J167" i="19"/>
  <c r="H192" i="19"/>
  <c r="L191" i="19"/>
  <c r="K191" i="19"/>
  <c r="K204" i="19"/>
  <c r="L369" i="19"/>
  <c r="K369" i="19"/>
  <c r="L209" i="19"/>
  <c r="K209" i="19"/>
  <c r="K218" i="19"/>
  <c r="L258" i="19"/>
  <c r="K258" i="19"/>
  <c r="L260" i="19"/>
  <c r="L270" i="19"/>
  <c r="K270" i="19"/>
  <c r="L272" i="19"/>
  <c r="H346" i="19"/>
  <c r="L309" i="19"/>
  <c r="L386" i="19"/>
  <c r="K386" i="19"/>
  <c r="L411" i="19"/>
  <c r="K411" i="19"/>
  <c r="K111" i="19"/>
  <c r="K145" i="19"/>
  <c r="K206" i="19"/>
  <c r="L331" i="19"/>
  <c r="K331" i="19"/>
  <c r="G6" i="19"/>
  <c r="G45" i="19"/>
  <c r="H56" i="19"/>
  <c r="J56" i="19" s="1"/>
  <c r="G56" i="19"/>
  <c r="K61" i="19"/>
  <c r="K81" i="19"/>
  <c r="K178" i="19"/>
  <c r="K202" i="19"/>
  <c r="K286" i="19"/>
  <c r="L372" i="19"/>
  <c r="K372" i="19"/>
  <c r="L400" i="19"/>
  <c r="K400" i="19"/>
  <c r="G8" i="19"/>
  <c r="K30" i="19"/>
  <c r="H60" i="19"/>
  <c r="J60" i="19" s="1"/>
  <c r="G67" i="19"/>
  <c r="K75" i="19"/>
  <c r="K4" i="19"/>
  <c r="K23" i="19"/>
  <c r="L36" i="19"/>
  <c r="K36" i="19"/>
  <c r="K47" i="19"/>
  <c r="G51" i="19"/>
  <c r="L118" i="19"/>
  <c r="K118" i="19"/>
  <c r="L172" i="19"/>
  <c r="K172" i="19"/>
  <c r="H242" i="19"/>
  <c r="L222" i="19"/>
  <c r="K222" i="19"/>
  <c r="L246" i="19"/>
  <c r="K246" i="19"/>
  <c r="L300" i="19"/>
  <c r="K300" i="19"/>
  <c r="L314" i="19"/>
  <c r="K314" i="19"/>
  <c r="L332" i="19"/>
  <c r="K332" i="19"/>
  <c r="L367" i="19"/>
  <c r="K367" i="19"/>
  <c r="L370" i="19"/>
  <c r="K370" i="19"/>
  <c r="L384" i="19"/>
  <c r="K384" i="19"/>
  <c r="L412" i="19"/>
  <c r="K412" i="19"/>
  <c r="H156" i="19"/>
  <c r="L16" i="19"/>
  <c r="K16" i="19"/>
  <c r="G36" i="19"/>
  <c r="G40" i="19"/>
  <c r="G57" i="19"/>
  <c r="L62" i="19"/>
  <c r="K62" i="19"/>
  <c r="G74" i="19"/>
  <c r="J104" i="19"/>
  <c r="K106" i="19"/>
  <c r="L112" i="19"/>
  <c r="K112" i="19"/>
  <c r="L132" i="19"/>
  <c r="K132" i="19"/>
  <c r="L181" i="19"/>
  <c r="K183" i="19"/>
  <c r="K196" i="19"/>
  <c r="L207" i="19"/>
  <c r="K207" i="19"/>
  <c r="L212" i="19"/>
  <c r="K220" i="19"/>
  <c r="L225" i="19"/>
  <c r="K225" i="19"/>
  <c r="K238" i="19"/>
  <c r="K240" i="19"/>
  <c r="J244" i="19"/>
  <c r="K268" i="19"/>
  <c r="L294" i="19"/>
  <c r="K294" i="19"/>
  <c r="K305" i="19"/>
  <c r="L323" i="19"/>
  <c r="K323" i="19"/>
  <c r="L355" i="19"/>
  <c r="K355" i="19"/>
  <c r="L358" i="19"/>
  <c r="K361" i="19"/>
  <c r="L31" i="19"/>
  <c r="K31" i="19"/>
  <c r="L119" i="19"/>
  <c r="K299" i="19"/>
  <c r="L345" i="19"/>
  <c r="K345" i="19"/>
  <c r="G39" i="19"/>
  <c r="L284" i="19"/>
  <c r="L293" i="19"/>
  <c r="L381" i="19"/>
  <c r="K381" i="19"/>
  <c r="H426" i="19"/>
  <c r="K67" i="19"/>
  <c r="L67" i="19"/>
  <c r="L129" i="19"/>
  <c r="K129" i="19"/>
  <c r="L42" i="19"/>
  <c r="K42" i="19"/>
  <c r="G62" i="19"/>
  <c r="H74" i="19"/>
  <c r="J74" i="19" s="1"/>
  <c r="L179" i="19"/>
  <c r="K179" i="19"/>
  <c r="L203" i="19"/>
  <c r="K203" i="19"/>
  <c r="L287" i="19"/>
  <c r="K287" i="19"/>
  <c r="L401" i="19"/>
  <c r="K401" i="19"/>
  <c r="H414" i="19"/>
  <c r="L39" i="19"/>
  <c r="K39" i="19"/>
  <c r="L224" i="19"/>
  <c r="L318" i="19"/>
  <c r="K318" i="19"/>
  <c r="L388" i="19"/>
  <c r="K388" i="19"/>
  <c r="L90" i="19"/>
  <c r="K90" i="19"/>
  <c r="L198" i="19"/>
  <c r="K198" i="19"/>
  <c r="L235" i="19"/>
  <c r="K235" i="19"/>
  <c r="L282" i="19"/>
  <c r="K282" i="19"/>
  <c r="L343" i="19"/>
  <c r="K343" i="19"/>
  <c r="H76" i="19"/>
  <c r="J76" i="19" s="1"/>
  <c r="G76" i="19"/>
  <c r="L82" i="19"/>
  <c r="K82" i="19"/>
  <c r="L110" i="19"/>
  <c r="K110" i="19"/>
  <c r="L130" i="19"/>
  <c r="K130" i="19"/>
  <c r="L210" i="19"/>
  <c r="K210" i="19"/>
  <c r="L292" i="19"/>
  <c r="K292" i="19"/>
  <c r="L312" i="19"/>
  <c r="K312" i="19"/>
  <c r="L353" i="19"/>
  <c r="K353" i="19"/>
  <c r="L391" i="19"/>
  <c r="K391" i="19"/>
  <c r="L308" i="19"/>
  <c r="K308" i="19"/>
  <c r="L376" i="19"/>
  <c r="K376" i="19"/>
  <c r="L124" i="19"/>
  <c r="K124" i="19"/>
  <c r="L217" i="19"/>
  <c r="K217" i="19"/>
  <c r="L374" i="19"/>
  <c r="K374" i="19"/>
  <c r="L122" i="19"/>
  <c r="K122" i="19"/>
  <c r="L136" i="19"/>
  <c r="K136" i="19"/>
  <c r="L215" i="19"/>
  <c r="K215" i="19"/>
  <c r="L229" i="19"/>
  <c r="K229" i="19"/>
  <c r="L241" i="19"/>
  <c r="K241" i="19"/>
  <c r="L337" i="19"/>
  <c r="K337" i="19"/>
  <c r="L339" i="19"/>
  <c r="L364" i="19"/>
  <c r="K364" i="19"/>
  <c r="L406" i="19"/>
  <c r="K406" i="19"/>
  <c r="L408" i="19"/>
  <c r="K410" i="19"/>
  <c r="H102" i="19"/>
  <c r="J93" i="19"/>
  <c r="L134" i="19"/>
  <c r="K134" i="19"/>
  <c r="L148" i="19"/>
  <c r="K148" i="19"/>
  <c r="L160" i="19"/>
  <c r="K160" i="19"/>
  <c r="L227" i="19"/>
  <c r="K227" i="19"/>
  <c r="L239" i="19"/>
  <c r="K239" i="19"/>
  <c r="H296" i="19"/>
  <c r="L253" i="19"/>
  <c r="K253" i="19"/>
  <c r="L265" i="19"/>
  <c r="K265" i="19"/>
  <c r="L335" i="19"/>
  <c r="K335" i="19"/>
  <c r="L362" i="19"/>
  <c r="K362" i="19"/>
  <c r="L404" i="19"/>
  <c r="K404" i="19"/>
  <c r="L105" i="19"/>
  <c r="K105" i="19"/>
  <c r="L146" i="19"/>
  <c r="K146" i="19"/>
  <c r="L251" i="19"/>
  <c r="K251" i="19"/>
  <c r="L263" i="19"/>
  <c r="K263" i="19"/>
  <c r="L277" i="19"/>
  <c r="K277" i="19"/>
  <c r="L325" i="19"/>
  <c r="K325" i="19"/>
  <c r="L350" i="19"/>
  <c r="K350" i="19"/>
  <c r="L393" i="19"/>
  <c r="K393" i="19"/>
  <c r="L73" i="19"/>
  <c r="K73" i="19"/>
  <c r="L174" i="19"/>
  <c r="K174" i="19"/>
  <c r="L186" i="19"/>
  <c r="K186" i="19"/>
  <c r="J194" i="19"/>
  <c r="L289" i="19"/>
  <c r="K289" i="19"/>
  <c r="G81" i="19"/>
  <c r="K100" i="19"/>
  <c r="K205" i="19"/>
  <c r="H3" i="3"/>
  <c r="L255" i="18"/>
  <c r="H8" i="3"/>
  <c r="H81" i="18"/>
  <c r="J81" i="18" s="1"/>
  <c r="L81" i="18" s="1"/>
  <c r="H76" i="18"/>
  <c r="J76" i="18" s="1"/>
  <c r="K76" i="18" s="1"/>
  <c r="G60" i="18"/>
  <c r="H46" i="18"/>
  <c r="J46" i="18" s="1"/>
  <c r="L46" i="18" s="1"/>
  <c r="H40" i="18"/>
  <c r="J40" i="18" s="1"/>
  <c r="L40" i="18" s="1"/>
  <c r="G37" i="18"/>
  <c r="L31" i="18"/>
  <c r="K31" i="18"/>
  <c r="L30" i="18"/>
  <c r="K30" i="18"/>
  <c r="L29" i="18"/>
  <c r="K29" i="18"/>
  <c r="H32" i="18"/>
  <c r="K27" i="18"/>
  <c r="L27" i="18"/>
  <c r="H5" i="3"/>
  <c r="J26" i="18"/>
  <c r="L26" i="18" s="1"/>
  <c r="H426" i="18"/>
  <c r="K371" i="18"/>
  <c r="L371" i="18"/>
  <c r="K382" i="18"/>
  <c r="L382" i="18"/>
  <c r="L360" i="18"/>
  <c r="K360" i="18"/>
  <c r="L383" i="18"/>
  <c r="K383" i="18"/>
  <c r="L372" i="18"/>
  <c r="K372" i="18"/>
  <c r="L390" i="18"/>
  <c r="K390" i="18"/>
  <c r="K366" i="18"/>
  <c r="K378" i="18"/>
  <c r="L384" i="18"/>
  <c r="L394" i="18"/>
  <c r="L352" i="18"/>
  <c r="K352" i="18"/>
  <c r="L286" i="18"/>
  <c r="K286" i="18"/>
  <c r="K285" i="18"/>
  <c r="K279" i="18"/>
  <c r="L273" i="18"/>
  <c r="K273" i="18"/>
  <c r="K267" i="18"/>
  <c r="K274" i="18"/>
  <c r="L261" i="18"/>
  <c r="K261" i="18"/>
  <c r="K189" i="18"/>
  <c r="L189" i="18"/>
  <c r="K182" i="18"/>
  <c r="L182" i="18"/>
  <c r="L188" i="18"/>
  <c r="K188" i="18"/>
  <c r="L187" i="18"/>
  <c r="L180" i="18"/>
  <c r="K169" i="18"/>
  <c r="K176" i="18"/>
  <c r="K170" i="18"/>
  <c r="K177" i="18"/>
  <c r="K129" i="18"/>
  <c r="K149" i="18"/>
  <c r="K124" i="18"/>
  <c r="L121" i="18"/>
  <c r="K151" i="18"/>
  <c r="K150" i="18"/>
  <c r="K138" i="18"/>
  <c r="L155" i="18"/>
  <c r="K131" i="18"/>
  <c r="L110" i="18"/>
  <c r="K109" i="18"/>
  <c r="K98" i="18"/>
  <c r="L95" i="18"/>
  <c r="K95" i="18"/>
  <c r="G85" i="18"/>
  <c r="H88" i="18"/>
  <c r="J88" i="18" s="1"/>
  <c r="L88" i="18" s="1"/>
  <c r="G79" i="18"/>
  <c r="G82" i="18"/>
  <c r="G74" i="18"/>
  <c r="H74" i="18"/>
  <c r="J74" i="18" s="1"/>
  <c r="G75" i="18"/>
  <c r="G73" i="18"/>
  <c r="G68" i="18"/>
  <c r="K78" i="18"/>
  <c r="K68" i="18"/>
  <c r="K84" i="18"/>
  <c r="G58" i="18"/>
  <c r="G55" i="18"/>
  <c r="G53" i="18"/>
  <c r="G51" i="18"/>
  <c r="K59" i="18"/>
  <c r="K26" i="18"/>
  <c r="K28" i="18"/>
  <c r="G15" i="18"/>
  <c r="H13" i="18"/>
  <c r="J13" i="18" s="1"/>
  <c r="G8" i="18"/>
  <c r="G6" i="18"/>
  <c r="L15" i="18"/>
  <c r="K15" i="18"/>
  <c r="L52" i="18"/>
  <c r="K52" i="18"/>
  <c r="L55" i="18"/>
  <c r="K55" i="18"/>
  <c r="L9" i="18"/>
  <c r="K9" i="18"/>
  <c r="K12" i="18"/>
  <c r="L12" i="18"/>
  <c r="L43" i="18"/>
  <c r="K43" i="18"/>
  <c r="L210" i="18"/>
  <c r="K210" i="18"/>
  <c r="L324" i="18"/>
  <c r="K324" i="18"/>
  <c r="K48" i="18"/>
  <c r="L48" i="18"/>
  <c r="L336" i="18"/>
  <c r="K336" i="18"/>
  <c r="L6" i="18"/>
  <c r="K6" i="18"/>
  <c r="L111" i="18"/>
  <c r="K111" i="18"/>
  <c r="L203" i="18"/>
  <c r="K203" i="18"/>
  <c r="L99" i="18"/>
  <c r="K99" i="18"/>
  <c r="L354" i="18"/>
  <c r="K354" i="18"/>
  <c r="L368" i="18"/>
  <c r="K368" i="18"/>
  <c r="L19" i="18"/>
  <c r="K19" i="18"/>
  <c r="L56" i="18"/>
  <c r="K56" i="18"/>
  <c r="L72" i="18"/>
  <c r="K72" i="18"/>
  <c r="L82" i="18"/>
  <c r="K82" i="18"/>
  <c r="L133" i="18"/>
  <c r="K133" i="18"/>
  <c r="L312" i="18"/>
  <c r="K312" i="18"/>
  <c r="L57" i="18"/>
  <c r="K57" i="18"/>
  <c r="L85" i="18"/>
  <c r="K85" i="18"/>
  <c r="L100" i="18"/>
  <c r="K100" i="18"/>
  <c r="L153" i="18"/>
  <c r="K153" i="18"/>
  <c r="L233" i="18"/>
  <c r="K233" i="18"/>
  <c r="L300" i="18"/>
  <c r="K300" i="18"/>
  <c r="L13" i="18"/>
  <c r="K13" i="18"/>
  <c r="L16" i="18"/>
  <c r="K16" i="18"/>
  <c r="L50" i="18"/>
  <c r="K50" i="18"/>
  <c r="L53" i="18"/>
  <c r="K53" i="18"/>
  <c r="L167" i="18"/>
  <c r="K167" i="18"/>
  <c r="L190" i="18"/>
  <c r="K190" i="18"/>
  <c r="L4" i="18"/>
  <c r="K4" i="18"/>
  <c r="L7" i="18"/>
  <c r="K7" i="18"/>
  <c r="H41" i="18"/>
  <c r="J41" i="18" s="1"/>
  <c r="G41" i="18"/>
  <c r="L38" i="18"/>
  <c r="K38" i="18"/>
  <c r="L62" i="18"/>
  <c r="K62" i="18"/>
  <c r="L112" i="18"/>
  <c r="K112" i="18"/>
  <c r="L392" i="18"/>
  <c r="K392" i="18"/>
  <c r="L17" i="18"/>
  <c r="K17" i="18"/>
  <c r="K20" i="18"/>
  <c r="L20" i="18"/>
  <c r="L51" i="18"/>
  <c r="K51" i="18"/>
  <c r="L134" i="18"/>
  <c r="K134" i="18"/>
  <c r="L179" i="18"/>
  <c r="K179" i="18"/>
  <c r="L221" i="18"/>
  <c r="K221" i="18"/>
  <c r="L269" i="18"/>
  <c r="K269" i="18"/>
  <c r="L405" i="18"/>
  <c r="K405" i="18"/>
  <c r="L5" i="18"/>
  <c r="K5" i="18"/>
  <c r="L8" i="18"/>
  <c r="K8" i="18"/>
  <c r="L11" i="18"/>
  <c r="K11" i="18"/>
  <c r="L14" i="18"/>
  <c r="K14" i="18"/>
  <c r="L23" i="18"/>
  <c r="K23" i="18"/>
  <c r="K36" i="18"/>
  <c r="L36" i="18"/>
  <c r="K39" i="18"/>
  <c r="L39" i="18"/>
  <c r="K42" i="18"/>
  <c r="L42" i="18"/>
  <c r="L54" i="18"/>
  <c r="K54" i="18"/>
  <c r="L105" i="18"/>
  <c r="K105" i="18"/>
  <c r="K45" i="18"/>
  <c r="L45" i="18"/>
  <c r="L58" i="18"/>
  <c r="K58" i="18"/>
  <c r="L184" i="18"/>
  <c r="K184" i="18"/>
  <c r="L257" i="18"/>
  <c r="K257" i="18"/>
  <c r="G11" i="18"/>
  <c r="G19" i="18"/>
  <c r="K22" i="18"/>
  <c r="H24" i="18"/>
  <c r="G35" i="18"/>
  <c r="G38" i="18"/>
  <c r="H61" i="18"/>
  <c r="J61" i="18" s="1"/>
  <c r="L73" i="18"/>
  <c r="K73" i="18"/>
  <c r="G86" i="18"/>
  <c r="K139" i="18"/>
  <c r="L168" i="18"/>
  <c r="K168" i="18"/>
  <c r="L204" i="18"/>
  <c r="K204" i="18"/>
  <c r="L252" i="18"/>
  <c r="K252" i="18"/>
  <c r="L264" i="18"/>
  <c r="K264" i="18"/>
  <c r="L276" i="18"/>
  <c r="K276" i="18"/>
  <c r="L288" i="18"/>
  <c r="K288" i="18"/>
  <c r="L319" i="18"/>
  <c r="K319" i="18"/>
  <c r="L331" i="18"/>
  <c r="K331" i="18"/>
  <c r="L342" i="18"/>
  <c r="K342" i="18"/>
  <c r="L345" i="18"/>
  <c r="K345" i="18"/>
  <c r="K361" i="18"/>
  <c r="L364" i="18"/>
  <c r="K364" i="18"/>
  <c r="K410" i="18"/>
  <c r="L413" i="18"/>
  <c r="K413" i="18"/>
  <c r="H35" i="18"/>
  <c r="H67" i="18"/>
  <c r="J67" i="18" s="1"/>
  <c r="F71" i="18"/>
  <c r="L75" i="18"/>
  <c r="K75" i="18"/>
  <c r="H80" i="18"/>
  <c r="J80" i="18" s="1"/>
  <c r="G80" i="18"/>
  <c r="L118" i="18"/>
  <c r="K118" i="18"/>
  <c r="L159" i="18"/>
  <c r="K159" i="18"/>
  <c r="L185" i="18"/>
  <c r="K185" i="18"/>
  <c r="H192" i="18"/>
  <c r="L211" i="18"/>
  <c r="K211" i="18"/>
  <c r="L245" i="18"/>
  <c r="K245" i="18"/>
  <c r="L281" i="18"/>
  <c r="K281" i="18"/>
  <c r="L293" i="18"/>
  <c r="K293" i="18"/>
  <c r="L307" i="18"/>
  <c r="K307" i="18"/>
  <c r="L86" i="18"/>
  <c r="K86" i="18"/>
  <c r="L197" i="18"/>
  <c r="K197" i="18"/>
  <c r="L229" i="18"/>
  <c r="K229" i="18"/>
  <c r="L302" i="18"/>
  <c r="K302" i="18"/>
  <c r="L380" i="18"/>
  <c r="K380" i="18"/>
  <c r="G5" i="18"/>
  <c r="K44" i="18"/>
  <c r="K47" i="18"/>
  <c r="F49" i="18"/>
  <c r="G52" i="18"/>
  <c r="G67" i="18"/>
  <c r="L108" i="18"/>
  <c r="H156" i="18"/>
  <c r="K146" i="18"/>
  <c r="K172" i="18"/>
  <c r="L181" i="18"/>
  <c r="K202" i="18"/>
  <c r="K215" i="18"/>
  <c r="H346" i="18"/>
  <c r="L351" i="18"/>
  <c r="K351" i="18"/>
  <c r="K373" i="18"/>
  <c r="L376" i="18"/>
  <c r="K376" i="18"/>
  <c r="L387" i="18"/>
  <c r="K387" i="18"/>
  <c r="L399" i="18"/>
  <c r="K399" i="18"/>
  <c r="L402" i="18"/>
  <c r="K402" i="18"/>
  <c r="L120" i="18"/>
  <c r="K120" i="18"/>
  <c r="L141" i="18"/>
  <c r="K141" i="18"/>
  <c r="L240" i="18"/>
  <c r="K240" i="18"/>
  <c r="J65" i="18"/>
  <c r="H77" i="18"/>
  <c r="J77" i="18" s="1"/>
  <c r="G77" i="18"/>
  <c r="H87" i="18"/>
  <c r="J87" i="18" s="1"/>
  <c r="G87" i="18"/>
  <c r="F89" i="18"/>
  <c r="L93" i="18"/>
  <c r="K93" i="18"/>
  <c r="K97" i="18"/>
  <c r="H102" i="18"/>
  <c r="L142" i="18"/>
  <c r="K142" i="18"/>
  <c r="L149" i="18"/>
  <c r="L162" i="18"/>
  <c r="K164" i="18"/>
  <c r="L175" i="18"/>
  <c r="K183" i="18"/>
  <c r="L218" i="18"/>
  <c r="L220" i="18"/>
  <c r="K220" i="18"/>
  <c r="L227" i="18"/>
  <c r="K227" i="18"/>
  <c r="L230" i="18"/>
  <c r="K230" i="18"/>
  <c r="K238" i="18"/>
  <c r="L241" i="18"/>
  <c r="K241" i="18"/>
  <c r="L260" i="18"/>
  <c r="L272" i="18"/>
  <c r="L284" i="18"/>
  <c r="L315" i="18"/>
  <c r="L327" i="18"/>
  <c r="L69" i="18"/>
  <c r="K69" i="18"/>
  <c r="L198" i="18"/>
  <c r="K198" i="18"/>
  <c r="L205" i="18"/>
  <c r="K205" i="18"/>
  <c r="L209" i="18"/>
  <c r="K209" i="18"/>
  <c r="L253" i="18"/>
  <c r="K253" i="18"/>
  <c r="L265" i="18"/>
  <c r="K265" i="18"/>
  <c r="L277" i="18"/>
  <c r="K277" i="18"/>
  <c r="L289" i="18"/>
  <c r="K289" i="18"/>
  <c r="L320" i="18"/>
  <c r="K320" i="18"/>
  <c r="L332" i="18"/>
  <c r="K332" i="18"/>
  <c r="L343" i="18"/>
  <c r="K343" i="18"/>
  <c r="L356" i="18"/>
  <c r="K356" i="18"/>
  <c r="L362" i="18"/>
  <c r="K362" i="18"/>
  <c r="L365" i="18"/>
  <c r="K365" i="18"/>
  <c r="L407" i="18"/>
  <c r="K407" i="18"/>
  <c r="L411" i="18"/>
  <c r="K411" i="18"/>
  <c r="K21" i="18"/>
  <c r="G23" i="18"/>
  <c r="G57" i="18"/>
  <c r="H83" i="18"/>
  <c r="J83" i="18" s="1"/>
  <c r="G83" i="18"/>
  <c r="H116" i="18"/>
  <c r="H9" i="3" s="1"/>
  <c r="L106" i="18"/>
  <c r="K106" i="18"/>
  <c r="L186" i="18"/>
  <c r="K186" i="18"/>
  <c r="K196" i="18"/>
  <c r="L223" i="18"/>
  <c r="K223" i="18"/>
  <c r="L246" i="18"/>
  <c r="K246" i="18"/>
  <c r="K305" i="18"/>
  <c r="L308" i="18"/>
  <c r="K308" i="18"/>
  <c r="L136" i="18"/>
  <c r="K136" i="18"/>
  <c r="L140" i="18"/>
  <c r="K140" i="18"/>
  <c r="L147" i="18"/>
  <c r="K147" i="18"/>
  <c r="L160" i="18"/>
  <c r="K160" i="18"/>
  <c r="L173" i="18"/>
  <c r="K173" i="18"/>
  <c r="L216" i="18"/>
  <c r="K216" i="18"/>
  <c r="L313" i="18"/>
  <c r="K313" i="18"/>
  <c r="H414" i="18"/>
  <c r="J349" i="18"/>
  <c r="L370" i="18"/>
  <c r="K370" i="18"/>
  <c r="L374" i="18"/>
  <c r="K374" i="18"/>
  <c r="L377" i="18"/>
  <c r="K377" i="18"/>
  <c r="K385" i="18"/>
  <c r="L388" i="18"/>
  <c r="K388" i="18"/>
  <c r="L400" i="18"/>
  <c r="K400" i="18"/>
  <c r="K10" i="18"/>
  <c r="K18" i="18"/>
  <c r="K34" i="18"/>
  <c r="K37" i="18"/>
  <c r="K40" i="18"/>
  <c r="G45" i="18"/>
  <c r="G48" i="18"/>
  <c r="K60" i="18"/>
  <c r="G62" i="18"/>
  <c r="K104" i="18"/>
  <c r="K158" i="18"/>
  <c r="L228" i="18"/>
  <c r="K228" i="18"/>
  <c r="L239" i="18"/>
  <c r="K239" i="18"/>
  <c r="L301" i="18"/>
  <c r="K301" i="18"/>
  <c r="G36" i="18"/>
  <c r="G39" i="18"/>
  <c r="G70" i="18"/>
  <c r="K81" i="18"/>
  <c r="L94" i="18"/>
  <c r="L143" i="18"/>
  <c r="K145" i="18"/>
  <c r="K163" i="18"/>
  <c r="K171" i="18"/>
  <c r="L199" i="18"/>
  <c r="K199" i="18"/>
  <c r="H296" i="18"/>
  <c r="L254" i="18"/>
  <c r="K254" i="18"/>
  <c r="L263" i="18"/>
  <c r="K263" i="18"/>
  <c r="L266" i="18"/>
  <c r="K266" i="18"/>
  <c r="L275" i="18"/>
  <c r="K275" i="18"/>
  <c r="L278" i="18"/>
  <c r="K278" i="18"/>
  <c r="L287" i="18"/>
  <c r="K287" i="18"/>
  <c r="L290" i="18"/>
  <c r="K290" i="18"/>
  <c r="L318" i="18"/>
  <c r="K318" i="18"/>
  <c r="L321" i="18"/>
  <c r="K321" i="18"/>
  <c r="L330" i="18"/>
  <c r="K330" i="18"/>
  <c r="L333" i="18"/>
  <c r="K333" i="18"/>
  <c r="K341" i="18"/>
  <c r="L344" i="18"/>
  <c r="K344" i="18"/>
  <c r="L363" i="18"/>
  <c r="K363" i="18"/>
  <c r="L412" i="18"/>
  <c r="K412" i="18"/>
  <c r="L76" i="18"/>
  <c r="G9" i="18"/>
  <c r="G17" i="18"/>
  <c r="G56" i="18"/>
  <c r="L70" i="18"/>
  <c r="L90" i="18"/>
  <c r="L107" i="18"/>
  <c r="K107" i="18"/>
  <c r="K122" i="18"/>
  <c r="L206" i="18"/>
  <c r="K214" i="18"/>
  <c r="L244" i="18"/>
  <c r="K244" i="18"/>
  <c r="L247" i="18"/>
  <c r="K247" i="18"/>
  <c r="L306" i="18"/>
  <c r="K306" i="18"/>
  <c r="L309" i="18"/>
  <c r="K309" i="18"/>
  <c r="L66" i="18"/>
  <c r="K66" i="18"/>
  <c r="L79" i="18"/>
  <c r="K79" i="18"/>
  <c r="L148" i="18"/>
  <c r="K148" i="18"/>
  <c r="L152" i="18"/>
  <c r="K152" i="18"/>
  <c r="L161" i="18"/>
  <c r="K161" i="18"/>
  <c r="L174" i="18"/>
  <c r="K174" i="18"/>
  <c r="L178" i="18"/>
  <c r="K178" i="18"/>
  <c r="L191" i="18"/>
  <c r="K191" i="18"/>
  <c r="L217" i="18"/>
  <c r="K217" i="18"/>
  <c r="L259" i="18"/>
  <c r="K259" i="18"/>
  <c r="L271" i="18"/>
  <c r="K271" i="18"/>
  <c r="L283" i="18"/>
  <c r="K283" i="18"/>
  <c r="L295" i="18"/>
  <c r="K295" i="18"/>
  <c r="L314" i="18"/>
  <c r="K314" i="18"/>
  <c r="L326" i="18"/>
  <c r="K326" i="18"/>
  <c r="L350" i="18"/>
  <c r="K350" i="18"/>
  <c r="L375" i="18"/>
  <c r="K375" i="18"/>
  <c r="L386" i="18"/>
  <c r="K386" i="18"/>
  <c r="L389" i="18"/>
  <c r="K389" i="18"/>
  <c r="K398" i="18"/>
  <c r="L401" i="18"/>
  <c r="K401" i="18"/>
  <c r="H242" i="18"/>
  <c r="K101" i="18"/>
  <c r="K113" i="18"/>
  <c r="K154" i="18"/>
  <c r="H249" i="18"/>
  <c r="K232" i="18"/>
  <c r="J251" i="18"/>
  <c r="K256" i="18"/>
  <c r="K268" i="18"/>
  <c r="K280" i="18"/>
  <c r="K292" i="18"/>
  <c r="K299" i="18"/>
  <c r="K311" i="18"/>
  <c r="K323" i="18"/>
  <c r="K335" i="18"/>
  <c r="K353" i="18"/>
  <c r="K367" i="18"/>
  <c r="K379" i="18"/>
  <c r="K391" i="18"/>
  <c r="K404" i="18"/>
  <c r="K222" i="18"/>
  <c r="K234" i="18"/>
  <c r="K258" i="18"/>
  <c r="K270" i="18"/>
  <c r="K282" i="18"/>
  <c r="K294" i="18"/>
  <c r="K325" i="18"/>
  <c r="K337" i="18"/>
  <c r="K355" i="18"/>
  <c r="K369" i="18"/>
  <c r="K381" i="18"/>
  <c r="K393" i="18"/>
  <c r="K406" i="18"/>
  <c r="K213" i="17"/>
  <c r="K233" i="17"/>
  <c r="G23" i="17"/>
  <c r="K405" i="17"/>
  <c r="H80" i="17"/>
  <c r="J80" i="17" s="1"/>
  <c r="K80" i="17" s="1"/>
  <c r="L218" i="17"/>
  <c r="L354" i="17"/>
  <c r="H116" i="17"/>
  <c r="I9" i="3" s="1"/>
  <c r="G44" i="17"/>
  <c r="L403" i="17"/>
  <c r="I13" i="3"/>
  <c r="I3" i="3"/>
  <c r="L115" i="17"/>
  <c r="H83" i="17"/>
  <c r="J83" i="17" s="1"/>
  <c r="K83" i="17" s="1"/>
  <c r="G135" i="17"/>
  <c r="L159" i="17"/>
  <c r="L164" i="17"/>
  <c r="H32" i="17"/>
  <c r="F71" i="17"/>
  <c r="H71" i="17" s="1"/>
  <c r="J71" i="17" s="1"/>
  <c r="L71" i="17" s="1"/>
  <c r="L106" i="17"/>
  <c r="K114" i="17"/>
  <c r="L114" i="17"/>
  <c r="L197" i="17"/>
  <c r="K197" i="17"/>
  <c r="L397" i="17"/>
  <c r="K397" i="17"/>
  <c r="K305" i="17"/>
  <c r="L305" i="17"/>
  <c r="K317" i="17"/>
  <c r="L317" i="17"/>
  <c r="K398" i="17"/>
  <c r="L398" i="17"/>
  <c r="K341" i="17"/>
  <c r="L341" i="17"/>
  <c r="L307" i="17"/>
  <c r="K307" i="17"/>
  <c r="K409" i="17"/>
  <c r="L409" i="17"/>
  <c r="K329" i="17"/>
  <c r="L329" i="17"/>
  <c r="K152" i="17"/>
  <c r="L158" i="17"/>
  <c r="G74" i="17"/>
  <c r="G81" i="17"/>
  <c r="L312" i="17"/>
  <c r="L336" i="17"/>
  <c r="L126" i="17"/>
  <c r="H74" i="17"/>
  <c r="J74" i="17" s="1"/>
  <c r="L74" i="17" s="1"/>
  <c r="L127" i="17"/>
  <c r="H148" i="17"/>
  <c r="J148" i="17" s="1"/>
  <c r="K148" i="17" s="1"/>
  <c r="H242" i="17"/>
  <c r="L132" i="17"/>
  <c r="G147" i="17"/>
  <c r="H37" i="17"/>
  <c r="J37" i="17" s="1"/>
  <c r="L37" i="17" s="1"/>
  <c r="G47" i="17"/>
  <c r="H67" i="17"/>
  <c r="J67" i="17" s="1"/>
  <c r="L67" i="17" s="1"/>
  <c r="K349" i="17"/>
  <c r="L410" i="17"/>
  <c r="G142" i="17"/>
  <c r="G6" i="17"/>
  <c r="L112" i="17"/>
  <c r="L254" i="17"/>
  <c r="G60" i="17"/>
  <c r="H70" i="17"/>
  <c r="J70" i="17" s="1"/>
  <c r="L70" i="17" s="1"/>
  <c r="K124" i="17"/>
  <c r="L206" i="17"/>
  <c r="K324" i="17"/>
  <c r="I5" i="3"/>
  <c r="H79" i="17"/>
  <c r="J79" i="17" s="1"/>
  <c r="K79" i="17" s="1"/>
  <c r="L119" i="17"/>
  <c r="G137" i="17"/>
  <c r="H144" i="17"/>
  <c r="J144" i="17" s="1"/>
  <c r="K144" i="17" s="1"/>
  <c r="G80" i="17"/>
  <c r="H87" i="17"/>
  <c r="J87" i="17" s="1"/>
  <c r="L87" i="17" s="1"/>
  <c r="K221" i="17"/>
  <c r="I8" i="3"/>
  <c r="L130" i="17"/>
  <c r="L120" i="17"/>
  <c r="K141" i="17"/>
  <c r="L141" i="17"/>
  <c r="G136" i="17"/>
  <c r="G143" i="17"/>
  <c r="K122" i="17"/>
  <c r="G140" i="17"/>
  <c r="L137" i="17"/>
  <c r="G141" i="17"/>
  <c r="G134" i="17"/>
  <c r="G145" i="17"/>
  <c r="K130" i="17"/>
  <c r="G139" i="17"/>
  <c r="G146" i="17"/>
  <c r="K373" i="17"/>
  <c r="L373" i="17"/>
  <c r="L361" i="17"/>
  <c r="K380" i="17"/>
  <c r="L385" i="17"/>
  <c r="K286" i="17"/>
  <c r="L286" i="17"/>
  <c r="K293" i="17"/>
  <c r="L262" i="17"/>
  <c r="K257" i="17"/>
  <c r="K276" i="17"/>
  <c r="L274" i="17"/>
  <c r="K264" i="17"/>
  <c r="L190" i="17"/>
  <c r="K190" i="17"/>
  <c r="L177" i="17"/>
  <c r="K177" i="17"/>
  <c r="K178" i="17"/>
  <c r="L187" i="17"/>
  <c r="K118" i="17"/>
  <c r="L151" i="17"/>
  <c r="L147" i="17"/>
  <c r="L143" i="17"/>
  <c r="L100" i="17"/>
  <c r="K100" i="17"/>
  <c r="K98" i="17"/>
  <c r="L98" i="17"/>
  <c r="L101" i="17"/>
  <c r="K101" i="17"/>
  <c r="K99" i="17"/>
  <c r="K93" i="17"/>
  <c r="K96" i="17"/>
  <c r="L94" i="17"/>
  <c r="G82" i="17"/>
  <c r="H56" i="17"/>
  <c r="J56" i="17" s="1"/>
  <c r="L56" i="17" s="1"/>
  <c r="G51" i="17"/>
  <c r="G53" i="17"/>
  <c r="H46" i="17"/>
  <c r="J46" i="17" s="1"/>
  <c r="K46" i="17" s="1"/>
  <c r="H43" i="17"/>
  <c r="J43" i="17" s="1"/>
  <c r="L43" i="17" s="1"/>
  <c r="G40" i="17"/>
  <c r="K78" i="17"/>
  <c r="L78" i="17"/>
  <c r="L76" i="17"/>
  <c r="L26" i="17"/>
  <c r="K59" i="17"/>
  <c r="G19" i="17"/>
  <c r="H17" i="17"/>
  <c r="J17" i="17" s="1"/>
  <c r="L17" i="17" s="1"/>
  <c r="G13" i="17"/>
  <c r="G11" i="17"/>
  <c r="G9" i="17"/>
  <c r="L21" i="17"/>
  <c r="K21" i="17"/>
  <c r="K20" i="17"/>
  <c r="L20" i="17"/>
  <c r="K27" i="17"/>
  <c r="L27" i="17"/>
  <c r="K30" i="17"/>
  <c r="L30" i="17"/>
  <c r="K38" i="17"/>
  <c r="L38" i="17"/>
  <c r="L95" i="17"/>
  <c r="K95" i="17"/>
  <c r="L142" i="17"/>
  <c r="K142" i="17"/>
  <c r="L283" i="17"/>
  <c r="K283" i="17"/>
  <c r="L356" i="17"/>
  <c r="K356" i="17"/>
  <c r="L382" i="17"/>
  <c r="K382" i="17"/>
  <c r="L23" i="17"/>
  <c r="K23" i="17"/>
  <c r="L48" i="17"/>
  <c r="K48" i="17"/>
  <c r="K58" i="17"/>
  <c r="L58" i="17"/>
  <c r="K69" i="17"/>
  <c r="L69" i="17"/>
  <c r="K72" i="17"/>
  <c r="L72" i="17"/>
  <c r="L128" i="17"/>
  <c r="K128" i="17"/>
  <c r="L223" i="17"/>
  <c r="K223" i="17"/>
  <c r="L314" i="17"/>
  <c r="K314" i="17"/>
  <c r="L338" i="17"/>
  <c r="K338" i="17"/>
  <c r="L36" i="17"/>
  <c r="K36" i="17"/>
  <c r="L136" i="17"/>
  <c r="K136" i="17"/>
  <c r="K15" i="17"/>
  <c r="L15" i="17"/>
  <c r="L18" i="17"/>
  <c r="K18" i="17"/>
  <c r="L28" i="17"/>
  <c r="K28" i="17"/>
  <c r="L31" i="17"/>
  <c r="K31" i="17"/>
  <c r="K61" i="17"/>
  <c r="L61" i="17"/>
  <c r="L73" i="17"/>
  <c r="K73" i="17"/>
  <c r="L154" i="17"/>
  <c r="K154" i="17"/>
  <c r="L370" i="17"/>
  <c r="K370" i="17"/>
  <c r="L9" i="17"/>
  <c r="K9" i="17"/>
  <c r="K12" i="17"/>
  <c r="L12" i="17"/>
  <c r="L45" i="17"/>
  <c r="K45" i="17"/>
  <c r="L52" i="17"/>
  <c r="K52" i="17"/>
  <c r="L55" i="17"/>
  <c r="K55" i="17"/>
  <c r="L66" i="17"/>
  <c r="K66" i="17"/>
  <c r="L109" i="17"/>
  <c r="K109" i="17"/>
  <c r="L160" i="17"/>
  <c r="K160" i="17"/>
  <c r="L39" i="17"/>
  <c r="K39" i="17"/>
  <c r="L42" i="17"/>
  <c r="K42" i="17"/>
  <c r="L104" i="17"/>
  <c r="K104" i="17"/>
  <c r="L180" i="17"/>
  <c r="K180" i="17"/>
  <c r="K4" i="17"/>
  <c r="L4" i="17"/>
  <c r="L129" i="17"/>
  <c r="K129" i="17"/>
  <c r="J149" i="17" s="1"/>
  <c r="L7" i="17"/>
  <c r="K7" i="17"/>
  <c r="L10" i="17"/>
  <c r="K10" i="17"/>
  <c r="L161" i="17"/>
  <c r="K161" i="17"/>
  <c r="L235" i="17"/>
  <c r="K235" i="17"/>
  <c r="L19" i="17"/>
  <c r="K19" i="17"/>
  <c r="K43" i="17"/>
  <c r="L50" i="17"/>
  <c r="K50" i="17"/>
  <c r="L53" i="17"/>
  <c r="K53" i="17"/>
  <c r="L62" i="17"/>
  <c r="K62" i="17"/>
  <c r="L191" i="17"/>
  <c r="K191" i="17"/>
  <c r="L326" i="17"/>
  <c r="K326" i="17"/>
  <c r="L407" i="17"/>
  <c r="K407" i="17"/>
  <c r="J5" i="17"/>
  <c r="L16" i="17"/>
  <c r="K16" i="17"/>
  <c r="L29" i="17"/>
  <c r="K29" i="17"/>
  <c r="L77" i="17"/>
  <c r="K77" i="17"/>
  <c r="L11" i="17"/>
  <c r="K11" i="17"/>
  <c r="L84" i="17"/>
  <c r="K84" i="17"/>
  <c r="L8" i="17"/>
  <c r="K8" i="17"/>
  <c r="L47" i="17"/>
  <c r="K47" i="17"/>
  <c r="K22" i="17"/>
  <c r="L22" i="17"/>
  <c r="L44" i="17"/>
  <c r="K44" i="17"/>
  <c r="L51" i="17"/>
  <c r="K51" i="17"/>
  <c r="L57" i="17"/>
  <c r="K57" i="17"/>
  <c r="L68" i="17"/>
  <c r="K68" i="17"/>
  <c r="L54" i="17"/>
  <c r="K54" i="17"/>
  <c r="L65" i="17"/>
  <c r="K65" i="17"/>
  <c r="L172" i="17"/>
  <c r="K172" i="17"/>
  <c r="L259" i="17"/>
  <c r="K259" i="17"/>
  <c r="H131" i="17"/>
  <c r="J131" i="17" s="1"/>
  <c r="G131" i="17"/>
  <c r="L153" i="17"/>
  <c r="K153" i="17"/>
  <c r="L168" i="17"/>
  <c r="K168" i="17"/>
  <c r="L179" i="17"/>
  <c r="K179" i="17"/>
  <c r="L271" i="17"/>
  <c r="K271" i="17"/>
  <c r="L279" i="17"/>
  <c r="K279" i="17"/>
  <c r="L316" i="17"/>
  <c r="K316" i="17"/>
  <c r="L321" i="17"/>
  <c r="K321" i="17"/>
  <c r="K371" i="17"/>
  <c r="L371" i="17"/>
  <c r="L376" i="17"/>
  <c r="K376" i="17"/>
  <c r="L413" i="17"/>
  <c r="K413" i="17"/>
  <c r="G57" i="17"/>
  <c r="G68" i="17"/>
  <c r="H85" i="17"/>
  <c r="J85" i="17" s="1"/>
  <c r="L175" i="17"/>
  <c r="L186" i="17"/>
  <c r="K186" i="17"/>
  <c r="J199" i="17"/>
  <c r="K228" i="17"/>
  <c r="L238" i="17"/>
  <c r="L247" i="17"/>
  <c r="K269" i="17"/>
  <c r="K284" i="17"/>
  <c r="L284" i="17"/>
  <c r="L289" i="17"/>
  <c r="K289" i="17"/>
  <c r="L306" i="17"/>
  <c r="K306" i="17"/>
  <c r="K331" i="17"/>
  <c r="L334" i="17"/>
  <c r="K334" i="17"/>
  <c r="L384" i="17"/>
  <c r="K384" i="17"/>
  <c r="L389" i="17"/>
  <c r="K389" i="17"/>
  <c r="L402" i="17"/>
  <c r="K402" i="17"/>
  <c r="L139" i="17"/>
  <c r="K139" i="17"/>
  <c r="K6" i="17"/>
  <c r="G8" i="17"/>
  <c r="K14" i="17"/>
  <c r="K34" i="17"/>
  <c r="K40" i="17"/>
  <c r="G45" i="17"/>
  <c r="G48" i="17"/>
  <c r="K60" i="17"/>
  <c r="L81" i="17"/>
  <c r="L108" i="17"/>
  <c r="K110" i="17"/>
  <c r="H165" i="17"/>
  <c r="K182" i="17"/>
  <c r="K184" i="17"/>
  <c r="K204" i="17"/>
  <c r="K209" i="17"/>
  <c r="K216" i="17"/>
  <c r="L226" i="17"/>
  <c r="K236" i="17"/>
  <c r="L236" i="17"/>
  <c r="L241" i="17"/>
  <c r="K241" i="17"/>
  <c r="K252" i="17"/>
  <c r="L267" i="17"/>
  <c r="K267" i="17"/>
  <c r="L287" i="17"/>
  <c r="K287" i="17"/>
  <c r="L304" i="17"/>
  <c r="K304" i="17"/>
  <c r="L309" i="17"/>
  <c r="K309" i="17"/>
  <c r="K358" i="17"/>
  <c r="L358" i="17"/>
  <c r="L364" i="17"/>
  <c r="K364" i="17"/>
  <c r="K392" i="17"/>
  <c r="H414" i="17"/>
  <c r="L211" i="17"/>
  <c r="K211" i="17"/>
  <c r="L411" i="17"/>
  <c r="K411" i="17"/>
  <c r="G5" i="17"/>
  <c r="G36" i="17"/>
  <c r="G39" i="17"/>
  <c r="G62" i="17"/>
  <c r="G73" i="17"/>
  <c r="G76" i="17"/>
  <c r="K90" i="17"/>
  <c r="K127" i="17"/>
  <c r="J134" i="17" s="1"/>
  <c r="L171" i="17"/>
  <c r="K173" i="17"/>
  <c r="K189" i="17"/>
  <c r="L202" i="17"/>
  <c r="L207" i="17"/>
  <c r="K207" i="17"/>
  <c r="L219" i="17"/>
  <c r="K219" i="17"/>
  <c r="K245" i="17"/>
  <c r="L255" i="17"/>
  <c r="K255" i="17"/>
  <c r="K272" i="17"/>
  <c r="L272" i="17"/>
  <c r="L277" i="17"/>
  <c r="K277" i="17"/>
  <c r="K319" i="17"/>
  <c r="L322" i="17"/>
  <c r="K322" i="17"/>
  <c r="L342" i="17"/>
  <c r="K342" i="17"/>
  <c r="L372" i="17"/>
  <c r="K372" i="17"/>
  <c r="L377" i="17"/>
  <c r="K377" i="17"/>
  <c r="L133" i="17"/>
  <c r="K133" i="17"/>
  <c r="L145" i="17"/>
  <c r="K145" i="17"/>
  <c r="L195" i="17"/>
  <c r="K195" i="17"/>
  <c r="L231" i="17"/>
  <c r="K231" i="17"/>
  <c r="K339" i="17"/>
  <c r="L339" i="17"/>
  <c r="L344" i="17"/>
  <c r="K344" i="17"/>
  <c r="L352" i="17"/>
  <c r="K352" i="17"/>
  <c r="L374" i="17"/>
  <c r="K374" i="17"/>
  <c r="L394" i="17"/>
  <c r="K394" i="17"/>
  <c r="H86" i="17"/>
  <c r="J86" i="17" s="1"/>
  <c r="G86" i="17"/>
  <c r="H88" i="17"/>
  <c r="J88" i="17" s="1"/>
  <c r="L176" i="17"/>
  <c r="K176" i="17"/>
  <c r="L214" i="17"/>
  <c r="K224" i="17"/>
  <c r="L224" i="17"/>
  <c r="L229" i="17"/>
  <c r="K229" i="17"/>
  <c r="L239" i="17"/>
  <c r="K239" i="17"/>
  <c r="L248" i="17"/>
  <c r="K248" i="17"/>
  <c r="K260" i="17"/>
  <c r="L260" i="17"/>
  <c r="L285" i="17"/>
  <c r="K285" i="17"/>
  <c r="L290" i="17"/>
  <c r="K290" i="17"/>
  <c r="K327" i="17"/>
  <c r="L327" i="17"/>
  <c r="L332" i="17"/>
  <c r="K332" i="17"/>
  <c r="L362" i="17"/>
  <c r="K362" i="17"/>
  <c r="K387" i="17"/>
  <c r="L390" i="17"/>
  <c r="K390" i="17"/>
  <c r="K400" i="17"/>
  <c r="H426" i="17"/>
  <c r="L123" i="17"/>
  <c r="K123" i="17"/>
  <c r="L150" i="17"/>
  <c r="K150" i="17"/>
  <c r="H192" i="17"/>
  <c r="L265" i="17"/>
  <c r="K265" i="17"/>
  <c r="L275" i="17"/>
  <c r="K275" i="17"/>
  <c r="L295" i="17"/>
  <c r="K295" i="17"/>
  <c r="L340" i="17"/>
  <c r="K340" i="17"/>
  <c r="L345" i="17"/>
  <c r="K345" i="17"/>
  <c r="L350" i="17"/>
  <c r="K350" i="17"/>
  <c r="K396" i="17"/>
  <c r="L396" i="17"/>
  <c r="F41" i="17"/>
  <c r="L111" i="17"/>
  <c r="K111" i="17"/>
  <c r="L167" i="17"/>
  <c r="K167" i="17"/>
  <c r="L205" i="17"/>
  <c r="K205" i="17"/>
  <c r="L217" i="17"/>
  <c r="K217" i="17"/>
  <c r="L227" i="17"/>
  <c r="K227" i="17"/>
  <c r="L232" i="17"/>
  <c r="K232" i="17"/>
  <c r="L253" i="17"/>
  <c r="K253" i="17"/>
  <c r="L302" i="17"/>
  <c r="K302" i="17"/>
  <c r="L310" i="17"/>
  <c r="K310" i="17"/>
  <c r="L330" i="17"/>
  <c r="K330" i="17"/>
  <c r="L360" i="17"/>
  <c r="K360" i="17"/>
  <c r="L365" i="17"/>
  <c r="K365" i="17"/>
  <c r="K13" i="17"/>
  <c r="G61" i="17"/>
  <c r="K119" i="17"/>
  <c r="K121" i="17"/>
  <c r="K132" i="17"/>
  <c r="L138" i="17"/>
  <c r="L140" i="17"/>
  <c r="L146" i="17"/>
  <c r="K163" i="17"/>
  <c r="L174" i="17"/>
  <c r="K174" i="17"/>
  <c r="L196" i="17"/>
  <c r="L198" i="17"/>
  <c r="K198" i="17"/>
  <c r="K237" i="17"/>
  <c r="L246" i="17"/>
  <c r="K246" i="17"/>
  <c r="L263" i="17"/>
  <c r="K263" i="17"/>
  <c r="L273" i="17"/>
  <c r="K273" i="17"/>
  <c r="L278" i="17"/>
  <c r="K278" i="17"/>
  <c r="K300" i="17"/>
  <c r="K315" i="17"/>
  <c r="L315" i="17"/>
  <c r="L320" i="17"/>
  <c r="K320" i="17"/>
  <c r="K375" i="17"/>
  <c r="L378" i="17"/>
  <c r="K378" i="17"/>
  <c r="K412" i="17"/>
  <c r="G15" i="17"/>
  <c r="G38" i="17"/>
  <c r="H35" i="17"/>
  <c r="J35" i="17" s="1"/>
  <c r="G55" i="17"/>
  <c r="G58" i="17"/>
  <c r="G66" i="17"/>
  <c r="G69" i="17"/>
  <c r="H75" i="17"/>
  <c r="J75" i="17" s="1"/>
  <c r="L82" i="17"/>
  <c r="H89" i="17"/>
  <c r="J89" i="17" s="1"/>
  <c r="G89" i="17"/>
  <c r="J105" i="17"/>
  <c r="K107" i="17"/>
  <c r="L183" i="17"/>
  <c r="K185" i="17"/>
  <c r="K203" i="17"/>
  <c r="L215" i="17"/>
  <c r="K215" i="17"/>
  <c r="L220" i="17"/>
  <c r="K220" i="17"/>
  <c r="H296" i="17"/>
  <c r="J251" i="17"/>
  <c r="L256" i="17"/>
  <c r="K256" i="17"/>
  <c r="K288" i="17"/>
  <c r="L291" i="17"/>
  <c r="K291" i="17"/>
  <c r="L328" i="17"/>
  <c r="K328" i="17"/>
  <c r="L333" i="17"/>
  <c r="K333" i="17"/>
  <c r="K368" i="17"/>
  <c r="K383" i="17"/>
  <c r="L383" i="17"/>
  <c r="L388" i="17"/>
  <c r="K388" i="17"/>
  <c r="L401" i="17"/>
  <c r="K401" i="17"/>
  <c r="K408" i="17"/>
  <c r="L408" i="17"/>
  <c r="F49" i="17"/>
  <c r="G52" i="17"/>
  <c r="G77" i="17"/>
  <c r="L97" i="17"/>
  <c r="K97" i="17"/>
  <c r="K126" i="17"/>
  <c r="K170" i="17"/>
  <c r="L188" i="17"/>
  <c r="K188" i="17"/>
  <c r="L194" i="17"/>
  <c r="L208" i="17"/>
  <c r="K225" i="17"/>
  <c r="L230" i="17"/>
  <c r="J244" i="17"/>
  <c r="H249" i="17"/>
  <c r="K261" i="17"/>
  <c r="K281" i="17"/>
  <c r="L298" i="17"/>
  <c r="K298" i="17"/>
  <c r="L318" i="17"/>
  <c r="K318" i="17"/>
  <c r="K343" i="17"/>
  <c r="L351" i="17"/>
  <c r="K351" i="17"/>
  <c r="L124" i="17"/>
  <c r="K201" i="17"/>
  <c r="K240" i="17"/>
  <c r="L266" i="17"/>
  <c r="K303" i="17"/>
  <c r="L303" i="17"/>
  <c r="L308" i="17"/>
  <c r="K308" i="17"/>
  <c r="K363" i="17"/>
  <c r="L366" i="17"/>
  <c r="K366" i="17"/>
  <c r="L386" i="17"/>
  <c r="K386" i="17"/>
  <c r="L399" i="17"/>
  <c r="K399" i="17"/>
  <c r="K113" i="17"/>
  <c r="K125" i="17"/>
  <c r="L155" i="17"/>
  <c r="L162" i="17"/>
  <c r="L169" i="17"/>
  <c r="L181" i="17"/>
  <c r="L200" i="17"/>
  <c r="L212" i="17"/>
  <c r="H102" i="17"/>
  <c r="K268" i="17"/>
  <c r="K280" i="17"/>
  <c r="K292" i="17"/>
  <c r="K299" i="17"/>
  <c r="K311" i="17"/>
  <c r="K323" i="17"/>
  <c r="K335" i="17"/>
  <c r="K353" i="17"/>
  <c r="K367" i="17"/>
  <c r="K379" i="17"/>
  <c r="K391" i="17"/>
  <c r="K404" i="17"/>
  <c r="K210" i="17"/>
  <c r="K222" i="17"/>
  <c r="K234" i="17"/>
  <c r="K258" i="17"/>
  <c r="K270" i="17"/>
  <c r="K282" i="17"/>
  <c r="K294" i="17"/>
  <c r="K301" i="17"/>
  <c r="K313" i="17"/>
  <c r="K325" i="17"/>
  <c r="K337" i="17"/>
  <c r="H346" i="17"/>
  <c r="K355" i="17"/>
  <c r="K369" i="17"/>
  <c r="K381" i="17"/>
  <c r="K393" i="17"/>
  <c r="K406" i="17"/>
  <c r="H141" i="16"/>
  <c r="J141" i="16" s="1"/>
  <c r="L141" i="16" s="1"/>
  <c r="G148" i="16"/>
  <c r="G140" i="16"/>
  <c r="H134" i="16"/>
  <c r="J134" i="16" s="1"/>
  <c r="K134" i="16" s="1"/>
  <c r="G149" i="16"/>
  <c r="G137" i="16"/>
  <c r="G145" i="16"/>
  <c r="J13" i="3"/>
  <c r="H146" i="16"/>
  <c r="J146" i="16" s="1"/>
  <c r="K146" i="16" s="1"/>
  <c r="G131" i="16"/>
  <c r="H144" i="16"/>
  <c r="J144" i="16" s="1"/>
  <c r="L144" i="16" s="1"/>
  <c r="J8" i="3"/>
  <c r="H57" i="16"/>
  <c r="J57" i="16" s="1"/>
  <c r="L57" i="16" s="1"/>
  <c r="H76" i="16"/>
  <c r="J76" i="16" s="1"/>
  <c r="K76" i="16" s="1"/>
  <c r="G135" i="16"/>
  <c r="J3" i="3"/>
  <c r="H55" i="16"/>
  <c r="J55" i="16" s="1"/>
  <c r="L55" i="16" s="1"/>
  <c r="H69" i="16"/>
  <c r="J69" i="16" s="1"/>
  <c r="L69" i="16" s="1"/>
  <c r="H74" i="16"/>
  <c r="J74" i="16" s="1"/>
  <c r="K74" i="16" s="1"/>
  <c r="H142" i="16"/>
  <c r="J142" i="16" s="1"/>
  <c r="K142" i="16" s="1"/>
  <c r="G136" i="16"/>
  <c r="H47" i="16"/>
  <c r="J47" i="16" s="1"/>
  <c r="L47" i="16" s="1"/>
  <c r="H66" i="16"/>
  <c r="J66" i="16" s="1"/>
  <c r="L66" i="16" s="1"/>
  <c r="H13" i="16"/>
  <c r="J13" i="16" s="1"/>
  <c r="K13" i="16" s="1"/>
  <c r="G36" i="16"/>
  <c r="H38" i="16"/>
  <c r="J38" i="16" s="1"/>
  <c r="L38" i="16" s="1"/>
  <c r="G40" i="16"/>
  <c r="L189" i="16"/>
  <c r="H35" i="16"/>
  <c r="J35" i="16" s="1"/>
  <c r="L35" i="16" s="1"/>
  <c r="G37" i="16"/>
  <c r="G39" i="16"/>
  <c r="J5" i="3"/>
  <c r="H58" i="16"/>
  <c r="J58" i="16" s="1"/>
  <c r="L58" i="16" s="1"/>
  <c r="H60" i="16"/>
  <c r="J60" i="16" s="1"/>
  <c r="K60" i="16" s="1"/>
  <c r="H62" i="16"/>
  <c r="J62" i="16" s="1"/>
  <c r="K62" i="16" s="1"/>
  <c r="H68" i="16"/>
  <c r="J68" i="16" s="1"/>
  <c r="L68" i="16" s="1"/>
  <c r="H102" i="16"/>
  <c r="G143" i="16"/>
  <c r="G138" i="16"/>
  <c r="H426" i="16"/>
  <c r="K371" i="16"/>
  <c r="L371" i="16"/>
  <c r="L411" i="16"/>
  <c r="K411" i="16"/>
  <c r="L393" i="16"/>
  <c r="K393" i="16"/>
  <c r="L361" i="16"/>
  <c r="K361" i="16"/>
  <c r="K363" i="16"/>
  <c r="L363" i="16"/>
  <c r="K396" i="16"/>
  <c r="L396" i="16"/>
  <c r="L397" i="16"/>
  <c r="K397" i="16"/>
  <c r="L404" i="16"/>
  <c r="L370" i="16"/>
  <c r="K403" i="16"/>
  <c r="K410" i="16"/>
  <c r="K377" i="16"/>
  <c r="K380" i="16"/>
  <c r="L387" i="16"/>
  <c r="K362" i="16"/>
  <c r="L379" i="16"/>
  <c r="L386" i="16"/>
  <c r="L255" i="16"/>
  <c r="L280" i="16"/>
  <c r="L126" i="16"/>
  <c r="K151" i="16"/>
  <c r="L151" i="16"/>
  <c r="K259" i="16"/>
  <c r="L259" i="16"/>
  <c r="K140" i="16"/>
  <c r="L140" i="16"/>
  <c r="L215" i="16"/>
  <c r="K215" i="16"/>
  <c r="L244" i="16"/>
  <c r="K244" i="16"/>
  <c r="K315" i="16"/>
  <c r="L315" i="16"/>
  <c r="K302" i="16"/>
  <c r="L302" i="16"/>
  <c r="L329" i="16"/>
  <c r="K329" i="16"/>
  <c r="L118" i="16"/>
  <c r="K118" i="16"/>
  <c r="L160" i="16"/>
  <c r="K160" i="16"/>
  <c r="K148" i="16"/>
  <c r="L148" i="16"/>
  <c r="K224" i="16"/>
  <c r="L224" i="16"/>
  <c r="K299" i="16"/>
  <c r="L299" i="16"/>
  <c r="K273" i="16"/>
  <c r="H249" i="16"/>
  <c r="L288" i="16"/>
  <c r="K231" i="16"/>
  <c r="H296" i="16"/>
  <c r="L338" i="16"/>
  <c r="L159" i="16"/>
  <c r="L200" i="16"/>
  <c r="K207" i="16"/>
  <c r="K272" i="16"/>
  <c r="L307" i="16"/>
  <c r="K310" i="16"/>
  <c r="K345" i="16"/>
  <c r="K149" i="16"/>
  <c r="L301" i="16"/>
  <c r="K111" i="16"/>
  <c r="L161" i="16"/>
  <c r="K171" i="16"/>
  <c r="K199" i="16"/>
  <c r="L216" i="16"/>
  <c r="K230" i="16"/>
  <c r="K263" i="16"/>
  <c r="L271" i="16"/>
  <c r="L295" i="16"/>
  <c r="K300" i="16"/>
  <c r="L309" i="16"/>
  <c r="L322" i="16"/>
  <c r="L325" i="16"/>
  <c r="K330" i="16"/>
  <c r="L353" i="16"/>
  <c r="L331" i="16"/>
  <c r="K106" i="16"/>
  <c r="K131" i="16"/>
  <c r="L181" i="16"/>
  <c r="K206" i="16"/>
  <c r="K270" i="16"/>
  <c r="L162" i="16"/>
  <c r="K313" i="16"/>
  <c r="K114" i="16"/>
  <c r="L170" i="16"/>
  <c r="L173" i="16"/>
  <c r="L352" i="16"/>
  <c r="L355" i="16"/>
  <c r="L240" i="16"/>
  <c r="L264" i="16"/>
  <c r="K286" i="16"/>
  <c r="K105" i="16"/>
  <c r="K198" i="16"/>
  <c r="K262" i="16"/>
  <c r="K287" i="16"/>
  <c r="K314" i="16"/>
  <c r="L339" i="16"/>
  <c r="L112" i="16"/>
  <c r="K125" i="16"/>
  <c r="L323" i="16"/>
  <c r="K158" i="16"/>
  <c r="K179" i="16"/>
  <c r="K113" i="16"/>
  <c r="K133" i="16"/>
  <c r="K169" i="16"/>
  <c r="K177" i="16"/>
  <c r="K187" i="16"/>
  <c r="L232" i="16"/>
  <c r="L98" i="16"/>
  <c r="K98" i="16"/>
  <c r="K100" i="16"/>
  <c r="L100" i="16"/>
  <c r="K94" i="16"/>
  <c r="L96" i="16"/>
  <c r="K95" i="16"/>
  <c r="K101" i="16"/>
  <c r="H73" i="16"/>
  <c r="J73" i="16" s="1"/>
  <c r="K73" i="16" s="1"/>
  <c r="H75" i="16"/>
  <c r="J75" i="16" s="1"/>
  <c r="L75" i="16" s="1"/>
  <c r="G70" i="16"/>
  <c r="G67" i="16"/>
  <c r="H67" i="16"/>
  <c r="J67" i="16" s="1"/>
  <c r="L67" i="16" s="1"/>
  <c r="H61" i="16"/>
  <c r="J61" i="16" s="1"/>
  <c r="K61" i="16" s="1"/>
  <c r="G56" i="16"/>
  <c r="G52" i="16"/>
  <c r="F49" i="16"/>
  <c r="G49" i="16" s="1"/>
  <c r="H48" i="16"/>
  <c r="J48" i="16" s="1"/>
  <c r="L48" i="16" s="1"/>
  <c r="G35" i="16"/>
  <c r="G15" i="16"/>
  <c r="G11" i="16"/>
  <c r="G5" i="16"/>
  <c r="G6" i="16"/>
  <c r="L11" i="16"/>
  <c r="K11" i="16"/>
  <c r="L28" i="16"/>
  <c r="K28" i="16"/>
  <c r="K54" i="16"/>
  <c r="K85" i="16"/>
  <c r="L88" i="16"/>
  <c r="K84" i="16"/>
  <c r="K86" i="16"/>
  <c r="H32" i="16"/>
  <c r="L18" i="16"/>
  <c r="K70" i="16"/>
  <c r="L44" i="16"/>
  <c r="K44" i="16"/>
  <c r="K53" i="16"/>
  <c r="L53" i="16"/>
  <c r="K12" i="16"/>
  <c r="L12" i="16"/>
  <c r="K29" i="16"/>
  <c r="L29" i="16"/>
  <c r="L42" i="16"/>
  <c r="K42" i="16"/>
  <c r="K51" i="16"/>
  <c r="L51" i="16"/>
  <c r="L71" i="16"/>
  <c r="K71" i="16"/>
  <c r="K72" i="16"/>
  <c r="L72" i="16"/>
  <c r="L8" i="16"/>
  <c r="K8" i="16"/>
  <c r="L80" i="16"/>
  <c r="K80" i="16"/>
  <c r="L5" i="16"/>
  <c r="K5" i="16"/>
  <c r="L20" i="16"/>
  <c r="K20" i="16"/>
  <c r="H41" i="16"/>
  <c r="J41" i="16" s="1"/>
  <c r="G41" i="16"/>
  <c r="L9" i="16"/>
  <c r="K9" i="16"/>
  <c r="L31" i="16"/>
  <c r="K31" i="16"/>
  <c r="L81" i="16"/>
  <c r="K81" i="16"/>
  <c r="K43" i="16"/>
  <c r="L43" i="16"/>
  <c r="K52" i="16"/>
  <c r="L52" i="16"/>
  <c r="L79" i="16"/>
  <c r="K79" i="16"/>
  <c r="L6" i="16"/>
  <c r="K6" i="16"/>
  <c r="K16" i="16"/>
  <c r="L16" i="16"/>
  <c r="L15" i="16"/>
  <c r="K15" i="16"/>
  <c r="K17" i="16"/>
  <c r="L17" i="16"/>
  <c r="L82" i="16"/>
  <c r="K82" i="16"/>
  <c r="K10" i="16"/>
  <c r="L10" i="16"/>
  <c r="L19" i="16"/>
  <c r="K19" i="16"/>
  <c r="L21" i="16"/>
  <c r="K21" i="16"/>
  <c r="L23" i="16"/>
  <c r="K23" i="16"/>
  <c r="K59" i="16"/>
  <c r="L59" i="16"/>
  <c r="L186" i="16"/>
  <c r="K186" i="16"/>
  <c r="L254" i="16"/>
  <c r="K254" i="16"/>
  <c r="L368" i="16"/>
  <c r="K368" i="16"/>
  <c r="J4" i="16"/>
  <c r="K7" i="16"/>
  <c r="G19" i="16"/>
  <c r="K22" i="16"/>
  <c r="J26" i="16"/>
  <c r="K27" i="16"/>
  <c r="H46" i="16"/>
  <c r="J46" i="16" s="1"/>
  <c r="K56" i="16"/>
  <c r="L90" i="16"/>
  <c r="J93" i="16"/>
  <c r="L108" i="16"/>
  <c r="K108" i="16"/>
  <c r="H116" i="16"/>
  <c r="J9" i="3" s="1"/>
  <c r="L127" i="16"/>
  <c r="K127" i="16"/>
  <c r="L129" i="16"/>
  <c r="K129" i="16"/>
  <c r="L132" i="16"/>
  <c r="K147" i="16"/>
  <c r="H165" i="16"/>
  <c r="L176" i="16"/>
  <c r="K176" i="16"/>
  <c r="L213" i="16"/>
  <c r="K213" i="16"/>
  <c r="L223" i="16"/>
  <c r="K223" i="16"/>
  <c r="L277" i="16"/>
  <c r="K277" i="16"/>
  <c r="L293" i="16"/>
  <c r="K293" i="16"/>
  <c r="L320" i="16"/>
  <c r="K320" i="16"/>
  <c r="L221" i="16"/>
  <c r="K221" i="16"/>
  <c r="L385" i="16"/>
  <c r="K385" i="16"/>
  <c r="G17" i="16"/>
  <c r="G43" i="16"/>
  <c r="G44" i="16"/>
  <c r="H45" i="16"/>
  <c r="J45" i="16" s="1"/>
  <c r="G51" i="16"/>
  <c r="K65" i="16"/>
  <c r="K87" i="16"/>
  <c r="K99" i="16"/>
  <c r="L110" i="16"/>
  <c r="K110" i="16"/>
  <c r="L119" i="16"/>
  <c r="K119" i="16"/>
  <c r="L121" i="16"/>
  <c r="K121" i="16"/>
  <c r="L124" i="16"/>
  <c r="K139" i="16"/>
  <c r="L150" i="16"/>
  <c r="K155" i="16"/>
  <c r="L163" i="16"/>
  <c r="K163" i="16"/>
  <c r="L237" i="16"/>
  <c r="K237" i="16"/>
  <c r="K245" i="16"/>
  <c r="L245" i="16"/>
  <c r="L279" i="16"/>
  <c r="K279" i="16"/>
  <c r="L304" i="16"/>
  <c r="K304" i="16"/>
  <c r="L135" i="16"/>
  <c r="K135" i="16"/>
  <c r="L168" i="16"/>
  <c r="K168" i="16"/>
  <c r="L174" i="16"/>
  <c r="K174" i="16"/>
  <c r="L351" i="16"/>
  <c r="K351" i="16"/>
  <c r="L401" i="16"/>
  <c r="K401" i="16"/>
  <c r="G71" i="16"/>
  <c r="J123" i="16"/>
  <c r="H192" i="16"/>
  <c r="J167" i="16"/>
  <c r="K178" i="16"/>
  <c r="L178" i="16"/>
  <c r="L253" i="16"/>
  <c r="K253" i="16"/>
  <c r="L285" i="16"/>
  <c r="K285" i="16"/>
  <c r="L337" i="16"/>
  <c r="K337" i="16"/>
  <c r="L350" i="16"/>
  <c r="K350" i="16"/>
  <c r="L384" i="16"/>
  <c r="K384" i="16"/>
  <c r="L137" i="16"/>
  <c r="K137" i="16"/>
  <c r="L153" i="16"/>
  <c r="K153" i="16"/>
  <c r="L261" i="16"/>
  <c r="K261" i="16"/>
  <c r="L104" i="16"/>
  <c r="L136" i="16"/>
  <c r="K136" i="16"/>
  <c r="L146" i="16"/>
  <c r="L152" i="16"/>
  <c r="K152" i="16"/>
  <c r="L175" i="16"/>
  <c r="K175" i="16"/>
  <c r="K208" i="16"/>
  <c r="L208" i="16"/>
  <c r="L239" i="16"/>
  <c r="L400" i="16"/>
  <c r="K400" i="16"/>
  <c r="L409" i="16"/>
  <c r="K409" i="16"/>
  <c r="L205" i="16"/>
  <c r="K205" i="16"/>
  <c r="L369" i="16"/>
  <c r="K369" i="16"/>
  <c r="L107" i="16"/>
  <c r="K107" i="16"/>
  <c r="L128" i="16"/>
  <c r="K128" i="16"/>
  <c r="L154" i="16"/>
  <c r="K154" i="16"/>
  <c r="G8" i="16"/>
  <c r="G9" i="16"/>
  <c r="K14" i="16"/>
  <c r="G23" i="16"/>
  <c r="K30" i="16"/>
  <c r="K34" i="16"/>
  <c r="K36" i="16"/>
  <c r="K37" i="16"/>
  <c r="K39" i="16"/>
  <c r="K40" i="16"/>
  <c r="L50" i="16"/>
  <c r="G53" i="16"/>
  <c r="K78" i="16"/>
  <c r="L115" i="16"/>
  <c r="K115" i="16"/>
  <c r="L120" i="16"/>
  <c r="K120" i="16"/>
  <c r="L130" i="16"/>
  <c r="K130" i="16"/>
  <c r="L164" i="16"/>
  <c r="K164" i="16"/>
  <c r="L172" i="16"/>
  <c r="L294" i="16"/>
  <c r="K294" i="16"/>
  <c r="L321" i="16"/>
  <c r="K321" i="16"/>
  <c r="L336" i="16"/>
  <c r="K336" i="16"/>
  <c r="L109" i="16"/>
  <c r="K109" i="16"/>
  <c r="L138" i="16"/>
  <c r="K138" i="16"/>
  <c r="L97" i="16"/>
  <c r="K97" i="16"/>
  <c r="L122" i="16"/>
  <c r="K122" i="16"/>
  <c r="L143" i="16"/>
  <c r="K143" i="16"/>
  <c r="L145" i="16"/>
  <c r="K145" i="16"/>
  <c r="L191" i="16"/>
  <c r="K191" i="16"/>
  <c r="L197" i="16"/>
  <c r="K197" i="16"/>
  <c r="L226" i="16"/>
  <c r="K226" i="16"/>
  <c r="L228" i="16"/>
  <c r="K228" i="16"/>
  <c r="L201" i="16"/>
  <c r="K201" i="16"/>
  <c r="L203" i="16"/>
  <c r="K203" i="16"/>
  <c r="L234" i="16"/>
  <c r="K234" i="16"/>
  <c r="L236" i="16"/>
  <c r="K236" i="16"/>
  <c r="L247" i="16"/>
  <c r="K247" i="16"/>
  <c r="L265" i="16"/>
  <c r="K265" i="16"/>
  <c r="L267" i="16"/>
  <c r="K267" i="16"/>
  <c r="L274" i="16"/>
  <c r="K274" i="16"/>
  <c r="L276" i="16"/>
  <c r="K276" i="16"/>
  <c r="L324" i="16"/>
  <c r="K324" i="16"/>
  <c r="L340" i="16"/>
  <c r="K340" i="16"/>
  <c r="L342" i="16"/>
  <c r="K342" i="16"/>
  <c r="L354" i="16"/>
  <c r="K354" i="16"/>
  <c r="L372" i="16"/>
  <c r="K372" i="16"/>
  <c r="L374" i="16"/>
  <c r="K374" i="16"/>
  <c r="L388" i="16"/>
  <c r="K388" i="16"/>
  <c r="L390" i="16"/>
  <c r="K390" i="16"/>
  <c r="L413" i="16"/>
  <c r="K413" i="16"/>
  <c r="L269" i="16"/>
  <c r="K269" i="16"/>
  <c r="L289" i="16"/>
  <c r="K289" i="16"/>
  <c r="L291" i="16"/>
  <c r="K291" i="16"/>
  <c r="L316" i="16"/>
  <c r="K316" i="16"/>
  <c r="L318" i="16"/>
  <c r="K318" i="16"/>
  <c r="L332" i="16"/>
  <c r="K332" i="16"/>
  <c r="L334" i="16"/>
  <c r="K334" i="16"/>
  <c r="L344" i="16"/>
  <c r="K344" i="16"/>
  <c r="L364" i="16"/>
  <c r="K364" i="16"/>
  <c r="L366" i="16"/>
  <c r="K366" i="16"/>
  <c r="L376" i="16"/>
  <c r="K376" i="16"/>
  <c r="L382" i="16"/>
  <c r="K382" i="16"/>
  <c r="L392" i="16"/>
  <c r="K392" i="16"/>
  <c r="F89" i="16"/>
  <c r="L183" i="16"/>
  <c r="K183" i="16"/>
  <c r="L195" i="16"/>
  <c r="K195" i="16"/>
  <c r="L210" i="16"/>
  <c r="K210" i="16"/>
  <c r="L212" i="16"/>
  <c r="K212" i="16"/>
  <c r="L218" i="16"/>
  <c r="K218" i="16"/>
  <c r="L220" i="16"/>
  <c r="K220" i="16"/>
  <c r="L241" i="16"/>
  <c r="K241" i="16"/>
  <c r="L281" i="16"/>
  <c r="K281" i="16"/>
  <c r="L283" i="16"/>
  <c r="K283" i="16"/>
  <c r="L303" i="16"/>
  <c r="K303" i="16"/>
  <c r="K306" i="16"/>
  <c r="L326" i="16"/>
  <c r="K326" i="16"/>
  <c r="L356" i="16"/>
  <c r="K356" i="16"/>
  <c r="K402" i="16"/>
  <c r="L405" i="16"/>
  <c r="K405" i="16"/>
  <c r="L407" i="16"/>
  <c r="K407" i="16"/>
  <c r="F83" i="16"/>
  <c r="G85" i="16"/>
  <c r="G86" i="16"/>
  <c r="G87" i="16"/>
  <c r="G88" i="16"/>
  <c r="K180" i="16"/>
  <c r="L185" i="16"/>
  <c r="K185" i="16"/>
  <c r="K188" i="16"/>
  <c r="K238" i="16"/>
  <c r="L256" i="16"/>
  <c r="K278" i="16"/>
  <c r="K298" i="16"/>
  <c r="L312" i="16"/>
  <c r="K312" i="16"/>
  <c r="L328" i="16"/>
  <c r="K328" i="16"/>
  <c r="L360" i="16"/>
  <c r="K360" i="16"/>
  <c r="F77" i="16"/>
  <c r="G79" i="16"/>
  <c r="G80" i="16"/>
  <c r="G81" i="16"/>
  <c r="G82" i="16"/>
  <c r="L202" i="16"/>
  <c r="K202" i="16"/>
  <c r="L204" i="16"/>
  <c r="K204" i="16"/>
  <c r="L233" i="16"/>
  <c r="K233" i="16"/>
  <c r="L235" i="16"/>
  <c r="K235" i="16"/>
  <c r="L246" i="16"/>
  <c r="K246" i="16"/>
  <c r="L248" i="16"/>
  <c r="K248" i="16"/>
  <c r="L258" i="16"/>
  <c r="K258" i="16"/>
  <c r="L266" i="16"/>
  <c r="K266" i="16"/>
  <c r="L268" i="16"/>
  <c r="K268" i="16"/>
  <c r="L275" i="16"/>
  <c r="K275" i="16"/>
  <c r="L341" i="16"/>
  <c r="K341" i="16"/>
  <c r="L343" i="16"/>
  <c r="K343" i="16"/>
  <c r="L373" i="16"/>
  <c r="K373" i="16"/>
  <c r="L375" i="16"/>
  <c r="K375" i="16"/>
  <c r="K378" i="16"/>
  <c r="L389" i="16"/>
  <c r="K389" i="16"/>
  <c r="L391" i="16"/>
  <c r="K391" i="16"/>
  <c r="K394" i="16"/>
  <c r="K412" i="16"/>
  <c r="L412" i="16"/>
  <c r="L190" i="16"/>
  <c r="K190" i="16"/>
  <c r="K214" i="16"/>
  <c r="K222" i="16"/>
  <c r="L225" i="16"/>
  <c r="K225" i="16"/>
  <c r="L227" i="16"/>
  <c r="K227" i="16"/>
  <c r="L252" i="16"/>
  <c r="K252" i="16"/>
  <c r="L290" i="16"/>
  <c r="K290" i="16"/>
  <c r="L292" i="16"/>
  <c r="K292" i="16"/>
  <c r="K305" i="16"/>
  <c r="L308" i="16"/>
  <c r="K308" i="16"/>
  <c r="L317" i="16"/>
  <c r="K317" i="16"/>
  <c r="L319" i="16"/>
  <c r="K319" i="16"/>
  <c r="L333" i="16"/>
  <c r="K333" i="16"/>
  <c r="L335" i="16"/>
  <c r="K335" i="16"/>
  <c r="H414" i="16"/>
  <c r="J349" i="16"/>
  <c r="L365" i="16"/>
  <c r="K365" i="16"/>
  <c r="L367" i="16"/>
  <c r="K367" i="16"/>
  <c r="L381" i="16"/>
  <c r="K381" i="16"/>
  <c r="L383" i="16"/>
  <c r="K383" i="16"/>
  <c r="L182" i="16"/>
  <c r="K182" i="16"/>
  <c r="L194" i="16"/>
  <c r="K194" i="16"/>
  <c r="L196" i="16"/>
  <c r="K196" i="16"/>
  <c r="L209" i="16"/>
  <c r="K209" i="16"/>
  <c r="L211" i="16"/>
  <c r="K211" i="16"/>
  <c r="L219" i="16"/>
  <c r="K219" i="16"/>
  <c r="L229" i="16"/>
  <c r="K229" i="16"/>
  <c r="L260" i="16"/>
  <c r="K260" i="16"/>
  <c r="L282" i="16"/>
  <c r="K282" i="16"/>
  <c r="L284" i="16"/>
  <c r="K284" i="16"/>
  <c r="L311" i="16"/>
  <c r="K311" i="16"/>
  <c r="L327" i="16"/>
  <c r="K327" i="16"/>
  <c r="L358" i="16"/>
  <c r="K358" i="16"/>
  <c r="L398" i="16"/>
  <c r="K398" i="16"/>
  <c r="L406" i="16"/>
  <c r="K406" i="16"/>
  <c r="L408" i="16"/>
  <c r="K408" i="16"/>
  <c r="H242" i="16"/>
  <c r="J251" i="16"/>
  <c r="K184" i="16"/>
  <c r="K399" i="16"/>
  <c r="H346" i="16"/>
  <c r="K217" i="16"/>
  <c r="K257" i="16"/>
  <c r="O4" i="15"/>
  <c r="K14" i="3"/>
  <c r="L3" i="3"/>
  <c r="L4" i="3"/>
  <c r="L5" i="3"/>
  <c r="L6" i="3"/>
  <c r="L7" i="3"/>
  <c r="L8" i="3"/>
  <c r="L9" i="3"/>
  <c r="L13" i="3"/>
  <c r="L14" i="3"/>
  <c r="H425" i="15"/>
  <c r="G425" i="15"/>
  <c r="H424" i="15"/>
  <c r="G424" i="15"/>
  <c r="H423" i="15"/>
  <c r="G423" i="15"/>
  <c r="H422" i="15"/>
  <c r="G422" i="15"/>
  <c r="H421" i="15"/>
  <c r="G421" i="15"/>
  <c r="H420" i="15"/>
  <c r="G420" i="15"/>
  <c r="H419" i="15"/>
  <c r="G419" i="15"/>
  <c r="H418" i="15"/>
  <c r="G418" i="15"/>
  <c r="H417" i="15"/>
  <c r="G417" i="15"/>
  <c r="H416" i="15"/>
  <c r="K13" i="3" s="1"/>
  <c r="G416" i="15"/>
  <c r="H413" i="15"/>
  <c r="J413" i="15" s="1"/>
  <c r="G413" i="15"/>
  <c r="H412" i="15"/>
  <c r="J412" i="15" s="1"/>
  <c r="G412" i="15"/>
  <c r="K411" i="15"/>
  <c r="J411" i="15"/>
  <c r="L411" i="15" s="1"/>
  <c r="H411" i="15"/>
  <c r="G411" i="15"/>
  <c r="J410" i="15"/>
  <c r="H410" i="15"/>
  <c r="G410" i="15"/>
  <c r="H409" i="15"/>
  <c r="J409" i="15" s="1"/>
  <c r="G409" i="15"/>
  <c r="L408" i="15"/>
  <c r="J408" i="15"/>
  <c r="K408" i="15" s="1"/>
  <c r="H408" i="15"/>
  <c r="G408" i="15"/>
  <c r="H407" i="15"/>
  <c r="J407" i="15" s="1"/>
  <c r="G407" i="15"/>
  <c r="H406" i="15"/>
  <c r="J406" i="15" s="1"/>
  <c r="K406" i="15" s="1"/>
  <c r="G406" i="15"/>
  <c r="H405" i="15"/>
  <c r="J405" i="15" s="1"/>
  <c r="L405" i="15" s="1"/>
  <c r="G405" i="15"/>
  <c r="H404" i="15"/>
  <c r="J404" i="15" s="1"/>
  <c r="G404" i="15"/>
  <c r="K403" i="15"/>
  <c r="J403" i="15"/>
  <c r="L403" i="15" s="1"/>
  <c r="H403" i="15"/>
  <c r="G403" i="15"/>
  <c r="J402" i="15"/>
  <c r="H402" i="15"/>
  <c r="G402" i="15"/>
  <c r="L401" i="15"/>
  <c r="J401" i="15"/>
  <c r="K401" i="15" s="1"/>
  <c r="H401" i="15"/>
  <c r="G401" i="15"/>
  <c r="J400" i="15"/>
  <c r="K400" i="15" s="1"/>
  <c r="H400" i="15"/>
  <c r="G400" i="15"/>
  <c r="H399" i="15"/>
  <c r="J399" i="15" s="1"/>
  <c r="G399" i="15"/>
  <c r="H398" i="15"/>
  <c r="J398" i="15" s="1"/>
  <c r="K398" i="15" s="1"/>
  <c r="G398" i="15"/>
  <c r="H397" i="15"/>
  <c r="J397" i="15" s="1"/>
  <c r="G397" i="15"/>
  <c r="H396" i="15"/>
  <c r="J396" i="15" s="1"/>
  <c r="G396" i="15"/>
  <c r="K394" i="15"/>
  <c r="J394" i="15"/>
  <c r="L394" i="15" s="1"/>
  <c r="H394" i="15"/>
  <c r="G394" i="15"/>
  <c r="J393" i="15"/>
  <c r="H393" i="15"/>
  <c r="G393" i="15"/>
  <c r="H392" i="15"/>
  <c r="J392" i="15" s="1"/>
  <c r="G392" i="15"/>
  <c r="H391" i="15"/>
  <c r="J391" i="15" s="1"/>
  <c r="G391" i="15"/>
  <c r="H390" i="15"/>
  <c r="J390" i="15" s="1"/>
  <c r="G390" i="15"/>
  <c r="H389" i="15"/>
  <c r="J389" i="15" s="1"/>
  <c r="K389" i="15" s="1"/>
  <c r="G389" i="15"/>
  <c r="H388" i="15"/>
  <c r="J388" i="15" s="1"/>
  <c r="L388" i="15" s="1"/>
  <c r="G388" i="15"/>
  <c r="H387" i="15"/>
  <c r="J387" i="15" s="1"/>
  <c r="G387" i="15"/>
  <c r="K386" i="15"/>
  <c r="J386" i="15"/>
  <c r="L386" i="15" s="1"/>
  <c r="H386" i="15"/>
  <c r="G386" i="15"/>
  <c r="H385" i="15"/>
  <c r="J385" i="15" s="1"/>
  <c r="G385" i="15"/>
  <c r="H384" i="15"/>
  <c r="J384" i="15" s="1"/>
  <c r="G384" i="15"/>
  <c r="H383" i="15"/>
  <c r="J383" i="15" s="1"/>
  <c r="K383" i="15" s="1"/>
  <c r="G383" i="15"/>
  <c r="H382" i="15"/>
  <c r="J382" i="15" s="1"/>
  <c r="G382" i="15"/>
  <c r="H381" i="15"/>
  <c r="J381" i="15" s="1"/>
  <c r="K381" i="15" s="1"/>
  <c r="G381" i="15"/>
  <c r="H380" i="15"/>
  <c r="J380" i="15" s="1"/>
  <c r="L380" i="15" s="1"/>
  <c r="G380" i="15"/>
  <c r="H379" i="15"/>
  <c r="J379" i="15" s="1"/>
  <c r="G379" i="15"/>
  <c r="H378" i="15"/>
  <c r="J378" i="15" s="1"/>
  <c r="G378" i="15"/>
  <c r="J377" i="15"/>
  <c r="H377" i="15"/>
  <c r="G377" i="15"/>
  <c r="H376" i="15"/>
  <c r="J376" i="15" s="1"/>
  <c r="G376" i="15"/>
  <c r="H375" i="15"/>
  <c r="J375" i="15" s="1"/>
  <c r="K375" i="15" s="1"/>
  <c r="G375" i="15"/>
  <c r="H374" i="15"/>
  <c r="J374" i="15" s="1"/>
  <c r="G374" i="15"/>
  <c r="H373" i="15"/>
  <c r="J373" i="15" s="1"/>
  <c r="K373" i="15" s="1"/>
  <c r="G373" i="15"/>
  <c r="H372" i="15"/>
  <c r="J372" i="15" s="1"/>
  <c r="L372" i="15" s="1"/>
  <c r="G372" i="15"/>
  <c r="H371" i="15"/>
  <c r="J371" i="15" s="1"/>
  <c r="G371" i="15"/>
  <c r="H370" i="15"/>
  <c r="J370" i="15" s="1"/>
  <c r="L370" i="15" s="1"/>
  <c r="G370" i="15"/>
  <c r="H369" i="15"/>
  <c r="J369" i="15" s="1"/>
  <c r="G369" i="15"/>
  <c r="H368" i="15"/>
  <c r="J368" i="15" s="1"/>
  <c r="G368" i="15"/>
  <c r="H367" i="15"/>
  <c r="J367" i="15" s="1"/>
  <c r="K367" i="15" s="1"/>
  <c r="G367" i="15"/>
  <c r="H366" i="15"/>
  <c r="J366" i="15" s="1"/>
  <c r="G366" i="15"/>
  <c r="H365" i="15"/>
  <c r="J365" i="15" s="1"/>
  <c r="K365" i="15" s="1"/>
  <c r="G365" i="15"/>
  <c r="H364" i="15"/>
  <c r="J364" i="15" s="1"/>
  <c r="L364" i="15" s="1"/>
  <c r="G364" i="15"/>
  <c r="H363" i="15"/>
  <c r="J363" i="15" s="1"/>
  <c r="G363" i="15"/>
  <c r="H362" i="15"/>
  <c r="J362" i="15" s="1"/>
  <c r="G362" i="15"/>
  <c r="H361" i="15"/>
  <c r="J361" i="15" s="1"/>
  <c r="G361" i="15"/>
  <c r="H360" i="15"/>
  <c r="J360" i="15" s="1"/>
  <c r="G360" i="15"/>
  <c r="J358" i="15"/>
  <c r="K358" i="15" s="1"/>
  <c r="H358" i="15"/>
  <c r="G358" i="15"/>
  <c r="H356" i="15"/>
  <c r="J356" i="15" s="1"/>
  <c r="G356" i="15"/>
  <c r="H355" i="15"/>
  <c r="J355" i="15" s="1"/>
  <c r="G355" i="15"/>
  <c r="H354" i="15"/>
  <c r="J354" i="15" s="1"/>
  <c r="L354" i="15" s="1"/>
  <c r="G354" i="15"/>
  <c r="H353" i="15"/>
  <c r="J353" i="15" s="1"/>
  <c r="G353" i="15"/>
  <c r="H352" i="15"/>
  <c r="J352" i="15" s="1"/>
  <c r="G352" i="15"/>
  <c r="J351" i="15"/>
  <c r="H351" i="15"/>
  <c r="G351" i="15"/>
  <c r="H350" i="15"/>
  <c r="J350" i="15" s="1"/>
  <c r="G350" i="15"/>
  <c r="H349" i="15"/>
  <c r="J349" i="15" s="1"/>
  <c r="G349" i="15"/>
  <c r="J345" i="15"/>
  <c r="H345" i="15"/>
  <c r="G345" i="15"/>
  <c r="J344" i="15"/>
  <c r="L344" i="15" s="1"/>
  <c r="H344" i="15"/>
  <c r="G344" i="15"/>
  <c r="L343" i="15"/>
  <c r="J343" i="15"/>
  <c r="K343" i="15" s="1"/>
  <c r="H343" i="15"/>
  <c r="G343" i="15"/>
  <c r="H342" i="15"/>
  <c r="J342" i="15" s="1"/>
  <c r="G342" i="15"/>
  <c r="H341" i="15"/>
  <c r="J341" i="15" s="1"/>
  <c r="G341" i="15"/>
  <c r="K340" i="15"/>
  <c r="H340" i="15"/>
  <c r="J340" i="15" s="1"/>
  <c r="L340" i="15" s="1"/>
  <c r="G340" i="15"/>
  <c r="H339" i="15"/>
  <c r="J339" i="15" s="1"/>
  <c r="G339" i="15"/>
  <c r="H338" i="15"/>
  <c r="J338" i="15" s="1"/>
  <c r="G338" i="15"/>
  <c r="J337" i="15"/>
  <c r="H337" i="15"/>
  <c r="G337" i="15"/>
  <c r="J336" i="15"/>
  <c r="L336" i="15" s="1"/>
  <c r="H336" i="15"/>
  <c r="G336" i="15"/>
  <c r="J335" i="15"/>
  <c r="K335" i="15" s="1"/>
  <c r="H335" i="15"/>
  <c r="G335" i="15"/>
  <c r="H334" i="15"/>
  <c r="J334" i="15" s="1"/>
  <c r="G334" i="15"/>
  <c r="H333" i="15"/>
  <c r="J333" i="15" s="1"/>
  <c r="K333" i="15" s="1"/>
  <c r="G333" i="15"/>
  <c r="H332" i="15"/>
  <c r="J332" i="15" s="1"/>
  <c r="L332" i="15" s="1"/>
  <c r="G332" i="15"/>
  <c r="H331" i="15"/>
  <c r="J331" i="15" s="1"/>
  <c r="G331" i="15"/>
  <c r="H330" i="15"/>
  <c r="J330" i="15" s="1"/>
  <c r="L330" i="15" s="1"/>
  <c r="G330" i="15"/>
  <c r="J329" i="15"/>
  <c r="H329" i="15"/>
  <c r="G329" i="15"/>
  <c r="H328" i="15"/>
  <c r="J328" i="15" s="1"/>
  <c r="G328" i="15"/>
  <c r="J327" i="15"/>
  <c r="K327" i="15" s="1"/>
  <c r="H327" i="15"/>
  <c r="G327" i="15"/>
  <c r="H326" i="15"/>
  <c r="J326" i="15" s="1"/>
  <c r="G326" i="15"/>
  <c r="H325" i="15"/>
  <c r="J325" i="15" s="1"/>
  <c r="K325" i="15" s="1"/>
  <c r="G325" i="15"/>
  <c r="H324" i="15"/>
  <c r="J324" i="15" s="1"/>
  <c r="G324" i="15"/>
  <c r="H323" i="15"/>
  <c r="J323" i="15" s="1"/>
  <c r="G323" i="15"/>
  <c r="H322" i="15"/>
  <c r="J322" i="15" s="1"/>
  <c r="L322" i="15" s="1"/>
  <c r="G322" i="15"/>
  <c r="J321" i="15"/>
  <c r="H321" i="15"/>
  <c r="G321" i="15"/>
  <c r="H320" i="15"/>
  <c r="J320" i="15" s="1"/>
  <c r="G320" i="15"/>
  <c r="J319" i="15"/>
  <c r="K319" i="15" s="1"/>
  <c r="H319" i="15"/>
  <c r="G319" i="15"/>
  <c r="H318" i="15"/>
  <c r="J318" i="15" s="1"/>
  <c r="G318" i="15"/>
  <c r="L317" i="15"/>
  <c r="H317" i="15"/>
  <c r="J317" i="15" s="1"/>
  <c r="K317" i="15" s="1"/>
  <c r="G317" i="15"/>
  <c r="H316" i="15"/>
  <c r="J316" i="15" s="1"/>
  <c r="L316" i="15" s="1"/>
  <c r="G316" i="15"/>
  <c r="H315" i="15"/>
  <c r="J315" i="15" s="1"/>
  <c r="G315" i="15"/>
  <c r="H314" i="15"/>
  <c r="J314" i="15" s="1"/>
  <c r="L314" i="15" s="1"/>
  <c r="G314" i="15"/>
  <c r="J313" i="15"/>
  <c r="H313" i="15"/>
  <c r="G313" i="15"/>
  <c r="H312" i="15"/>
  <c r="J312" i="15" s="1"/>
  <c r="G312" i="15"/>
  <c r="J311" i="15"/>
  <c r="K311" i="15" s="1"/>
  <c r="H311" i="15"/>
  <c r="G311" i="15"/>
  <c r="H310" i="15"/>
  <c r="J310" i="15" s="1"/>
  <c r="G310" i="15"/>
  <c r="H309" i="15"/>
  <c r="J309" i="15" s="1"/>
  <c r="K309" i="15" s="1"/>
  <c r="G309" i="15"/>
  <c r="K308" i="15"/>
  <c r="H308" i="15"/>
  <c r="J308" i="15" s="1"/>
  <c r="L308" i="15" s="1"/>
  <c r="G308" i="15"/>
  <c r="H307" i="15"/>
  <c r="J307" i="15" s="1"/>
  <c r="G307" i="15"/>
  <c r="H306" i="15"/>
  <c r="J306" i="15" s="1"/>
  <c r="L306" i="15" s="1"/>
  <c r="G306" i="15"/>
  <c r="J305" i="15"/>
  <c r="H305" i="15"/>
  <c r="G305" i="15"/>
  <c r="H304" i="15"/>
  <c r="J304" i="15" s="1"/>
  <c r="G304" i="15"/>
  <c r="J303" i="15"/>
  <c r="K303" i="15" s="1"/>
  <c r="H303" i="15"/>
  <c r="G303" i="15"/>
  <c r="H302" i="15"/>
  <c r="J302" i="15" s="1"/>
  <c r="G302" i="15"/>
  <c r="H301" i="15"/>
  <c r="J301" i="15" s="1"/>
  <c r="K301" i="15" s="1"/>
  <c r="G301" i="15"/>
  <c r="H300" i="15"/>
  <c r="J300" i="15" s="1"/>
  <c r="L300" i="15" s="1"/>
  <c r="G300" i="15"/>
  <c r="H299" i="15"/>
  <c r="J299" i="15" s="1"/>
  <c r="G299" i="15"/>
  <c r="H298" i="15"/>
  <c r="J298" i="15" s="1"/>
  <c r="L298" i="15" s="1"/>
  <c r="G298" i="15"/>
  <c r="H295" i="15"/>
  <c r="J295" i="15" s="1"/>
  <c r="L295" i="15" s="1"/>
  <c r="G295" i="15"/>
  <c r="H294" i="15"/>
  <c r="J294" i="15" s="1"/>
  <c r="G294" i="15"/>
  <c r="H293" i="15"/>
  <c r="J293" i="15" s="1"/>
  <c r="L293" i="15" s="1"/>
  <c r="G293" i="15"/>
  <c r="J292" i="15"/>
  <c r="H292" i="15"/>
  <c r="G292" i="15"/>
  <c r="H291" i="15"/>
  <c r="J291" i="15" s="1"/>
  <c r="G291" i="15"/>
  <c r="J290" i="15"/>
  <c r="K290" i="15" s="1"/>
  <c r="H290" i="15"/>
  <c r="G290" i="15"/>
  <c r="H289" i="15"/>
  <c r="J289" i="15" s="1"/>
  <c r="G289" i="15"/>
  <c r="H288" i="15"/>
  <c r="J288" i="15" s="1"/>
  <c r="K288" i="15" s="1"/>
  <c r="G288" i="15"/>
  <c r="H287" i="15"/>
  <c r="J287" i="15" s="1"/>
  <c r="G287" i="15"/>
  <c r="H286" i="15"/>
  <c r="J286" i="15" s="1"/>
  <c r="G286" i="15"/>
  <c r="H285" i="15"/>
  <c r="J285" i="15" s="1"/>
  <c r="L285" i="15" s="1"/>
  <c r="G285" i="15"/>
  <c r="H284" i="15"/>
  <c r="J284" i="15" s="1"/>
  <c r="G284" i="15"/>
  <c r="H283" i="15"/>
  <c r="J283" i="15" s="1"/>
  <c r="G283" i="15"/>
  <c r="H282" i="15"/>
  <c r="J282" i="15" s="1"/>
  <c r="K282" i="15" s="1"/>
  <c r="G282" i="15"/>
  <c r="H281" i="15"/>
  <c r="J281" i="15" s="1"/>
  <c r="G281" i="15"/>
  <c r="H280" i="15"/>
  <c r="J280" i="15" s="1"/>
  <c r="K280" i="15" s="1"/>
  <c r="G280" i="15"/>
  <c r="H279" i="15"/>
  <c r="J279" i="15" s="1"/>
  <c r="L279" i="15" s="1"/>
  <c r="G279" i="15"/>
  <c r="H278" i="15"/>
  <c r="J278" i="15" s="1"/>
  <c r="G278" i="15"/>
  <c r="H277" i="15"/>
  <c r="J277" i="15" s="1"/>
  <c r="L277" i="15" s="1"/>
  <c r="G277" i="15"/>
  <c r="H276" i="15"/>
  <c r="J276" i="15" s="1"/>
  <c r="G276" i="15"/>
  <c r="H275" i="15"/>
  <c r="J275" i="15" s="1"/>
  <c r="G275" i="15"/>
  <c r="H274" i="15"/>
  <c r="J274" i="15" s="1"/>
  <c r="G274" i="15"/>
  <c r="H273" i="15"/>
  <c r="J273" i="15" s="1"/>
  <c r="G273" i="15"/>
  <c r="H272" i="15"/>
  <c r="J272" i="15" s="1"/>
  <c r="K272" i="15" s="1"/>
  <c r="G272" i="15"/>
  <c r="H271" i="15"/>
  <c r="J271" i="15" s="1"/>
  <c r="L271" i="15" s="1"/>
  <c r="G271" i="15"/>
  <c r="H270" i="15"/>
  <c r="J270" i="15" s="1"/>
  <c r="G270" i="15"/>
  <c r="H269" i="15"/>
  <c r="J269" i="15" s="1"/>
  <c r="L269" i="15" s="1"/>
  <c r="G269" i="15"/>
  <c r="H268" i="15"/>
  <c r="J268" i="15" s="1"/>
  <c r="G268" i="15"/>
  <c r="H267" i="15"/>
  <c r="J267" i="15" s="1"/>
  <c r="G267" i="15"/>
  <c r="H266" i="15"/>
  <c r="J266" i="15" s="1"/>
  <c r="K266" i="15" s="1"/>
  <c r="G266" i="15"/>
  <c r="H265" i="15"/>
  <c r="J265" i="15" s="1"/>
  <c r="G265" i="15"/>
  <c r="H264" i="15"/>
  <c r="J264" i="15" s="1"/>
  <c r="K264" i="15" s="1"/>
  <c r="G264" i="15"/>
  <c r="H263" i="15"/>
  <c r="J263" i="15" s="1"/>
  <c r="L263" i="15" s="1"/>
  <c r="G263" i="15"/>
  <c r="H262" i="15"/>
  <c r="J262" i="15" s="1"/>
  <c r="G262" i="15"/>
  <c r="H261" i="15"/>
  <c r="J261" i="15" s="1"/>
  <c r="L261" i="15" s="1"/>
  <c r="G261" i="15"/>
  <c r="H260" i="15"/>
  <c r="J260" i="15" s="1"/>
  <c r="G260" i="15"/>
  <c r="H259" i="15"/>
  <c r="J259" i="15" s="1"/>
  <c r="G259" i="15"/>
  <c r="J258" i="15"/>
  <c r="K258" i="15" s="1"/>
  <c r="H258" i="15"/>
  <c r="G258" i="15"/>
  <c r="H257" i="15"/>
  <c r="J257" i="15" s="1"/>
  <c r="G257" i="15"/>
  <c r="H256" i="15"/>
  <c r="J256" i="15" s="1"/>
  <c r="K256" i="15" s="1"/>
  <c r="G256" i="15"/>
  <c r="H255" i="15"/>
  <c r="J255" i="15" s="1"/>
  <c r="G255" i="15"/>
  <c r="H254" i="15"/>
  <c r="J254" i="15" s="1"/>
  <c r="G254" i="15"/>
  <c r="H253" i="15"/>
  <c r="J253" i="15" s="1"/>
  <c r="L253" i="15" s="1"/>
  <c r="G253" i="15"/>
  <c r="H252" i="15"/>
  <c r="J252" i="15" s="1"/>
  <c r="G252" i="15"/>
  <c r="H251" i="15"/>
  <c r="J251" i="15" s="1"/>
  <c r="G251" i="15"/>
  <c r="K248" i="15"/>
  <c r="H248" i="15"/>
  <c r="J248" i="15" s="1"/>
  <c r="L248" i="15" s="1"/>
  <c r="G248" i="15"/>
  <c r="J247" i="15"/>
  <c r="H247" i="15"/>
  <c r="G247" i="15"/>
  <c r="H246" i="15"/>
  <c r="J246" i="15" s="1"/>
  <c r="G246" i="15"/>
  <c r="L245" i="15"/>
  <c r="J245" i="15"/>
  <c r="K245" i="15" s="1"/>
  <c r="H245" i="15"/>
  <c r="G245" i="15"/>
  <c r="H244" i="15"/>
  <c r="G244" i="15"/>
  <c r="H241" i="15"/>
  <c r="J241" i="15" s="1"/>
  <c r="G241" i="15"/>
  <c r="J240" i="15"/>
  <c r="K240" i="15" s="1"/>
  <c r="H240" i="15"/>
  <c r="G240" i="15"/>
  <c r="H239" i="15"/>
  <c r="J239" i="15" s="1"/>
  <c r="G239" i="15"/>
  <c r="H238" i="15"/>
  <c r="J238" i="15" s="1"/>
  <c r="K238" i="15" s="1"/>
  <c r="G238" i="15"/>
  <c r="H237" i="15"/>
  <c r="J237" i="15" s="1"/>
  <c r="G237" i="15"/>
  <c r="H236" i="15"/>
  <c r="J236" i="15" s="1"/>
  <c r="G236" i="15"/>
  <c r="H235" i="15"/>
  <c r="J235" i="15" s="1"/>
  <c r="L235" i="15" s="1"/>
  <c r="G235" i="15"/>
  <c r="J234" i="15"/>
  <c r="H234" i="15"/>
  <c r="G234" i="15"/>
  <c r="H233" i="15"/>
  <c r="J233" i="15" s="1"/>
  <c r="G233" i="15"/>
  <c r="J232" i="15"/>
  <c r="K232" i="15" s="1"/>
  <c r="H232" i="15"/>
  <c r="G232" i="15"/>
  <c r="H231" i="15"/>
  <c r="J231" i="15" s="1"/>
  <c r="G231" i="15"/>
  <c r="H230" i="15"/>
  <c r="J230" i="15" s="1"/>
  <c r="K230" i="15" s="1"/>
  <c r="G230" i="15"/>
  <c r="K229" i="15"/>
  <c r="H229" i="15"/>
  <c r="J229" i="15" s="1"/>
  <c r="L229" i="15" s="1"/>
  <c r="G229" i="15"/>
  <c r="H228" i="15"/>
  <c r="J228" i="15" s="1"/>
  <c r="G228" i="15"/>
  <c r="H227" i="15"/>
  <c r="J227" i="15" s="1"/>
  <c r="L227" i="15" s="1"/>
  <c r="G227" i="15"/>
  <c r="J226" i="15"/>
  <c r="H226" i="15"/>
  <c r="G226" i="15"/>
  <c r="H225" i="15"/>
  <c r="J225" i="15" s="1"/>
  <c r="G225" i="15"/>
  <c r="J224" i="15"/>
  <c r="K224" i="15" s="1"/>
  <c r="H224" i="15"/>
  <c r="G224" i="15"/>
  <c r="H223" i="15"/>
  <c r="J223" i="15" s="1"/>
  <c r="G223" i="15"/>
  <c r="L222" i="15"/>
  <c r="H222" i="15"/>
  <c r="J222" i="15" s="1"/>
  <c r="K222" i="15" s="1"/>
  <c r="G222" i="15"/>
  <c r="K221" i="15"/>
  <c r="H221" i="15"/>
  <c r="J221" i="15" s="1"/>
  <c r="L221" i="15" s="1"/>
  <c r="G221" i="15"/>
  <c r="H220" i="15"/>
  <c r="J220" i="15" s="1"/>
  <c r="G220" i="15"/>
  <c r="K219" i="15"/>
  <c r="H219" i="15"/>
  <c r="J219" i="15" s="1"/>
  <c r="L219" i="15" s="1"/>
  <c r="G219" i="15"/>
  <c r="J218" i="15"/>
  <c r="H218" i="15"/>
  <c r="G218" i="15"/>
  <c r="H217" i="15"/>
  <c r="J217" i="15" s="1"/>
  <c r="G217" i="15"/>
  <c r="L216" i="15"/>
  <c r="J216" i="15"/>
  <c r="K216" i="15" s="1"/>
  <c r="H216" i="15"/>
  <c r="G216" i="15"/>
  <c r="H215" i="15"/>
  <c r="J215" i="15" s="1"/>
  <c r="G215" i="15"/>
  <c r="H214" i="15"/>
  <c r="J214" i="15" s="1"/>
  <c r="K214" i="15" s="1"/>
  <c r="G214" i="15"/>
  <c r="K213" i="15"/>
  <c r="H213" i="15"/>
  <c r="J213" i="15" s="1"/>
  <c r="L213" i="15" s="1"/>
  <c r="G213" i="15"/>
  <c r="H212" i="15"/>
  <c r="J212" i="15" s="1"/>
  <c r="G212" i="15"/>
  <c r="H211" i="15"/>
  <c r="J211" i="15" s="1"/>
  <c r="L211" i="15" s="1"/>
  <c r="G211" i="15"/>
  <c r="J210" i="15"/>
  <c r="H210" i="15"/>
  <c r="G210" i="15"/>
  <c r="H209" i="15"/>
  <c r="J209" i="15" s="1"/>
  <c r="G209" i="15"/>
  <c r="J208" i="15"/>
  <c r="K208" i="15" s="1"/>
  <c r="H208" i="15"/>
  <c r="G208" i="15"/>
  <c r="H207" i="15"/>
  <c r="J207" i="15" s="1"/>
  <c r="G207" i="15"/>
  <c r="H206" i="15"/>
  <c r="J206" i="15" s="1"/>
  <c r="K206" i="15" s="1"/>
  <c r="G206" i="15"/>
  <c r="H205" i="15"/>
  <c r="J205" i="15" s="1"/>
  <c r="G205" i="15"/>
  <c r="H204" i="15"/>
  <c r="J204" i="15" s="1"/>
  <c r="G204" i="15"/>
  <c r="H203" i="15"/>
  <c r="J203" i="15" s="1"/>
  <c r="L203" i="15" s="1"/>
  <c r="G203" i="15"/>
  <c r="J202" i="15"/>
  <c r="H202" i="15"/>
  <c r="G202" i="15"/>
  <c r="H201" i="15"/>
  <c r="J201" i="15" s="1"/>
  <c r="G201" i="15"/>
  <c r="J200" i="15"/>
  <c r="K200" i="15" s="1"/>
  <c r="H200" i="15"/>
  <c r="G200" i="15"/>
  <c r="H199" i="15"/>
  <c r="J199" i="15" s="1"/>
  <c r="G199" i="15"/>
  <c r="L198" i="15"/>
  <c r="J198" i="15"/>
  <c r="K198" i="15" s="1"/>
  <c r="H198" i="15"/>
  <c r="G198" i="15"/>
  <c r="H197" i="15"/>
  <c r="J197" i="15" s="1"/>
  <c r="L197" i="15" s="1"/>
  <c r="G197" i="15"/>
  <c r="H196" i="15"/>
  <c r="J196" i="15" s="1"/>
  <c r="G196" i="15"/>
  <c r="K195" i="15"/>
  <c r="H195" i="15"/>
  <c r="J195" i="15" s="1"/>
  <c r="L195" i="15" s="1"/>
  <c r="G195" i="15"/>
  <c r="J194" i="15"/>
  <c r="H194" i="15"/>
  <c r="G194" i="15"/>
  <c r="H191" i="15"/>
  <c r="J191" i="15" s="1"/>
  <c r="G191" i="15"/>
  <c r="H190" i="15"/>
  <c r="J190" i="15" s="1"/>
  <c r="L190" i="15" s="1"/>
  <c r="G190" i="15"/>
  <c r="H189" i="15"/>
  <c r="J189" i="15" s="1"/>
  <c r="G189" i="15"/>
  <c r="H188" i="15"/>
  <c r="J188" i="15" s="1"/>
  <c r="G188" i="15"/>
  <c r="H187" i="15"/>
  <c r="J187" i="15" s="1"/>
  <c r="K187" i="15" s="1"/>
  <c r="G187" i="15"/>
  <c r="H186" i="15"/>
  <c r="J186" i="15" s="1"/>
  <c r="G186" i="15"/>
  <c r="H185" i="15"/>
  <c r="J185" i="15" s="1"/>
  <c r="K185" i="15" s="1"/>
  <c r="G185" i="15"/>
  <c r="H184" i="15"/>
  <c r="J184" i="15" s="1"/>
  <c r="L184" i="15" s="1"/>
  <c r="G184" i="15"/>
  <c r="H183" i="15"/>
  <c r="J183" i="15" s="1"/>
  <c r="G183" i="15"/>
  <c r="H182" i="15"/>
  <c r="J182" i="15" s="1"/>
  <c r="L182" i="15" s="1"/>
  <c r="G182" i="15"/>
  <c r="H181" i="15"/>
  <c r="J181" i="15" s="1"/>
  <c r="G181" i="15"/>
  <c r="H180" i="15"/>
  <c r="J180" i="15" s="1"/>
  <c r="G180" i="15"/>
  <c r="H179" i="15"/>
  <c r="J179" i="15" s="1"/>
  <c r="L179" i="15" s="1"/>
  <c r="G179" i="15"/>
  <c r="H178" i="15"/>
  <c r="J178" i="15" s="1"/>
  <c r="L178" i="15" s="1"/>
  <c r="G178" i="15"/>
  <c r="H177" i="15"/>
  <c r="J177" i="15" s="1"/>
  <c r="G177" i="15"/>
  <c r="H176" i="15"/>
  <c r="J176" i="15" s="1"/>
  <c r="L176" i="15" s="1"/>
  <c r="G176" i="15"/>
  <c r="H175" i="15"/>
  <c r="J175" i="15" s="1"/>
  <c r="G175" i="15"/>
  <c r="H174" i="15"/>
  <c r="J174" i="15" s="1"/>
  <c r="K174" i="15" s="1"/>
  <c r="G174" i="15"/>
  <c r="H173" i="15"/>
  <c r="J173" i="15" s="1"/>
  <c r="L173" i="15" s="1"/>
  <c r="G173" i="15"/>
  <c r="H172" i="15"/>
  <c r="J172" i="15" s="1"/>
  <c r="G172" i="15"/>
  <c r="H171" i="15"/>
  <c r="J171" i="15" s="1"/>
  <c r="L171" i="15" s="1"/>
  <c r="G171" i="15"/>
  <c r="H170" i="15"/>
  <c r="J170" i="15" s="1"/>
  <c r="G170" i="15"/>
  <c r="H169" i="15"/>
  <c r="J169" i="15" s="1"/>
  <c r="G169" i="15"/>
  <c r="H168" i="15"/>
  <c r="J168" i="15" s="1"/>
  <c r="L168" i="15" s="1"/>
  <c r="G168" i="15"/>
  <c r="H167" i="15"/>
  <c r="G167" i="15"/>
  <c r="H165" i="15"/>
  <c r="H164" i="15"/>
  <c r="J164" i="15" s="1"/>
  <c r="G164" i="15"/>
  <c r="J163" i="15"/>
  <c r="L163" i="15" s="1"/>
  <c r="H163" i="15"/>
  <c r="G163" i="15"/>
  <c r="J162" i="15"/>
  <c r="H162" i="15"/>
  <c r="G162" i="15"/>
  <c r="L161" i="15"/>
  <c r="J161" i="15"/>
  <c r="K161" i="15" s="1"/>
  <c r="H161" i="15"/>
  <c r="G161" i="15"/>
  <c r="L160" i="15"/>
  <c r="K160" i="15"/>
  <c r="J160" i="15"/>
  <c r="H160" i="15"/>
  <c r="G160" i="15"/>
  <c r="H159" i="15"/>
  <c r="J159" i="15" s="1"/>
  <c r="G159" i="15"/>
  <c r="H158" i="15"/>
  <c r="J158" i="15" s="1"/>
  <c r="L158" i="15" s="1"/>
  <c r="G158" i="15"/>
  <c r="H155" i="15"/>
  <c r="J155" i="15" s="1"/>
  <c r="G155" i="15"/>
  <c r="H154" i="15"/>
  <c r="J154" i="15" s="1"/>
  <c r="G154" i="15"/>
  <c r="H153" i="15"/>
  <c r="J153" i="15" s="1"/>
  <c r="L153" i="15" s="1"/>
  <c r="G153" i="15"/>
  <c r="J152" i="15"/>
  <c r="L152" i="15" s="1"/>
  <c r="H152" i="15"/>
  <c r="G152" i="15"/>
  <c r="H151" i="15"/>
  <c r="J151" i="15" s="1"/>
  <c r="G151" i="15"/>
  <c r="J150" i="15"/>
  <c r="L150" i="15" s="1"/>
  <c r="H150" i="15"/>
  <c r="G150" i="15"/>
  <c r="J149" i="15"/>
  <c r="H149" i="15"/>
  <c r="G149" i="15"/>
  <c r="L148" i="15"/>
  <c r="J148" i="15"/>
  <c r="K148" i="15" s="1"/>
  <c r="H148" i="15"/>
  <c r="G148" i="15"/>
  <c r="L147" i="15"/>
  <c r="K147" i="15"/>
  <c r="J147" i="15"/>
  <c r="H147" i="15"/>
  <c r="G147" i="15"/>
  <c r="H146" i="15"/>
  <c r="J146" i="15" s="1"/>
  <c r="G146" i="15"/>
  <c r="H145" i="15"/>
  <c r="J145" i="15" s="1"/>
  <c r="L145" i="15" s="1"/>
  <c r="G145" i="15"/>
  <c r="H144" i="15"/>
  <c r="J144" i="15" s="1"/>
  <c r="G144" i="15"/>
  <c r="H143" i="15"/>
  <c r="J143" i="15" s="1"/>
  <c r="G143" i="15"/>
  <c r="L142" i="15"/>
  <c r="K142" i="15"/>
  <c r="J142" i="15"/>
  <c r="H142" i="15"/>
  <c r="G142" i="15"/>
  <c r="H141" i="15"/>
  <c r="J141" i="15" s="1"/>
  <c r="G141" i="15"/>
  <c r="L140" i="15"/>
  <c r="J140" i="15"/>
  <c r="K140" i="15" s="1"/>
  <c r="H140" i="15"/>
  <c r="G140" i="15"/>
  <c r="J139" i="15"/>
  <c r="L139" i="15" s="1"/>
  <c r="H139" i="15"/>
  <c r="G139" i="15"/>
  <c r="H138" i="15"/>
  <c r="J138" i="15" s="1"/>
  <c r="G138" i="15"/>
  <c r="H137" i="15"/>
  <c r="J137" i="15" s="1"/>
  <c r="L137" i="15" s="1"/>
  <c r="G137" i="15"/>
  <c r="J136" i="15"/>
  <c r="L136" i="15" s="1"/>
  <c r="H136" i="15"/>
  <c r="G136" i="15"/>
  <c r="H135" i="15"/>
  <c r="J135" i="15" s="1"/>
  <c r="G135" i="15"/>
  <c r="L134" i="15"/>
  <c r="K134" i="15"/>
  <c r="J134" i="15"/>
  <c r="H134" i="15"/>
  <c r="G134" i="15"/>
  <c r="H133" i="15"/>
  <c r="J133" i="15" s="1"/>
  <c r="G133" i="15"/>
  <c r="L132" i="15"/>
  <c r="J132" i="15"/>
  <c r="K132" i="15" s="1"/>
  <c r="H132" i="15"/>
  <c r="G132" i="15"/>
  <c r="H131" i="15"/>
  <c r="J131" i="15" s="1"/>
  <c r="G131" i="15"/>
  <c r="H130" i="15"/>
  <c r="J130" i="15" s="1"/>
  <c r="G130" i="15"/>
  <c r="L129" i="15"/>
  <c r="K129" i="15"/>
  <c r="H129" i="15"/>
  <c r="J129" i="15" s="1"/>
  <c r="G129" i="15"/>
  <c r="H128" i="15"/>
  <c r="J128" i="15" s="1"/>
  <c r="G128" i="15"/>
  <c r="H127" i="15"/>
  <c r="J127" i="15" s="1"/>
  <c r="G127" i="15"/>
  <c r="J126" i="15"/>
  <c r="L126" i="15" s="1"/>
  <c r="H126" i="15"/>
  <c r="G126" i="15"/>
  <c r="H125" i="15"/>
  <c r="J125" i="15" s="1"/>
  <c r="G125" i="15"/>
  <c r="H124" i="15"/>
  <c r="J124" i="15" s="1"/>
  <c r="K124" i="15" s="1"/>
  <c r="G124" i="15"/>
  <c r="H123" i="15"/>
  <c r="H156" i="15" s="1"/>
  <c r="G123" i="15"/>
  <c r="H122" i="15"/>
  <c r="J122" i="15" s="1"/>
  <c r="G122" i="15"/>
  <c r="H121" i="15"/>
  <c r="J121" i="15" s="1"/>
  <c r="L121" i="15" s="1"/>
  <c r="G121" i="15"/>
  <c r="K120" i="15"/>
  <c r="J120" i="15"/>
  <c r="L120" i="15" s="1"/>
  <c r="H120" i="15"/>
  <c r="G120" i="15"/>
  <c r="H119" i="15"/>
  <c r="J119" i="15" s="1"/>
  <c r="G119" i="15"/>
  <c r="J118" i="15"/>
  <c r="L118" i="15" s="1"/>
  <c r="H118" i="15"/>
  <c r="G118" i="15"/>
  <c r="L115" i="15"/>
  <c r="K115" i="15"/>
  <c r="H115" i="15"/>
  <c r="J115" i="15" s="1"/>
  <c r="G115" i="15"/>
  <c r="J114" i="15"/>
  <c r="L114" i="15" s="1"/>
  <c r="H114" i="15"/>
  <c r="G114" i="15"/>
  <c r="H113" i="15"/>
  <c r="J113" i="15" s="1"/>
  <c r="G113" i="15"/>
  <c r="H112" i="15"/>
  <c r="J112" i="15" s="1"/>
  <c r="G112" i="15"/>
  <c r="H111" i="15"/>
  <c r="J111" i="15" s="1"/>
  <c r="G111" i="15"/>
  <c r="H110" i="15"/>
  <c r="J110" i="15" s="1"/>
  <c r="G110" i="15"/>
  <c r="H109" i="15"/>
  <c r="J109" i="15" s="1"/>
  <c r="G109" i="15"/>
  <c r="H108" i="15"/>
  <c r="J108" i="15" s="1"/>
  <c r="K108" i="15" s="1"/>
  <c r="G108" i="15"/>
  <c r="H107" i="15"/>
  <c r="J107" i="15" s="1"/>
  <c r="L107" i="15" s="1"/>
  <c r="G107" i="15"/>
  <c r="L106" i="15"/>
  <c r="K106" i="15"/>
  <c r="J106" i="15"/>
  <c r="H106" i="15"/>
  <c r="G106" i="15"/>
  <c r="H105" i="15"/>
  <c r="J105" i="15" s="1"/>
  <c r="L105" i="15" s="1"/>
  <c r="G105" i="15"/>
  <c r="H104" i="15"/>
  <c r="J104" i="15" s="1"/>
  <c r="L104" i="15" s="1"/>
  <c r="G104" i="15"/>
  <c r="H101" i="15"/>
  <c r="J101" i="15" s="1"/>
  <c r="G101" i="15"/>
  <c r="H100" i="15"/>
  <c r="J100" i="15" s="1"/>
  <c r="G100" i="15"/>
  <c r="H99" i="15"/>
  <c r="J99" i="15" s="1"/>
  <c r="G99" i="15"/>
  <c r="H98" i="15"/>
  <c r="G98" i="15"/>
  <c r="H97" i="15"/>
  <c r="J97" i="15" s="1"/>
  <c r="G97" i="15"/>
  <c r="H96" i="15"/>
  <c r="J96" i="15" s="1"/>
  <c r="L96" i="15" s="1"/>
  <c r="G96" i="15"/>
  <c r="H95" i="15"/>
  <c r="J95" i="15" s="1"/>
  <c r="L95" i="15" s="1"/>
  <c r="G95" i="15"/>
  <c r="H94" i="15"/>
  <c r="J94" i="15" s="1"/>
  <c r="L94" i="15" s="1"/>
  <c r="G94" i="15"/>
  <c r="H93" i="15"/>
  <c r="G93" i="15"/>
  <c r="F88" i="15"/>
  <c r="H88" i="15" s="1"/>
  <c r="J88" i="15" s="1"/>
  <c r="F87" i="15"/>
  <c r="F86" i="15"/>
  <c r="F89" i="15" s="1"/>
  <c r="H85" i="15"/>
  <c r="J85" i="15" s="1"/>
  <c r="F85" i="15"/>
  <c r="G85" i="15" s="1"/>
  <c r="H84" i="15"/>
  <c r="J84" i="15" s="1"/>
  <c r="G84" i="15"/>
  <c r="F82" i="15"/>
  <c r="G82" i="15" s="1"/>
  <c r="F81" i="15"/>
  <c r="F80" i="15"/>
  <c r="F79" i="15"/>
  <c r="H79" i="15" s="1"/>
  <c r="J79" i="15" s="1"/>
  <c r="K79" i="15" s="1"/>
  <c r="H78" i="15"/>
  <c r="J78" i="15" s="1"/>
  <c r="G78" i="15"/>
  <c r="F76" i="15"/>
  <c r="H76" i="15" s="1"/>
  <c r="J76" i="15" s="1"/>
  <c r="F75" i="15"/>
  <c r="H75" i="15" s="1"/>
  <c r="J75" i="15" s="1"/>
  <c r="F74" i="15"/>
  <c r="G74" i="15" s="1"/>
  <c r="F73" i="15"/>
  <c r="G73" i="15" s="1"/>
  <c r="H72" i="15"/>
  <c r="J72" i="15" s="1"/>
  <c r="G72" i="15"/>
  <c r="H70" i="15"/>
  <c r="J70" i="15" s="1"/>
  <c r="L70" i="15" s="1"/>
  <c r="F70" i="15"/>
  <c r="G70" i="15" s="1"/>
  <c r="F69" i="15"/>
  <c r="F68" i="15"/>
  <c r="F67" i="15"/>
  <c r="G66" i="15"/>
  <c r="F66" i="15"/>
  <c r="H66" i="15" s="1"/>
  <c r="J66" i="15" s="1"/>
  <c r="H65" i="15"/>
  <c r="G65" i="15"/>
  <c r="F62" i="15"/>
  <c r="H62" i="15" s="1"/>
  <c r="J62" i="15" s="1"/>
  <c r="F61" i="15"/>
  <c r="H61" i="15" s="1"/>
  <c r="J61" i="15" s="1"/>
  <c r="F60" i="15"/>
  <c r="G60" i="15" s="1"/>
  <c r="H59" i="15"/>
  <c r="J59" i="15" s="1"/>
  <c r="L59" i="15" s="1"/>
  <c r="G59" i="15"/>
  <c r="F58" i="15"/>
  <c r="H58" i="15" s="1"/>
  <c r="J58" i="15" s="1"/>
  <c r="F57" i="15"/>
  <c r="F56" i="15"/>
  <c r="F55" i="15"/>
  <c r="H55" i="15" s="1"/>
  <c r="J55" i="15" s="1"/>
  <c r="K55" i="15" s="1"/>
  <c r="H54" i="15"/>
  <c r="J54" i="15" s="1"/>
  <c r="G54" i="15"/>
  <c r="F53" i="15"/>
  <c r="F52" i="15"/>
  <c r="H52" i="15" s="1"/>
  <c r="J52" i="15" s="1"/>
  <c r="F51" i="15"/>
  <c r="H50" i="15"/>
  <c r="J50" i="15" s="1"/>
  <c r="G50" i="15"/>
  <c r="H48" i="15"/>
  <c r="J48" i="15" s="1"/>
  <c r="G48" i="15"/>
  <c r="F48" i="15"/>
  <c r="F47" i="15"/>
  <c r="H47" i="15" s="1"/>
  <c r="J47" i="15" s="1"/>
  <c r="H46" i="15"/>
  <c r="J46" i="15" s="1"/>
  <c r="L46" i="15" s="1"/>
  <c r="G46" i="15"/>
  <c r="F46" i="15"/>
  <c r="F45" i="15"/>
  <c r="F44" i="15"/>
  <c r="F43" i="15"/>
  <c r="H43" i="15" s="1"/>
  <c r="J43" i="15" s="1"/>
  <c r="K43" i="15" s="1"/>
  <c r="H42" i="15"/>
  <c r="J42" i="15" s="1"/>
  <c r="K42" i="15" s="1"/>
  <c r="G42" i="15"/>
  <c r="F40" i="15"/>
  <c r="G40" i="15" s="1"/>
  <c r="F39" i="15"/>
  <c r="H39" i="15" s="1"/>
  <c r="J39" i="15" s="1"/>
  <c r="F38" i="15"/>
  <c r="H38" i="15" s="1"/>
  <c r="J38" i="15" s="1"/>
  <c r="F37" i="15"/>
  <c r="H37" i="15" s="1"/>
  <c r="J37" i="15" s="1"/>
  <c r="F36" i="15"/>
  <c r="F35" i="15"/>
  <c r="F41" i="15" s="1"/>
  <c r="J34" i="15"/>
  <c r="L34" i="15" s="1"/>
  <c r="H34" i="15"/>
  <c r="G34" i="15"/>
  <c r="H31" i="15"/>
  <c r="J31" i="15" s="1"/>
  <c r="G31" i="15"/>
  <c r="H30" i="15"/>
  <c r="J30" i="15" s="1"/>
  <c r="L30" i="15" s="1"/>
  <c r="G30" i="15"/>
  <c r="H29" i="15"/>
  <c r="J29" i="15" s="1"/>
  <c r="G29" i="15"/>
  <c r="H28" i="15"/>
  <c r="J28" i="15" s="1"/>
  <c r="G28" i="15"/>
  <c r="H27" i="15"/>
  <c r="J27" i="15" s="1"/>
  <c r="G27" i="15"/>
  <c r="H26" i="15"/>
  <c r="G26" i="15"/>
  <c r="F23" i="15"/>
  <c r="G23" i="15" s="1"/>
  <c r="H22" i="15"/>
  <c r="J22" i="15" s="1"/>
  <c r="G22" i="15"/>
  <c r="H21" i="15"/>
  <c r="J21" i="15" s="1"/>
  <c r="G21" i="15"/>
  <c r="H20" i="15"/>
  <c r="J20" i="15" s="1"/>
  <c r="F19" i="15"/>
  <c r="G19" i="15" s="1"/>
  <c r="H18" i="15"/>
  <c r="J18" i="15" s="1"/>
  <c r="G18" i="15"/>
  <c r="F17" i="15"/>
  <c r="G17" i="15" s="1"/>
  <c r="H16" i="15"/>
  <c r="J16" i="15" s="1"/>
  <c r="G16" i="15"/>
  <c r="F15" i="15"/>
  <c r="G15" i="15" s="1"/>
  <c r="H14" i="15"/>
  <c r="J14" i="15" s="1"/>
  <c r="G14" i="15"/>
  <c r="F13" i="15"/>
  <c r="G13" i="15" s="1"/>
  <c r="H12" i="15"/>
  <c r="J12" i="15" s="1"/>
  <c r="G12" i="15"/>
  <c r="F11" i="15"/>
  <c r="H11" i="15" s="1"/>
  <c r="J11" i="15" s="1"/>
  <c r="H10" i="15"/>
  <c r="J10" i="15" s="1"/>
  <c r="G10" i="15"/>
  <c r="F9" i="15"/>
  <c r="G9" i="15" s="1"/>
  <c r="F8" i="15"/>
  <c r="H7" i="15"/>
  <c r="J7" i="15" s="1"/>
  <c r="G7" i="15"/>
  <c r="F6" i="15"/>
  <c r="F5" i="15"/>
  <c r="H5" i="15" s="1"/>
  <c r="H4" i="15"/>
  <c r="J4" i="15" s="1"/>
  <c r="L4" i="15" s="1"/>
  <c r="G4" i="15"/>
  <c r="F90" i="14"/>
  <c r="F20" i="14"/>
  <c r="H20" i="14" s="1"/>
  <c r="J20" i="14" s="1"/>
  <c r="E90" i="14"/>
  <c r="O90" i="14" s="1"/>
  <c r="E88" i="14"/>
  <c r="O88" i="14" s="1"/>
  <c r="E87" i="14"/>
  <c r="E86" i="14"/>
  <c r="E89" i="14" s="1"/>
  <c r="E85" i="14"/>
  <c r="O85" i="14" s="1"/>
  <c r="E82" i="14"/>
  <c r="O82" i="14" s="1"/>
  <c r="E81" i="14"/>
  <c r="O81" i="14" s="1"/>
  <c r="E80" i="14"/>
  <c r="O80" i="14" s="1"/>
  <c r="E79" i="14"/>
  <c r="E76" i="14"/>
  <c r="O76" i="14" s="1"/>
  <c r="E75" i="14"/>
  <c r="E74" i="14"/>
  <c r="E73" i="14"/>
  <c r="E70" i="14"/>
  <c r="O70" i="14" s="1"/>
  <c r="E69" i="14"/>
  <c r="O69" i="14" s="1"/>
  <c r="E68" i="14"/>
  <c r="O68" i="14" s="1"/>
  <c r="E67" i="14"/>
  <c r="E71" i="14" s="1"/>
  <c r="O71" i="14" s="1"/>
  <c r="E66" i="14"/>
  <c r="O66" i="14" s="1"/>
  <c r="E62" i="14"/>
  <c r="O62" i="14" s="1"/>
  <c r="E61" i="14"/>
  <c r="O61" i="14" s="1"/>
  <c r="E60" i="14"/>
  <c r="O60" i="14" s="1"/>
  <c r="E58" i="14"/>
  <c r="O58" i="14" s="1"/>
  <c r="E57" i="14"/>
  <c r="O57" i="14" s="1"/>
  <c r="E56" i="14"/>
  <c r="O56" i="14" s="1"/>
  <c r="E55" i="14"/>
  <c r="O55" i="14" s="1"/>
  <c r="E53" i="14"/>
  <c r="E52" i="14"/>
  <c r="O52" i="14" s="1"/>
  <c r="E51" i="14"/>
  <c r="O51" i="14" s="1"/>
  <c r="E48" i="14"/>
  <c r="O48" i="14" s="1"/>
  <c r="E47" i="14"/>
  <c r="O47" i="14" s="1"/>
  <c r="E46" i="14"/>
  <c r="O46" i="14" s="1"/>
  <c r="E45" i="14"/>
  <c r="O45" i="14" s="1"/>
  <c r="E44" i="14"/>
  <c r="O44" i="14" s="1"/>
  <c r="E43" i="14"/>
  <c r="E49" i="14" s="1"/>
  <c r="O49" i="14" s="1"/>
  <c r="E40" i="14"/>
  <c r="E39" i="14"/>
  <c r="O39" i="14" s="1"/>
  <c r="E38" i="14"/>
  <c r="O38" i="14" s="1"/>
  <c r="E37" i="14"/>
  <c r="O37" i="14" s="1"/>
  <c r="E36" i="14"/>
  <c r="O36" i="14" s="1"/>
  <c r="E35" i="14"/>
  <c r="E41" i="14" s="1"/>
  <c r="O41" i="14" s="1"/>
  <c r="E23" i="14"/>
  <c r="E20" i="14"/>
  <c r="E19" i="14"/>
  <c r="E17" i="14"/>
  <c r="O17" i="14" s="1"/>
  <c r="E15" i="14"/>
  <c r="O15" i="14" s="1"/>
  <c r="E13" i="14"/>
  <c r="O13" i="14" s="1"/>
  <c r="E11" i="14"/>
  <c r="O11" i="14" s="1"/>
  <c r="E9" i="14"/>
  <c r="E8" i="14"/>
  <c r="O8" i="14" s="1"/>
  <c r="E6" i="14"/>
  <c r="E5" i="14"/>
  <c r="O5" i="14" s="1"/>
  <c r="P115" i="14"/>
  <c r="O115" i="14"/>
  <c r="P114" i="14"/>
  <c r="O114" i="14"/>
  <c r="P113" i="14"/>
  <c r="O113" i="14"/>
  <c r="P112" i="14"/>
  <c r="O112" i="14"/>
  <c r="P111" i="14"/>
  <c r="O111" i="14"/>
  <c r="P110" i="14"/>
  <c r="O110" i="14"/>
  <c r="P109" i="14"/>
  <c r="O109" i="14"/>
  <c r="P108" i="14"/>
  <c r="O108" i="14"/>
  <c r="P107" i="14"/>
  <c r="O107" i="14"/>
  <c r="P106" i="14"/>
  <c r="O106" i="14"/>
  <c r="P105" i="14"/>
  <c r="O105" i="14"/>
  <c r="P104" i="14"/>
  <c r="O104" i="14"/>
  <c r="P101" i="14"/>
  <c r="O101" i="14"/>
  <c r="P100" i="14"/>
  <c r="O100" i="14"/>
  <c r="P99" i="14"/>
  <c r="O99" i="14"/>
  <c r="P98" i="14"/>
  <c r="O98" i="14"/>
  <c r="P97" i="14"/>
  <c r="O97" i="14"/>
  <c r="P96" i="14"/>
  <c r="O96" i="14"/>
  <c r="P95" i="14"/>
  <c r="O95" i="14"/>
  <c r="P94" i="14"/>
  <c r="O94" i="14"/>
  <c r="P93" i="14"/>
  <c r="O93" i="14"/>
  <c r="P92" i="14"/>
  <c r="O92" i="14"/>
  <c r="P90" i="14"/>
  <c r="P89" i="14"/>
  <c r="P88" i="14"/>
  <c r="P87" i="14"/>
  <c r="O87" i="14"/>
  <c r="P86" i="14"/>
  <c r="P85" i="14"/>
  <c r="P84" i="14"/>
  <c r="O84" i="14"/>
  <c r="P83" i="14"/>
  <c r="P82" i="14"/>
  <c r="P81" i="14"/>
  <c r="P80" i="14"/>
  <c r="P79" i="14"/>
  <c r="O79" i="14"/>
  <c r="P78" i="14"/>
  <c r="O78" i="14"/>
  <c r="P77" i="14"/>
  <c r="P76" i="14"/>
  <c r="P75" i="14"/>
  <c r="O75" i="14"/>
  <c r="P74" i="14"/>
  <c r="P73" i="14"/>
  <c r="P72" i="14"/>
  <c r="O72" i="14"/>
  <c r="P71" i="14"/>
  <c r="P70" i="14"/>
  <c r="P69" i="14"/>
  <c r="P68" i="14"/>
  <c r="P67" i="14"/>
  <c r="O67" i="14"/>
  <c r="P66" i="14"/>
  <c r="P65" i="14"/>
  <c r="O65" i="14"/>
  <c r="P62" i="14"/>
  <c r="P61" i="14"/>
  <c r="P60" i="14"/>
  <c r="P59" i="14"/>
  <c r="O59" i="14"/>
  <c r="P58" i="14"/>
  <c r="P57" i="14"/>
  <c r="P56" i="14"/>
  <c r="P55" i="14"/>
  <c r="P54" i="14"/>
  <c r="O54" i="14"/>
  <c r="P53" i="14"/>
  <c r="P52" i="14"/>
  <c r="P51" i="14"/>
  <c r="P50" i="14"/>
  <c r="O50" i="14"/>
  <c r="P49" i="14"/>
  <c r="P48" i="14"/>
  <c r="P47" i="14"/>
  <c r="P46" i="14"/>
  <c r="P45" i="14"/>
  <c r="P44" i="14"/>
  <c r="P43" i="14"/>
  <c r="P42" i="14"/>
  <c r="O42" i="14"/>
  <c r="P41" i="14"/>
  <c r="P40" i="14"/>
  <c r="O40" i="14"/>
  <c r="P39" i="14"/>
  <c r="P38" i="14"/>
  <c r="P37" i="14"/>
  <c r="P36" i="14"/>
  <c r="P35" i="14"/>
  <c r="P34" i="14"/>
  <c r="O34" i="14"/>
  <c r="P31" i="14"/>
  <c r="O31" i="14"/>
  <c r="P30" i="14"/>
  <c r="O30" i="14"/>
  <c r="P29" i="14"/>
  <c r="O29" i="14"/>
  <c r="P28" i="14"/>
  <c r="O28" i="14"/>
  <c r="P27" i="14"/>
  <c r="O27" i="14"/>
  <c r="P26" i="14"/>
  <c r="O26" i="14"/>
  <c r="P23" i="14"/>
  <c r="O23" i="14"/>
  <c r="P22" i="14"/>
  <c r="O22" i="14"/>
  <c r="P21" i="14"/>
  <c r="O21" i="14"/>
  <c r="P20" i="14"/>
  <c r="O20" i="14"/>
  <c r="P19" i="14"/>
  <c r="O19" i="14"/>
  <c r="P18" i="14"/>
  <c r="O18" i="14"/>
  <c r="P17" i="14"/>
  <c r="P16" i="14"/>
  <c r="O16" i="14"/>
  <c r="P15" i="14"/>
  <c r="P14" i="14"/>
  <c r="O14" i="14"/>
  <c r="P13" i="14"/>
  <c r="P12" i="14"/>
  <c r="O12" i="14"/>
  <c r="P11" i="14"/>
  <c r="P10" i="14"/>
  <c r="O10" i="14"/>
  <c r="P9" i="14"/>
  <c r="P8" i="14"/>
  <c r="P7" i="14"/>
  <c r="O7" i="14"/>
  <c r="P6" i="14"/>
  <c r="O6" i="14"/>
  <c r="P5" i="14"/>
  <c r="P4" i="14"/>
  <c r="O4" i="14"/>
  <c r="H425" i="14"/>
  <c r="G425" i="14"/>
  <c r="H424" i="14"/>
  <c r="G424" i="14"/>
  <c r="H423" i="14"/>
  <c r="G423" i="14"/>
  <c r="H422" i="14"/>
  <c r="G422" i="14"/>
  <c r="H421" i="14"/>
  <c r="G421" i="14"/>
  <c r="H420" i="14"/>
  <c r="G420" i="14"/>
  <c r="H419" i="14"/>
  <c r="G419" i="14"/>
  <c r="H418" i="14"/>
  <c r="G418" i="14"/>
  <c r="H417" i="14"/>
  <c r="G417" i="14"/>
  <c r="H416" i="14"/>
  <c r="G416" i="14"/>
  <c r="H413" i="14"/>
  <c r="J413" i="14" s="1"/>
  <c r="G413" i="14"/>
  <c r="H412" i="14"/>
  <c r="J412" i="14" s="1"/>
  <c r="G412" i="14"/>
  <c r="H411" i="14"/>
  <c r="J411" i="14" s="1"/>
  <c r="G411" i="14"/>
  <c r="H410" i="14"/>
  <c r="J410" i="14" s="1"/>
  <c r="G410" i="14"/>
  <c r="H409" i="14"/>
  <c r="J409" i="14" s="1"/>
  <c r="L409" i="14" s="1"/>
  <c r="G409" i="14"/>
  <c r="H408" i="14"/>
  <c r="J408" i="14" s="1"/>
  <c r="G408" i="14"/>
  <c r="H407" i="14"/>
  <c r="J407" i="14" s="1"/>
  <c r="G407" i="14"/>
  <c r="H406" i="14"/>
  <c r="J406" i="14" s="1"/>
  <c r="L406" i="14" s="1"/>
  <c r="G406" i="14"/>
  <c r="H405" i="14"/>
  <c r="J405" i="14" s="1"/>
  <c r="G405" i="14"/>
  <c r="H404" i="14"/>
  <c r="J404" i="14" s="1"/>
  <c r="G404" i="14"/>
  <c r="H403" i="14"/>
  <c r="J403" i="14" s="1"/>
  <c r="G403" i="14"/>
  <c r="H402" i="14"/>
  <c r="J402" i="14" s="1"/>
  <c r="G402" i="14"/>
  <c r="H401" i="14"/>
  <c r="J401" i="14" s="1"/>
  <c r="L401" i="14" s="1"/>
  <c r="G401" i="14"/>
  <c r="H400" i="14"/>
  <c r="J400" i="14" s="1"/>
  <c r="G400" i="14"/>
  <c r="H399" i="14"/>
  <c r="J399" i="14" s="1"/>
  <c r="G399" i="14"/>
  <c r="H398" i="14"/>
  <c r="J398" i="14" s="1"/>
  <c r="L398" i="14" s="1"/>
  <c r="G398" i="14"/>
  <c r="H397" i="14"/>
  <c r="J397" i="14" s="1"/>
  <c r="K397" i="14" s="1"/>
  <c r="G397" i="14"/>
  <c r="H396" i="14"/>
  <c r="J396" i="14" s="1"/>
  <c r="G396" i="14"/>
  <c r="H394" i="14"/>
  <c r="J394" i="14" s="1"/>
  <c r="G394" i="14"/>
  <c r="H393" i="14"/>
  <c r="J393" i="14" s="1"/>
  <c r="K393" i="14" s="1"/>
  <c r="G393" i="14"/>
  <c r="H392" i="14"/>
  <c r="J392" i="14" s="1"/>
  <c r="K392" i="14" s="1"/>
  <c r="G392" i="14"/>
  <c r="H391" i="14"/>
  <c r="J391" i="14" s="1"/>
  <c r="K391" i="14" s="1"/>
  <c r="G391" i="14"/>
  <c r="H390" i="14"/>
  <c r="J390" i="14" s="1"/>
  <c r="L390" i="14" s="1"/>
  <c r="G390" i="14"/>
  <c r="H389" i="14"/>
  <c r="J389" i="14" s="1"/>
  <c r="G389" i="14"/>
  <c r="H388" i="14"/>
  <c r="J388" i="14" s="1"/>
  <c r="L388" i="14" s="1"/>
  <c r="G388" i="14"/>
  <c r="H387" i="14"/>
  <c r="J387" i="14" s="1"/>
  <c r="G387" i="14"/>
  <c r="H386" i="14"/>
  <c r="J386" i="14" s="1"/>
  <c r="G386" i="14"/>
  <c r="H385" i="14"/>
  <c r="J385" i="14" s="1"/>
  <c r="G385" i="14"/>
  <c r="H384" i="14"/>
  <c r="J384" i="14" s="1"/>
  <c r="L384" i="14" s="1"/>
  <c r="G384" i="14"/>
  <c r="H383" i="14"/>
  <c r="J383" i="14" s="1"/>
  <c r="K383" i="14" s="1"/>
  <c r="G383" i="14"/>
  <c r="H382" i="14"/>
  <c r="J382" i="14" s="1"/>
  <c r="L382" i="14" s="1"/>
  <c r="G382" i="14"/>
  <c r="H381" i="14"/>
  <c r="J381" i="14" s="1"/>
  <c r="L381" i="14" s="1"/>
  <c r="G381" i="14"/>
  <c r="H380" i="14"/>
  <c r="J380" i="14" s="1"/>
  <c r="K380" i="14" s="1"/>
  <c r="G380" i="14"/>
  <c r="H379" i="14"/>
  <c r="J379" i="14" s="1"/>
  <c r="K379" i="14" s="1"/>
  <c r="G379" i="14"/>
  <c r="H378" i="14"/>
  <c r="J378" i="14" s="1"/>
  <c r="G378" i="14"/>
  <c r="H377" i="14"/>
  <c r="J377" i="14" s="1"/>
  <c r="L377" i="14" s="1"/>
  <c r="G377" i="14"/>
  <c r="H376" i="14"/>
  <c r="J376" i="14" s="1"/>
  <c r="K376" i="14" s="1"/>
  <c r="G376" i="14"/>
  <c r="H375" i="14"/>
  <c r="J375" i="14" s="1"/>
  <c r="K375" i="14" s="1"/>
  <c r="G375" i="14"/>
  <c r="H374" i="14"/>
  <c r="J374" i="14" s="1"/>
  <c r="G374" i="14"/>
  <c r="H373" i="14"/>
  <c r="J373" i="14" s="1"/>
  <c r="L373" i="14" s="1"/>
  <c r="G373" i="14"/>
  <c r="H372" i="14"/>
  <c r="J372" i="14" s="1"/>
  <c r="G372" i="14"/>
  <c r="H371" i="14"/>
  <c r="J371" i="14" s="1"/>
  <c r="K371" i="14" s="1"/>
  <c r="G371" i="14"/>
  <c r="H370" i="14"/>
  <c r="J370" i="14" s="1"/>
  <c r="G370" i="14"/>
  <c r="H369" i="14"/>
  <c r="J369" i="14" s="1"/>
  <c r="L369" i="14" s="1"/>
  <c r="G369" i="14"/>
  <c r="H368" i="14"/>
  <c r="J368" i="14" s="1"/>
  <c r="K368" i="14" s="1"/>
  <c r="G368" i="14"/>
  <c r="H367" i="14"/>
  <c r="J367" i="14" s="1"/>
  <c r="K367" i="14" s="1"/>
  <c r="G367" i="14"/>
  <c r="H366" i="14"/>
  <c r="J366" i="14" s="1"/>
  <c r="G366" i="14"/>
  <c r="H365" i="14"/>
  <c r="J365" i="14" s="1"/>
  <c r="L365" i="14" s="1"/>
  <c r="G365" i="14"/>
  <c r="H364" i="14"/>
  <c r="J364" i="14" s="1"/>
  <c r="L364" i="14" s="1"/>
  <c r="G364" i="14"/>
  <c r="H363" i="14"/>
  <c r="J363" i="14" s="1"/>
  <c r="G363" i="14"/>
  <c r="H362" i="14"/>
  <c r="J362" i="14" s="1"/>
  <c r="G362" i="14"/>
  <c r="H361" i="14"/>
  <c r="J361" i="14" s="1"/>
  <c r="G361" i="14"/>
  <c r="H360" i="14"/>
  <c r="J360" i="14" s="1"/>
  <c r="L360" i="14" s="1"/>
  <c r="G360" i="14"/>
  <c r="H358" i="14"/>
  <c r="J358" i="14" s="1"/>
  <c r="K358" i="14" s="1"/>
  <c r="G358" i="14"/>
  <c r="H356" i="14"/>
  <c r="J356" i="14" s="1"/>
  <c r="G356" i="14"/>
  <c r="H355" i="14"/>
  <c r="J355" i="14" s="1"/>
  <c r="G355" i="14"/>
  <c r="H354" i="14"/>
  <c r="J354" i="14" s="1"/>
  <c r="G354" i="14"/>
  <c r="H353" i="14"/>
  <c r="J353" i="14" s="1"/>
  <c r="G353" i="14"/>
  <c r="H352" i="14"/>
  <c r="J352" i="14" s="1"/>
  <c r="G352" i="14"/>
  <c r="H351" i="14"/>
  <c r="J351" i="14" s="1"/>
  <c r="G351" i="14"/>
  <c r="H350" i="14"/>
  <c r="J350" i="14" s="1"/>
  <c r="L350" i="14" s="1"/>
  <c r="G350" i="14"/>
  <c r="H349" i="14"/>
  <c r="G349" i="14"/>
  <c r="H345" i="14"/>
  <c r="J345" i="14" s="1"/>
  <c r="G345" i="14"/>
  <c r="H344" i="14"/>
  <c r="J344" i="14" s="1"/>
  <c r="G344" i="14"/>
  <c r="H343" i="14"/>
  <c r="J343" i="14" s="1"/>
  <c r="G343" i="14"/>
  <c r="H342" i="14"/>
  <c r="J342" i="14" s="1"/>
  <c r="K342" i="14" s="1"/>
  <c r="G342" i="14"/>
  <c r="H341" i="14"/>
  <c r="J341" i="14" s="1"/>
  <c r="L341" i="14" s="1"/>
  <c r="G341" i="14"/>
  <c r="H340" i="14"/>
  <c r="J340" i="14" s="1"/>
  <c r="K340" i="14" s="1"/>
  <c r="G340" i="14"/>
  <c r="H339" i="14"/>
  <c r="J339" i="14" s="1"/>
  <c r="L339" i="14" s="1"/>
  <c r="G339" i="14"/>
  <c r="H338" i="14"/>
  <c r="J338" i="14" s="1"/>
  <c r="L338" i="14" s="1"/>
  <c r="G338" i="14"/>
  <c r="H337" i="14"/>
  <c r="J337" i="14" s="1"/>
  <c r="K337" i="14" s="1"/>
  <c r="G337" i="14"/>
  <c r="H336" i="14"/>
  <c r="J336" i="14" s="1"/>
  <c r="K336" i="14" s="1"/>
  <c r="G336" i="14"/>
  <c r="H335" i="14"/>
  <c r="J335" i="14" s="1"/>
  <c r="G335" i="14"/>
  <c r="H334" i="14"/>
  <c r="J334" i="14" s="1"/>
  <c r="L334" i="14" s="1"/>
  <c r="G334" i="14"/>
  <c r="H333" i="14"/>
  <c r="J333" i="14" s="1"/>
  <c r="K333" i="14" s="1"/>
  <c r="G333" i="14"/>
  <c r="H332" i="14"/>
  <c r="J332" i="14" s="1"/>
  <c r="K332" i="14" s="1"/>
  <c r="G332" i="14"/>
  <c r="H331" i="14"/>
  <c r="J331" i="14" s="1"/>
  <c r="G331" i="14"/>
  <c r="H330" i="14"/>
  <c r="J330" i="14" s="1"/>
  <c r="L330" i="14" s="1"/>
  <c r="G330" i="14"/>
  <c r="H329" i="14"/>
  <c r="J329" i="14" s="1"/>
  <c r="K329" i="14" s="1"/>
  <c r="G329" i="14"/>
  <c r="H328" i="14"/>
  <c r="J328" i="14" s="1"/>
  <c r="K328" i="14" s="1"/>
  <c r="G328" i="14"/>
  <c r="H327" i="14"/>
  <c r="J327" i="14" s="1"/>
  <c r="G327" i="14"/>
  <c r="H326" i="14"/>
  <c r="J326" i="14" s="1"/>
  <c r="L326" i="14" s="1"/>
  <c r="G326" i="14"/>
  <c r="H325" i="14"/>
  <c r="J325" i="14" s="1"/>
  <c r="K325" i="14" s="1"/>
  <c r="G325" i="14"/>
  <c r="H324" i="14"/>
  <c r="J324" i="14" s="1"/>
  <c r="K324" i="14" s="1"/>
  <c r="G324" i="14"/>
  <c r="H323" i="14"/>
  <c r="J323" i="14" s="1"/>
  <c r="G323" i="14"/>
  <c r="H322" i="14"/>
  <c r="J322" i="14" s="1"/>
  <c r="L322" i="14" s="1"/>
  <c r="G322" i="14"/>
  <c r="H321" i="14"/>
  <c r="J321" i="14" s="1"/>
  <c r="L321" i="14" s="1"/>
  <c r="G321" i="14"/>
  <c r="H320" i="14"/>
  <c r="J320" i="14" s="1"/>
  <c r="G320" i="14"/>
  <c r="H319" i="14"/>
  <c r="J319" i="14" s="1"/>
  <c r="G319" i="14"/>
  <c r="H318" i="14"/>
  <c r="J318" i="14" s="1"/>
  <c r="L318" i="14" s="1"/>
  <c r="G318" i="14"/>
  <c r="H317" i="14"/>
  <c r="J317" i="14" s="1"/>
  <c r="L317" i="14" s="1"/>
  <c r="G317" i="14"/>
  <c r="H316" i="14"/>
  <c r="J316" i="14" s="1"/>
  <c r="K316" i="14" s="1"/>
  <c r="G316" i="14"/>
  <c r="H315" i="14"/>
  <c r="J315" i="14" s="1"/>
  <c r="G315" i="14"/>
  <c r="H314" i="14"/>
  <c r="J314" i="14" s="1"/>
  <c r="G314" i="14"/>
  <c r="H313" i="14"/>
  <c r="J313" i="14" s="1"/>
  <c r="G313" i="14"/>
  <c r="H312" i="14"/>
  <c r="J312" i="14" s="1"/>
  <c r="G312" i="14"/>
  <c r="H311" i="14"/>
  <c r="J311" i="14" s="1"/>
  <c r="G311" i="14"/>
  <c r="H310" i="14"/>
  <c r="J310" i="14" s="1"/>
  <c r="L310" i="14" s="1"/>
  <c r="G310" i="14"/>
  <c r="H309" i="14"/>
  <c r="J309" i="14" s="1"/>
  <c r="G309" i="14"/>
  <c r="H308" i="14"/>
  <c r="J308" i="14" s="1"/>
  <c r="K308" i="14" s="1"/>
  <c r="G308" i="14"/>
  <c r="H307" i="14"/>
  <c r="J307" i="14" s="1"/>
  <c r="G307" i="14"/>
  <c r="H306" i="14"/>
  <c r="J306" i="14" s="1"/>
  <c r="L306" i="14" s="1"/>
  <c r="G306" i="14"/>
  <c r="H305" i="14"/>
  <c r="J305" i="14" s="1"/>
  <c r="G305" i="14"/>
  <c r="H304" i="14"/>
  <c r="J304" i="14" s="1"/>
  <c r="G304" i="14"/>
  <c r="H303" i="14"/>
  <c r="J303" i="14" s="1"/>
  <c r="G303" i="14"/>
  <c r="H302" i="14"/>
  <c r="J302" i="14" s="1"/>
  <c r="L302" i="14" s="1"/>
  <c r="G302" i="14"/>
  <c r="H301" i="14"/>
  <c r="J301" i="14" s="1"/>
  <c r="G301" i="14"/>
  <c r="H300" i="14"/>
  <c r="J300" i="14" s="1"/>
  <c r="K300" i="14" s="1"/>
  <c r="G300" i="14"/>
  <c r="H299" i="14"/>
  <c r="J299" i="14" s="1"/>
  <c r="G299" i="14"/>
  <c r="H298" i="14"/>
  <c r="J298" i="14" s="1"/>
  <c r="L298" i="14" s="1"/>
  <c r="G298" i="14"/>
  <c r="H295" i="14"/>
  <c r="J295" i="14" s="1"/>
  <c r="K295" i="14" s="1"/>
  <c r="G295" i="14"/>
  <c r="H294" i="14"/>
  <c r="J294" i="14" s="1"/>
  <c r="L294" i="14" s="1"/>
  <c r="G294" i="14"/>
  <c r="H293" i="14"/>
  <c r="J293" i="14" s="1"/>
  <c r="G293" i="14"/>
  <c r="H292" i="14"/>
  <c r="J292" i="14" s="1"/>
  <c r="L292" i="14" s="1"/>
  <c r="G292" i="14"/>
  <c r="H291" i="14"/>
  <c r="J291" i="14" s="1"/>
  <c r="G291" i="14"/>
  <c r="H290" i="14"/>
  <c r="J290" i="14" s="1"/>
  <c r="G290" i="14"/>
  <c r="H289" i="14"/>
  <c r="J289" i="14" s="1"/>
  <c r="G289" i="14"/>
  <c r="H288" i="14"/>
  <c r="J288" i="14" s="1"/>
  <c r="K288" i="14" s="1"/>
  <c r="G288" i="14"/>
  <c r="H287" i="14"/>
  <c r="J287" i="14" s="1"/>
  <c r="K287" i="14" s="1"/>
  <c r="G287" i="14"/>
  <c r="H286" i="14"/>
  <c r="J286" i="14" s="1"/>
  <c r="L286" i="14" s="1"/>
  <c r="G286" i="14"/>
  <c r="H285" i="14"/>
  <c r="J285" i="14" s="1"/>
  <c r="L285" i="14" s="1"/>
  <c r="G285" i="14"/>
  <c r="H284" i="14"/>
  <c r="J284" i="14" s="1"/>
  <c r="L284" i="14" s="1"/>
  <c r="G284" i="14"/>
  <c r="H283" i="14"/>
  <c r="J283" i="14" s="1"/>
  <c r="G283" i="14"/>
  <c r="H282" i="14"/>
  <c r="J282" i="14" s="1"/>
  <c r="G282" i="14"/>
  <c r="H281" i="14"/>
  <c r="J281" i="14" s="1"/>
  <c r="L281" i="14" s="1"/>
  <c r="G281" i="14"/>
  <c r="H280" i="14"/>
  <c r="J280" i="14" s="1"/>
  <c r="K280" i="14" s="1"/>
  <c r="G280" i="14"/>
  <c r="H279" i="14"/>
  <c r="J279" i="14" s="1"/>
  <c r="K279" i="14" s="1"/>
  <c r="G279" i="14"/>
  <c r="H278" i="14"/>
  <c r="J278" i="14" s="1"/>
  <c r="L278" i="14" s="1"/>
  <c r="G278" i="14"/>
  <c r="H277" i="14"/>
  <c r="J277" i="14" s="1"/>
  <c r="L277" i="14" s="1"/>
  <c r="G277" i="14"/>
  <c r="H276" i="14"/>
  <c r="J276" i="14" s="1"/>
  <c r="K276" i="14" s="1"/>
  <c r="G276" i="14"/>
  <c r="H275" i="14"/>
  <c r="J275" i="14" s="1"/>
  <c r="K275" i="14" s="1"/>
  <c r="G275" i="14"/>
  <c r="H274" i="14"/>
  <c r="J274" i="14" s="1"/>
  <c r="G274" i="14"/>
  <c r="H273" i="14"/>
  <c r="J273" i="14" s="1"/>
  <c r="L273" i="14" s="1"/>
  <c r="G273" i="14"/>
  <c r="H272" i="14"/>
  <c r="J272" i="14" s="1"/>
  <c r="K272" i="14" s="1"/>
  <c r="G272" i="14"/>
  <c r="H271" i="14"/>
  <c r="J271" i="14" s="1"/>
  <c r="K271" i="14" s="1"/>
  <c r="G271" i="14"/>
  <c r="H270" i="14"/>
  <c r="J270" i="14" s="1"/>
  <c r="G270" i="14"/>
  <c r="H269" i="14"/>
  <c r="J269" i="14" s="1"/>
  <c r="L269" i="14" s="1"/>
  <c r="G269" i="14"/>
  <c r="H268" i="14"/>
  <c r="J268" i="14" s="1"/>
  <c r="L268" i="14" s="1"/>
  <c r="G268" i="14"/>
  <c r="H267" i="14"/>
  <c r="J267" i="14" s="1"/>
  <c r="G267" i="14"/>
  <c r="H266" i="14"/>
  <c r="J266" i="14" s="1"/>
  <c r="G266" i="14"/>
  <c r="H265" i="14"/>
  <c r="J265" i="14" s="1"/>
  <c r="G265" i="14"/>
  <c r="H264" i="14"/>
  <c r="J264" i="14" s="1"/>
  <c r="L264" i="14" s="1"/>
  <c r="G264" i="14"/>
  <c r="H263" i="14"/>
  <c r="J263" i="14" s="1"/>
  <c r="K263" i="14" s="1"/>
  <c r="G263" i="14"/>
  <c r="H262" i="14"/>
  <c r="J262" i="14" s="1"/>
  <c r="G262" i="14"/>
  <c r="H261" i="14"/>
  <c r="J261" i="14" s="1"/>
  <c r="L261" i="14" s="1"/>
  <c r="G261" i="14"/>
  <c r="H260" i="14"/>
  <c r="J260" i="14" s="1"/>
  <c r="G260" i="14"/>
  <c r="H259" i="14"/>
  <c r="J259" i="14" s="1"/>
  <c r="G259" i="14"/>
  <c r="H258" i="14"/>
  <c r="J258" i="14" s="1"/>
  <c r="G258" i="14"/>
  <c r="H257" i="14"/>
  <c r="J257" i="14" s="1"/>
  <c r="G257" i="14"/>
  <c r="H256" i="14"/>
  <c r="G256" i="14"/>
  <c r="H255" i="14"/>
  <c r="J255" i="14" s="1"/>
  <c r="K255" i="14" s="1"/>
  <c r="G255" i="14"/>
  <c r="H254" i="14"/>
  <c r="J254" i="14" s="1"/>
  <c r="G254" i="14"/>
  <c r="H253" i="14"/>
  <c r="J253" i="14" s="1"/>
  <c r="L253" i="14" s="1"/>
  <c r="G253" i="14"/>
  <c r="H252" i="14"/>
  <c r="J252" i="14" s="1"/>
  <c r="K252" i="14" s="1"/>
  <c r="G252" i="14"/>
  <c r="H251" i="14"/>
  <c r="J251" i="14" s="1"/>
  <c r="K251" i="14" s="1"/>
  <c r="G251" i="14"/>
  <c r="H248" i="14"/>
  <c r="J248" i="14" s="1"/>
  <c r="G248" i="14"/>
  <c r="H247" i="14"/>
  <c r="J247" i="14" s="1"/>
  <c r="K247" i="14" s="1"/>
  <c r="G247" i="14"/>
  <c r="H246" i="14"/>
  <c r="J246" i="14" s="1"/>
  <c r="G246" i="14"/>
  <c r="H245" i="14"/>
  <c r="J245" i="14" s="1"/>
  <c r="L245" i="14" s="1"/>
  <c r="G245" i="14"/>
  <c r="H244" i="14"/>
  <c r="J244" i="14" s="1"/>
  <c r="G244" i="14"/>
  <c r="H241" i="14"/>
  <c r="J241" i="14" s="1"/>
  <c r="G241" i="14"/>
  <c r="H240" i="14"/>
  <c r="J240" i="14" s="1"/>
  <c r="G240" i="14"/>
  <c r="H239" i="14"/>
  <c r="J239" i="14" s="1"/>
  <c r="L239" i="14" s="1"/>
  <c r="G239" i="14"/>
  <c r="H238" i="14"/>
  <c r="J238" i="14" s="1"/>
  <c r="K238" i="14" s="1"/>
  <c r="G238" i="14"/>
  <c r="H237" i="14"/>
  <c r="J237" i="14" s="1"/>
  <c r="K237" i="14" s="1"/>
  <c r="G237" i="14"/>
  <c r="H236" i="14"/>
  <c r="J236" i="14" s="1"/>
  <c r="L236" i="14" s="1"/>
  <c r="G236" i="14"/>
  <c r="H235" i="14"/>
  <c r="J235" i="14" s="1"/>
  <c r="G235" i="14"/>
  <c r="H234" i="14"/>
  <c r="J234" i="14" s="1"/>
  <c r="L234" i="14" s="1"/>
  <c r="G234" i="14"/>
  <c r="H233" i="14"/>
  <c r="J233" i="14" s="1"/>
  <c r="G233" i="14"/>
  <c r="H232" i="14"/>
  <c r="J232" i="14" s="1"/>
  <c r="L232" i="14" s="1"/>
  <c r="G232" i="14"/>
  <c r="H231" i="14"/>
  <c r="J231" i="14" s="1"/>
  <c r="G231" i="14"/>
  <c r="H230" i="14"/>
  <c r="J230" i="14" s="1"/>
  <c r="K230" i="14" s="1"/>
  <c r="G230" i="14"/>
  <c r="H229" i="14"/>
  <c r="J229" i="14" s="1"/>
  <c r="G229" i="14"/>
  <c r="H228" i="14"/>
  <c r="J228" i="14" s="1"/>
  <c r="G228" i="14"/>
  <c r="H227" i="14"/>
  <c r="J227" i="14" s="1"/>
  <c r="G227" i="14"/>
  <c r="H226" i="14"/>
  <c r="J226" i="14" s="1"/>
  <c r="L226" i="14" s="1"/>
  <c r="G226" i="14"/>
  <c r="H225" i="14"/>
  <c r="J225" i="14" s="1"/>
  <c r="G225" i="14"/>
  <c r="H224" i="14"/>
  <c r="J224" i="14" s="1"/>
  <c r="G224" i="14"/>
  <c r="H223" i="14"/>
  <c r="J223" i="14" s="1"/>
  <c r="G223" i="14"/>
  <c r="H222" i="14"/>
  <c r="J222" i="14" s="1"/>
  <c r="K222" i="14" s="1"/>
  <c r="G222" i="14"/>
  <c r="H221" i="14"/>
  <c r="J221" i="14" s="1"/>
  <c r="K221" i="14" s="1"/>
  <c r="G221" i="14"/>
  <c r="H220" i="14"/>
  <c r="J220" i="14" s="1"/>
  <c r="L220" i="14" s="1"/>
  <c r="G220" i="14"/>
  <c r="H219" i="14"/>
  <c r="J219" i="14" s="1"/>
  <c r="K219" i="14" s="1"/>
  <c r="G219" i="14"/>
  <c r="H218" i="14"/>
  <c r="J218" i="14" s="1"/>
  <c r="L218" i="14" s="1"/>
  <c r="G218" i="14"/>
  <c r="H217" i="14"/>
  <c r="J217" i="14" s="1"/>
  <c r="K217" i="14" s="1"/>
  <c r="G217" i="14"/>
  <c r="H216" i="14"/>
  <c r="J216" i="14" s="1"/>
  <c r="G216" i="14"/>
  <c r="H215" i="14"/>
  <c r="J215" i="14" s="1"/>
  <c r="G215" i="14"/>
  <c r="H214" i="14"/>
  <c r="J214" i="14" s="1"/>
  <c r="G214" i="14"/>
  <c r="H213" i="14"/>
  <c r="J213" i="14" s="1"/>
  <c r="G213" i="14"/>
  <c r="H212" i="14"/>
  <c r="J212" i="14" s="1"/>
  <c r="G212" i="14"/>
  <c r="H211" i="14"/>
  <c r="J211" i="14" s="1"/>
  <c r="K211" i="14" s="1"/>
  <c r="G211" i="14"/>
  <c r="H210" i="14"/>
  <c r="J210" i="14" s="1"/>
  <c r="L210" i="14" s="1"/>
  <c r="G210" i="14"/>
  <c r="H209" i="14"/>
  <c r="J209" i="14" s="1"/>
  <c r="G209" i="14"/>
  <c r="H208" i="14"/>
  <c r="J208" i="14" s="1"/>
  <c r="G208" i="14"/>
  <c r="H207" i="14"/>
  <c r="J207" i="14" s="1"/>
  <c r="L207" i="14" s="1"/>
  <c r="G207" i="14"/>
  <c r="H206" i="14"/>
  <c r="J206" i="14" s="1"/>
  <c r="K206" i="14" s="1"/>
  <c r="G206" i="14"/>
  <c r="H205" i="14"/>
  <c r="J205" i="14" s="1"/>
  <c r="K205" i="14" s="1"/>
  <c r="G205" i="14"/>
  <c r="H204" i="14"/>
  <c r="J204" i="14" s="1"/>
  <c r="L204" i="14" s="1"/>
  <c r="G204" i="14"/>
  <c r="H203" i="14"/>
  <c r="J203" i="14" s="1"/>
  <c r="G203" i="14"/>
  <c r="H202" i="14"/>
  <c r="J202" i="14" s="1"/>
  <c r="L202" i="14" s="1"/>
  <c r="G202" i="14"/>
  <c r="H201" i="14"/>
  <c r="J201" i="14" s="1"/>
  <c r="G201" i="14"/>
  <c r="H200" i="14"/>
  <c r="J200" i="14" s="1"/>
  <c r="L200" i="14" s="1"/>
  <c r="G200" i="14"/>
  <c r="H199" i="14"/>
  <c r="J199" i="14" s="1"/>
  <c r="G199" i="14"/>
  <c r="H198" i="14"/>
  <c r="J198" i="14" s="1"/>
  <c r="K198" i="14" s="1"/>
  <c r="G198" i="14"/>
  <c r="H197" i="14"/>
  <c r="J197" i="14" s="1"/>
  <c r="G197" i="14"/>
  <c r="H196" i="14"/>
  <c r="J196" i="14" s="1"/>
  <c r="G196" i="14"/>
  <c r="H195" i="14"/>
  <c r="J195" i="14" s="1"/>
  <c r="G195" i="14"/>
  <c r="H194" i="14"/>
  <c r="J194" i="14" s="1"/>
  <c r="L194" i="14" s="1"/>
  <c r="G194" i="14"/>
  <c r="H191" i="14"/>
  <c r="J191" i="14" s="1"/>
  <c r="L191" i="14" s="1"/>
  <c r="G191" i="14"/>
  <c r="H190" i="14"/>
  <c r="J190" i="14" s="1"/>
  <c r="G190" i="14"/>
  <c r="H189" i="14"/>
  <c r="J189" i="14" s="1"/>
  <c r="L189" i="14" s="1"/>
  <c r="G189" i="14"/>
  <c r="H188" i="14"/>
  <c r="J188" i="14" s="1"/>
  <c r="G188" i="14"/>
  <c r="H187" i="14"/>
  <c r="J187" i="14" s="1"/>
  <c r="L187" i="14" s="1"/>
  <c r="G187" i="14"/>
  <c r="H186" i="14"/>
  <c r="J186" i="14" s="1"/>
  <c r="G186" i="14"/>
  <c r="H185" i="14"/>
  <c r="J185" i="14" s="1"/>
  <c r="K185" i="14" s="1"/>
  <c r="G185" i="14"/>
  <c r="H184" i="14"/>
  <c r="J184" i="14" s="1"/>
  <c r="G184" i="14"/>
  <c r="H183" i="14"/>
  <c r="J183" i="14" s="1"/>
  <c r="G183" i="14"/>
  <c r="H182" i="14"/>
  <c r="J182" i="14" s="1"/>
  <c r="G182" i="14"/>
  <c r="H181" i="14"/>
  <c r="J181" i="14" s="1"/>
  <c r="L181" i="14" s="1"/>
  <c r="G181" i="14"/>
  <c r="H180" i="14"/>
  <c r="J180" i="14" s="1"/>
  <c r="G180" i="14"/>
  <c r="H179" i="14"/>
  <c r="J179" i="14" s="1"/>
  <c r="G179" i="14"/>
  <c r="H178" i="14"/>
  <c r="J178" i="14" s="1"/>
  <c r="G178" i="14"/>
  <c r="H177" i="14"/>
  <c r="J177" i="14" s="1"/>
  <c r="K177" i="14" s="1"/>
  <c r="G177" i="14"/>
  <c r="H176" i="14"/>
  <c r="J176" i="14" s="1"/>
  <c r="K176" i="14" s="1"/>
  <c r="G176" i="14"/>
  <c r="H175" i="14"/>
  <c r="J175" i="14" s="1"/>
  <c r="L175" i="14" s="1"/>
  <c r="G175" i="14"/>
  <c r="H174" i="14"/>
  <c r="J174" i="14" s="1"/>
  <c r="K174" i="14" s="1"/>
  <c r="G174" i="14"/>
  <c r="H173" i="14"/>
  <c r="J173" i="14" s="1"/>
  <c r="L173" i="14" s="1"/>
  <c r="G173" i="14"/>
  <c r="H172" i="14"/>
  <c r="J172" i="14" s="1"/>
  <c r="K172" i="14" s="1"/>
  <c r="G172" i="14"/>
  <c r="H171" i="14"/>
  <c r="J171" i="14" s="1"/>
  <c r="G171" i="14"/>
  <c r="H170" i="14"/>
  <c r="J170" i="14" s="1"/>
  <c r="G170" i="14"/>
  <c r="H169" i="14"/>
  <c r="J169" i="14" s="1"/>
  <c r="G169" i="14"/>
  <c r="H168" i="14"/>
  <c r="J168" i="14" s="1"/>
  <c r="L168" i="14" s="1"/>
  <c r="G168" i="14"/>
  <c r="H167" i="14"/>
  <c r="G167" i="14"/>
  <c r="H164" i="14"/>
  <c r="J164" i="14" s="1"/>
  <c r="G164" i="14"/>
  <c r="H163" i="14"/>
  <c r="J163" i="14" s="1"/>
  <c r="L163" i="14" s="1"/>
  <c r="G163" i="14"/>
  <c r="H162" i="14"/>
  <c r="J162" i="14" s="1"/>
  <c r="G162" i="14"/>
  <c r="H161" i="14"/>
  <c r="J161" i="14" s="1"/>
  <c r="G161" i="14"/>
  <c r="H160" i="14"/>
  <c r="J160" i="14" s="1"/>
  <c r="G160" i="14"/>
  <c r="H159" i="14"/>
  <c r="J159" i="14" s="1"/>
  <c r="L159" i="14" s="1"/>
  <c r="G159" i="14"/>
  <c r="H158" i="14"/>
  <c r="J158" i="14" s="1"/>
  <c r="G158" i="14"/>
  <c r="H155" i="14"/>
  <c r="J155" i="14" s="1"/>
  <c r="G155" i="14"/>
  <c r="H154" i="14"/>
  <c r="J154" i="14" s="1"/>
  <c r="L154" i="14" s="1"/>
  <c r="G154" i="14"/>
  <c r="H153" i="14"/>
  <c r="J153" i="14" s="1"/>
  <c r="K153" i="14" s="1"/>
  <c r="G153" i="14"/>
  <c r="H152" i="14"/>
  <c r="J152" i="14" s="1"/>
  <c r="G152" i="14"/>
  <c r="H151" i="14"/>
  <c r="J151" i="14" s="1"/>
  <c r="G151" i="14"/>
  <c r="H150" i="14"/>
  <c r="J150" i="14" s="1"/>
  <c r="L150" i="14" s="1"/>
  <c r="G150" i="14"/>
  <c r="H149" i="14"/>
  <c r="J149" i="14" s="1"/>
  <c r="K149" i="14" s="1"/>
  <c r="G149" i="14"/>
  <c r="H148" i="14"/>
  <c r="J148" i="14" s="1"/>
  <c r="G148" i="14"/>
  <c r="H147" i="14"/>
  <c r="J147" i="14" s="1"/>
  <c r="G147" i="14"/>
  <c r="H146" i="14"/>
  <c r="J146" i="14" s="1"/>
  <c r="L146" i="14" s="1"/>
  <c r="G146" i="14"/>
  <c r="H145" i="14"/>
  <c r="J145" i="14" s="1"/>
  <c r="G145" i="14"/>
  <c r="H144" i="14"/>
  <c r="J144" i="14" s="1"/>
  <c r="G144" i="14"/>
  <c r="H143" i="14"/>
  <c r="J143" i="14" s="1"/>
  <c r="G143" i="14"/>
  <c r="H142" i="14"/>
  <c r="J142" i="14" s="1"/>
  <c r="L142" i="14" s="1"/>
  <c r="G142" i="14"/>
  <c r="H141" i="14"/>
  <c r="J141" i="14" s="1"/>
  <c r="G141" i="14"/>
  <c r="H140" i="14"/>
  <c r="J140" i="14" s="1"/>
  <c r="G140" i="14"/>
  <c r="H139" i="14"/>
  <c r="J139" i="14" s="1"/>
  <c r="G139" i="14"/>
  <c r="H138" i="14"/>
  <c r="J138" i="14" s="1"/>
  <c r="L138" i="14" s="1"/>
  <c r="G138" i="14"/>
  <c r="H137" i="14"/>
  <c r="J137" i="14" s="1"/>
  <c r="G137" i="14"/>
  <c r="H136" i="14"/>
  <c r="J136" i="14" s="1"/>
  <c r="G136" i="14"/>
  <c r="H135" i="14"/>
  <c r="J135" i="14" s="1"/>
  <c r="G135" i="14"/>
  <c r="H134" i="14"/>
  <c r="J134" i="14" s="1"/>
  <c r="L134" i="14" s="1"/>
  <c r="G134" i="14"/>
  <c r="H133" i="14"/>
  <c r="J133" i="14" s="1"/>
  <c r="G133" i="14"/>
  <c r="H132" i="14"/>
  <c r="J132" i="14" s="1"/>
  <c r="G132" i="14"/>
  <c r="H131" i="14"/>
  <c r="J131" i="14" s="1"/>
  <c r="G131" i="14"/>
  <c r="H130" i="14"/>
  <c r="J130" i="14" s="1"/>
  <c r="L130" i="14" s="1"/>
  <c r="G130" i="14"/>
  <c r="H129" i="14"/>
  <c r="J129" i="14" s="1"/>
  <c r="G129" i="14"/>
  <c r="H128" i="14"/>
  <c r="J128" i="14" s="1"/>
  <c r="G128" i="14"/>
  <c r="H127" i="14"/>
  <c r="J127" i="14" s="1"/>
  <c r="G127" i="14"/>
  <c r="H126" i="14"/>
  <c r="J126" i="14" s="1"/>
  <c r="L126" i="14" s="1"/>
  <c r="G126" i="14"/>
  <c r="H125" i="14"/>
  <c r="J125" i="14" s="1"/>
  <c r="G125" i="14"/>
  <c r="H124" i="14"/>
  <c r="J124" i="14" s="1"/>
  <c r="G124" i="14"/>
  <c r="H123" i="14"/>
  <c r="G123" i="14"/>
  <c r="H122" i="14"/>
  <c r="J122" i="14" s="1"/>
  <c r="L122" i="14" s="1"/>
  <c r="G122" i="14"/>
  <c r="H121" i="14"/>
  <c r="J121" i="14" s="1"/>
  <c r="G121" i="14"/>
  <c r="H120" i="14"/>
  <c r="J120" i="14" s="1"/>
  <c r="G120" i="14"/>
  <c r="H119" i="14"/>
  <c r="J119" i="14" s="1"/>
  <c r="G119" i="14"/>
  <c r="H118" i="14"/>
  <c r="J118" i="14" s="1"/>
  <c r="L118" i="14" s="1"/>
  <c r="G118" i="14"/>
  <c r="H115" i="14"/>
  <c r="J115" i="14" s="1"/>
  <c r="G115" i="14"/>
  <c r="H114" i="14"/>
  <c r="J114" i="14" s="1"/>
  <c r="G114" i="14"/>
  <c r="H113" i="14"/>
  <c r="J113" i="14" s="1"/>
  <c r="L113" i="14" s="1"/>
  <c r="G113" i="14"/>
  <c r="H112" i="14"/>
  <c r="J112" i="14" s="1"/>
  <c r="G112" i="14"/>
  <c r="H111" i="14"/>
  <c r="J111" i="14" s="1"/>
  <c r="K111" i="14" s="1"/>
  <c r="G111" i="14"/>
  <c r="H110" i="14"/>
  <c r="J110" i="14" s="1"/>
  <c r="L110" i="14" s="1"/>
  <c r="G110" i="14"/>
  <c r="H109" i="14"/>
  <c r="J109" i="14" s="1"/>
  <c r="G109" i="14"/>
  <c r="H108" i="14"/>
  <c r="J108" i="14" s="1"/>
  <c r="G108" i="14"/>
  <c r="H107" i="14"/>
  <c r="J107" i="14" s="1"/>
  <c r="G107" i="14"/>
  <c r="H106" i="14"/>
  <c r="J106" i="14" s="1"/>
  <c r="G106" i="14"/>
  <c r="H105" i="14"/>
  <c r="J105" i="14" s="1"/>
  <c r="L105" i="14" s="1"/>
  <c r="G105" i="14"/>
  <c r="H104" i="14"/>
  <c r="G104" i="14"/>
  <c r="H101" i="14"/>
  <c r="J101" i="14" s="1"/>
  <c r="L101" i="14" s="1"/>
  <c r="G101" i="14"/>
  <c r="H100" i="14"/>
  <c r="J100" i="14" s="1"/>
  <c r="G100" i="14"/>
  <c r="H99" i="14"/>
  <c r="J99" i="14" s="1"/>
  <c r="K99" i="14" s="1"/>
  <c r="G99" i="14"/>
  <c r="H98" i="14"/>
  <c r="J98" i="14" s="1"/>
  <c r="L98" i="14" s="1"/>
  <c r="G98" i="14"/>
  <c r="H97" i="14"/>
  <c r="G97" i="14"/>
  <c r="H96" i="14"/>
  <c r="J96" i="14" s="1"/>
  <c r="G96" i="14"/>
  <c r="H95" i="14"/>
  <c r="J95" i="14" s="1"/>
  <c r="K95" i="14" s="1"/>
  <c r="G95" i="14"/>
  <c r="H94" i="14"/>
  <c r="J94" i="14" s="1"/>
  <c r="L94" i="14" s="1"/>
  <c r="G94" i="14"/>
  <c r="H93" i="14"/>
  <c r="J93" i="14" s="1"/>
  <c r="G93" i="14"/>
  <c r="H90" i="14"/>
  <c r="J90" i="14" s="1"/>
  <c r="G90" i="14"/>
  <c r="F88" i="14"/>
  <c r="F87" i="14"/>
  <c r="F86" i="14"/>
  <c r="F85" i="14"/>
  <c r="H84" i="14"/>
  <c r="J84" i="14" s="1"/>
  <c r="G84" i="14"/>
  <c r="F82" i="14"/>
  <c r="F81" i="14"/>
  <c r="F80" i="14"/>
  <c r="F79" i="14"/>
  <c r="G79" i="14" s="1"/>
  <c r="H78" i="14"/>
  <c r="J78" i="14" s="1"/>
  <c r="G78" i="14"/>
  <c r="F76" i="14"/>
  <c r="F75" i="14"/>
  <c r="H75" i="14" s="1"/>
  <c r="J75" i="14" s="1"/>
  <c r="F74" i="14"/>
  <c r="F77" i="14" s="1"/>
  <c r="F73" i="14"/>
  <c r="H72" i="14"/>
  <c r="G72" i="14"/>
  <c r="F70" i="14"/>
  <c r="F69" i="14"/>
  <c r="F68" i="14"/>
  <c r="F67" i="14"/>
  <c r="F71" i="14" s="1"/>
  <c r="F66" i="14"/>
  <c r="G66" i="14" s="1"/>
  <c r="H65" i="14"/>
  <c r="J65" i="14" s="1"/>
  <c r="L65" i="14" s="1"/>
  <c r="G65" i="14"/>
  <c r="F62" i="14"/>
  <c r="F61" i="14"/>
  <c r="F60" i="14"/>
  <c r="H59" i="14"/>
  <c r="J59" i="14" s="1"/>
  <c r="L59" i="14" s="1"/>
  <c r="G59" i="14"/>
  <c r="F58" i="14"/>
  <c r="F57" i="14"/>
  <c r="F56" i="14"/>
  <c r="F55" i="14"/>
  <c r="G55" i="14" s="1"/>
  <c r="H54" i="14"/>
  <c r="J54" i="14" s="1"/>
  <c r="L54" i="14" s="1"/>
  <c r="G54" i="14"/>
  <c r="F53" i="14"/>
  <c r="F52" i="14"/>
  <c r="H52" i="14" s="1"/>
  <c r="J52" i="14" s="1"/>
  <c r="F51" i="14"/>
  <c r="H50" i="14"/>
  <c r="J50" i="14" s="1"/>
  <c r="G50" i="14"/>
  <c r="F48" i="14"/>
  <c r="F47" i="14"/>
  <c r="F46" i="14"/>
  <c r="F45" i="14"/>
  <c r="F44" i="14"/>
  <c r="F43" i="14"/>
  <c r="F49" i="14" s="1"/>
  <c r="H42" i="14"/>
  <c r="J42" i="14" s="1"/>
  <c r="L42" i="14" s="1"/>
  <c r="G42" i="14"/>
  <c r="F40" i="14"/>
  <c r="F39" i="14"/>
  <c r="F38" i="14"/>
  <c r="F37" i="14"/>
  <c r="F36" i="14"/>
  <c r="F35" i="14"/>
  <c r="H34" i="14"/>
  <c r="J34" i="14" s="1"/>
  <c r="G34" i="14"/>
  <c r="H31" i="14"/>
  <c r="J31" i="14" s="1"/>
  <c r="G31" i="14"/>
  <c r="H30" i="14"/>
  <c r="J30" i="14" s="1"/>
  <c r="L30" i="14" s="1"/>
  <c r="G30" i="14"/>
  <c r="H29" i="14"/>
  <c r="J29" i="14" s="1"/>
  <c r="K29" i="14" s="1"/>
  <c r="G29" i="14"/>
  <c r="H28" i="14"/>
  <c r="J28" i="14" s="1"/>
  <c r="L28" i="14" s="1"/>
  <c r="G28" i="14"/>
  <c r="H27" i="14"/>
  <c r="J27" i="14" s="1"/>
  <c r="G27" i="14"/>
  <c r="H26" i="14"/>
  <c r="G26" i="14"/>
  <c r="F23" i="14"/>
  <c r="H23" i="14" s="1"/>
  <c r="J23" i="14" s="1"/>
  <c r="H22" i="14"/>
  <c r="J22" i="14" s="1"/>
  <c r="K22" i="14" s="1"/>
  <c r="G22" i="14"/>
  <c r="H21" i="14"/>
  <c r="J21" i="14" s="1"/>
  <c r="G21" i="14"/>
  <c r="G20" i="14"/>
  <c r="F19" i="14"/>
  <c r="H19" i="14" s="1"/>
  <c r="J19" i="14" s="1"/>
  <c r="H18" i="14"/>
  <c r="J18" i="14" s="1"/>
  <c r="G18" i="14"/>
  <c r="F17" i="14"/>
  <c r="H17" i="14" s="1"/>
  <c r="J17" i="14" s="1"/>
  <c r="H16" i="14"/>
  <c r="J16" i="14" s="1"/>
  <c r="G16" i="14"/>
  <c r="F15" i="14"/>
  <c r="H14" i="14"/>
  <c r="J14" i="14" s="1"/>
  <c r="G14" i="14"/>
  <c r="F13" i="14"/>
  <c r="H12" i="14"/>
  <c r="J12" i="14" s="1"/>
  <c r="G12" i="14"/>
  <c r="F11" i="14"/>
  <c r="H10" i="14"/>
  <c r="J10" i="14" s="1"/>
  <c r="G10" i="14"/>
  <c r="F9" i="14"/>
  <c r="F8" i="14"/>
  <c r="H8" i="14" s="1"/>
  <c r="J8" i="14" s="1"/>
  <c r="H7" i="14"/>
  <c r="J7" i="14" s="1"/>
  <c r="L7" i="14" s="1"/>
  <c r="G7" i="14"/>
  <c r="F6" i="14"/>
  <c r="F5" i="14"/>
  <c r="H5" i="14" s="1"/>
  <c r="J5" i="14" s="1"/>
  <c r="K5" i="14" s="1"/>
  <c r="H4" i="14"/>
  <c r="J4" i="14" s="1"/>
  <c r="L4" i="14" s="1"/>
  <c r="G4" i="14"/>
  <c r="L24" i="25" l="1"/>
  <c r="H91" i="25"/>
  <c r="L35" i="25"/>
  <c r="L63" i="25" s="1"/>
  <c r="K35" i="25"/>
  <c r="L24" i="24"/>
  <c r="B7" i="3"/>
  <c r="H91" i="24"/>
  <c r="L77" i="24"/>
  <c r="L91" i="24" s="1"/>
  <c r="K77" i="24"/>
  <c r="H63" i="24"/>
  <c r="C4" i="3"/>
  <c r="K4" i="23"/>
  <c r="K85" i="23"/>
  <c r="L88" i="23"/>
  <c r="J73" i="23"/>
  <c r="C6" i="3"/>
  <c r="L56" i="23"/>
  <c r="K68" i="23"/>
  <c r="L68" i="23"/>
  <c r="J66" i="23"/>
  <c r="L93" i="23"/>
  <c r="L102" i="23" s="1"/>
  <c r="K93" i="23"/>
  <c r="L83" i="23"/>
  <c r="K83" i="23"/>
  <c r="K105" i="23"/>
  <c r="L105" i="23"/>
  <c r="L116" i="23" s="1"/>
  <c r="L58" i="23"/>
  <c r="K58" i="23"/>
  <c r="G89" i="23"/>
  <c r="H89" i="23"/>
  <c r="J89" i="23" s="1"/>
  <c r="K86" i="23"/>
  <c r="L86" i="23"/>
  <c r="L39" i="23"/>
  <c r="K39" i="23"/>
  <c r="K49" i="23"/>
  <c r="L49" i="23"/>
  <c r="L53" i="23"/>
  <c r="K53" i="23"/>
  <c r="J35" i="23"/>
  <c r="H63" i="23"/>
  <c r="L67" i="23"/>
  <c r="K67" i="23"/>
  <c r="L353" i="23"/>
  <c r="K353" i="23"/>
  <c r="L55" i="23"/>
  <c r="K55" i="23"/>
  <c r="L26" i="23"/>
  <c r="L32" i="23" s="1"/>
  <c r="K26" i="23"/>
  <c r="G71" i="23"/>
  <c r="H71" i="23"/>
  <c r="J71" i="23" s="1"/>
  <c r="L75" i="23"/>
  <c r="K75" i="23"/>
  <c r="K46" i="23"/>
  <c r="L46" i="23"/>
  <c r="L57" i="23"/>
  <c r="K57" i="23"/>
  <c r="L9" i="23"/>
  <c r="K9" i="23"/>
  <c r="H24" i="23"/>
  <c r="K17" i="23"/>
  <c r="L17" i="23"/>
  <c r="L15" i="23"/>
  <c r="K15" i="23"/>
  <c r="K244" i="23"/>
  <c r="L244" i="23"/>
  <c r="H77" i="23"/>
  <c r="J77" i="23" s="1"/>
  <c r="G77" i="23"/>
  <c r="K123" i="23"/>
  <c r="L123" i="23"/>
  <c r="L73" i="23"/>
  <c r="K73" i="23"/>
  <c r="K15" i="22"/>
  <c r="J11" i="22"/>
  <c r="D4" i="3"/>
  <c r="K5" i="22"/>
  <c r="L349" i="22"/>
  <c r="H71" i="22"/>
  <c r="J71" i="22" s="1"/>
  <c r="L69" i="22"/>
  <c r="K45" i="22"/>
  <c r="L102" i="22"/>
  <c r="L86" i="22"/>
  <c r="G49" i="22"/>
  <c r="L32" i="22"/>
  <c r="H24" i="22"/>
  <c r="L76" i="22"/>
  <c r="K76" i="22"/>
  <c r="L23" i="22"/>
  <c r="K23" i="22"/>
  <c r="L41" i="22"/>
  <c r="K41" i="22"/>
  <c r="K73" i="22"/>
  <c r="L73" i="22"/>
  <c r="L197" i="22"/>
  <c r="K197" i="22"/>
  <c r="L83" i="22"/>
  <c r="K83" i="22"/>
  <c r="L52" i="22"/>
  <c r="K52" i="22"/>
  <c r="H63" i="22"/>
  <c r="L4" i="22"/>
  <c r="K4" i="22"/>
  <c r="K62" i="22"/>
  <c r="L62" i="22"/>
  <c r="L81" i="22"/>
  <c r="K81" i="22"/>
  <c r="L104" i="22"/>
  <c r="L116" i="22" s="1"/>
  <c r="K104" i="22"/>
  <c r="L74" i="22"/>
  <c r="K74" i="22"/>
  <c r="K252" i="22"/>
  <c r="L252" i="22"/>
  <c r="L49" i="22"/>
  <c r="K49" i="22"/>
  <c r="H77" i="22"/>
  <c r="J77" i="22" s="1"/>
  <c r="G77" i="22"/>
  <c r="E4" i="3"/>
  <c r="E3" i="3"/>
  <c r="L87" i="21"/>
  <c r="K86" i="21"/>
  <c r="E7" i="3"/>
  <c r="K56" i="21"/>
  <c r="K53" i="21"/>
  <c r="G41" i="21"/>
  <c r="K36" i="21"/>
  <c r="L102" i="21"/>
  <c r="L32" i="21"/>
  <c r="H77" i="21"/>
  <c r="J77" i="21" s="1"/>
  <c r="G77" i="21"/>
  <c r="L9" i="21"/>
  <c r="K9" i="21"/>
  <c r="H24" i="21"/>
  <c r="H91" i="21"/>
  <c r="L17" i="21"/>
  <c r="K17" i="21"/>
  <c r="L70" i="21"/>
  <c r="K70" i="21"/>
  <c r="K82" i="21"/>
  <c r="L82" i="21"/>
  <c r="L251" i="21"/>
  <c r="K251" i="21"/>
  <c r="K75" i="21"/>
  <c r="L75" i="21"/>
  <c r="L66" i="21"/>
  <c r="K66" i="21"/>
  <c r="L116" i="21"/>
  <c r="L43" i="21"/>
  <c r="K43" i="21"/>
  <c r="L49" i="21"/>
  <c r="K49" i="21"/>
  <c r="K67" i="21"/>
  <c r="L67" i="21"/>
  <c r="L4" i="21"/>
  <c r="K4" i="21"/>
  <c r="L168" i="21"/>
  <c r="K168" i="21"/>
  <c r="H63" i="21"/>
  <c r="L46" i="21"/>
  <c r="K46" i="21"/>
  <c r="K105" i="20"/>
  <c r="H89" i="20"/>
  <c r="J89" i="20" s="1"/>
  <c r="K83" i="20"/>
  <c r="K38" i="20"/>
  <c r="L86" i="20"/>
  <c r="L82" i="20"/>
  <c r="K61" i="20"/>
  <c r="K35" i="20"/>
  <c r="L116" i="20"/>
  <c r="L102" i="20"/>
  <c r="K26" i="20"/>
  <c r="L32" i="20"/>
  <c r="J9" i="20"/>
  <c r="L9" i="20" s="1"/>
  <c r="F3" i="3"/>
  <c r="J13" i="20"/>
  <c r="K13" i="20" s="1"/>
  <c r="F4" i="3"/>
  <c r="K251" i="20"/>
  <c r="L251" i="20"/>
  <c r="L74" i="20"/>
  <c r="K74" i="20"/>
  <c r="L196" i="20"/>
  <c r="K196" i="20"/>
  <c r="L67" i="20"/>
  <c r="K67" i="20"/>
  <c r="K244" i="20"/>
  <c r="L244" i="20"/>
  <c r="H49" i="20"/>
  <c r="J49" i="20" s="1"/>
  <c r="G49" i="20"/>
  <c r="L314" i="20"/>
  <c r="K314" i="20"/>
  <c r="L40" i="20"/>
  <c r="K40" i="20"/>
  <c r="K89" i="20"/>
  <c r="L89" i="20"/>
  <c r="K358" i="20"/>
  <c r="L358" i="20"/>
  <c r="L60" i="20"/>
  <c r="K60" i="20"/>
  <c r="H41" i="20"/>
  <c r="J41" i="20" s="1"/>
  <c r="G41" i="20"/>
  <c r="L37" i="20"/>
  <c r="K37" i="20"/>
  <c r="L43" i="20"/>
  <c r="K43" i="20"/>
  <c r="L19" i="20"/>
  <c r="K19" i="20"/>
  <c r="L70" i="20"/>
  <c r="K70" i="20"/>
  <c r="L15" i="20"/>
  <c r="K15" i="20"/>
  <c r="H24" i="20"/>
  <c r="L13" i="20"/>
  <c r="L4" i="20"/>
  <c r="K4" i="20"/>
  <c r="L158" i="20"/>
  <c r="K158" i="20"/>
  <c r="L87" i="20"/>
  <c r="K87" i="20"/>
  <c r="L56" i="20"/>
  <c r="K56" i="20"/>
  <c r="G71" i="20"/>
  <c r="H71" i="20"/>
  <c r="J71" i="20" s="1"/>
  <c r="H77" i="20"/>
  <c r="G77" i="20"/>
  <c r="J11" i="19"/>
  <c r="G4" i="3"/>
  <c r="K6" i="19"/>
  <c r="K5" i="19"/>
  <c r="G3" i="3"/>
  <c r="K83" i="19"/>
  <c r="G83" i="19"/>
  <c r="G7" i="3"/>
  <c r="G71" i="19"/>
  <c r="K58" i="19"/>
  <c r="K46" i="19"/>
  <c r="G6" i="3"/>
  <c r="L32" i="19"/>
  <c r="K88" i="19"/>
  <c r="K35" i="19"/>
  <c r="L15" i="19"/>
  <c r="K8" i="19"/>
  <c r="K9" i="19"/>
  <c r="L60" i="19"/>
  <c r="K60" i="19"/>
  <c r="L71" i="19"/>
  <c r="K71" i="19"/>
  <c r="K87" i="19"/>
  <c r="L87" i="19"/>
  <c r="L244" i="19"/>
  <c r="K244" i="19"/>
  <c r="L93" i="19"/>
  <c r="L102" i="19" s="1"/>
  <c r="K93" i="19"/>
  <c r="L76" i="19"/>
  <c r="K76" i="19"/>
  <c r="L49" i="19"/>
  <c r="K49" i="19"/>
  <c r="L56" i="19"/>
  <c r="K56" i="19"/>
  <c r="L74" i="19"/>
  <c r="K74" i="19"/>
  <c r="H63" i="19"/>
  <c r="L194" i="19"/>
  <c r="K194" i="19"/>
  <c r="L104" i="19"/>
  <c r="L116" i="19" s="1"/>
  <c r="K104" i="19"/>
  <c r="L37" i="19"/>
  <c r="K37" i="19"/>
  <c r="H91" i="19"/>
  <c r="L167" i="19"/>
  <c r="K167" i="19"/>
  <c r="K43" i="19"/>
  <c r="L43" i="19"/>
  <c r="K41" i="19"/>
  <c r="L41" i="19"/>
  <c r="L13" i="19"/>
  <c r="K13" i="19"/>
  <c r="H24" i="19"/>
  <c r="H4" i="3"/>
  <c r="K88" i="18"/>
  <c r="H7" i="3"/>
  <c r="K46" i="18"/>
  <c r="J35" i="18"/>
  <c r="H6" i="3"/>
  <c r="L32" i="18"/>
  <c r="L116" i="18"/>
  <c r="L74" i="18"/>
  <c r="K74" i="18"/>
  <c r="H89" i="18"/>
  <c r="J89" i="18" s="1"/>
  <c r="G89" i="18"/>
  <c r="L87" i="18"/>
  <c r="K87" i="18"/>
  <c r="L349" i="18"/>
  <c r="K349" i="18"/>
  <c r="L77" i="18"/>
  <c r="K77" i="18"/>
  <c r="L65" i="18"/>
  <c r="K65" i="18"/>
  <c r="K80" i="18"/>
  <c r="L80" i="18"/>
  <c r="L61" i="18"/>
  <c r="K61" i="18"/>
  <c r="L41" i="18"/>
  <c r="K41" i="18"/>
  <c r="H71" i="18"/>
  <c r="G71" i="18"/>
  <c r="L251" i="18"/>
  <c r="K251" i="18"/>
  <c r="K83" i="18"/>
  <c r="L83" i="18"/>
  <c r="H49" i="18"/>
  <c r="G49" i="18"/>
  <c r="K67" i="18"/>
  <c r="L67" i="18"/>
  <c r="L102" i="18"/>
  <c r="L35" i="18"/>
  <c r="K35" i="18"/>
  <c r="L24" i="18"/>
  <c r="L135" i="17"/>
  <c r="K135" i="17"/>
  <c r="L149" i="17"/>
  <c r="K149" i="17"/>
  <c r="K134" i="17"/>
  <c r="L134" i="17"/>
  <c r="L80" i="17"/>
  <c r="L83" i="17"/>
  <c r="K87" i="17"/>
  <c r="L148" i="17"/>
  <c r="K71" i="17"/>
  <c r="K37" i="17"/>
  <c r="L79" i="17"/>
  <c r="I4" i="3"/>
  <c r="K70" i="17"/>
  <c r="K74" i="17"/>
  <c r="G71" i="17"/>
  <c r="K67" i="17"/>
  <c r="K17" i="17"/>
  <c r="K56" i="17"/>
  <c r="L144" i="17"/>
  <c r="I7" i="3"/>
  <c r="L46" i="17"/>
  <c r="H24" i="17"/>
  <c r="L102" i="17"/>
  <c r="H91" i="17"/>
  <c r="L32" i="17"/>
  <c r="K26" i="17"/>
  <c r="L85" i="17"/>
  <c r="K85" i="17"/>
  <c r="K35" i="17"/>
  <c r="L35" i="17"/>
  <c r="L199" i="17"/>
  <c r="K199" i="17"/>
  <c r="K131" i="17"/>
  <c r="L131" i="17"/>
  <c r="L105" i="17"/>
  <c r="L116" i="17" s="1"/>
  <c r="K105" i="17"/>
  <c r="L251" i="17"/>
  <c r="K251" i="17"/>
  <c r="L89" i="17"/>
  <c r="K89" i="17"/>
  <c r="G41" i="17"/>
  <c r="H41" i="17"/>
  <c r="L88" i="17"/>
  <c r="K88" i="17"/>
  <c r="L5" i="17"/>
  <c r="L24" i="17" s="1"/>
  <c r="K5" i="17"/>
  <c r="K75" i="17"/>
  <c r="L75" i="17"/>
  <c r="L86" i="17"/>
  <c r="K86" i="17"/>
  <c r="H156" i="17"/>
  <c r="L244" i="17"/>
  <c r="K244" i="17"/>
  <c r="G49" i="17"/>
  <c r="H49" i="17"/>
  <c r="J49" i="17" s="1"/>
  <c r="L134" i="16"/>
  <c r="K55" i="16"/>
  <c r="K141" i="16"/>
  <c r="K47" i="16"/>
  <c r="K35" i="16"/>
  <c r="L76" i="16"/>
  <c r="H49" i="16"/>
  <c r="J49" i="16" s="1"/>
  <c r="L49" i="16" s="1"/>
  <c r="L73" i="16"/>
  <c r="K144" i="16"/>
  <c r="K66" i="16"/>
  <c r="K57" i="16"/>
  <c r="L74" i="16"/>
  <c r="K67" i="16"/>
  <c r="L13" i="16"/>
  <c r="H24" i="16"/>
  <c r="K68" i="16"/>
  <c r="K38" i="16"/>
  <c r="L60" i="16"/>
  <c r="L142" i="16"/>
  <c r="H156" i="16"/>
  <c r="K48" i="16"/>
  <c r="K75" i="16"/>
  <c r="K69" i="16"/>
  <c r="J4" i="3"/>
  <c r="K58" i="16"/>
  <c r="L62" i="16"/>
  <c r="L61" i="16"/>
  <c r="L349" i="16"/>
  <c r="K349" i="16"/>
  <c r="L46" i="16"/>
  <c r="K46" i="16"/>
  <c r="L26" i="16"/>
  <c r="L32" i="16" s="1"/>
  <c r="K26" i="16"/>
  <c r="L41" i="16"/>
  <c r="K41" i="16"/>
  <c r="G77" i="16"/>
  <c r="H77" i="16"/>
  <c r="L116" i="16"/>
  <c r="L45" i="16"/>
  <c r="K45" i="16"/>
  <c r="H89" i="16"/>
  <c r="J89" i="16" s="1"/>
  <c r="G89" i="16"/>
  <c r="L123" i="16"/>
  <c r="K123" i="16"/>
  <c r="L167" i="16"/>
  <c r="K167" i="16"/>
  <c r="K93" i="16"/>
  <c r="L93" i="16"/>
  <c r="L102" i="16" s="1"/>
  <c r="L251" i="16"/>
  <c r="K251" i="16"/>
  <c r="H83" i="16"/>
  <c r="J83" i="16" s="1"/>
  <c r="G83" i="16"/>
  <c r="L4" i="16"/>
  <c r="K4" i="16"/>
  <c r="K364" i="15"/>
  <c r="K8" i="3"/>
  <c r="G88" i="15"/>
  <c r="H73" i="15"/>
  <c r="J73" i="15" s="1"/>
  <c r="L73" i="15" s="1"/>
  <c r="G62" i="15"/>
  <c r="G58" i="15"/>
  <c r="K5" i="3"/>
  <c r="K391" i="15"/>
  <c r="L391" i="15"/>
  <c r="L362" i="15"/>
  <c r="K362" i="15"/>
  <c r="L378" i="15"/>
  <c r="K378" i="15"/>
  <c r="L381" i="15"/>
  <c r="K380" i="15"/>
  <c r="K274" i="15"/>
  <c r="L274" i="15"/>
  <c r="K271" i="15"/>
  <c r="K277" i="15"/>
  <c r="H192" i="15"/>
  <c r="K168" i="15"/>
  <c r="K184" i="15"/>
  <c r="K182" i="15"/>
  <c r="K173" i="15"/>
  <c r="K190" i="15"/>
  <c r="L174" i="15"/>
  <c r="L185" i="15"/>
  <c r="L97" i="15"/>
  <c r="K97" i="15"/>
  <c r="K96" i="15"/>
  <c r="K95" i="15"/>
  <c r="H82" i="15"/>
  <c r="J82" i="15" s="1"/>
  <c r="K82" i="15" s="1"/>
  <c r="F77" i="15"/>
  <c r="H77" i="15" s="1"/>
  <c r="J77" i="15" s="1"/>
  <c r="K77" i="15" s="1"/>
  <c r="H74" i="15"/>
  <c r="J74" i="15" s="1"/>
  <c r="L74" i="15" s="1"/>
  <c r="L82" i="15"/>
  <c r="L72" i="15"/>
  <c r="K72" i="15"/>
  <c r="G61" i="15"/>
  <c r="H60" i="15"/>
  <c r="J60" i="15" s="1"/>
  <c r="L60" i="15" s="1"/>
  <c r="G55" i="15"/>
  <c r="G52" i="15"/>
  <c r="G47" i="15"/>
  <c r="H40" i="15"/>
  <c r="J40" i="15" s="1"/>
  <c r="L40" i="15" s="1"/>
  <c r="H32" i="15"/>
  <c r="L11" i="15"/>
  <c r="K11" i="15"/>
  <c r="K31" i="15"/>
  <c r="L31" i="15"/>
  <c r="L62" i="15"/>
  <c r="K62" i="15"/>
  <c r="H89" i="15"/>
  <c r="J89" i="15" s="1"/>
  <c r="G89" i="15"/>
  <c r="L100" i="15"/>
  <c r="K100" i="15"/>
  <c r="L128" i="15"/>
  <c r="K128" i="15"/>
  <c r="L131" i="15"/>
  <c r="K131" i="15"/>
  <c r="L7" i="15"/>
  <c r="K7" i="15"/>
  <c r="K47" i="15"/>
  <c r="L47" i="15"/>
  <c r="L52" i="15"/>
  <c r="K52" i="15"/>
  <c r="L76" i="15"/>
  <c r="K76" i="15"/>
  <c r="L111" i="15"/>
  <c r="K111" i="15"/>
  <c r="L113" i="15"/>
  <c r="K113" i="15"/>
  <c r="L125" i="15"/>
  <c r="K125" i="15"/>
  <c r="J5" i="15"/>
  <c r="L22" i="15"/>
  <c r="K22" i="15"/>
  <c r="L28" i="15"/>
  <c r="K28" i="15"/>
  <c r="K38" i="15"/>
  <c r="L38" i="15"/>
  <c r="L61" i="15"/>
  <c r="K61" i="15"/>
  <c r="L10" i="15"/>
  <c r="K10" i="15"/>
  <c r="L12" i="15"/>
  <c r="K12" i="15"/>
  <c r="L14" i="15"/>
  <c r="K14" i="15"/>
  <c r="L16" i="15"/>
  <c r="K16" i="15"/>
  <c r="L18" i="15"/>
  <c r="K18" i="15"/>
  <c r="K20" i="15"/>
  <c r="L20" i="15"/>
  <c r="L101" i="15"/>
  <c r="K101" i="15"/>
  <c r="L155" i="15"/>
  <c r="K155" i="15"/>
  <c r="L50" i="15"/>
  <c r="K50" i="15"/>
  <c r="K60" i="15"/>
  <c r="L112" i="15"/>
  <c r="K112" i="15"/>
  <c r="L141" i="15"/>
  <c r="K141" i="15"/>
  <c r="L170" i="15"/>
  <c r="K170" i="15"/>
  <c r="L85" i="15"/>
  <c r="K85" i="15"/>
  <c r="L39" i="15"/>
  <c r="K39" i="15"/>
  <c r="L48" i="15"/>
  <c r="K48" i="15"/>
  <c r="L75" i="15"/>
  <c r="K75" i="15"/>
  <c r="L88" i="15"/>
  <c r="K88" i="15"/>
  <c r="L133" i="15"/>
  <c r="K133" i="15"/>
  <c r="L144" i="15"/>
  <c r="K144" i="15"/>
  <c r="L58" i="15"/>
  <c r="K58" i="15"/>
  <c r="L21" i="15"/>
  <c r="K21" i="15"/>
  <c r="L27" i="15"/>
  <c r="K27" i="15"/>
  <c r="L29" i="15"/>
  <c r="K29" i="15"/>
  <c r="L37" i="15"/>
  <c r="K37" i="15"/>
  <c r="L66" i="15"/>
  <c r="K66" i="15"/>
  <c r="L84" i="15"/>
  <c r="K84" i="15"/>
  <c r="H44" i="15"/>
  <c r="J44" i="15" s="1"/>
  <c r="G44" i="15"/>
  <c r="F83" i="15"/>
  <c r="H80" i="15"/>
  <c r="J80" i="15" s="1"/>
  <c r="G80" i="15"/>
  <c r="L99" i="15"/>
  <c r="K99" i="15"/>
  <c r="L109" i="15"/>
  <c r="L116" i="15" s="1"/>
  <c r="K109" i="15"/>
  <c r="L127" i="15"/>
  <c r="K127" i="15"/>
  <c r="L149" i="15"/>
  <c r="K149" i="15"/>
  <c r="L162" i="15"/>
  <c r="K162" i="15"/>
  <c r="L175" i="15"/>
  <c r="K175" i="15"/>
  <c r="L225" i="15"/>
  <c r="K225" i="15"/>
  <c r="L228" i="15"/>
  <c r="K228" i="15"/>
  <c r="L231" i="15"/>
  <c r="K231" i="15"/>
  <c r="H242" i="15"/>
  <c r="L246" i="15"/>
  <c r="K246" i="15"/>
  <c r="L251" i="15"/>
  <c r="K251" i="15"/>
  <c r="L283" i="15"/>
  <c r="K283" i="15"/>
  <c r="L305" i="15"/>
  <c r="K305" i="15"/>
  <c r="L324" i="15"/>
  <c r="K324" i="15"/>
  <c r="H414" i="15"/>
  <c r="L352" i="15"/>
  <c r="K352" i="15"/>
  <c r="L384" i="15"/>
  <c r="K384" i="15"/>
  <c r="L393" i="15"/>
  <c r="K393" i="15"/>
  <c r="L397" i="15"/>
  <c r="K397" i="15"/>
  <c r="G5" i="15"/>
  <c r="G35" i="15"/>
  <c r="K46" i="15"/>
  <c r="L55" i="15"/>
  <c r="H69" i="15"/>
  <c r="J69" i="15" s="1"/>
  <c r="G77" i="15"/>
  <c r="H116" i="15"/>
  <c r="K9" i="3" s="1"/>
  <c r="K105" i="15"/>
  <c r="K118" i="15"/>
  <c r="J123" i="15"/>
  <c r="K136" i="15"/>
  <c r="K145" i="15"/>
  <c r="L154" i="15"/>
  <c r="K154" i="15"/>
  <c r="K158" i="15"/>
  <c r="K171" i="15"/>
  <c r="L180" i="15"/>
  <c r="K180" i="15"/>
  <c r="L183" i="15"/>
  <c r="K183" i="15"/>
  <c r="L186" i="15"/>
  <c r="K186" i="15"/>
  <c r="L207" i="15"/>
  <c r="K207" i="15"/>
  <c r="L210" i="15"/>
  <c r="K210" i="15"/>
  <c r="L255" i="15"/>
  <c r="K255" i="15"/>
  <c r="L268" i="15"/>
  <c r="K268" i="15"/>
  <c r="L280" i="15"/>
  <c r="L287" i="15"/>
  <c r="K287" i="15"/>
  <c r="L311" i="15"/>
  <c r="K314" i="15"/>
  <c r="L337" i="15"/>
  <c r="K337" i="15"/>
  <c r="K349" i="15"/>
  <c r="L349" i="15"/>
  <c r="L387" i="15"/>
  <c r="K387" i="15"/>
  <c r="L412" i="15"/>
  <c r="K412" i="15"/>
  <c r="G6" i="15"/>
  <c r="H35" i="15"/>
  <c r="L130" i="15"/>
  <c r="K130" i="15"/>
  <c r="L169" i="15"/>
  <c r="K169" i="15"/>
  <c r="L239" i="15"/>
  <c r="K239" i="15"/>
  <c r="K341" i="15"/>
  <c r="L341" i="15"/>
  <c r="L376" i="15"/>
  <c r="K376" i="15"/>
  <c r="H8" i="15"/>
  <c r="J8" i="15" s="1"/>
  <c r="K30" i="15"/>
  <c r="K34" i="15"/>
  <c r="H36" i="15"/>
  <c r="J36" i="15" s="1"/>
  <c r="G37" i="15"/>
  <c r="G43" i="15"/>
  <c r="L54" i="15"/>
  <c r="K54" i="15"/>
  <c r="H57" i="15"/>
  <c r="J57" i="15" s="1"/>
  <c r="J65" i="15"/>
  <c r="H68" i="15"/>
  <c r="J68" i="15" s="1"/>
  <c r="G68" i="15"/>
  <c r="K70" i="15"/>
  <c r="G76" i="15"/>
  <c r="G79" i="15"/>
  <c r="G86" i="15"/>
  <c r="H87" i="15"/>
  <c r="J87" i="15" s="1"/>
  <c r="H90" i="15"/>
  <c r="J90" i="15" s="1"/>
  <c r="H102" i="15"/>
  <c r="K94" i="15"/>
  <c r="L98" i="15"/>
  <c r="K98" i="15"/>
  <c r="K104" i="15"/>
  <c r="K121" i="15"/>
  <c r="K139" i="15"/>
  <c r="K152" i="15"/>
  <c r="J167" i="15"/>
  <c r="K178" i="15"/>
  <c r="L204" i="15"/>
  <c r="K204" i="15"/>
  <c r="L247" i="15"/>
  <c r="K247" i="15"/>
  <c r="L281" i="15"/>
  <c r="K281" i="15"/>
  <c r="K300" i="15"/>
  <c r="L303" i="15"/>
  <c r="K306" i="15"/>
  <c r="L309" i="15"/>
  <c r="L312" i="15"/>
  <c r="K312" i="15"/>
  <c r="L315" i="15"/>
  <c r="K315" i="15"/>
  <c r="K332" i="15"/>
  <c r="L335" i="15"/>
  <c r="L338" i="15"/>
  <c r="K338" i="15"/>
  <c r="L373" i="15"/>
  <c r="L379" i="15"/>
  <c r="K379" i="15"/>
  <c r="L382" i="15"/>
  <c r="K382" i="15"/>
  <c r="L410" i="15"/>
  <c r="K410" i="15"/>
  <c r="L413" i="15"/>
  <c r="K413" i="15"/>
  <c r="L407" i="15"/>
  <c r="K407" i="15"/>
  <c r="K4" i="15"/>
  <c r="G11" i="15"/>
  <c r="H51" i="15"/>
  <c r="J51" i="15" s="1"/>
  <c r="H9" i="15"/>
  <c r="J9" i="15" s="1"/>
  <c r="H13" i="15"/>
  <c r="J13" i="15" s="1"/>
  <c r="H15" i="15"/>
  <c r="J15" i="15" s="1"/>
  <c r="H17" i="15"/>
  <c r="J17" i="15" s="1"/>
  <c r="H19" i="15"/>
  <c r="J19" i="15" s="1"/>
  <c r="G20" i="15"/>
  <c r="H23" i="15"/>
  <c r="J23" i="15" s="1"/>
  <c r="G38" i="15"/>
  <c r="L43" i="15"/>
  <c r="K59" i="15"/>
  <c r="L79" i="15"/>
  <c r="H86" i="15"/>
  <c r="J86" i="15" s="1"/>
  <c r="J93" i="15"/>
  <c r="L108" i="15"/>
  <c r="L110" i="15"/>
  <c r="K110" i="15"/>
  <c r="K114" i="15"/>
  <c r="L119" i="15"/>
  <c r="K119" i="15"/>
  <c r="K137" i="15"/>
  <c r="L146" i="15"/>
  <c r="K146" i="15"/>
  <c r="K150" i="15"/>
  <c r="L159" i="15"/>
  <c r="K159" i="15"/>
  <c r="K163" i="15"/>
  <c r="L172" i="15"/>
  <c r="K172" i="15"/>
  <c r="K176" i="15"/>
  <c r="L201" i="15"/>
  <c r="K201" i="15"/>
  <c r="L236" i="15"/>
  <c r="K236" i="15"/>
  <c r="K263" i="15"/>
  <c r="L266" i="15"/>
  <c r="K269" i="15"/>
  <c r="L272" i="15"/>
  <c r="L275" i="15"/>
  <c r="K275" i="15"/>
  <c r="L278" i="15"/>
  <c r="K278" i="15"/>
  <c r="K295" i="15"/>
  <c r="L326" i="15"/>
  <c r="K326" i="15"/>
  <c r="L329" i="15"/>
  <c r="K329" i="15"/>
  <c r="L367" i="15"/>
  <c r="K370" i="15"/>
  <c r="L399" i="15"/>
  <c r="K399" i="15"/>
  <c r="L404" i="15"/>
  <c r="K404" i="15"/>
  <c r="G36" i="15"/>
  <c r="G87" i="15"/>
  <c r="L143" i="15"/>
  <c r="K143" i="15"/>
  <c r="G39" i="15"/>
  <c r="H45" i="15"/>
  <c r="J45" i="15" s="1"/>
  <c r="G45" i="15"/>
  <c r="F49" i="15"/>
  <c r="H53" i="15"/>
  <c r="J53" i="15" s="1"/>
  <c r="H56" i="15"/>
  <c r="J56" i="15" s="1"/>
  <c r="G56" i="15"/>
  <c r="F71" i="15"/>
  <c r="H67" i="15"/>
  <c r="J67" i="15" s="1"/>
  <c r="G75" i="15"/>
  <c r="K126" i="15"/>
  <c r="L135" i="15"/>
  <c r="K135" i="15"/>
  <c r="L205" i="15"/>
  <c r="K205" i="15"/>
  <c r="L218" i="15"/>
  <c r="K218" i="15"/>
  <c r="L233" i="15"/>
  <c r="K233" i="15"/>
  <c r="L257" i="15"/>
  <c r="K257" i="15"/>
  <c r="L260" i="15"/>
  <c r="K260" i="15"/>
  <c r="L289" i="15"/>
  <c r="K289" i="15"/>
  <c r="L292" i="15"/>
  <c r="K292" i="15"/>
  <c r="K354" i="15"/>
  <c r="L358" i="15"/>
  <c r="L374" i="15"/>
  <c r="K374" i="15"/>
  <c r="H6" i="15"/>
  <c r="J26" i="15"/>
  <c r="L42" i="15"/>
  <c r="G53" i="15"/>
  <c r="G67" i="15"/>
  <c r="L78" i="15"/>
  <c r="K78" i="15"/>
  <c r="H81" i="15"/>
  <c r="J81" i="15" s="1"/>
  <c r="K107" i="15"/>
  <c r="L122" i="15"/>
  <c r="K122" i="15"/>
  <c r="L124" i="15"/>
  <c r="K153" i="15"/>
  <c r="K179" i="15"/>
  <c r="L188" i="15"/>
  <c r="K188" i="15"/>
  <c r="L224" i="15"/>
  <c r="K227" i="15"/>
  <c r="L230" i="15"/>
  <c r="L237" i="15"/>
  <c r="K237" i="15"/>
  <c r="L323" i="15"/>
  <c r="K323" i="15"/>
  <c r="L345" i="15"/>
  <c r="K345" i="15"/>
  <c r="L351" i="15"/>
  <c r="K351" i="15"/>
  <c r="L365" i="15"/>
  <c r="L368" i="15"/>
  <c r="K368" i="15"/>
  <c r="L371" i="15"/>
  <c r="K371" i="15"/>
  <c r="L396" i="15"/>
  <c r="K396" i="15"/>
  <c r="G8" i="15"/>
  <c r="G51" i="15"/>
  <c r="L77" i="15"/>
  <c r="J244" i="15"/>
  <c r="H249" i="15"/>
  <c r="L318" i="15"/>
  <c r="K318" i="15"/>
  <c r="L138" i="15"/>
  <c r="K138" i="15"/>
  <c r="L151" i="15"/>
  <c r="K151" i="15"/>
  <c r="L164" i="15"/>
  <c r="K164" i="15"/>
  <c r="L177" i="15"/>
  <c r="K177" i="15"/>
  <c r="L191" i="15"/>
  <c r="K191" i="15"/>
  <c r="L196" i="15"/>
  <c r="K196" i="15"/>
  <c r="L199" i="15"/>
  <c r="K199" i="15"/>
  <c r="L254" i="15"/>
  <c r="K254" i="15"/>
  <c r="L286" i="15"/>
  <c r="K286" i="15"/>
  <c r="L320" i="15"/>
  <c r="K320" i="15"/>
  <c r="K355" i="15"/>
  <c r="L355" i="15"/>
  <c r="L390" i="15"/>
  <c r="K390" i="15"/>
  <c r="L385" i="15"/>
  <c r="K385" i="15"/>
  <c r="L402" i="15"/>
  <c r="K402" i="15"/>
  <c r="L189" i="15"/>
  <c r="K189" i="15"/>
  <c r="L202" i="15"/>
  <c r="K202" i="15"/>
  <c r="L234" i="15"/>
  <c r="K234" i="15"/>
  <c r="L252" i="15"/>
  <c r="K252" i="15"/>
  <c r="L284" i="15"/>
  <c r="K284" i="15"/>
  <c r="L321" i="15"/>
  <c r="K321" i="15"/>
  <c r="L360" i="15"/>
  <c r="K360" i="15"/>
  <c r="L377" i="15"/>
  <c r="K377" i="15"/>
  <c r="K388" i="15"/>
  <c r="L400" i="15"/>
  <c r="K405" i="15"/>
  <c r="G90" i="15"/>
  <c r="L194" i="15"/>
  <c r="K194" i="15"/>
  <c r="K197" i="15"/>
  <c r="L208" i="15"/>
  <c r="K211" i="15"/>
  <c r="L214" i="15"/>
  <c r="L217" i="15"/>
  <c r="K217" i="15"/>
  <c r="L220" i="15"/>
  <c r="K220" i="15"/>
  <c r="L223" i="15"/>
  <c r="K223" i="15"/>
  <c r="L240" i="15"/>
  <c r="L258" i="15"/>
  <c r="K261" i="15"/>
  <c r="L264" i="15"/>
  <c r="L267" i="15"/>
  <c r="K267" i="15"/>
  <c r="L270" i="15"/>
  <c r="K270" i="15"/>
  <c r="L273" i="15"/>
  <c r="K273" i="15"/>
  <c r="L290" i="15"/>
  <c r="K293" i="15"/>
  <c r="K298" i="15"/>
  <c r="L301" i="15"/>
  <c r="L304" i="15"/>
  <c r="K304" i="15"/>
  <c r="L307" i="15"/>
  <c r="K307" i="15"/>
  <c r="L310" i="15"/>
  <c r="K310" i="15"/>
  <c r="L327" i="15"/>
  <c r="K330" i="15"/>
  <c r="L333" i="15"/>
  <c r="L363" i="15"/>
  <c r="K363" i="15"/>
  <c r="L366" i="15"/>
  <c r="K366" i="15"/>
  <c r="H426" i="15"/>
  <c r="G57" i="15"/>
  <c r="G69" i="15"/>
  <c r="G81" i="15"/>
  <c r="L181" i="15"/>
  <c r="K181" i="15"/>
  <c r="L226" i="15"/>
  <c r="K226" i="15"/>
  <c r="L276" i="15"/>
  <c r="K276" i="15"/>
  <c r="K279" i="15"/>
  <c r="L313" i="15"/>
  <c r="K313" i="15"/>
  <c r="K316" i="15"/>
  <c r="L339" i="15"/>
  <c r="K339" i="15"/>
  <c r="L342" i="15"/>
  <c r="K342" i="15"/>
  <c r="L350" i="15"/>
  <c r="K350" i="15"/>
  <c r="L353" i="15"/>
  <c r="K353" i="15"/>
  <c r="L356" i="15"/>
  <c r="K356" i="15"/>
  <c r="L369" i="15"/>
  <c r="K369" i="15"/>
  <c r="K372" i="15"/>
  <c r="L383" i="15"/>
  <c r="L398" i="15"/>
  <c r="L187" i="15"/>
  <c r="L200" i="15"/>
  <c r="K203" i="15"/>
  <c r="L206" i="15"/>
  <c r="L209" i="15"/>
  <c r="K209" i="15"/>
  <c r="L212" i="15"/>
  <c r="K212" i="15"/>
  <c r="L215" i="15"/>
  <c r="K215" i="15"/>
  <c r="L232" i="15"/>
  <c r="K235" i="15"/>
  <c r="L238" i="15"/>
  <c r="L241" i="15"/>
  <c r="K241" i="15"/>
  <c r="K253" i="15"/>
  <c r="L256" i="15"/>
  <c r="L259" i="15"/>
  <c r="K259" i="15"/>
  <c r="L262" i="15"/>
  <c r="K262" i="15"/>
  <c r="L265" i="15"/>
  <c r="K265" i="15"/>
  <c r="L282" i="15"/>
  <c r="K285" i="15"/>
  <c r="L288" i="15"/>
  <c r="L291" i="15"/>
  <c r="K291" i="15"/>
  <c r="L294" i="15"/>
  <c r="K294" i="15"/>
  <c r="L299" i="15"/>
  <c r="K299" i="15"/>
  <c r="L302" i="15"/>
  <c r="K302" i="15"/>
  <c r="L319" i="15"/>
  <c r="K322" i="15"/>
  <c r="L325" i="15"/>
  <c r="L328" i="15"/>
  <c r="K328" i="15"/>
  <c r="L331" i="15"/>
  <c r="K331" i="15"/>
  <c r="L334" i="15"/>
  <c r="K334" i="15"/>
  <c r="L361" i="15"/>
  <c r="K361" i="15"/>
  <c r="L375" i="15"/>
  <c r="L389" i="15"/>
  <c r="L392" i="15"/>
  <c r="K392" i="15"/>
  <c r="L406" i="15"/>
  <c r="L409" i="15"/>
  <c r="K409" i="15"/>
  <c r="H296" i="15"/>
  <c r="H346" i="15"/>
  <c r="K336" i="15"/>
  <c r="K344" i="15"/>
  <c r="H13" i="14"/>
  <c r="J13" i="14" s="1"/>
  <c r="G85" i="14"/>
  <c r="G39" i="14"/>
  <c r="H61" i="14"/>
  <c r="J61" i="14" s="1"/>
  <c r="H70" i="14"/>
  <c r="J70" i="14" s="1"/>
  <c r="L70" i="14" s="1"/>
  <c r="H86" i="14"/>
  <c r="J86" i="14" s="1"/>
  <c r="L86" i="14" s="1"/>
  <c r="H40" i="14"/>
  <c r="J40" i="14" s="1"/>
  <c r="K40" i="14" s="1"/>
  <c r="G62" i="14"/>
  <c r="G37" i="14"/>
  <c r="O86" i="14"/>
  <c r="G51" i="14"/>
  <c r="G6" i="14"/>
  <c r="H56" i="14"/>
  <c r="J56" i="14" s="1"/>
  <c r="K56" i="14" s="1"/>
  <c r="H45" i="14"/>
  <c r="J45" i="14" s="1"/>
  <c r="K45" i="14" s="1"/>
  <c r="H9" i="14"/>
  <c r="J9" i="14" s="1"/>
  <c r="L9" i="14" s="1"/>
  <c r="H60" i="14"/>
  <c r="J60" i="14" s="1"/>
  <c r="L60" i="14" s="1"/>
  <c r="H48" i="14"/>
  <c r="J48" i="14" s="1"/>
  <c r="L48" i="14" s="1"/>
  <c r="L247" i="14"/>
  <c r="K122" i="14"/>
  <c r="K405" i="14"/>
  <c r="L405" i="14"/>
  <c r="K125" i="14"/>
  <c r="L125" i="14"/>
  <c r="K141" i="14"/>
  <c r="L141" i="14"/>
  <c r="K257" i="14"/>
  <c r="L257" i="14"/>
  <c r="L314" i="14"/>
  <c r="K314" i="14"/>
  <c r="K162" i="14"/>
  <c r="L162" i="14"/>
  <c r="L215" i="14"/>
  <c r="K215" i="14"/>
  <c r="K244" i="14"/>
  <c r="L244" i="14"/>
  <c r="K114" i="14"/>
  <c r="L114" i="14"/>
  <c r="K170" i="14"/>
  <c r="L170" i="14"/>
  <c r="L186" i="14"/>
  <c r="K186" i="14"/>
  <c r="L223" i="14"/>
  <c r="K223" i="14"/>
  <c r="K372" i="14"/>
  <c r="L372" i="14"/>
  <c r="H79" i="14"/>
  <c r="J79" i="14" s="1"/>
  <c r="K79" i="14" s="1"/>
  <c r="L211" i="14"/>
  <c r="H57" i="14"/>
  <c r="J57" i="14" s="1"/>
  <c r="L57" i="14" s="1"/>
  <c r="K159" i="14"/>
  <c r="K202" i="14"/>
  <c r="L230" i="14"/>
  <c r="L280" i="14"/>
  <c r="L300" i="14"/>
  <c r="K317" i="14"/>
  <c r="K130" i="14"/>
  <c r="L288" i="14"/>
  <c r="G8" i="14"/>
  <c r="H36" i="14"/>
  <c r="J36" i="14" s="1"/>
  <c r="K36" i="14" s="1"/>
  <c r="L206" i="14"/>
  <c r="L221" i="14"/>
  <c r="K234" i="14"/>
  <c r="L308" i="14"/>
  <c r="F89" i="14"/>
  <c r="G89" i="14" s="1"/>
  <c r="H46" i="14"/>
  <c r="J46" i="14" s="1"/>
  <c r="K46" i="14" s="1"/>
  <c r="G69" i="14"/>
  <c r="K173" i="14"/>
  <c r="L219" i="14"/>
  <c r="K133" i="14"/>
  <c r="L133" i="14"/>
  <c r="L248" i="14"/>
  <c r="K248" i="14"/>
  <c r="L231" i="14"/>
  <c r="K231" i="14"/>
  <c r="K106" i="14"/>
  <c r="L106" i="14"/>
  <c r="K233" i="14"/>
  <c r="L233" i="14"/>
  <c r="L199" i="14"/>
  <c r="K199" i="14"/>
  <c r="K265" i="14"/>
  <c r="L265" i="14"/>
  <c r="L203" i="14"/>
  <c r="K203" i="14"/>
  <c r="K289" i="14"/>
  <c r="L289" i="14"/>
  <c r="L305" i="14"/>
  <c r="K305" i="14"/>
  <c r="L354" i="14"/>
  <c r="K354" i="14"/>
  <c r="L216" i="14"/>
  <c r="K216" i="14"/>
  <c r="L345" i="14"/>
  <c r="K345" i="14"/>
  <c r="L158" i="14"/>
  <c r="K158" i="14"/>
  <c r="K201" i="14"/>
  <c r="L201" i="14"/>
  <c r="L235" i="14"/>
  <c r="K235" i="14"/>
  <c r="L293" i="14"/>
  <c r="K293" i="14"/>
  <c r="K351" i="14"/>
  <c r="L351" i="14"/>
  <c r="K413" i="14"/>
  <c r="L413" i="14"/>
  <c r="K321" i="14"/>
  <c r="L153" i="14"/>
  <c r="L177" i="14"/>
  <c r="K210" i="14"/>
  <c r="L222" i="14"/>
  <c r="L329" i="14"/>
  <c r="L342" i="14"/>
  <c r="E83" i="14"/>
  <c r="O83" i="14" s="1"/>
  <c r="G23" i="14"/>
  <c r="L337" i="14"/>
  <c r="H6" i="14"/>
  <c r="J6" i="14" s="1"/>
  <c r="L6" i="14" s="1"/>
  <c r="H15" i="14"/>
  <c r="J15" i="14" s="1"/>
  <c r="L15" i="14" s="1"/>
  <c r="H58" i="14"/>
  <c r="J58" i="14" s="1"/>
  <c r="L58" i="14" s="1"/>
  <c r="K218" i="14"/>
  <c r="L272" i="14"/>
  <c r="K388" i="14"/>
  <c r="L393" i="14"/>
  <c r="G81" i="14"/>
  <c r="L185" i="14"/>
  <c r="L238" i="14"/>
  <c r="L325" i="14"/>
  <c r="K341" i="14"/>
  <c r="H53" i="14"/>
  <c r="J53" i="14" s="1"/>
  <c r="L53" i="14" s="1"/>
  <c r="K204" i="14"/>
  <c r="H37" i="14"/>
  <c r="J37" i="14" s="1"/>
  <c r="L37" i="14" s="1"/>
  <c r="H116" i="14"/>
  <c r="K110" i="14"/>
  <c r="K146" i="14"/>
  <c r="L149" i="14"/>
  <c r="K154" i="14"/>
  <c r="K292" i="14"/>
  <c r="K302" i="14"/>
  <c r="K310" i="14"/>
  <c r="L333" i="14"/>
  <c r="L392" i="14"/>
  <c r="K189" i="14"/>
  <c r="L198" i="14"/>
  <c r="L340" i="14"/>
  <c r="L397" i="14"/>
  <c r="H38" i="14"/>
  <c r="J38" i="14" s="1"/>
  <c r="L38" i="14" s="1"/>
  <c r="H249" i="14"/>
  <c r="G9" i="14"/>
  <c r="G13" i="14"/>
  <c r="H47" i="14"/>
  <c r="J47" i="14" s="1"/>
  <c r="L47" i="14" s="1"/>
  <c r="H426" i="14"/>
  <c r="L389" i="14"/>
  <c r="K389" i="14"/>
  <c r="K361" i="14"/>
  <c r="L361" i="14"/>
  <c r="K385" i="14"/>
  <c r="L385" i="14"/>
  <c r="L368" i="14"/>
  <c r="K384" i="14"/>
  <c r="L376" i="14"/>
  <c r="K360" i="14"/>
  <c r="K364" i="14"/>
  <c r="L380" i="14"/>
  <c r="L383" i="14"/>
  <c r="L355" i="14"/>
  <c r="K355" i="14"/>
  <c r="K350" i="14"/>
  <c r="K285" i="14"/>
  <c r="K284" i="14"/>
  <c r="K281" i="14"/>
  <c r="L279" i="14"/>
  <c r="K264" i="14"/>
  <c r="L276" i="14"/>
  <c r="K268" i="14"/>
  <c r="K261" i="14"/>
  <c r="L255" i="14"/>
  <c r="L252" i="14"/>
  <c r="L190" i="14"/>
  <c r="K190" i="14"/>
  <c r="K188" i="14"/>
  <c r="L188" i="14"/>
  <c r="L171" i="14"/>
  <c r="K171" i="14"/>
  <c r="L178" i="14"/>
  <c r="K178" i="14"/>
  <c r="L174" i="14"/>
  <c r="H192" i="14"/>
  <c r="J167" i="14"/>
  <c r="J104" i="14"/>
  <c r="K104" i="14" s="1"/>
  <c r="K105" i="14"/>
  <c r="L97" i="14"/>
  <c r="K97" i="14"/>
  <c r="L95" i="14"/>
  <c r="K101" i="14"/>
  <c r="K94" i="14"/>
  <c r="G86" i="14"/>
  <c r="H85" i="14"/>
  <c r="J85" i="14" s="1"/>
  <c r="K85" i="14" s="1"/>
  <c r="H74" i="14"/>
  <c r="J74" i="14" s="1"/>
  <c r="L74" i="14" s="1"/>
  <c r="H73" i="14"/>
  <c r="J73" i="14" s="1"/>
  <c r="K73" i="14" s="1"/>
  <c r="H69" i="14"/>
  <c r="J69" i="14" s="1"/>
  <c r="L69" i="14" s="1"/>
  <c r="G70" i="14"/>
  <c r="O89" i="14"/>
  <c r="J72" i="14"/>
  <c r="L72" i="14" s="1"/>
  <c r="G82" i="14"/>
  <c r="O73" i="14"/>
  <c r="G73" i="14"/>
  <c r="O74" i="14"/>
  <c r="E77" i="14"/>
  <c r="O77" i="14" s="1"/>
  <c r="H82" i="14"/>
  <c r="J82" i="14" s="1"/>
  <c r="L82" i="14" s="1"/>
  <c r="K65" i="14"/>
  <c r="G74" i="14"/>
  <c r="K70" i="14"/>
  <c r="H62" i="14"/>
  <c r="J62" i="14" s="1"/>
  <c r="L62" i="14" s="1"/>
  <c r="G61" i="14"/>
  <c r="G56" i="14"/>
  <c r="H55" i="14"/>
  <c r="J55" i="14" s="1"/>
  <c r="L55" i="14" s="1"/>
  <c r="G47" i="14"/>
  <c r="G48" i="14"/>
  <c r="L34" i="14"/>
  <c r="K34" i="14"/>
  <c r="G38" i="14"/>
  <c r="H49" i="14"/>
  <c r="J49" i="14" s="1"/>
  <c r="L49" i="14" s="1"/>
  <c r="O53" i="14"/>
  <c r="H44" i="14"/>
  <c r="J44" i="14" s="1"/>
  <c r="L44" i="14" s="1"/>
  <c r="O35" i="14"/>
  <c r="O43" i="14"/>
  <c r="H35" i="14"/>
  <c r="J35" i="14" s="1"/>
  <c r="L35" i="14" s="1"/>
  <c r="G44" i="14"/>
  <c r="G53" i="14"/>
  <c r="K59" i="14"/>
  <c r="K30" i="14"/>
  <c r="H32" i="14"/>
  <c r="L29" i="14"/>
  <c r="G19" i="14"/>
  <c r="G17" i="14"/>
  <c r="G15" i="14"/>
  <c r="G5" i="14"/>
  <c r="G11" i="14"/>
  <c r="O9" i="14"/>
  <c r="H11" i="14"/>
  <c r="J11" i="14" s="1"/>
  <c r="K11" i="14" s="1"/>
  <c r="K4" i="14"/>
  <c r="L21" i="14"/>
  <c r="K21" i="14"/>
  <c r="L18" i="14"/>
  <c r="K18" i="14"/>
  <c r="L31" i="14"/>
  <c r="K31" i="14"/>
  <c r="L23" i="14"/>
  <c r="K23" i="14"/>
  <c r="L27" i="14"/>
  <c r="K27" i="14"/>
  <c r="L75" i="14"/>
  <c r="K75" i="14"/>
  <c r="L20" i="14"/>
  <c r="K20" i="14"/>
  <c r="L19" i="14"/>
  <c r="K19" i="14"/>
  <c r="L8" i="14"/>
  <c r="K8" i="14"/>
  <c r="L13" i="14"/>
  <c r="K13" i="14"/>
  <c r="L10" i="14"/>
  <c r="K10" i="14"/>
  <c r="K61" i="14"/>
  <c r="L61" i="14"/>
  <c r="L12" i="14"/>
  <c r="K12" i="14"/>
  <c r="L17" i="14"/>
  <c r="K17" i="14"/>
  <c r="L52" i="14"/>
  <c r="K52" i="14"/>
  <c r="L50" i="14"/>
  <c r="K50" i="14"/>
  <c r="L14" i="14"/>
  <c r="K14" i="14"/>
  <c r="L16" i="14"/>
  <c r="K16" i="14"/>
  <c r="L40" i="14"/>
  <c r="H68" i="14"/>
  <c r="J68" i="14" s="1"/>
  <c r="G68" i="14"/>
  <c r="L78" i="14"/>
  <c r="K78" i="14"/>
  <c r="L109" i="14"/>
  <c r="K109" i="14"/>
  <c r="H156" i="14"/>
  <c r="L129" i="14"/>
  <c r="K129" i="14"/>
  <c r="K138" i="14"/>
  <c r="L144" i="14"/>
  <c r="K144" i="14"/>
  <c r="K225" i="14"/>
  <c r="L225" i="14"/>
  <c r="L240" i="14"/>
  <c r="K240" i="14"/>
  <c r="L323" i="14"/>
  <c r="K323" i="14"/>
  <c r="K339" i="14"/>
  <c r="K344" i="14"/>
  <c r="L344" i="14"/>
  <c r="L378" i="14"/>
  <c r="K378" i="14"/>
  <c r="L195" i="14"/>
  <c r="K195" i="14"/>
  <c r="K7" i="14"/>
  <c r="K28" i="14"/>
  <c r="G49" i="14"/>
  <c r="L5" i="14"/>
  <c r="L22" i="14"/>
  <c r="J26" i="14"/>
  <c r="H39" i="14"/>
  <c r="J39" i="14" s="1"/>
  <c r="G40" i="14"/>
  <c r="F41" i="14"/>
  <c r="H51" i="14"/>
  <c r="J51" i="14" s="1"/>
  <c r="G52" i="14"/>
  <c r="G76" i="14"/>
  <c r="F83" i="14"/>
  <c r="H80" i="14"/>
  <c r="J80" i="14" s="1"/>
  <c r="G80" i="14"/>
  <c r="G88" i="14"/>
  <c r="L96" i="14"/>
  <c r="K96" i="14"/>
  <c r="L99" i="14"/>
  <c r="L120" i="14"/>
  <c r="K120" i="14"/>
  <c r="L135" i="14"/>
  <c r="K135" i="14"/>
  <c r="L148" i="14"/>
  <c r="K148" i="14"/>
  <c r="L160" i="14"/>
  <c r="K160" i="14"/>
  <c r="L176" i="14"/>
  <c r="L196" i="14"/>
  <c r="K196" i="14"/>
  <c r="L214" i="14"/>
  <c r="K214" i="14"/>
  <c r="K229" i="14"/>
  <c r="L229" i="14"/>
  <c r="K267" i="14"/>
  <c r="L267" i="14"/>
  <c r="K278" i="14"/>
  <c r="K283" i="14"/>
  <c r="L283" i="14"/>
  <c r="L303" i="14"/>
  <c r="K303" i="14"/>
  <c r="L311" i="14"/>
  <c r="K311" i="14"/>
  <c r="L331" i="14"/>
  <c r="K331" i="14"/>
  <c r="L352" i="14"/>
  <c r="K352" i="14"/>
  <c r="L362" i="14"/>
  <c r="K362" i="14"/>
  <c r="K404" i="14"/>
  <c r="L404" i="14"/>
  <c r="L132" i="14"/>
  <c r="K132" i="14"/>
  <c r="L266" i="14"/>
  <c r="K266" i="14"/>
  <c r="L370" i="14"/>
  <c r="K370" i="14"/>
  <c r="G43" i="14"/>
  <c r="G67" i="14"/>
  <c r="G71" i="14"/>
  <c r="H76" i="14"/>
  <c r="J76" i="14" s="1"/>
  <c r="H88" i="14"/>
  <c r="J88" i="14" s="1"/>
  <c r="L90" i="14"/>
  <c r="K90" i="14"/>
  <c r="L93" i="14"/>
  <c r="K93" i="14"/>
  <c r="L111" i="14"/>
  <c r="L124" i="14"/>
  <c r="K124" i="14"/>
  <c r="L139" i="14"/>
  <c r="K139" i="14"/>
  <c r="L145" i="14"/>
  <c r="K145" i="14"/>
  <c r="K191" i="14"/>
  <c r="L208" i="14"/>
  <c r="K208" i="14"/>
  <c r="K241" i="14"/>
  <c r="L241" i="14"/>
  <c r="L258" i="14"/>
  <c r="K258" i="14"/>
  <c r="L270" i="14"/>
  <c r="K270" i="14"/>
  <c r="K291" i="14"/>
  <c r="L291" i="14"/>
  <c r="L301" i="14"/>
  <c r="K301" i="14"/>
  <c r="L309" i="14"/>
  <c r="K309" i="14"/>
  <c r="L386" i="14"/>
  <c r="K386" i="14"/>
  <c r="L410" i="14"/>
  <c r="K410" i="14"/>
  <c r="L147" i="14"/>
  <c r="K147" i="14"/>
  <c r="K184" i="14"/>
  <c r="L184" i="14"/>
  <c r="K213" i="14"/>
  <c r="L213" i="14"/>
  <c r="L228" i="14"/>
  <c r="K228" i="14"/>
  <c r="K320" i="14"/>
  <c r="L320" i="14"/>
  <c r="K400" i="14"/>
  <c r="L400" i="14"/>
  <c r="H43" i="14"/>
  <c r="J43" i="14" s="1"/>
  <c r="H67" i="14"/>
  <c r="J67" i="14" s="1"/>
  <c r="H71" i="14"/>
  <c r="J71" i="14" s="1"/>
  <c r="L108" i="14"/>
  <c r="K108" i="14"/>
  <c r="L121" i="14"/>
  <c r="K121" i="14"/>
  <c r="L136" i="14"/>
  <c r="K136" i="14"/>
  <c r="L151" i="14"/>
  <c r="K151" i="14"/>
  <c r="L161" i="14"/>
  <c r="K161" i="14"/>
  <c r="L179" i="14"/>
  <c r="K179" i="14"/>
  <c r="L182" i="14"/>
  <c r="K182" i="14"/>
  <c r="K197" i="14"/>
  <c r="L197" i="14"/>
  <c r="K246" i="14"/>
  <c r="L246" i="14"/>
  <c r="J256" i="14"/>
  <c r="H296" i="14"/>
  <c r="K304" i="14"/>
  <c r="L304" i="14"/>
  <c r="K312" i="14"/>
  <c r="L312" i="14"/>
  <c r="L315" i="14"/>
  <c r="K315" i="14"/>
  <c r="L327" i="14"/>
  <c r="K327" i="14"/>
  <c r="K353" i="14"/>
  <c r="L353" i="14"/>
  <c r="K363" i="14"/>
  <c r="L363" i="14"/>
  <c r="L407" i="14"/>
  <c r="K407" i="14"/>
  <c r="L112" i="14"/>
  <c r="K112" i="14"/>
  <c r="L119" i="14"/>
  <c r="K119" i="14"/>
  <c r="L282" i="14"/>
  <c r="K282" i="14"/>
  <c r="G35" i="14"/>
  <c r="K42" i="14"/>
  <c r="G45" i="14"/>
  <c r="K54" i="14"/>
  <c r="G57" i="14"/>
  <c r="H66" i="14"/>
  <c r="J66" i="14" s="1"/>
  <c r="G75" i="14"/>
  <c r="L84" i="14"/>
  <c r="K84" i="14"/>
  <c r="H87" i="14"/>
  <c r="J87" i="14" s="1"/>
  <c r="G87" i="14"/>
  <c r="K98" i="14"/>
  <c r="K113" i="14"/>
  <c r="L127" i="14"/>
  <c r="K127" i="14"/>
  <c r="L140" i="14"/>
  <c r="K140" i="14"/>
  <c r="K209" i="14"/>
  <c r="L209" i="14"/>
  <c r="K236" i="14"/>
  <c r="K259" i="14"/>
  <c r="L259" i="14"/>
  <c r="L262" i="14"/>
  <c r="K262" i="14"/>
  <c r="L335" i="14"/>
  <c r="K335" i="14"/>
  <c r="L366" i="14"/>
  <c r="K366" i="14"/>
  <c r="K382" i="14"/>
  <c r="K387" i="14"/>
  <c r="L387" i="14"/>
  <c r="L402" i="14"/>
  <c r="K402" i="14"/>
  <c r="L107" i="14"/>
  <c r="K107" i="14"/>
  <c r="L169" i="14"/>
  <c r="K169" i="14"/>
  <c r="G36" i="14"/>
  <c r="G46" i="14"/>
  <c r="G58" i="14"/>
  <c r="G60" i="14"/>
  <c r="H81" i="14"/>
  <c r="J81" i="14" s="1"/>
  <c r="L131" i="14"/>
  <c r="K131" i="14"/>
  <c r="L137" i="14"/>
  <c r="K137" i="14"/>
  <c r="L152" i="14"/>
  <c r="K152" i="14"/>
  <c r="L164" i="14"/>
  <c r="K164" i="14"/>
  <c r="L183" i="14"/>
  <c r="K183" i="14"/>
  <c r="L212" i="14"/>
  <c r="K212" i="14"/>
  <c r="L224" i="14"/>
  <c r="K224" i="14"/>
  <c r="L227" i="14"/>
  <c r="K227" i="14"/>
  <c r="L274" i="14"/>
  <c r="K274" i="14"/>
  <c r="L299" i="14"/>
  <c r="K299" i="14"/>
  <c r="L307" i="14"/>
  <c r="K307" i="14"/>
  <c r="L313" i="14"/>
  <c r="K313" i="14"/>
  <c r="L319" i="14"/>
  <c r="K319" i="14"/>
  <c r="L374" i="14"/>
  <c r="K374" i="14"/>
  <c r="K396" i="14"/>
  <c r="L396" i="14"/>
  <c r="L399" i="14"/>
  <c r="K399" i="14"/>
  <c r="K408" i="14"/>
  <c r="L408" i="14"/>
  <c r="L155" i="14"/>
  <c r="K155" i="14"/>
  <c r="L100" i="14"/>
  <c r="K100" i="14"/>
  <c r="L115" i="14"/>
  <c r="K115" i="14"/>
  <c r="L128" i="14"/>
  <c r="K128" i="14"/>
  <c r="L143" i="14"/>
  <c r="K143" i="14"/>
  <c r="K180" i="14"/>
  <c r="L180" i="14"/>
  <c r="L254" i="14"/>
  <c r="K254" i="14"/>
  <c r="L260" i="14"/>
  <c r="K260" i="14"/>
  <c r="L343" i="14"/>
  <c r="K343" i="14"/>
  <c r="L356" i="14"/>
  <c r="K356" i="14"/>
  <c r="L403" i="14"/>
  <c r="K403" i="14"/>
  <c r="L412" i="14"/>
  <c r="K412" i="14"/>
  <c r="H102" i="14"/>
  <c r="H346" i="14"/>
  <c r="L287" i="14"/>
  <c r="L295" i="14"/>
  <c r="L391" i="14"/>
  <c r="K398" i="14"/>
  <c r="K406" i="14"/>
  <c r="H165" i="14"/>
  <c r="K118" i="14"/>
  <c r="J123" i="14"/>
  <c r="K126" i="14"/>
  <c r="K134" i="14"/>
  <c r="K142" i="14"/>
  <c r="K150" i="14"/>
  <c r="K163" i="14"/>
  <c r="K168" i="14"/>
  <c r="K175" i="14"/>
  <c r="K181" i="14"/>
  <c r="K194" i="14"/>
  <c r="L205" i="14"/>
  <c r="K207" i="14"/>
  <c r="K220" i="14"/>
  <c r="K226" i="14"/>
  <c r="L237" i="14"/>
  <c r="K239" i="14"/>
  <c r="L271" i="14"/>
  <c r="K273" i="14"/>
  <c r="L275" i="14"/>
  <c r="K277" i="14"/>
  <c r="L324" i="14"/>
  <c r="K326" i="14"/>
  <c r="L328" i="14"/>
  <c r="L332" i="14"/>
  <c r="K334" i="14"/>
  <c r="L336" i="14"/>
  <c r="K338" i="14"/>
  <c r="J349" i="14"/>
  <c r="H414" i="14"/>
  <c r="L367" i="14"/>
  <c r="K369" i="14"/>
  <c r="L371" i="14"/>
  <c r="L375" i="14"/>
  <c r="K377" i="14"/>
  <c r="L379" i="14"/>
  <c r="K381" i="14"/>
  <c r="K401" i="14"/>
  <c r="K409" i="14"/>
  <c r="L411" i="14"/>
  <c r="K411" i="14"/>
  <c r="L263" i="14"/>
  <c r="K269" i="14"/>
  <c r="L316" i="14"/>
  <c r="K318" i="14"/>
  <c r="K322" i="14"/>
  <c r="K330" i="14"/>
  <c r="L358" i="14"/>
  <c r="K365" i="14"/>
  <c r="K373" i="14"/>
  <c r="H242" i="14"/>
  <c r="L290" i="14"/>
  <c r="K290" i="14"/>
  <c r="L394" i="14"/>
  <c r="K394" i="14"/>
  <c r="L172" i="14"/>
  <c r="K187" i="14"/>
  <c r="K200" i="14"/>
  <c r="L217" i="14"/>
  <c r="K232" i="14"/>
  <c r="K245" i="14"/>
  <c r="L251" i="14"/>
  <c r="K253" i="14"/>
  <c r="K286" i="14"/>
  <c r="K294" i="14"/>
  <c r="K298" i="14"/>
  <c r="K306" i="14"/>
  <c r="K390" i="14"/>
  <c r="L89" i="25" l="1"/>
  <c r="L91" i="25" s="1"/>
  <c r="K89" i="25"/>
  <c r="L41" i="24"/>
  <c r="L63" i="24" s="1"/>
  <c r="K41" i="24"/>
  <c r="C7" i="3"/>
  <c r="L24" i="23"/>
  <c r="H91" i="23"/>
  <c r="L77" i="23"/>
  <c r="K77" i="23"/>
  <c r="K89" i="23"/>
  <c r="L89" i="23"/>
  <c r="L66" i="23"/>
  <c r="K66" i="23"/>
  <c r="L35" i="23"/>
  <c r="L63" i="23" s="1"/>
  <c r="K35" i="23"/>
  <c r="K71" i="23"/>
  <c r="L71" i="23"/>
  <c r="K11" i="22"/>
  <c r="L11" i="22"/>
  <c r="L24" i="22" s="1"/>
  <c r="D7" i="3"/>
  <c r="L71" i="22"/>
  <c r="K71" i="22"/>
  <c r="L63" i="22"/>
  <c r="L77" i="22"/>
  <c r="K77" i="22"/>
  <c r="H91" i="22"/>
  <c r="L63" i="21"/>
  <c r="L24" i="21"/>
  <c r="L77" i="21"/>
  <c r="L91" i="21" s="1"/>
  <c r="K77" i="21"/>
  <c r="K9" i="20"/>
  <c r="J77" i="20"/>
  <c r="K77" i="20" s="1"/>
  <c r="F7" i="3"/>
  <c r="H63" i="20"/>
  <c r="F6" i="3"/>
  <c r="L49" i="20"/>
  <c r="K49" i="20"/>
  <c r="L24" i="20"/>
  <c r="L71" i="20"/>
  <c r="K71" i="20"/>
  <c r="L41" i="20"/>
  <c r="L63" i="20" s="1"/>
  <c r="K41" i="20"/>
  <c r="H91" i="20"/>
  <c r="L24" i="19"/>
  <c r="L11" i="19"/>
  <c r="K11" i="19"/>
  <c r="L91" i="19"/>
  <c r="L63" i="19"/>
  <c r="J49" i="18"/>
  <c r="H63" i="18"/>
  <c r="J71" i="18"/>
  <c r="H91" i="18"/>
  <c r="L89" i="18"/>
  <c r="K89" i="18"/>
  <c r="I6" i="3"/>
  <c r="L91" i="17"/>
  <c r="K49" i="17"/>
  <c r="L49" i="17"/>
  <c r="J41" i="17"/>
  <c r="H63" i="17"/>
  <c r="K49" i="16"/>
  <c r="J6" i="3"/>
  <c r="H63" i="16"/>
  <c r="L24" i="16"/>
  <c r="J7" i="3"/>
  <c r="L63" i="16"/>
  <c r="L83" i="16"/>
  <c r="K83" i="16"/>
  <c r="J77" i="16"/>
  <c r="H91" i="16"/>
  <c r="L89" i="16"/>
  <c r="K89" i="16"/>
  <c r="K4" i="3"/>
  <c r="J6" i="15"/>
  <c r="K3" i="3"/>
  <c r="K74" i="15"/>
  <c r="K73" i="15"/>
  <c r="K7" i="3"/>
  <c r="K6" i="3"/>
  <c r="K40" i="15"/>
  <c r="L93" i="15"/>
  <c r="L102" i="15" s="1"/>
  <c r="K93" i="15"/>
  <c r="L65" i="15"/>
  <c r="K65" i="15"/>
  <c r="L19" i="15"/>
  <c r="K19" i="15"/>
  <c r="L57" i="15"/>
  <c r="K57" i="15"/>
  <c r="K26" i="15"/>
  <c r="L26" i="15"/>
  <c r="L32" i="15" s="1"/>
  <c r="K45" i="15"/>
  <c r="L45" i="15"/>
  <c r="L17" i="15"/>
  <c r="K17" i="15"/>
  <c r="L86" i="15"/>
  <c r="K86" i="15"/>
  <c r="L87" i="15"/>
  <c r="K87" i="15"/>
  <c r="L8" i="15"/>
  <c r="K8" i="15"/>
  <c r="H24" i="15"/>
  <c r="K89" i="15"/>
  <c r="L89" i="15"/>
  <c r="L6" i="15"/>
  <c r="K6" i="15"/>
  <c r="K67" i="15"/>
  <c r="L67" i="15"/>
  <c r="L15" i="15"/>
  <c r="K15" i="15"/>
  <c r="G71" i="15"/>
  <c r="H71" i="15"/>
  <c r="J71" i="15" s="1"/>
  <c r="L13" i="15"/>
  <c r="K13" i="15"/>
  <c r="L80" i="15"/>
  <c r="K80" i="15"/>
  <c r="L5" i="15"/>
  <c r="K5" i="15"/>
  <c r="L9" i="15"/>
  <c r="K9" i="15"/>
  <c r="J35" i="15"/>
  <c r="H83" i="15"/>
  <c r="J83" i="15" s="1"/>
  <c r="G83" i="15"/>
  <c r="L90" i="15"/>
  <c r="K90" i="15"/>
  <c r="L244" i="15"/>
  <c r="K244" i="15"/>
  <c r="L56" i="15"/>
  <c r="K56" i="15"/>
  <c r="L51" i="15"/>
  <c r="K51" i="15"/>
  <c r="L36" i="15"/>
  <c r="K36" i="15"/>
  <c r="G41" i="15"/>
  <c r="H49" i="15"/>
  <c r="J49" i="15" s="1"/>
  <c r="G49" i="15"/>
  <c r="K123" i="15"/>
  <c r="L123" i="15"/>
  <c r="L81" i="15"/>
  <c r="K81" i="15"/>
  <c r="K53" i="15"/>
  <c r="L53" i="15"/>
  <c r="L23" i="15"/>
  <c r="K23" i="15"/>
  <c r="L167" i="15"/>
  <c r="K167" i="15"/>
  <c r="L68" i="15"/>
  <c r="K68" i="15"/>
  <c r="L69" i="15"/>
  <c r="K69" i="15"/>
  <c r="L44" i="15"/>
  <c r="K44" i="15"/>
  <c r="H41" i="15"/>
  <c r="J41" i="15" s="1"/>
  <c r="K86" i="14"/>
  <c r="K62" i="14"/>
  <c r="L79" i="14"/>
  <c r="K15" i="14"/>
  <c r="L56" i="14"/>
  <c r="K48" i="14"/>
  <c r="L46" i="14"/>
  <c r="L45" i="14"/>
  <c r="K9" i="14"/>
  <c r="K69" i="14"/>
  <c r="K60" i="14"/>
  <c r="L36" i="14"/>
  <c r="L104" i="14"/>
  <c r="L116" i="14" s="1"/>
  <c r="K47" i="14"/>
  <c r="K6" i="14"/>
  <c r="L73" i="14"/>
  <c r="K49" i="14"/>
  <c r="K58" i="14"/>
  <c r="H89" i="14"/>
  <c r="J89" i="14" s="1"/>
  <c r="L89" i="14" s="1"/>
  <c r="L85" i="14"/>
  <c r="K57" i="14"/>
  <c r="H77" i="14"/>
  <c r="J77" i="14" s="1"/>
  <c r="L77" i="14" s="1"/>
  <c r="K37" i="14"/>
  <c r="K38" i="14"/>
  <c r="K53" i="14"/>
  <c r="K167" i="14"/>
  <c r="L167" i="14"/>
  <c r="K74" i="14"/>
  <c r="K72" i="14"/>
  <c r="K82" i="14"/>
  <c r="K55" i="14"/>
  <c r="K44" i="14"/>
  <c r="K35" i="14"/>
  <c r="L11" i="14"/>
  <c r="L24" i="14" s="1"/>
  <c r="H24" i="14"/>
  <c r="L76" i="14"/>
  <c r="K76" i="14"/>
  <c r="K68" i="14"/>
  <c r="L68" i="14"/>
  <c r="K71" i="14"/>
  <c r="L71" i="14"/>
  <c r="L87" i="14"/>
  <c r="K87" i="14"/>
  <c r="L67" i="14"/>
  <c r="K67" i="14"/>
  <c r="L51" i="14"/>
  <c r="K51" i="14"/>
  <c r="K349" i="14"/>
  <c r="L349" i="14"/>
  <c r="L43" i="14"/>
  <c r="K43" i="14"/>
  <c r="L102" i="14"/>
  <c r="H41" i="14"/>
  <c r="G41" i="14"/>
  <c r="K66" i="14"/>
  <c r="L66" i="14"/>
  <c r="L256" i="14"/>
  <c r="K256" i="14"/>
  <c r="G77" i="14"/>
  <c r="L39" i="14"/>
  <c r="K39" i="14"/>
  <c r="L123" i="14"/>
  <c r="K123" i="14"/>
  <c r="L81" i="14"/>
  <c r="K81" i="14"/>
  <c r="L88" i="14"/>
  <c r="K88" i="14"/>
  <c r="K80" i="14"/>
  <c r="L80" i="14"/>
  <c r="L26" i="14"/>
  <c r="L32" i="14" s="1"/>
  <c r="K26" i="14"/>
  <c r="G83" i="14"/>
  <c r="H83" i="14"/>
  <c r="J83" i="14" s="1"/>
  <c r="L91" i="23" l="1"/>
  <c r="L91" i="22"/>
  <c r="L77" i="20"/>
  <c r="L91" i="20" s="1"/>
  <c r="L71" i="18"/>
  <c r="L91" i="18" s="1"/>
  <c r="K71" i="18"/>
  <c r="L49" i="18"/>
  <c r="L63" i="18" s="1"/>
  <c r="K49" i="18"/>
  <c r="K41" i="17"/>
  <c r="L41" i="17"/>
  <c r="L63" i="17" s="1"/>
  <c r="K77" i="16"/>
  <c r="L77" i="16"/>
  <c r="L91" i="16" s="1"/>
  <c r="L71" i="15"/>
  <c r="K71" i="15"/>
  <c r="L24" i="15"/>
  <c r="K83" i="15"/>
  <c r="L83" i="15"/>
  <c r="L91" i="15"/>
  <c r="L49" i="15"/>
  <c r="K49" i="15"/>
  <c r="K41" i="15"/>
  <c r="L41" i="15"/>
  <c r="L35" i="15"/>
  <c r="K35" i="15"/>
  <c r="H91" i="15"/>
  <c r="H63" i="15"/>
  <c r="K89" i="14"/>
  <c r="K77" i="14"/>
  <c r="H91" i="14"/>
  <c r="J41" i="14"/>
  <c r="H63" i="14"/>
  <c r="K83" i="14"/>
  <c r="L83" i="14"/>
  <c r="L91" i="14" s="1"/>
  <c r="L63" i="15" l="1"/>
  <c r="L41" i="14"/>
  <c r="L63" i="14" s="1"/>
  <c r="K41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Conley</author>
  </authors>
  <commentList>
    <comment ref="E4" authorId="0" shapeId="0" xr:uid="{998D095A-10FA-40F1-9FB6-CD44E91A3AF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4" authorId="0" shapeId="0" xr:uid="{36899E06-D7F7-463F-A548-9310E11ACE7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7" authorId="0" shapeId="0" xr:uid="{EDC50D9D-6565-4608-BE8F-33E9F651C9F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7" authorId="0" shapeId="0" xr:uid="{76152F16-370D-41D8-86B4-6A23E1AB9E8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0" authorId="0" shapeId="0" xr:uid="{FA42909F-C31B-4CC1-B101-8AC04215987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0" authorId="0" shapeId="0" xr:uid="{E61CAEDB-6D61-48DC-95C8-2B28B30B9DE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2" authorId="0" shapeId="0" xr:uid="{D76FE511-DF97-4AAC-B3D2-DB20528409A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F12" authorId="0" shapeId="0" xr:uid="{BE46DCFE-3C6E-4CE2-9F91-CBFEF9171AA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E14" authorId="0" shapeId="0" xr:uid="{8855B938-A1CF-4628-A626-9E0A73955AAC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4" authorId="0" shapeId="0" xr:uid="{193C3EA2-1C23-4C7C-B744-5D4C85196ABC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6" authorId="0" shapeId="0" xr:uid="{273BE688-48CB-49E7-A267-7B5A10A83ACA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6" authorId="0" shapeId="0" xr:uid="{DC6C8B50-BCEC-4642-829F-75B7AFE87B2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8" authorId="0" shapeId="0" xr:uid="{321BAAA2-0792-4073-8903-6D9E72220ED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8" authorId="0" shapeId="0" xr:uid="{216FEE04-D1B3-4C5D-B374-31C9A132C30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D25" authorId="0" shapeId="0" xr:uid="{54C08129-59C6-47D4-B975-411775C90A7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 White Fir Stud Pricing
</t>
        </r>
      </text>
    </comment>
    <comment ref="D99" authorId="0" shapeId="0" xr:uid="{77F07349-F98F-473D-8431-8EB99FDA396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25% margin over market for sell price
</t>
        </r>
      </text>
    </comment>
    <comment ref="E100" authorId="0" shapeId="0" xr:uid="{45716A5D-3254-4259-8643-A3BCADB3B1F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F100" authorId="0" shapeId="0" xr:uid="{BB1159BC-6C9B-4D09-8D09-5971B3CCC34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D106" authorId="0" shapeId="0" xr:uid="{69A17C93-9944-408A-8DAA-E211D12526C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Meritage has guaranteed pricing through 6/1
</t>
        </r>
      </text>
    </comment>
    <comment ref="D158" authorId="0" shapeId="0" xr:uid="{BB4DDF45-9AE1-4883-9D46-956BAD307C3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this will need to be adjusted when we get this product in
</t>
        </r>
      </text>
    </comment>
    <comment ref="F391" authorId="0" shapeId="0" xr:uid="{8C1EB38E-A40E-4C0E-B017-397A63C0BD4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price cedar through Bluelinx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Conley</author>
  </authors>
  <commentList>
    <comment ref="E4" authorId="0" shapeId="0" xr:uid="{BED6A79F-4925-453C-AC32-2089101A379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4" authorId="0" shapeId="0" xr:uid="{846188F3-E880-45D1-840E-CF924DD3B20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7" authorId="0" shapeId="0" xr:uid="{B4FF5F97-60E7-4739-A1CD-6AA39FC5356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7" authorId="0" shapeId="0" xr:uid="{8639C346-AEA9-4043-8C1E-99772F34C5A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0" authorId="0" shapeId="0" xr:uid="{8498C5EF-FAC2-4F59-8F30-1601664DE2D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0" authorId="0" shapeId="0" xr:uid="{5EFE1814-6631-491A-837F-A3FF7D02484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2" authorId="0" shapeId="0" xr:uid="{7CCD65AE-A891-44E4-8051-EDA11164CBCA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F12" authorId="0" shapeId="0" xr:uid="{EC8FC259-C959-421E-8D45-702718862E2A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E14" authorId="0" shapeId="0" xr:uid="{490E9CF1-382B-4916-83ED-6DF60E0F49C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4" authorId="0" shapeId="0" xr:uid="{56E84D86-0D77-4B68-9F01-DFF468A3BAD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6" authorId="0" shapeId="0" xr:uid="{467B8C0C-1EA1-4AED-A194-CDA0685D507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6" authorId="0" shapeId="0" xr:uid="{B93E79E2-F890-4830-8D57-7424EB97FC1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8" authorId="0" shapeId="0" xr:uid="{3EC6B62E-D1DD-4B79-9AEF-768AB047B3B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8" authorId="0" shapeId="0" xr:uid="{22B9ED31-8000-4D6F-BC98-F644728A391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D25" authorId="0" shapeId="0" xr:uid="{D4DDC9E4-195C-4F55-BA6D-A8F8DE13E2A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 White Fir Stud Pricing
</t>
        </r>
      </text>
    </comment>
    <comment ref="D99" authorId="0" shapeId="0" xr:uid="{4BC69FB4-71F7-4D29-B636-49C122EB0CA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25% margin over market for sell price
</t>
        </r>
      </text>
    </comment>
    <comment ref="E100" authorId="0" shapeId="0" xr:uid="{C0E500D4-847E-4691-A888-65F1CBA8A68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F100" authorId="0" shapeId="0" xr:uid="{FA37E0A2-F7D5-427A-8F1A-5507C2750C7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D106" authorId="0" shapeId="0" xr:uid="{BB852695-F9A4-4CA9-A421-7DFFB7F927C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Meritage has guaranteed pricing through 6/1
</t>
        </r>
      </text>
    </comment>
    <comment ref="D158" authorId="0" shapeId="0" xr:uid="{FD091D9C-B5EA-432C-9C84-49B6497BE65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this will need to be adjusted when we get this product in
</t>
        </r>
      </text>
    </comment>
    <comment ref="F391" authorId="0" shapeId="0" xr:uid="{C84707D4-CD38-4484-9F41-1D73A3F7D86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price cedar through Bluelinx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Conley</author>
  </authors>
  <commentList>
    <comment ref="E4" authorId="0" shapeId="0" xr:uid="{00632B2F-551A-4527-B96D-E12ACAE9213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4" authorId="0" shapeId="0" xr:uid="{D76F2B55-ED30-4FFB-96DC-716EC54A177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7" authorId="0" shapeId="0" xr:uid="{0528614B-737E-47D3-8B46-5EA104976D9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7" authorId="0" shapeId="0" xr:uid="{0DDD3C8F-14EF-4609-8260-B7ECF19D317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0" authorId="0" shapeId="0" xr:uid="{71003655-37BB-4A77-B844-30E748AFE46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0" authorId="0" shapeId="0" xr:uid="{DA748FC6-7DD4-47D2-8F62-0F9D15AFC8A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2" authorId="0" shapeId="0" xr:uid="{D1C7C316-946E-4DC9-954F-E09FD6BD3A5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F12" authorId="0" shapeId="0" xr:uid="{85EDD3A5-DE72-4DA7-AE33-3869CBA798F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E14" authorId="0" shapeId="0" xr:uid="{F1965FBD-0B7B-43C8-B2FE-18C89ECCAEC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4" authorId="0" shapeId="0" xr:uid="{24A1A544-4091-43E3-8BB9-DB1E91F4632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6" authorId="0" shapeId="0" xr:uid="{63CDAF3D-F320-4D63-8636-D601A358E02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6" authorId="0" shapeId="0" xr:uid="{F658E9F9-C3B1-4832-9E1C-7CF062644E3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8" authorId="0" shapeId="0" xr:uid="{B82F71BE-1597-4D94-B63A-99F9880C078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8" authorId="0" shapeId="0" xr:uid="{BE5E1CF2-A5DE-4DBD-84DB-106A84D2AFC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D25" authorId="0" shapeId="0" xr:uid="{15F40E93-D398-49B7-9C2B-5561D81C177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 White Fir Stud Pricing
</t>
        </r>
      </text>
    </comment>
    <comment ref="D99" authorId="0" shapeId="0" xr:uid="{B876B240-5BF8-4A34-9BFF-6699FFB107A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25% margin over market for sell price
</t>
        </r>
      </text>
    </comment>
    <comment ref="E100" authorId="0" shapeId="0" xr:uid="{8FAFAF37-8BBB-496A-B970-7A4E092E9B1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F100" authorId="0" shapeId="0" xr:uid="{3693B67E-D4D9-4121-8738-0A091855539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D106" authorId="0" shapeId="0" xr:uid="{3EE38931-D2DC-455C-A9F2-7A79266E786A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Meritage has guaranteed pricing through 6/1
</t>
        </r>
      </text>
    </comment>
    <comment ref="D158" authorId="0" shapeId="0" xr:uid="{8B09E08B-9D79-4410-91DA-12ECA6C749D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this will need to be adjusted when we get this product in
</t>
        </r>
      </text>
    </comment>
    <comment ref="F391" authorId="0" shapeId="0" xr:uid="{DE83C7A7-29EE-4DBC-8243-4FEA048E009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price cedar through Bluelinx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Conley</author>
  </authors>
  <commentList>
    <comment ref="E4" authorId="0" shapeId="0" xr:uid="{EFD428DC-52AC-4C76-9134-E41E2E98C90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4" authorId="0" shapeId="0" xr:uid="{B7E2A899-D667-47BA-BCF7-2C1F5645B14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7" authorId="0" shapeId="0" xr:uid="{CD2F81F8-DADA-4973-869B-8840A6A06D2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7" authorId="0" shapeId="0" xr:uid="{92399A5D-E339-419B-9B9F-6C453F41638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0" authorId="0" shapeId="0" xr:uid="{FDCC9542-A8E9-455A-B5DB-87F274CF5C8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0" authorId="0" shapeId="0" xr:uid="{A9150504-55DC-4B57-B93B-EBD824FDD1D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2" authorId="0" shapeId="0" xr:uid="{38AB8738-FC59-43C1-B0D9-1C663D15FDF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F12" authorId="0" shapeId="0" xr:uid="{D656DB77-C6EA-4308-B18C-34975CAE9DC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E14" authorId="0" shapeId="0" xr:uid="{2E4B4DA2-C40F-463F-A8B5-B43CF14CCD9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4" authorId="0" shapeId="0" xr:uid="{6483D4F9-BF9E-452B-AD52-9E3DE4334FB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6" authorId="0" shapeId="0" xr:uid="{6A1418A8-1DBB-4029-94E9-AF7BE40C996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6" authorId="0" shapeId="0" xr:uid="{3297968B-A2A6-48CB-9CA2-F8CEA15B3DC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8" authorId="0" shapeId="0" xr:uid="{6C7C952D-3D58-40BC-B32A-F6A79D45F38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8" authorId="0" shapeId="0" xr:uid="{BC5C84D6-21C9-4F92-AC3F-86C3DC382C1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D25" authorId="0" shapeId="0" xr:uid="{1F74928C-1E59-4F8B-A029-AE27FD0F205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 White Fir Stud Pricing
</t>
        </r>
      </text>
    </comment>
    <comment ref="D99" authorId="0" shapeId="0" xr:uid="{83CBC1F1-DBD8-49C7-9430-9064DA0C024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25% margin over market for sell price
</t>
        </r>
      </text>
    </comment>
    <comment ref="E100" authorId="0" shapeId="0" xr:uid="{D0B66366-5E27-4504-8619-9B1439CE087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F100" authorId="0" shapeId="0" xr:uid="{D23FF6A9-1B2B-4934-8E71-BA8E03FCAE9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D106" authorId="0" shapeId="0" xr:uid="{C6AC73A5-BD4E-4D99-BF10-0CC5BF9267A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Meritage has guaranteed pricing through 6/1
</t>
        </r>
      </text>
    </comment>
    <comment ref="D158" authorId="0" shapeId="0" xr:uid="{01BA8597-207D-4AE3-AF74-27D91545A89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this will need to be adjusted when we get this product in
</t>
        </r>
      </text>
    </comment>
    <comment ref="F391" authorId="0" shapeId="0" xr:uid="{66B60C90-275F-4481-8769-2CA617DD430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price cedar through Bluelinx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Conley</author>
  </authors>
  <commentList>
    <comment ref="E4" authorId="0" shapeId="0" xr:uid="{D795FA8E-2E07-41EF-80FD-EC77638F896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4" authorId="0" shapeId="0" xr:uid="{3A20ED3A-71D0-4231-9AEE-850D6A3805D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7" authorId="0" shapeId="0" xr:uid="{8FD85447-6D64-4BBB-9BCE-B2E08A13FCB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7" authorId="0" shapeId="0" xr:uid="{A56603D6-42C8-4543-8FE7-EA3A498EFEA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0" authorId="0" shapeId="0" xr:uid="{E4998395-2481-4394-A56A-D09A707E376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0" authorId="0" shapeId="0" xr:uid="{0BFBDDE5-DB32-49A7-B75C-3F0D5BCB323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2" authorId="0" shapeId="0" xr:uid="{3ED56B66-A63A-48B5-9A4C-A769FCC0702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F12" authorId="0" shapeId="0" xr:uid="{C1B47BB3-5E8A-4DB7-A7D5-9A3BAEDEC14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E14" authorId="0" shapeId="0" xr:uid="{FF2A09B6-9064-4750-8F81-DE895BE3E48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4" authorId="0" shapeId="0" xr:uid="{945BC73D-2581-4180-B0D6-A4C434D1955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6" authorId="0" shapeId="0" xr:uid="{1F3B6A83-FAE0-419F-BF6C-AA7A8AAE04D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6" authorId="0" shapeId="0" xr:uid="{E6A89161-DDBE-439F-AF31-F563288D844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8" authorId="0" shapeId="0" xr:uid="{21BF1B74-1256-4F57-B7D5-DA184EEE839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8" authorId="0" shapeId="0" xr:uid="{62F3B9B3-8879-4244-AF5B-D3B30B5D8F3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D25" authorId="0" shapeId="0" xr:uid="{5F78BC38-8DBA-4AAA-800A-EE08DAECD36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 White Fir Stud Pricing
</t>
        </r>
      </text>
    </comment>
    <comment ref="D99" authorId="0" shapeId="0" xr:uid="{BD0EC60C-90D7-4F47-9357-5915A3774AF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25% margin over market for sell price
</t>
        </r>
      </text>
    </comment>
    <comment ref="E100" authorId="0" shapeId="0" xr:uid="{EBC936CD-FD00-45DC-84A7-9A40DB8E457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F100" authorId="0" shapeId="0" xr:uid="{CC8DEB28-9F36-4102-8051-770AE579C29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D106" authorId="0" shapeId="0" xr:uid="{455AB66A-0C56-4843-86AF-787AEDA8339A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Meritage has guaranteed pricing through 6/1
</t>
        </r>
      </text>
    </comment>
    <comment ref="D158" authorId="0" shapeId="0" xr:uid="{63D18F3F-1426-4DD9-83D1-A3881AE30F5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this will need to be adjusted when we get this product in
</t>
        </r>
      </text>
    </comment>
    <comment ref="F391" authorId="0" shapeId="0" xr:uid="{999FE3A9-AC51-41C3-BBBB-E02FBD88E8CC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price cedar through Bluelinx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Conley</author>
  </authors>
  <commentList>
    <comment ref="E4" authorId="0" shapeId="0" xr:uid="{B7B7B3E8-71D6-4B73-A4A2-3EF66C6696A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4" authorId="0" shapeId="0" xr:uid="{3B313D09-615C-4E3F-B40C-444FB96F82B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7" authorId="0" shapeId="0" xr:uid="{E8CB54A8-D8CF-4FE8-B716-0B36839A4C6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7" authorId="0" shapeId="0" xr:uid="{3A2F0189-BCD9-4D65-BAA7-23692E682FD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0" authorId="0" shapeId="0" xr:uid="{AE6312BF-D070-4295-B232-8D19BB6EEE0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0" authorId="0" shapeId="0" xr:uid="{A674DC72-DC38-4199-A95E-9CFF035592D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2" authorId="0" shapeId="0" xr:uid="{F83FE11C-7AD1-4223-9601-56F4000ED23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F12" authorId="0" shapeId="0" xr:uid="{6A8606B3-85AF-4929-8B0B-86B79C85D7A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E14" authorId="0" shapeId="0" xr:uid="{8FD71A4F-A843-4209-8783-6CAE5591946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4" authorId="0" shapeId="0" xr:uid="{421A5623-BFF4-407C-A8E6-1273BBAE623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6" authorId="0" shapeId="0" xr:uid="{81877B2F-E1FE-4126-B293-7DED3A6EABE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6" authorId="0" shapeId="0" xr:uid="{CB7374B6-9A12-49B7-84E0-7C7144830BE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8" authorId="0" shapeId="0" xr:uid="{7D4126CF-DA6A-4146-B6CA-C165443A76B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8" authorId="0" shapeId="0" xr:uid="{1DD56076-E140-4B5B-9039-DC1F30E9603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D25" authorId="0" shapeId="0" xr:uid="{F8234784-26B8-4038-B2D5-7BA0DD49575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 White Fir Stud Pricing
</t>
        </r>
      </text>
    </comment>
    <comment ref="D99" authorId="0" shapeId="0" xr:uid="{93820E38-3F5F-4C52-95B1-4E3DE4D9D74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25% margin over market for sell price
</t>
        </r>
      </text>
    </comment>
    <comment ref="E100" authorId="0" shapeId="0" xr:uid="{65535814-8161-4DCC-A289-1B426CD546B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F100" authorId="0" shapeId="0" xr:uid="{13A5B4CE-95DE-4C5B-AB56-CFDD82C8D02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D106" authorId="0" shapeId="0" xr:uid="{F706B935-076A-4836-BFFE-7C83449C1A2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Meritage has guaranteed pricing through 6/1
</t>
        </r>
      </text>
    </comment>
    <comment ref="D158" authorId="0" shapeId="0" xr:uid="{A388BEA0-7F3D-4E7D-9128-BB8B5784B34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this will need to be adjusted when we get this product in
</t>
        </r>
      </text>
    </comment>
    <comment ref="F391" authorId="0" shapeId="0" xr:uid="{3EB2AD7B-289A-4CDB-8EC0-2A042626EFAC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price cedar through Bluelinx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Conley</author>
  </authors>
  <commentList>
    <comment ref="E4" authorId="0" shapeId="0" xr:uid="{2D59A3F4-FCE7-48ED-8857-D36DA9A815E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4" authorId="0" shapeId="0" xr:uid="{410FB927-A0C1-4857-B702-D7FA19C419C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7" authorId="0" shapeId="0" xr:uid="{3DEB3B52-8652-43FB-8002-A1D35B2D460A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7" authorId="0" shapeId="0" xr:uid="{B61109F2-C0A9-4D60-BD1D-78DBAEFAE20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0" authorId="0" shapeId="0" xr:uid="{9B159E14-3739-41DE-B413-BE7B74A8FD2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0" authorId="0" shapeId="0" xr:uid="{09D0AD1B-FB80-498E-B854-06E6D81745C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2" authorId="0" shapeId="0" xr:uid="{324B7829-7818-4E77-86A0-92E0B8CD519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F12" authorId="0" shapeId="0" xr:uid="{6A7C3249-EFE7-4FF5-A4F2-8F8CA4B14C5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E14" authorId="0" shapeId="0" xr:uid="{88501D69-A8A0-44E6-B093-8157F649C19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4" authorId="0" shapeId="0" xr:uid="{A88BD9A4-5934-4FC6-9902-BAC1D5A8313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6" authorId="0" shapeId="0" xr:uid="{F1EF8B36-B520-4B12-B582-8946E70C053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6" authorId="0" shapeId="0" xr:uid="{B8488FAF-6713-452C-92D0-4D776B74375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8" authorId="0" shapeId="0" xr:uid="{03763E1C-DB40-40C9-908F-D98B6D5B551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8" authorId="0" shapeId="0" xr:uid="{84C9D8D7-095E-4CBC-92A2-F01F9751C20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D25" authorId="0" shapeId="0" xr:uid="{DEDE9AD5-7A41-43A8-BAD7-7BBAFA98ECB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 White Fir Stud Pricing
</t>
        </r>
      </text>
    </comment>
    <comment ref="D99" authorId="0" shapeId="0" xr:uid="{B66AF899-B4A0-4D17-B187-60CC057C8D7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25% margin over market for sell price
</t>
        </r>
      </text>
    </comment>
    <comment ref="E100" authorId="0" shapeId="0" xr:uid="{C3CE6105-8870-4F48-9626-BC819054B69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F100" authorId="0" shapeId="0" xr:uid="{B62F1ADE-F661-4005-8CAF-CAB5F5A8AEE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D106" authorId="0" shapeId="0" xr:uid="{FE1F66B6-567B-47BB-A357-9CA2DB879A9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Meritage has guaranteed pricing through 6/1
</t>
        </r>
      </text>
    </comment>
    <comment ref="D158" authorId="0" shapeId="0" xr:uid="{18F54384-7A71-4D0B-B5BC-4352CBFD3DE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this will need to be adjusted when we get this product in
</t>
        </r>
      </text>
    </comment>
    <comment ref="F391" authorId="0" shapeId="0" xr:uid="{D50193F4-8AE4-4F66-B1C6-A48E3DF266EC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price cedar through Bluelinx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Conley</author>
  </authors>
  <commentList>
    <comment ref="E4" authorId="0" shapeId="0" xr:uid="{86C0EE25-A815-4F2B-BCE2-A26962539CA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4" authorId="0" shapeId="0" xr:uid="{10046583-2339-4F35-BAC5-FEE28C3914A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7" authorId="0" shapeId="0" xr:uid="{8E22CEAC-E5CB-4F85-BF60-166D972AFD9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7" authorId="0" shapeId="0" xr:uid="{EF0F33AD-DCE7-479C-ACF0-23F2CF85EE9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0" authorId="0" shapeId="0" xr:uid="{0C35C45D-9F4A-49BB-80B8-FD81D9F6095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0" authorId="0" shapeId="0" xr:uid="{07757018-7C03-4746-8858-8C8455CADC8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2" authorId="0" shapeId="0" xr:uid="{7C84BEBC-96DD-42AC-9751-4CAE3C30A21C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F12" authorId="0" shapeId="0" xr:uid="{C34EC8D4-3949-4AA0-A41C-0EBB49C73B6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E14" authorId="0" shapeId="0" xr:uid="{057E9D09-024D-4328-AA36-0B689B1A8EB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4" authorId="0" shapeId="0" xr:uid="{660D15F2-C13F-44CE-9ED7-0179E2365EB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6" authorId="0" shapeId="0" xr:uid="{78340316-582D-478C-BC16-FE71B481FB4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6" authorId="0" shapeId="0" xr:uid="{225CFC6F-8C49-4A4E-AD97-7FCDC9D480B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8" authorId="0" shapeId="0" xr:uid="{AC624DE6-D616-43ED-8DAB-70E01B6085E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8" authorId="0" shapeId="0" xr:uid="{5BBBC271-7A9C-479F-9492-546EB53F3B4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D25" authorId="0" shapeId="0" xr:uid="{9588653A-66A5-4ED9-ADE1-79DC1650196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 White Fir Stud Pricing
</t>
        </r>
      </text>
    </comment>
    <comment ref="D99" authorId="0" shapeId="0" xr:uid="{417E8EE8-1112-42AD-9997-9C0D9C0C6B7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25% margin over market for sell price
</t>
        </r>
      </text>
    </comment>
    <comment ref="E100" authorId="0" shapeId="0" xr:uid="{9D397E39-AC16-48D8-9C0D-16540999392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F100" authorId="0" shapeId="0" xr:uid="{3078C5DB-75F2-4A25-9627-5EF8BE0FEA2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D106" authorId="0" shapeId="0" xr:uid="{FE6A0CDB-B859-4F0F-B5F6-584A0BC3A08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Meritage has guaranteed pricing through 6/1
</t>
        </r>
      </text>
    </comment>
    <comment ref="D158" authorId="0" shapeId="0" xr:uid="{5292C6CC-D92F-4247-9674-C6B67035CA5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this will need to be adjusted when we get this product in
</t>
        </r>
      </text>
    </comment>
    <comment ref="F391" authorId="0" shapeId="0" xr:uid="{0F8804D7-DEFE-415D-BB5C-551BADAC864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price cedar through Bluelinx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Conley</author>
  </authors>
  <commentList>
    <comment ref="E4" authorId="0" shapeId="0" xr:uid="{A9BFAD6E-365E-4058-95B1-D473562D23D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4" authorId="0" shapeId="0" xr:uid="{9B5B8E37-B27E-4776-AF06-CA7C17C466B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7" authorId="0" shapeId="0" xr:uid="{42247300-233D-45C5-803B-E59F505571E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7" authorId="0" shapeId="0" xr:uid="{54CAE82C-7FDB-4F5F-A38C-7A413585D31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0" authorId="0" shapeId="0" xr:uid="{753C73F1-FBFE-4B53-B659-018E9954AC0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0" authorId="0" shapeId="0" xr:uid="{CC05EA4A-0D04-413E-A07F-34FD6CE1E27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2" authorId="0" shapeId="0" xr:uid="{9363A262-2CA3-4452-A0DD-DE0AAFF6C10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F12" authorId="0" shapeId="0" xr:uid="{5F72D664-AD09-4C31-9287-8035768DCB3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E14" authorId="0" shapeId="0" xr:uid="{6EE51F3F-DD6B-4E8A-8850-39A2DC36FF1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4" authorId="0" shapeId="0" xr:uid="{6AE1EBE2-0587-497F-BA56-53078ECBEAC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6" authorId="0" shapeId="0" xr:uid="{4BF7A26D-EAD7-4D13-A9AF-5CE186F6319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6" authorId="0" shapeId="0" xr:uid="{5A220352-B63C-45D0-88D3-7CC8A35808A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8" authorId="0" shapeId="0" xr:uid="{57F263CB-32FE-4FFE-B540-7C739A0A1AF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8" authorId="0" shapeId="0" xr:uid="{61F7BBC3-5EF2-454D-AA63-0AB996ADA52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D25" authorId="0" shapeId="0" xr:uid="{9C622E29-3123-42A5-A2BE-FE3C4F7F34A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 White Fir Stud Pricing
</t>
        </r>
      </text>
    </comment>
    <comment ref="D99" authorId="0" shapeId="0" xr:uid="{C215FDFA-DF08-4A6F-A16E-23AE8640064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25% margin over market for sell price
</t>
        </r>
      </text>
    </comment>
    <comment ref="E100" authorId="0" shapeId="0" xr:uid="{B3106B2C-2714-446A-9ED5-247735FB5FCA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F100" authorId="0" shapeId="0" xr:uid="{37A637F7-73BD-4417-9DBF-6BC3F2FBEAC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D106" authorId="0" shapeId="0" xr:uid="{CCF0AAC0-3642-4EC4-8487-D3EBD904BF2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Meritage has guaranteed pricing through 6/1
</t>
        </r>
      </text>
    </comment>
    <comment ref="D158" authorId="0" shapeId="0" xr:uid="{8B764A08-5A57-4021-9955-DD258BC28B9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this will need to be adjusted when we get this product in
</t>
        </r>
      </text>
    </comment>
    <comment ref="F391" authorId="0" shapeId="0" xr:uid="{356B233D-B5ED-4100-836B-277B5B8F7FDA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price cedar through Bluelinx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Conley</author>
  </authors>
  <commentList>
    <comment ref="E4" authorId="0" shapeId="0" xr:uid="{B5DEEF76-72E0-414F-901E-07C4E3A3209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4" authorId="0" shapeId="0" xr:uid="{C3427980-D6C8-480A-B7C2-39794A55FE7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7" authorId="0" shapeId="0" xr:uid="{A3D6C05C-AEF6-4DEE-BB9E-A1CD03BF056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7" authorId="0" shapeId="0" xr:uid="{6B68406A-7E0C-404E-BC20-7DD80E639E9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0" authorId="0" shapeId="0" xr:uid="{30A84468-320C-4424-A0EA-4017DBB99BC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0" authorId="0" shapeId="0" xr:uid="{2E591E7E-1C62-4ADB-8C17-341A54D43C7C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2" authorId="0" shapeId="0" xr:uid="{08DF2ED4-BDEE-4AF0-A3E8-82717DAF33E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F12" authorId="0" shapeId="0" xr:uid="{EEC36D0F-65D7-4CDA-A525-91A14090DEB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E14" authorId="0" shapeId="0" xr:uid="{4D5DAEAF-5DEE-4F05-8179-94D52C7965F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4" authorId="0" shapeId="0" xr:uid="{E4AC1F1E-A629-4ADC-8A55-25BCA48FE9E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6" authorId="0" shapeId="0" xr:uid="{ED22E994-16A8-488E-8D22-21A6552B838C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6" authorId="0" shapeId="0" xr:uid="{FD6779AB-08E6-4D88-AB3B-E14D5022CDD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8" authorId="0" shapeId="0" xr:uid="{7970C71F-1E1B-43B0-8E35-65C8CA41E07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8" authorId="0" shapeId="0" xr:uid="{9D841AE9-5DB1-4267-9CC7-CCB7ADC3DF2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D25" authorId="0" shapeId="0" xr:uid="{C0A87148-9100-4A82-9BE8-2C2D48B74282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 White Fir Stud Pricing
</t>
        </r>
      </text>
    </comment>
    <comment ref="D99" authorId="0" shapeId="0" xr:uid="{B54A6C77-F85D-41BB-A0EB-F2F8C5D72E6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25% margin over market for sell price
</t>
        </r>
      </text>
    </comment>
    <comment ref="E100" authorId="0" shapeId="0" xr:uid="{1065099F-402B-4D05-B75A-1017AC8D7C2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F100" authorId="0" shapeId="0" xr:uid="{5828ACB9-6BC8-4B0E-B4D7-D60D8A3FA1C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D106" authorId="0" shapeId="0" xr:uid="{5BBA99FA-E795-4530-879A-905708901A5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Meritage has guaranteed pricing through 6/1
</t>
        </r>
      </text>
    </comment>
    <comment ref="D158" authorId="0" shapeId="0" xr:uid="{42036447-9582-4434-88DC-75D18EF65AD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this will need to be adjusted when we get this product in
</t>
        </r>
      </text>
    </comment>
    <comment ref="F391" authorId="0" shapeId="0" xr:uid="{31DD7383-0624-4C0E-8262-993501A95FE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price cedar through Bluelinx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Conley</author>
  </authors>
  <commentList>
    <comment ref="E4" authorId="0" shapeId="0" xr:uid="{DCD4C5CC-9A8D-46A4-AC84-322813E0570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4" authorId="0" shapeId="0" xr:uid="{63DDEF11-BCBF-4CE1-8687-A78DE719AFF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7" authorId="0" shapeId="0" xr:uid="{49E0031A-8A15-42AF-BAD1-45004B88684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7" authorId="0" shapeId="0" xr:uid="{35206751-46D3-4A53-A439-959E98B2F91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0" authorId="0" shapeId="0" xr:uid="{AFBDF1F6-DE71-4DE2-9DB3-277EC3070484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0" authorId="0" shapeId="0" xr:uid="{02333C16-ABCE-4771-9BC4-4FA1FC693CCC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2" authorId="0" shapeId="0" xr:uid="{CF8CE947-4B58-4354-85AD-1915C7662E25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F12" authorId="0" shapeId="0" xr:uid="{46F0E166-45B2-4337-BF11-A3822665A90A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E14" authorId="0" shapeId="0" xr:uid="{70A9EBB0-1066-4B81-B24E-8D4740FBDB6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4" authorId="0" shapeId="0" xr:uid="{9DD9B06E-A470-434C-AE85-98EED8C7F0B9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6" authorId="0" shapeId="0" xr:uid="{517CC30B-0361-442C-83B1-077A891CD28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6" authorId="0" shapeId="0" xr:uid="{2BC45D5F-C9A1-4C86-9C6C-406CFB4C38F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8" authorId="0" shapeId="0" xr:uid="{001701F6-09B4-4182-A5A5-2DC610FDE0A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8" authorId="0" shapeId="0" xr:uid="{579FF9BC-5156-4F8D-B275-F0ABF4E0108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D25" authorId="0" shapeId="0" xr:uid="{94126F5B-CC98-47C3-BCBF-9F4B9A6D703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 White Fir Stud Pricing
</t>
        </r>
      </text>
    </comment>
    <comment ref="D99" authorId="0" shapeId="0" xr:uid="{6D37CDA8-6B95-4E85-85CF-7E863EC6820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25% margin over market for sell price
</t>
        </r>
      </text>
    </comment>
    <comment ref="E100" authorId="0" shapeId="0" xr:uid="{AB9AA9D6-6653-4779-B616-870600007EC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F100" authorId="0" shapeId="0" xr:uid="{5552524D-93CD-42A9-9C13-59169F8011C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D106" authorId="0" shapeId="0" xr:uid="{34762C81-73CB-403C-AA78-E123FFFF938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Meritage has guaranteed pricing through 6/1
</t>
        </r>
      </text>
    </comment>
    <comment ref="D158" authorId="0" shapeId="0" xr:uid="{7BF66EB9-EE93-400E-B7A4-3876AC2F91D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this will need to be adjusted when we get this product in
</t>
        </r>
      </text>
    </comment>
    <comment ref="F391" authorId="0" shapeId="0" xr:uid="{96475B36-D2AF-4535-B2DA-1DD7A968B7C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price cedar through Bluelinx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Conley</author>
  </authors>
  <commentList>
    <comment ref="E4" authorId="0" shapeId="0" xr:uid="{436D0374-9B7A-4324-AD1E-5C7ECF3551D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4" authorId="0" shapeId="0" xr:uid="{E41D7E2B-FAAA-496C-BDAB-4A86D311DD13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7" authorId="0" shapeId="0" xr:uid="{F089E8DE-38E6-4B24-93A9-54F57710DABA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7" authorId="0" shapeId="0" xr:uid="{655EA221-4F9A-4CD0-9BF6-619AFDD1A7B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0" authorId="0" shapeId="0" xr:uid="{8C2379C1-CA6C-421E-8BB9-EE2D47764BC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0" authorId="0" shapeId="0" xr:uid="{DD3DE1D8-2464-429C-BE89-CE96947C1C3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2" authorId="0" shapeId="0" xr:uid="{DA07404C-3FF8-4DF7-B627-7D3D20FEA16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F12" authorId="0" shapeId="0" xr:uid="{1542F93F-4E48-4899-9113-232A664E66F0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12' PRICE</t>
        </r>
      </text>
    </comment>
    <comment ref="E14" authorId="0" shapeId="0" xr:uid="{055DD15E-C03C-4AA2-B647-D79A2D871DC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4" authorId="0" shapeId="0" xr:uid="{6787BCB3-D87D-44A0-BE21-817F499BC44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6" authorId="0" shapeId="0" xr:uid="{6CA5B78E-F749-4869-81E5-A2456E8B560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6" authorId="0" shapeId="0" xr:uid="{DCAE150F-D21A-488D-AD5D-18478405151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E18" authorId="0" shapeId="0" xr:uid="{511CCD7F-EF96-4AE1-879E-9E03038177C7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F18" authorId="0" shapeId="0" xr:uid="{584471A0-6BD8-44B3-A2D3-7E28766ED2C6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ON TREATED USE 16' PRICE</t>
        </r>
      </text>
    </comment>
    <comment ref="D25" authorId="0" shapeId="0" xr:uid="{1A1786A6-553E-46D4-A8B2-CAFBBE862CB1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 White Fir Stud Pricing
</t>
        </r>
      </text>
    </comment>
    <comment ref="F98" authorId="0" shapeId="0" xr:uid="{62186827-64AD-4CB0-A8A8-F9533B5F78E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need to increase sell price to approximately 20% margin</t>
        </r>
      </text>
    </comment>
    <comment ref="D99" authorId="0" shapeId="0" xr:uid="{D744E633-AF96-4111-9C27-3CF231D4261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25% margin over market for sell price
</t>
        </r>
      </text>
    </comment>
    <comment ref="E100" authorId="0" shapeId="0" xr:uid="{06398A66-049A-4DAE-B82B-2A472982148D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F100" authorId="0" shapeId="0" xr:uid="{8FC7D39A-BBB0-450E-9DFC-291D69DE4EBE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Used Dens Glass Gold Pricing due to availability
</t>
        </r>
      </text>
    </comment>
    <comment ref="D106" authorId="0" shapeId="0" xr:uid="{0FB6C7E8-8ADF-4360-B8D6-9BD8534CC9AF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Meritage has guaranteed pricing through 6/1
</t>
        </r>
      </text>
    </comment>
    <comment ref="D158" authorId="0" shapeId="0" xr:uid="{46EAA456-CA22-4187-9998-257C366DBD9B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this will need to be adjusted when we get this product in
</t>
        </r>
      </text>
    </comment>
    <comment ref="F391" authorId="0" shapeId="0" xr:uid="{2834BEF2-F7A9-462E-8958-372C42E990E8}">
      <text>
        <r>
          <rPr>
            <b/>
            <sz val="9"/>
            <color indexed="81"/>
            <rFont val="Tahoma"/>
            <family val="2"/>
          </rPr>
          <t>Sarah Conley:</t>
        </r>
        <r>
          <rPr>
            <sz val="9"/>
            <color indexed="81"/>
            <rFont val="Tahoma"/>
            <family val="2"/>
          </rPr>
          <t xml:space="preserve">
price cedar through Bluelinx</t>
        </r>
      </text>
    </comment>
  </commentList>
</comments>
</file>

<file path=xl/sharedStrings.xml><?xml version="1.0" encoding="utf-8"?>
<sst xmlns="http://schemas.openxmlformats.org/spreadsheetml/2006/main" count="14897" uniqueCount="532">
  <si>
    <t>RANDOM LENGTH</t>
  </si>
  <si>
    <t>SELL PRICE</t>
  </si>
  <si>
    <t>TYPE</t>
  </si>
  <si>
    <t>PROJECT</t>
  </si>
  <si>
    <t>SUPPLIER</t>
  </si>
  <si>
    <t>Product Code &amp; Description</t>
  </si>
  <si>
    <t>Treated Materials</t>
  </si>
  <si>
    <t>COM</t>
  </si>
  <si>
    <t>DH</t>
  </si>
  <si>
    <t xml:space="preserve">        2412BT - 2X4 12'  Blue Borate Treated </t>
  </si>
  <si>
    <t xml:space="preserve">        2414BT - 2X4 14'  Blue Borate Treated </t>
  </si>
  <si>
    <t xml:space="preserve">        2416BT - 2X4 16'  Blue Borate Treated </t>
  </si>
  <si>
    <t xml:space="preserve">        2612BT - 2X6 12'  Blue Borate Treated </t>
  </si>
  <si>
    <t xml:space="preserve">        2614BT - 2X6 14'  Blue Borate Treated </t>
  </si>
  <si>
    <t xml:space="preserve">        2616BT - 2X6 16'  Blue Borate Treated </t>
  </si>
  <si>
    <t xml:space="preserve">        2412T - 2x4 12' #1 SYP Treated MCA Cedartone </t>
  </si>
  <si>
    <t xml:space="preserve">        2416T - 2x4 16' #1 SYP Treated MCA Cedartone </t>
  </si>
  <si>
    <t xml:space="preserve">        2612T - 2x6 12' #1 SYP Treated MCA Cedartone </t>
  </si>
  <si>
    <t xml:space="preserve">        2616T - 2x6 16' #1 SYP Treated MCA Cedartone </t>
  </si>
  <si>
    <t xml:space="preserve">        2812T - 2x8 12' #1 SYP Treated MCA Cedartone </t>
  </si>
  <si>
    <t xml:space="preserve">        2816T - 2x8 16' #1 SYP Treated MCA Cedartone </t>
  </si>
  <si>
    <t xml:space="preserve">        21012T - 2x10 12' #1 SYP Treated MCA Cedartone </t>
  </si>
  <si>
    <t xml:space="preserve">        21016T - 2x10 16' #1 SYP Treated MCA Cedartone </t>
  </si>
  <si>
    <t xml:space="preserve">        21212T - 2x12 12' #1 SYP Treated MCA Cedartone </t>
  </si>
  <si>
    <t xml:space="preserve">        21216T - 2x12 16' #1 SYP Treated MCA Cedartone </t>
  </si>
  <si>
    <t xml:space="preserve">        21220T - 2x12 20' #1 SYP Treated MCA Cedartone </t>
  </si>
  <si>
    <t xml:space="preserve">        4410T - 4X4 10' HF Std/btr S4S  CEDARTONE GROUND CONTACT</t>
  </si>
  <si>
    <t xml:space="preserve">        6610T - 6X6  10' HF #2 S4S   CEDARTONE GROUND CONTACT</t>
  </si>
  <si>
    <t xml:space="preserve">        6612T - 6X6  12' HF #2 S4S   CEDARTONE GROUND CONTACT</t>
  </si>
  <si>
    <t>End of Treated Materials</t>
  </si>
  <si>
    <t>Studs</t>
  </si>
  <si>
    <t xml:space="preserve">        2492F - 2X4 92-5/8 HEM FIR STUD</t>
  </si>
  <si>
    <t xml:space="preserve">        24104F - 2X4 104-5/8 HEM FIR STUD</t>
  </si>
  <si>
    <t xml:space="preserve">        24116F - 2X4 116-5/8 HEM FIR STUD</t>
  </si>
  <si>
    <t xml:space="preserve">        2692F - 2X6 92-5/8 HEM FIR STUD</t>
  </si>
  <si>
    <t xml:space="preserve">        26104F - 2X6 104-5/8 HEM FIR STUD</t>
  </si>
  <si>
    <t xml:space="preserve">        26116F - 2X6 116-5/8 HEM FIR STUD</t>
  </si>
  <si>
    <t>End of Studs</t>
  </si>
  <si>
    <t>Dimensional Lumber</t>
  </si>
  <si>
    <t xml:space="preserve">        248F - 2X4X8 #2 AND BTR HEM FIR</t>
  </si>
  <si>
    <t xml:space="preserve">        2410F - 2X4X10 #2 AND BTR HEM FIR</t>
  </si>
  <si>
    <t xml:space="preserve">        2412F - 2X4X12 #2 AND BTR HEM FIR</t>
  </si>
  <si>
    <t xml:space="preserve">        2414F - 2X4X14 #2 AND BTR HEM FIR</t>
  </si>
  <si>
    <t xml:space="preserve">        2416F - 2X4X16 #2 AND BTR HEM FIR</t>
  </si>
  <si>
    <t xml:space="preserve">        2418F - 2X4X18 #2 AND BTR HEM FIR</t>
  </si>
  <si>
    <t xml:space="preserve">        2420F - 2X4X20 #2 AND BTR HEM FIR</t>
  </si>
  <si>
    <t xml:space="preserve">        242RLF - 2X4 R/L #2 AND BTR HEM FIR</t>
  </si>
  <si>
    <t xml:space="preserve">        268F - 2X6X8 #2 AND BTR HEM FIR</t>
  </si>
  <si>
    <t xml:space="preserve">        2610F - 2X6X10 #2 AND BTR HEM FIR</t>
  </si>
  <si>
    <t xml:space="preserve">        2612F - 2X6X12 #2 AND BTR HEM FIR</t>
  </si>
  <si>
    <t xml:space="preserve">        2614F - 2X6X14 #2 AND BTR HEM FIR</t>
  </si>
  <si>
    <t xml:space="preserve">        2616F - 2X6X16 #2 AND BTR HEM FIR</t>
  </si>
  <si>
    <t xml:space="preserve">        2618F - 2X6 X 18' #2&amp;BTR HEM FIR</t>
  </si>
  <si>
    <t xml:space="preserve">        2620F - 2X6X20 #2 &amp; BTR HEM FIR</t>
  </si>
  <si>
    <t xml:space="preserve">        26RLF - 2X6 R/L #2 &amp; BTR HEM FIR</t>
  </si>
  <si>
    <t xml:space="preserve">        2810F - 2X8X10 #2 AND BTR HEM FIR</t>
  </si>
  <si>
    <t xml:space="preserve">        2812F - 2X8X12 #2 AND BTR HEM FIR</t>
  </si>
  <si>
    <t xml:space="preserve">        2814F - 2X8X14 #2 AND BTR HEM FIR</t>
  </si>
  <si>
    <t xml:space="preserve">        2816F - 2X8X16 #2 AND BTR HEM FIR</t>
  </si>
  <si>
    <t xml:space="preserve">        2108F - 2X10X8 #2 AND BTR HEM FIR</t>
  </si>
  <si>
    <t xml:space="preserve">        21010F - 2X10X10 #2 AND BTR HEM FIR</t>
  </si>
  <si>
    <t xml:space="preserve">        21012F - 2X10X12 #2 AND BTR HEM FIR</t>
  </si>
  <si>
    <t xml:space="preserve">        21014F - 2X10X14 #2 AND BTR HEM FIR</t>
  </si>
  <si>
    <t xml:space="preserve">        21016F - 2X10X16 #2 AND BTR HEM FIR</t>
  </si>
  <si>
    <t xml:space="preserve">        21210F - 2X12X10 #2 AND BTR HEM FIR</t>
  </si>
  <si>
    <t xml:space="preserve">        21212F - 2X12X12 #2 AND BTR HEM FIR</t>
  </si>
  <si>
    <t xml:space="preserve">        21214F - 2X12X14 #2 AND BTR HEM FIR</t>
  </si>
  <si>
    <t xml:space="preserve">        21216F - 2X12X16 #2 AND BTR HEM FIR</t>
  </si>
  <si>
    <t>DOUG FIR</t>
  </si>
  <si>
    <t xml:space="preserve">        268F - 2X6X8 #2 AND BTR DOUG FIR</t>
  </si>
  <si>
    <t xml:space="preserve">        2610F - 2X6X10 #2 AND BTR DOUG FIR</t>
  </si>
  <si>
    <t xml:space="preserve">        2612F - 2X6X12 #2 AND BTR DOUG FIR</t>
  </si>
  <si>
    <t xml:space="preserve">        2614F - 2X6X14 #2 AND BTR DOUG FIR</t>
  </si>
  <si>
    <t xml:space="preserve">        2616F - 2X6X16 #2 AND BTR DOUG FIR</t>
  </si>
  <si>
    <t xml:space="preserve">        2618F - 2X6 X 18' #2&amp;BTR DOUG FIR</t>
  </si>
  <si>
    <t xml:space="preserve">        2620F - 2X6X20 #2 AND BTR DOUG FIR</t>
  </si>
  <si>
    <t xml:space="preserve">        288DF - 2X8X8 #2 AND BTR DOUG FIR</t>
  </si>
  <si>
    <t xml:space="preserve">        2810DF - 2X8X10 #2 AND BTR DOUG FIR</t>
  </si>
  <si>
    <t xml:space="preserve">        2812DF - 2X8X12 #2 AND BTR DOUG FIR</t>
  </si>
  <si>
    <t xml:space="preserve">        2814DF - 2X8X14 #2 AND BTR DOUG FIR</t>
  </si>
  <si>
    <t xml:space="preserve">        2816DF - 2X8X16 #2 AND BTR DOUG FIR</t>
  </si>
  <si>
    <t xml:space="preserve">        2820DF - 2X8X20 #2 AND BTR DOUG FIR</t>
  </si>
  <si>
    <t xml:space="preserve">        2108DF - 2X10X8 #2 AND BTR DOUG FIR</t>
  </si>
  <si>
    <t xml:space="preserve">        21010DF - 2X10X10 #2 AND BTR DOUG FIR</t>
  </si>
  <si>
    <t xml:space="preserve">        21012DF - 2X10X12 #2 AND BTR DOUG FIR</t>
  </si>
  <si>
    <t xml:space="preserve">        21014DF - 2X10X14 #2 AND BTR DOUG FIR</t>
  </si>
  <si>
    <t xml:space="preserve">        21016DF - 2X10X16 #2 AND BTR DOUG FIR</t>
  </si>
  <si>
    <t xml:space="preserve">        21020DF - 2X10X20 #2 AND BTR DOUG FIR</t>
  </si>
  <si>
    <t xml:space="preserve">        21210DF - 2X12X10 #2 AND BTR DOUG FIR</t>
  </si>
  <si>
    <t xml:space="preserve">        21212DF - 2X12X12 #2 AND BTR DOUG FIR</t>
  </si>
  <si>
    <t xml:space="preserve">        21214DF - 2X12X14 #2 AND BTR DOUG FIR</t>
  </si>
  <si>
    <t xml:space="preserve">        21216DF - 2X12X16 #2 AND BTR DOUG FIR</t>
  </si>
  <si>
    <t xml:space="preserve">        21220DF - 2X12X20 #2 AND BTR DOUG FIR</t>
  </si>
  <si>
    <t xml:space="preserve">        448DF - 4X4 8' S4S #2 GRN DOUG FIR</t>
  </si>
  <si>
    <t>End of Dimensional Lumber</t>
  </si>
  <si>
    <t>Sheet Goods</t>
  </si>
  <si>
    <t xml:space="preserve">        48716OSB - 4X8 7/16" OSB</t>
  </si>
  <si>
    <t xml:space="preserve">        49716OSB - 4X9X7/16 OSB ORIENTED STRANDBOARD</t>
  </si>
  <si>
    <t xml:space="preserve">        410716OSB - 4X10-7/16" OSB</t>
  </si>
  <si>
    <t xml:space="preserve">        481532OSB - 4X8 15/32 OSB</t>
  </si>
  <si>
    <t xml:space="preserve">        4834OSBTG - 4x8 23/32" T&amp;G OSB SUB-FLOORING</t>
  </si>
  <si>
    <t xml:space="preserve">        4812NC - 4X8-1/2" CDX NON-COM INTERIOR FIRE RETARDANT</t>
  </si>
  <si>
    <t xml:space="preserve">        4812PT - 4X8  1/2" TREATED PLYWOOD.60 FOUNDATION CDX</t>
  </si>
  <si>
    <t xml:space="preserve">        4858GYP - 4X8X5/8 EXTERIOR DRYWALL GYP SHEATING</t>
  </si>
  <si>
    <t xml:space="preserve">        48716FLAME - 4X8 7/16" 1 SIDED FLAMEBLOCK FR OSB STHG EXP1 LP</t>
  </si>
  <si>
    <t>End of Sheet Goods</t>
  </si>
  <si>
    <t>EWP</t>
  </si>
  <si>
    <t xml:space="preserve">        RIM117812 - 1 1/8" x 11-7/8 X 12' RIM JOIST</t>
  </si>
  <si>
    <t xml:space="preserve">        RIM1412 - 1-1/8" X 14" X 12' RIM JOIST</t>
  </si>
  <si>
    <t xml:space="preserve">        B60001178 - BCI 6000 2 5/16 X 11 7/8 I JOIST</t>
  </si>
  <si>
    <t xml:space="preserve">        B600014 - BCI 6000 2 5/16 X 14 I JOIST</t>
  </si>
  <si>
    <t xml:space="preserve">        VL1178 - BOISE VERSA LAM LVL 1 3/4 X 11 7/8 2.0E</t>
  </si>
  <si>
    <t xml:space="preserve">        VL14 - BOISE VERSA LAM LVL 1 3/4 X 14 1.9E</t>
  </si>
  <si>
    <t xml:space="preserve">        LVL725 - LVL -  1.75 X 7.25 2.0E</t>
  </si>
  <si>
    <t xml:space="preserve">        LVL912 - LVL - 1-3/4"X9-1/2" 2.0E</t>
  </si>
  <si>
    <t xml:space="preserve">        LVL1178 - LVL - 1-3/4"X11-7/8"  2.0</t>
  </si>
  <si>
    <t xml:space="preserve">        LVL14 - LVL - 1-3/4"X14" 2.0E</t>
  </si>
  <si>
    <t xml:space="preserve">        LVL16 - LVL - 1.75 X16  2.0E L.F.</t>
  </si>
  <si>
    <t xml:space="preserve">        LVL18 - LVL - 1.75 X18  2.0E PER L.F.</t>
  </si>
  <si>
    <t>End of EWP</t>
  </si>
  <si>
    <t>Siding &amp; Trim</t>
  </si>
  <si>
    <t>EXT</t>
  </si>
  <si>
    <t xml:space="preserve">        CS512 - 5-1/4"X12'  WDGRN HARDIE</t>
  </si>
  <si>
    <t xml:space="preserve">        CS712 -7-1/4"X12'  WDGRN HARDIE</t>
  </si>
  <si>
    <t xml:space="preserve">        CS812 -8-1/4"X12'  WDGRN HARDIE</t>
  </si>
  <si>
    <t xml:space="preserve">        CS912 -9-1/4"X12'  WDGRN HARDIE</t>
  </si>
  <si>
    <t xml:space="preserve">        CS1212WG - 12" X 12' x 1/4" WDGRN  HARDIEPRIMED SOFFIT CEMENT PANEL</t>
  </si>
  <si>
    <t xml:space="preserve">        CS1612WG - 16" X 12' WDGRN  HARDIEPRIMED SOFFIT CEMENT PANEL</t>
  </si>
  <si>
    <t xml:space="preserve">        CS164SH - 16" X 48" STAGGARD WDGRN PRIMED CEMENT SHAKE PANELS (300/UNT)</t>
  </si>
  <si>
    <t xml:space="preserve">        CS4814WG - 4'X8'-1/4" WDGRN HARDIEPRIMED CEMENT  PANEL</t>
  </si>
  <si>
    <t xml:space="preserve">        CS48WG - 4'X8'-5/16" WDGRN HARDIEPRIMED CEMENT  PANEL</t>
  </si>
  <si>
    <t xml:space="preserve">        MCS48S8 - 4'X8'-5/16" SIERRA 8 HARDIE CEMENT PANEL</t>
  </si>
  <si>
    <t xml:space="preserve">        LP1216S - 3/8"X12"X16' LP SMART SIDE PRIMED TEXTURED  STRAND SIDING</t>
  </si>
  <si>
    <t xml:space="preserve">        LP48S - 4'X8'X3/8" LP 38 Series Cedar Texture Panel NGSE Siding or Soffit</t>
  </si>
  <si>
    <t xml:space="preserve">        M LP484OC  - 4×8-7/16" LP STRAND TEXTURED PANEL 4" OC</t>
  </si>
  <si>
    <t xml:space="preserve">        LP442S - 4/4"X2"X16' LP PRIMED TEXTURED STRAND TRIM</t>
  </si>
  <si>
    <t xml:space="preserve">        LP444S - 4/4"X4"X16' LP PRIMED TEXTURED STRAND TRIM</t>
  </si>
  <si>
    <t xml:space="preserve">        LP446S - 4/4"X6"X16' LP PRIMED TEXTURED STRAND TRIM</t>
  </si>
  <si>
    <t xml:space="preserve">        LP448S - 4/4"X8"X16' LP PRIMED TEXTURED STRAND TRIM</t>
  </si>
  <si>
    <t xml:space="preserve">        LP4410S - 4/4"X10"X16' LP PRIMED TEXTURED STRAND TRIM</t>
  </si>
  <si>
    <t xml:space="preserve">        LP4412S - 4/4"X12"X16' LP PRIMED TEXTURED STRAND TRIM</t>
  </si>
  <si>
    <t xml:space="preserve">        LP542S - 5/4"X2"X16' LP PRIMED TEXTURED STRAND TRIM</t>
  </si>
  <si>
    <t xml:space="preserve">        LP544S - 5/4"X4"X16' LP PRIMED TEXTURED STRAND TRIM</t>
  </si>
  <si>
    <t xml:space="preserve">        LP546S - 5/4"X6"X16' LP PRIMED TEXTURED STRAND TRIM</t>
  </si>
  <si>
    <t xml:space="preserve">        LP548S - 5/4"X8"X16' LP PRIMED TEXTURED STRAND TRIM</t>
  </si>
  <si>
    <t xml:space="preserve">        LP5410S - 5/4"X10"X16' LP PRIMED TEXTURED STRAND TRIM</t>
  </si>
  <si>
    <t xml:space="preserve">        LP5412S - 5/4"X12"X16' LP PRIMED TEXTURED STRAND TRIM</t>
  </si>
  <si>
    <t xml:space="preserve">        LPSHAKESTRAND - 3/8"X12"-4' RANDOM SHAKE PRIMED</t>
  </si>
  <si>
    <t>End of Siding &amp; Trim</t>
  </si>
  <si>
    <t xml:space="preserve">Shaft Wall </t>
  </si>
  <si>
    <t>MISC</t>
  </si>
  <si>
    <t xml:space="preserve">        USG212SL - 2' X 12' 1" USG BRAND GREEN GLASS-MAT SHAFT LINER PANELS MOLD TOUGH (MERITAGE)</t>
  </si>
  <si>
    <t xml:space="preserve">        210C - 2" X 10' C CHANNEL</t>
  </si>
  <si>
    <t xml:space="preserve">        212H - 2" X 12' H STUD</t>
  </si>
  <si>
    <t xml:space="preserve">        SC175 - SC175 DRAFT &amp; ACOUSTICAL SOUND SEALANT 28 OZ</t>
  </si>
  <si>
    <t xml:space="preserve">        H48362 - 6X1-1/4 BLK COARSE DRYWALLSCREW 5#</t>
  </si>
  <si>
    <t xml:space="preserve">        LCLIP - ALUMINUM BURN "L" CLIP .050 500/BAG</t>
  </si>
  <si>
    <t xml:space="preserve">        716ST1 - 7/16" #1 SHARP POINT SCREWS FOR BURN CLIPS</t>
  </si>
  <si>
    <t xml:space="preserve">End of Shaft Wall </t>
  </si>
  <si>
    <t>Ext Trim/Porch/Railing Misc</t>
  </si>
  <si>
    <t xml:space="preserve">        14143P - 1X4 14' #3 PINE</t>
  </si>
  <si>
    <t xml:space="preserve">        16143P - 1X6 14' #3 PINE</t>
  </si>
  <si>
    <t xml:space="preserve">        228PS - 2X2-8 S4S PRIMED SPF  160pcs/unit</t>
  </si>
  <si>
    <t xml:space="preserve">        2416PS - 2X4-16 PRIMED COMBED 1 SIDE SPF FASCIA </t>
  </si>
  <si>
    <t xml:space="preserve">        2618PS - 2X6-18 PRIMED COMBED 1 SIDE SPF FASCIA</t>
  </si>
  <si>
    <t xml:space="preserve">        2818PS - 2X8-18 PRIMED COMBED 1 SIDE SPF FASCIA</t>
  </si>
  <si>
    <t xml:space="preserve">        4918TB - 4X9-1/8" THERMO BRACE RED POLY/POLY GRAY</t>
  </si>
  <si>
    <t xml:space="preserve">        C000616 - 618R-6X16 UNDER EAVE VENT</t>
  </si>
  <si>
    <t xml:space="preserve">        HTSC814 - 5/16' X 8-1/4 WOODGRAIN SIDING CORNERS</t>
  </si>
  <si>
    <t xml:space="preserve">        2310309 - 5/16' X 9-1/4 WOODGRAIN SIDING CORNERS</t>
  </si>
  <si>
    <t xml:space="preserve">        JFB9 - JUNCTION FLASHING BROWN FOR 9.25" SIDING</t>
  </si>
  <si>
    <t xml:space="preserve">        JFB8 - JUNCTION FLASHING BROWN FOR 8.25" SIDING</t>
  </si>
  <si>
    <t xml:space="preserve">        JFB5 - JUNCTION FLASHING BROWN FOR 5.25" SIDING</t>
  </si>
  <si>
    <t xml:space="preserve">        MERITAGEWRAP - 9'X150' MERITAGE HOUSE WRAP</t>
  </si>
  <si>
    <t xml:space="preserve">        TYVEKT - TYVEK - 2"X165' SEAM TAPE</t>
  </si>
  <si>
    <t xml:space="preserve">        DRAINWRAP9 - 9'X125' TYVEK DRAINWRAP</t>
  </si>
  <si>
    <t xml:space="preserve">        TYVEKT3 - TYVEK TAPE 3"X165' ROLL</t>
  </si>
  <si>
    <t xml:space="preserve">        TFT4 - DUPONT TYVEK FLASHING TAPE 4"X75' - Roll</t>
  </si>
  <si>
    <t xml:space="preserve">        TFT6 - DUPONT TYVEK FLASHING TAPE 6"X75' - Roll</t>
  </si>
  <si>
    <t xml:space="preserve">        FLEXWRAP9 - TYVEK FLEXWRAP 9"X75' NF - Box</t>
  </si>
  <si>
    <t xml:space="preserve">        VYCOR675 - GRACE VYCOR 6"X75' WINDOW WRAP</t>
  </si>
  <si>
    <t xml:space="preserve">        VYCOR975 - 9"X75' VYCORWindow Wrap</t>
  </si>
  <si>
    <t xml:space="preserve">        VYCOR1275 - 12"X75' VYCORWindow Wrap</t>
  </si>
  <si>
    <t xml:space="preserve">        8094419 - White 2X Ultra Cover Spray Primer Rust-Oleum Painter's Touch</t>
  </si>
  <si>
    <t>End of Ext Trim/Porch/Railing Misc</t>
  </si>
  <si>
    <t xml:space="preserve">Simpson Stock </t>
  </si>
  <si>
    <t xml:space="preserve">        STB2-50512 - SST STB2-50512 1/2X5-1/2 STRONG-BOLT 2  WEDGE ANCHOR </t>
  </si>
  <si>
    <t>SIMP</t>
  </si>
  <si>
    <t xml:space="preserve">        A35 - SST A35 FRAMING ANCHOR100/CTN</t>
  </si>
  <si>
    <t xml:space="preserve">        ABU44Z - SST ABU44Z  4 X4 ADJ POST BASE W/UPLIFT Z-MAX</t>
  </si>
  <si>
    <t xml:space="preserve">        ABU66Z - SST 6X6 ADJ POST BASE W/UPLIFT Z-MAX</t>
  </si>
  <si>
    <t xml:space="preserve">        AC6Z - SST AC6 Z-MAX POST CAP 6X 20/CTN</t>
  </si>
  <si>
    <t xml:space="preserve">        CS14  - SST CS14 COIL STRAP 100'</t>
  </si>
  <si>
    <t xml:space="preserve">        CS16 - SST CS16 COIL STRAP 150'</t>
  </si>
  <si>
    <t xml:space="preserve">        CS16R - SST CS16R COIL STRAP 25' ROLL4/CTN</t>
  </si>
  <si>
    <t xml:space="preserve">        FRFP - FRFP FLAT RETROFIT FOUNDATION PLATE</t>
  </si>
  <si>
    <t xml:space="preserve">        GBC - SST GBC GABLE BRACE CONNECTOR</t>
  </si>
  <si>
    <t xml:space="preserve">        HDU4-SDS2.5 - SST HDU4-SDS2.5 HOLDOWN CONCENTRIC W/SCREWS 15/CTN`</t>
  </si>
  <si>
    <t xml:space="preserve">        HHUS410 DOUBLESHEAR JOIST 2 PLY LVL</t>
  </si>
  <si>
    <t xml:space="preserve">        HTS20 - SST HTS20 HEAVY TWIST STRAP14GA 50/CTN</t>
  </si>
  <si>
    <t xml:space="preserve">        HU11 - SST HU11 FACE MOUNT LVLHANGER SINGLE 25/CTN</t>
  </si>
  <si>
    <t xml:space="preserve">        HUC28-2Z - SST HUC28-2Z HANGER CONCEALED FLANGE 14GA 25/CTN</t>
  </si>
  <si>
    <t xml:space="preserve">        HUC210-2Z - SST HUC10-2Z  HD DBL 2X10 CONCEALED JOIST HANGER Z-MAX</t>
  </si>
  <si>
    <t xml:space="preserve">        HUC210-3Z - SST HUC10-3Z  HD TPL 2X10 CONCEALED JOIST HANGER Z-MAX</t>
  </si>
  <si>
    <t xml:space="preserve">        HUC414 - SST HUC414  4X14 JOIST HANGER</t>
  </si>
  <si>
    <t xml:space="preserve">        HUCQ1.81/11 - SST HUCQ1.81/11 WITH 1-3/4" SDSSCREWS SIMPSON</t>
  </si>
  <si>
    <t xml:space="preserve">        HUCQ412-SDS2.5 - SST HUCQ412-SDS2.5 CONC FLANGE HGR 15/CTN</t>
  </si>
  <si>
    <t xml:space="preserve">        HUS26 - SST  HUS26  DOUBLE SHEARHEAVY DUTY 2X6 50/CTN</t>
  </si>
  <si>
    <t xml:space="preserve">        ITS2.37/11.88 - SST ITS2.37/11.88 SGL TOP FLANHGR 2-5/16" WIDE 25/CTN</t>
  </si>
  <si>
    <t xml:space="preserve">        IUS2.37/11.88 - SST IUS2.37/11.88 SGL FACE MOUNT 2-5/16" WIDE 25/CTN</t>
  </si>
  <si>
    <t xml:space="preserve">        ITS2.37/14 - SST ITS2.37/ SGL TOP FLANGE HGR 2-5/16" WIDE 25/CTN</t>
  </si>
  <si>
    <t xml:space="preserve">        L50Z - SST L50 Z-MAX REINFORCING ANGLE 5" 100/CTN</t>
  </si>
  <si>
    <t xml:space="preserve">        L70Z - SST L70 Z-MAX REINFORCING ANGLE 7"</t>
  </si>
  <si>
    <t xml:space="preserve">        L90Z - SST L90 Z-MAX REINFORCING ANGLE 9"</t>
  </si>
  <si>
    <t xml:space="preserve">        LS70Z - SST LS70 Z-MAX SKEWABLE REINFORCING ANGLE 7"</t>
  </si>
  <si>
    <t xml:space="preserve">        LTP4 - SST LTP4 LATERAL TIE PLATE200/CTN</t>
  </si>
  <si>
    <t xml:space="preserve">        LUS24 - SST LUS24 LIGHT DBL SHEAR HANGER Z-MAX</t>
  </si>
  <si>
    <t xml:space="preserve">        LUS26Z - SST LUS26 LIGHT DBL SHEAR HANGER Z-MAX</t>
  </si>
  <si>
    <t xml:space="preserve">        LUS28Z - SST LUS28Z Z-MAX LIGHT DBL SHEAR JOIST HNGR 50/CTN</t>
  </si>
  <si>
    <t xml:space="preserve">        LUS282Z - SST LUS28-2Z Z-MAX LIGHT DBL SHEAR JOIST HNGR </t>
  </si>
  <si>
    <t xml:space="preserve">        PC1532 - SST PC1532 15/32" PLYWOOD CLIP</t>
  </si>
  <si>
    <t xml:space="preserve">        WA50512 - SST WA50512 1/2X5-1/2 WEDGEANCHOR STEEL</t>
  </si>
  <si>
    <t xml:space="preserve">        WA62600 - SST WA62600 5/8X6 WEDGEANCHOR STEEL</t>
  </si>
  <si>
    <t xml:space="preserve">        U410 - SST U410 4X10 JOIST HANGER 16GA 50/CTN</t>
  </si>
  <si>
    <t xml:space="preserve">        URFP - SST UNIVERSAL RETROFIT FOUNDATION PLATE</t>
  </si>
  <si>
    <t xml:space="preserve">        HHUS410 - SST HHUS410 DOUBLESHEAR JOIST 2 PLY LVL</t>
  </si>
  <si>
    <t xml:space="preserve">        HHUS5.50/10 - SST HHUS5.50/10 FACE MOUNT LVLHANGER 25/CTN</t>
  </si>
  <si>
    <t xml:space="preserve">        HU14 - SST HU14 FACE MOUNT LVLHANGER SINGLE 25/CTN</t>
  </si>
  <si>
    <t xml:space="preserve">        LCE4Z - SST LCE7Z END CAP 4X &amp; 6X (REVERSIBLE) Z-MAX</t>
  </si>
  <si>
    <t xml:space="preserve">        HDU14-SDS2.5 - SST HDU14-SDS2.5 HOLDOWN CONCENTRIC W/SCREWS </t>
  </si>
  <si>
    <t xml:space="preserve">        DTT2Z - SST DTT2Z Z-MAX DECK POST CONNECTOR W/SCREWS</t>
  </si>
  <si>
    <t xml:space="preserve">        DTT1Z - SST DTT1Z Z-MAX DECK TENSION TIE  40/CTN</t>
  </si>
  <si>
    <t xml:space="preserve">End of Simpson Stock </t>
  </si>
  <si>
    <t>Decking</t>
  </si>
  <si>
    <t>DECK</t>
  </si>
  <si>
    <t xml:space="preserve">        TREXCS1612NG - 12' SQUARE EDGE ENHANCED CLAM SHELL TREX DECKING</t>
  </si>
  <si>
    <t xml:space="preserve">        TREXCS1616NG - 16' SQUARE EDGE ENHANCED CLAM SHELL TREX DECKING</t>
  </si>
  <si>
    <t xml:space="preserve">        TREXCB1612NG - 12' SQUARE EDGE ENHANCED COASTAL BLUFF TREX DECKING</t>
  </si>
  <si>
    <t xml:space="preserve">        TREXCB1616NG - 16' SQUARE EDGE ENHANCED COASTAL BLUFF TREX DECKING</t>
  </si>
  <si>
    <t xml:space="preserve">        TREXCB1620NG - 20' SQUARE EDGE ENHANCED COASTAL BLUFF TREX DECKING</t>
  </si>
  <si>
    <t>End of Decking</t>
  </si>
  <si>
    <t>Misc Materials Stock</t>
  </si>
  <si>
    <t xml:space="preserve">        DSHIM - 1-1/2X45 DRYWALL SHIMS100/BDL 4-BDL/CTN</t>
  </si>
  <si>
    <t xml:space="preserve">        10710 - 3' Concrete Anchor Strap with Loop &amp; D-Ring Ends &amp; Protective Sheathing</t>
  </si>
  <si>
    <t xml:space="preserve">        2103670 - ROOF ANCHOR PERMANENT2103670</t>
  </si>
  <si>
    <t xml:space="preserve">        264970 - 28oz D4000 Subfloor Adhesive DAP</t>
  </si>
  <si>
    <t xml:space="preserve">        249830 - 9oz PL Premium Max Construction Adhesive Loctite OSI</t>
  </si>
  <si>
    <t xml:space="preserve">        ADV2 - 20oz AdvanTech Expanding Spray Foam Spray Subfloor Adhesive</t>
  </si>
  <si>
    <t xml:space="preserve">        ADV3 - 12 oz. AdvanTech Subfloor Polyurethane Adhesive Dispensing Gun Cleaner</t>
  </si>
  <si>
    <t xml:space="preserve">        CNW1 - CNW1  - 1" COUPLER NUT W/VIEWING HOLES</t>
  </si>
  <si>
    <t xml:space="preserve">        23670 - 1"×36" ZINC THREADED ROD</t>
  </si>
  <si>
    <t xml:space="preserve">        205740 - 10 oz White Alex Plus Sealant DAP</t>
  </si>
  <si>
    <t xml:space="preserve">        740274 - 10 oz White Dynaflex 230 Sealant DAP</t>
  </si>
  <si>
    <t xml:space="preserve">        FMTEBR - TRAPEASE 3 AUTOFEED COMPOSITE DECK SCREW BROWN #9 (1000/BX)</t>
  </si>
  <si>
    <t xml:space="preserve">        S505862 - 2-3/4" DECK SCREW #71 CHOCOLATE 1750 PC BUCKET (COASTAL BLUFF)</t>
  </si>
  <si>
    <t xml:space="preserve">        FL46 - 4X6-8' GALV FLASHING</t>
  </si>
  <si>
    <t xml:space="preserve">        FL66 - 6X6-8' GALV FLASHING</t>
  </si>
  <si>
    <t xml:space="preserve">        FL46120 - 4X6-8' GALV FLASHING 120 DEGRE</t>
  </si>
  <si>
    <t xml:space="preserve">        FR138 - 1 3/8" X 8' GALV ROLLOCKFLASHING</t>
  </si>
  <si>
    <t xml:space="preserve">        FZ516 - 5/16"X8' Z-FLASH</t>
  </si>
  <si>
    <t xml:space="preserve">        FZ1 - 1"X8' Z-FLASH</t>
  </si>
  <si>
    <t xml:space="preserve">        FZ112 - 1 1/2" X 8' GALV "Z" FLASHING</t>
  </si>
  <si>
    <t xml:space="preserve">        FZ118 - 1 1/8" X 8' GALV "Z" FLASHING</t>
  </si>
  <si>
    <t xml:space="preserve">        FZ114 - 1 1/4" X 8' GALV "Z" FLASHING</t>
  </si>
  <si>
    <t xml:space="preserve">        LDR358-50 - 3-5/8" LEDGERLOK Structural Wood Screw 50/BX</t>
  </si>
  <si>
    <t xml:space="preserve">        LDR5-50 - 5" LEDGERLOK Structural Wood Screw 50/BX</t>
  </si>
  <si>
    <t xml:space="preserve">        MLH7 - 1/4"×7" LOG HOG 250/BX</t>
  </si>
  <si>
    <t xml:space="preserve">        MTLOK08-12 - TIMBERLOK SCREWS 8" (BX OF 12)</t>
  </si>
  <si>
    <t xml:space="preserve">        P27SL5 - SST P27SL5 .27 CAL STRIP LOAD RED 100/PK</t>
  </si>
  <si>
    <t xml:space="preserve">        PDPA187 - PDPA-187 SST FASTENER 1-7/8"  100/PK</t>
  </si>
  <si>
    <t xml:space="preserve">        PDPAWL250 - SST PDPAWL-250 .157 X 2-1/2"  FASTENER W/1" WASHER</t>
  </si>
  <si>
    <t xml:space="preserve">        SET3G22-N - SET3G22-N HIGH STRENGTH EPOXY</t>
  </si>
  <si>
    <t xml:space="preserve">        SFZ1 - 1"X10' Z-FLASH (SLOPE MIN 5 DEG)/(2" LEG)</t>
  </si>
  <si>
    <t xml:space="preserve">        SFZ114 - 1 1/2" X10' Z-FLASH (SLOPE MIN 5 DEG)/(2" LEG)</t>
  </si>
  <si>
    <t xml:space="preserve">        SFZ112 - 1 1/4" X10' Z-FLASH (SLOPE MIN 5 DEG)/(2" LEG)</t>
  </si>
  <si>
    <t xml:space="preserve">        SILL450 - 4" SILL SEAL - 50' ROLL</t>
  </si>
  <si>
    <t xml:space="preserve">        SILL650 - 6" SILL SEAL - 50' ROLL</t>
  </si>
  <si>
    <t>EMPIRE</t>
  </si>
  <si>
    <t xml:space="preserve">        SSHIM50 - 50# STEEL SHIM</t>
  </si>
  <si>
    <t xml:space="preserve">        T4600 - FLAT WASHER 1/2" ZINC 26/BX</t>
  </si>
  <si>
    <t xml:space="preserve">        0750-4600 - 0750-4600 FIN HEX NUT USS 1/2-13 BX25</t>
  </si>
  <si>
    <t xml:space="preserve">        2201-5600 - 1" ZINC FLAT WASHER 1# BOX 5/BX</t>
  </si>
  <si>
    <t xml:space="preserve">        H150030 - 1" ZINC HEX NUT 10/BX</t>
  </si>
  <si>
    <t xml:space="preserve">        H811073 - 1/2" GALV FLAT WASHER</t>
  </si>
  <si>
    <t xml:space="preserve">        H810512 - HEX NUTS GALV 1/2-13</t>
  </si>
  <si>
    <t xml:space="preserve">        T4654 - 1/2X6 GALV LAG SCREW</t>
  </si>
  <si>
    <t xml:space="preserve">        T4258 - 3/8X8 GALV LAG SCREW</t>
  </si>
  <si>
    <t xml:space="preserve">        T4400 - 3/8 GALV FLAT WASHER (67/BX)</t>
  </si>
  <si>
    <t>End of Misc Materials Stock</t>
  </si>
  <si>
    <t xml:space="preserve">Simpson SPO </t>
  </si>
  <si>
    <t>PPTH</t>
  </si>
  <si>
    <t>SIMPSON</t>
  </si>
  <si>
    <t xml:space="preserve">        zz_HGA10KT_0102 - HGA10KT GUSSET ANGLE KIT (10 ANGLE W/SCREW) FULL KT ONLY</t>
  </si>
  <si>
    <t xml:space="preserve">        zz_HU414_0029 - HU414 JOIST HANGER HD 4X14 / LVL</t>
  </si>
  <si>
    <t>ALL</t>
  </si>
  <si>
    <t xml:space="preserve">        zz_HUC416_0044 - HUC416 JOIST HANGER HD 4X16 CONCEALED</t>
  </si>
  <si>
    <t xml:space="preserve">        zz_HUCQ410-SDS2.5_0040 - HUCQ410 JST HGR HD CONC W/SCREWS DBL LVL</t>
  </si>
  <si>
    <t xml:space="preserve">        zz_MIT11.88_0060 - MIT11.88 MEDIUM I-JOIST TOP FLNG HGR 1-3/4" WIDE</t>
  </si>
  <si>
    <t xml:space="preserve">        zz_NSBLDMTHNGR_20714 - STC TRUSS CLIP SINGLE</t>
  </si>
  <si>
    <t xml:space="preserve">        zz_NSBLDMTHNGR_20715 - HU614 JOIST HANGER HD 6X14 / LVL</t>
  </si>
  <si>
    <t xml:space="preserve">        zz_NSBLDMT_150129 - H10A HURRICANE TIE</t>
  </si>
  <si>
    <t xml:space="preserve">        zz_NSBLDMT_150130 - H10A-2  HURRICANE TIE</t>
  </si>
  <si>
    <t xml:space="preserve">        zz_NSBLDMT_150133 - THD37400H TTN HD 3/8X4</t>
  </si>
  <si>
    <t>SABELL</t>
  </si>
  <si>
    <t xml:space="preserve">        zz_HGUS5.50/14_0067 - HGUS5.50/14 HEAVY GIRDER HANGER 3-PLY LVL</t>
  </si>
  <si>
    <t>BSLN</t>
  </si>
  <si>
    <t xml:space="preserve">        zz_HUCQ1.81/9-SDS_0047 - HUCQ1.81/9 JST HGR HD CONC W/SCREWS</t>
  </si>
  <si>
    <t xml:space="preserve">        zz_HUCQ5.25/9-SDS_0047 - HUCQ5.25/9 JST HGR HD CONC W/SCREWS 5.25 GLB</t>
  </si>
  <si>
    <t xml:space="preserve">        zz_CCQ46SDS2.5_0006 - CCQ46-SDS2.5 COL CAP QK INSTALL 4X6 W/SCREWS</t>
  </si>
  <si>
    <t xml:space="preserve">        zz_BA3.56/14_0080 - BA3.56/14 TOP FLANGE HANGER  3-1/2" WIDE</t>
  </si>
  <si>
    <t xml:space="preserve">        zz_MIT3514-2_0022 - MIT3514-2 MEDIUM I-JOIST TOP FLNG HGR 4-3/4" WIDE</t>
  </si>
  <si>
    <t xml:space="preserve">        zz_MIU4.75/11 - MIU4.75/11 MEDIUM I-JOIST TOP FLNG HGR 4-3/4" WIDE</t>
  </si>
  <si>
    <t xml:space="preserve">        zz_CMST12_0221 - CMST12 COIL STRAP 3" X 40'  12 GA</t>
  </si>
  <si>
    <t xml:space="preserve">        zz_CMST14_0301 - CMST14 COIL STRAP 3" X 52.5'  14GA</t>
  </si>
  <si>
    <t xml:space="preserve">       zz_MSTC48B3_0062 - MSTC48B3 STRAP TIE 3X44-7/8 14 GA PRE BENT FOOT</t>
  </si>
  <si>
    <t xml:space="preserve">       zz_MSTC52_00625 - MSTC52 STRAP TIE 3X52-1/4 16GA</t>
  </si>
  <si>
    <t xml:space="preserve">       zz_MSTC66B3Z_00625 - MSTC66B3Z SST STRAP TIE 3X62-7/8 14 GA BENT FOOT</t>
  </si>
  <si>
    <t xml:space="preserve">       zz_NSFASTN_28203 - SDWC15600-KT STRUCTRAL WOOD SCREW FOR TRUSSES 50/BX</t>
  </si>
  <si>
    <t xml:space="preserve">        zz_NSBLDMTHNGR_21990 - HTT5 2-1/2X16 TENSION TIE</t>
  </si>
  <si>
    <t>BUFFALO</t>
  </si>
  <si>
    <t xml:space="preserve">        zz_THD50400H - THD50400H SST TITEN HD CONCRETE ANCHOR 1/2 X 4</t>
  </si>
  <si>
    <t xml:space="preserve">        zz_THD50500H - THD50500H SST TITEN HD CONCRETE ANCHOR 1/2 X 5</t>
  </si>
  <si>
    <t>BLSN/VAV</t>
  </si>
  <si>
    <t xml:space="preserve">        zz_HB5.50/14_0039 - HB5.50/14 SST HEAVY TOP FLANGE  HANGER TPL LVL</t>
  </si>
  <si>
    <t xml:space="preserve">        zz_HU416_0076 - HU416 SST JOIST HANGER HD 4X16 / LVL</t>
  </si>
  <si>
    <t xml:space="preserve">        zz_HU68_0029 - HU68 SST JOIST HANGER HD 6X8 / LVL</t>
  </si>
  <si>
    <t xml:space="preserve">        zz_ITS3.56/14_0081 - ITS3.56/14 SST I-JOIST TOP FLANGE HANGER 3-1/2" WIDE</t>
  </si>
  <si>
    <t xml:space="preserve">        zz_IUS2.37/14_0081 - IUS2.37/14 SST I-JOIST TOP FLANGE HANGER 2-5/16" WIDE</t>
  </si>
  <si>
    <t xml:space="preserve">        zz_THA218_0028 - THA218 SST ADJ HEIGHT HANGER 1-1/2" WIDE</t>
  </si>
  <si>
    <t xml:space="preserve">        zz_NSBLDMTHNGR_21992 - THA418 SST ADJ TRUSS HANGER</t>
  </si>
  <si>
    <t xml:space="preserve">        zz_HB3.56/14_0039 - HB3.56/14 SST HEAVY TOP FLANGE  HANGER DBL LVL</t>
  </si>
  <si>
    <t xml:space="preserve">        zz_LUS410 - LUS410 SST LUS410 DBL SHEAR HANGERSINGLE 4X10 50/CTN</t>
  </si>
  <si>
    <t xml:space="preserve">        zz_NSBLDMTHNGR_21992 - CMSTC16 SST COIL STRAP 3"X54' 16GA</t>
  </si>
  <si>
    <t xml:space="preserve">        zz_SDS25600MB - SDS25600MB SST 1/4"X6" SDS SCEWS 100/PK</t>
  </si>
  <si>
    <t xml:space="preserve">        zz_PDPAWL-287 - PDPAWL287 SST FASTENER 2-7/8"   W/ 1" WASHER  100/PK</t>
  </si>
  <si>
    <t xml:space="preserve">        zz_LSCZ - SST LSCZ V ADJUSTABLE STAIR-STRINGER CONNECTOR</t>
  </si>
  <si>
    <t xml:space="preserve">        zz_TA10Z-R - SST TA10Z-R STAIRCASE ANGLE</t>
  </si>
  <si>
    <t xml:space="preserve">        zz_HD19  - HD19 SST BOLTED HOLD DOWN</t>
  </si>
  <si>
    <t xml:space="preserve">        zz_L30  - L30 SST REINFORCING ANGLE 3"</t>
  </si>
  <si>
    <t xml:space="preserve">        zz_NSBLDMNTHNGR  - HSLQ312-SDS2.5 HEAVY SHEAR TRANSFER ANGLE</t>
  </si>
  <si>
    <t xml:space="preserve">End of Simpson SPO </t>
  </si>
  <si>
    <t>Misc SPO</t>
  </si>
  <si>
    <t xml:space="preserve">        FRAMING</t>
  </si>
  <si>
    <t>BOISE</t>
  </si>
  <si>
    <t>SNAVELY</t>
  </si>
  <si>
    <t xml:space="preserve">        zz_NSENGLBLVL - 1-1/2"×5-1/2"×L/FT TREATED LVL</t>
  </si>
  <si>
    <t xml:space="preserve">        zz_NSENGLBLVL - 1-1/2"×7-1/4"×L/FT TREATED LVL</t>
  </si>
  <si>
    <t>WEYER</t>
  </si>
  <si>
    <t xml:space="preserve">        zz_NSENGLBLSL- 1-1/2"×7-1/4"×L/FT LSL</t>
  </si>
  <si>
    <t xml:space="preserve">        zz_NSENGLBLSL- 1-1/4"×14"-16' LSL RIM</t>
  </si>
  <si>
    <t xml:space="preserve">        zz_NSENGLB_12806 - 5-1/8"×9"×L/FT AYC 20F-V12-S3S GLU LAM BEAM</t>
  </si>
  <si>
    <t>BLUELINX</t>
  </si>
  <si>
    <t xml:space="preserve">        zz_NSENGLB_12291 - 3-1/2"×14"-L/FT ROSBORO 24F-V4 XBEAM</t>
  </si>
  <si>
    <t xml:space="preserve">        SHAFT WALL</t>
  </si>
  <si>
    <t>TIMBERLINE</t>
  </si>
  <si>
    <t xml:space="preserve">        zz_NSFASTN_26307 - 7/16" SELF DRILLING PAN HEAD FRAMING SCREWS 1# BOX </t>
  </si>
  <si>
    <t xml:space="preserve">        EXT TRIM/PORCH/RAILING MISC</t>
  </si>
  <si>
    <t xml:space="preserve">        zz_NSLUMB050_23275 - 4×4-L/FT #1&amp;BTR R/S DOUG FIR</t>
  </si>
  <si>
    <t xml:space="preserve">        zz_NSLUMB050_23275 - 4×6-L/FT #1&amp;BTR R/S DOUG FIR</t>
  </si>
  <si>
    <t xml:space="preserve">        zz_NSLUMB050_23275 - 4×8-L/FT #1&amp;BTR R/S DOUG FIR</t>
  </si>
  <si>
    <t xml:space="preserve">        zz_NSLUMB050_23276 - 6×6-L/FT #1&amp;BTR R/S DOUG FIR</t>
  </si>
  <si>
    <t xml:space="preserve">        zz_NSLUMB050_23275 - 6×8-L/FT #1&amp;BTR R/S DOUG FIR</t>
  </si>
  <si>
    <t xml:space="preserve">        zz_NSLUMB050_23277 - 6×10-L/FT #1&amp;BTR R/S DOUG FIR</t>
  </si>
  <si>
    <t xml:space="preserve">        zz_NSLUMB050_23275 - 6×12-L/FT #1&amp;BTR R/S DOUG FIR</t>
  </si>
  <si>
    <t xml:space="preserve">        zz_NSLUMB050_23275 - 4×4-L/FT #1&amp;BTR S4S DOUG FIR</t>
  </si>
  <si>
    <t>CAPITAL</t>
  </si>
  <si>
    <t xml:space="preserve">        zz_NSLUMB050_22558 - 2×2-8' ROUGH APPEARANCE GRADE CEDAR</t>
  </si>
  <si>
    <t xml:space="preserve">        zz_NSLUMB050_22558 - 2×4-8' ROUGH APPEARANCE GRADE CEDAR</t>
  </si>
  <si>
    <t xml:space="preserve">        zz_NSLUMB050_22558 - 2×6-8' ROUGH APPEARANCE GRADE CEDAR</t>
  </si>
  <si>
    <t xml:space="preserve">        zz_NSLUMB050_22558 - 2×6-10' ROUGH APPEARANCE GRADE CEDAR</t>
  </si>
  <si>
    <t xml:space="preserve">        zz_NSLUMB050_22558 - 2×6-12' ROUGH APPEARANCE GRADE CEDAR</t>
  </si>
  <si>
    <t xml:space="preserve">        zz_NSLUMB050_22558 - 2×8-8' ROUGH APPEARANCE GRADE CEDAR</t>
  </si>
  <si>
    <t xml:space="preserve">        zz_NSLUMB050_22556 - 4×4-8' ROUGH APPEARANCE GRADE CEDAR</t>
  </si>
  <si>
    <t xml:space="preserve">        zz_NSLUMB050_22556 - 4×4-10' ROUGH APPEARANCE GRADE CEDAR</t>
  </si>
  <si>
    <t xml:space="preserve">        zz_NSLUMB050_22556 - 4×4-12' ROUGH APPEARANCE GRADE CEDAR</t>
  </si>
  <si>
    <t xml:space="preserve">        zz_NSLUMB050_22556 - 4×6-8' ROUGH APPEARANCE GRADE CEDAR</t>
  </si>
  <si>
    <t xml:space="preserve">        zz_NSLUMB050_22556 - 4×6-14' ROUGH APPEARANCE GRADE CEDAR</t>
  </si>
  <si>
    <t xml:space="preserve">        zz_NSLUMB050_24449 - 6×6-8' ROUGH APPEARANCE GRADE CEDAR</t>
  </si>
  <si>
    <t xml:space="preserve">        zz_NSLUMB050_24450 - 6×8-8' ROUGH APPEARANCE GRADE CEDAR</t>
  </si>
  <si>
    <t xml:space="preserve">        zz_NSLUMB050_22557 - 6×6-14' ROUGH APPEARANCE GRADE CEDAR</t>
  </si>
  <si>
    <t xml:space="preserve">        zz_NSSIDE_66352 - 5/16×6.25"×12' PRIMED HARDIEPLANK CEDARMILL</t>
  </si>
  <si>
    <t xml:space="preserve">        zz_NSSIDE_66352 - 5/16×12"×12' PRIMED HARDIEPLANK CEDARMILL</t>
  </si>
  <si>
    <t>RW</t>
  </si>
  <si>
    <t xml:space="preserve">        zz_NSMILL - 16" GABLE LOUVER VENT</t>
  </si>
  <si>
    <t xml:space="preserve">        zz_NSBLDMT_150132 - 6"×50' ROLL GALVANIZED VALLEY METAL FLASHING</t>
  </si>
  <si>
    <t>GBM</t>
  </si>
  <si>
    <t xml:space="preserve">        zz_NSMILL - 2×6-20' CON COMMON REDWOOD PLOWED</t>
  </si>
  <si>
    <t>PPTH/HUT</t>
  </si>
  <si>
    <t xml:space="preserve">        zz_NSBLDMT - EZ.4 HORIZONTAL Z PANEL TRIM PRIMED</t>
  </si>
  <si>
    <t xml:space="preserve">        zz_NSBLDMT - EZ.7 TWO PC VERTICAL U PANEL TRIM PRIMED</t>
  </si>
  <si>
    <t xml:space="preserve">        zz_NSBLDMT - EZ.13 ARROW OUTSIDE CORNER TRIM PRIMED</t>
  </si>
  <si>
    <t xml:space="preserve">        FASTNERS</t>
  </si>
  <si>
    <t xml:space="preserve">        zz_NSFASTN_26311 - 3/4"×5" ZINC LAG BOLT</t>
  </si>
  <si>
    <t xml:space="preserve">        zz_NSFASTN_27511 - 1/2"×12" ZINC THREADED ROD</t>
  </si>
  <si>
    <t xml:space="preserve">        zz_NSFASTN_27511 - 5/8"×12" ZINC THREADED ROD</t>
  </si>
  <si>
    <t xml:space="preserve">        zz_NSFASTN_27512 - 1/2"×5-1/2" ZINC HEX BOLT (25/BX)</t>
  </si>
  <si>
    <t xml:space="preserve">        zz_NSFASTN_27877 - 1/2"×5-1/2" ZINC CARRIAGE BOLT (25/BX)</t>
  </si>
  <si>
    <t xml:space="preserve">        zz_NSFASTN_27513 - TIMBERLOK SCREWS 4" 12/BX</t>
  </si>
  <si>
    <t xml:space="preserve">        zz_NSFASTN_27513 - TIMBERLOK SCREWS 6" 12/BX</t>
  </si>
  <si>
    <t xml:space="preserve">        zz_NSFASTN_27513 - 12" OLYLOG SCREW 50/BX</t>
  </si>
  <si>
    <t xml:space="preserve">        zz_NSFASTN_27877 - 1/2"×6" ZINC HEX BOLT (25/BX)</t>
  </si>
  <si>
    <t xml:space="preserve">        zz_NSFASTN_27877 - 5/8"×6" ZINC HEX BOLT (25/BX)</t>
  </si>
  <si>
    <t xml:space="preserve">        zz_NSFASTN_27877 - 5/8"×8" ZINC HEX BOLT</t>
  </si>
  <si>
    <t xml:space="preserve">        zz_NSFASTN_27877 - 5/8"×10" ZINC HEX BOLT (25/BX)</t>
  </si>
  <si>
    <t xml:space="preserve">        zz_NSFASTN_32519 - 1"×6" ZINC HEX BOLT 10/BX</t>
  </si>
  <si>
    <t xml:space="preserve">        zz_NSFASTN_32520 - 1"×8" ZINC HEX BOLT 10/BX</t>
  </si>
  <si>
    <t xml:space="preserve">        zz_NSFASTN_32521 - 1"×9" ZINC HEX BOLT 10/BX</t>
  </si>
  <si>
    <t xml:space="preserve">        zz_NSFASTN_32522 - 1/4×2-1/2" HOT DIP GALV LAG SCREW 100/BX</t>
  </si>
  <si>
    <t xml:space="preserve">        zz_NSFASTN_32522 - 1/4" HOT DIP GALV HEX NUT 100/BX</t>
  </si>
  <si>
    <t xml:space="preserve">        zz_NSFASTN_27513 - 1/4" HOT DIP GALV FLAT WASHER 1# BOX 149/BX</t>
  </si>
  <si>
    <t>End of Misc SPO</t>
  </si>
  <si>
    <t>Truss Materials</t>
  </si>
  <si>
    <t xml:space="preserve">        2X4 SPF #2</t>
  </si>
  <si>
    <t xml:space="preserve">        2X6 SPF #2</t>
  </si>
  <si>
    <t xml:space="preserve">        2X4 SPF 1650</t>
  </si>
  <si>
    <t xml:space="preserve">        2X4 DF 1800</t>
  </si>
  <si>
    <t xml:space="preserve">        2X6 DF 1800</t>
  </si>
  <si>
    <t xml:space="preserve">        2X8 DF 1950</t>
  </si>
  <si>
    <t xml:space="preserve">        2X10 DF 1950</t>
  </si>
  <si>
    <t xml:space="preserve">        2X4 DF 2400</t>
  </si>
  <si>
    <t xml:space="preserve">        2X6 DF 2400</t>
  </si>
  <si>
    <t xml:space="preserve">        2X4 DF 2850</t>
  </si>
  <si>
    <t>End of Truss Materials</t>
  </si>
  <si>
    <t>P1222</t>
  </si>
  <si>
    <t>P1122</t>
  </si>
  <si>
    <t>P1022</t>
  </si>
  <si>
    <t>P0922</t>
  </si>
  <si>
    <t>P0822</t>
  </si>
  <si>
    <t>P0722</t>
  </si>
  <si>
    <t>P0622</t>
  </si>
  <si>
    <t>BORATE TREATED</t>
  </si>
  <si>
    <t>CEDARTONE TRT</t>
  </si>
  <si>
    <t>STUDS</t>
  </si>
  <si>
    <t>2X DIM</t>
  </si>
  <si>
    <t>WIDES</t>
  </si>
  <si>
    <t>OSB</t>
  </si>
  <si>
    <t>HARDIE</t>
  </si>
  <si>
    <t>TREX</t>
  </si>
  <si>
    <t>SPF #2</t>
  </si>
  <si>
    <t>SPF 1650</t>
  </si>
  <si>
    <t>PANEL</t>
  </si>
  <si>
    <t>P0123</t>
  </si>
  <si>
    <t>P0223</t>
  </si>
  <si>
    <t>SFR ROOF</t>
  </si>
  <si>
    <t>MULTI ROOF</t>
  </si>
  <si>
    <t>MURPHY</t>
  </si>
  <si>
    <t xml:space="preserve">        zz_NSSHEET - 4×8-1/2" DENSHIELD TILE BACKER</t>
  </si>
  <si>
    <t>P0323</t>
  </si>
  <si>
    <t xml:space="preserve">        PT44212E2E - 4/4"X 2-1/2"-16' E2E TRIM FIBER REVERSIBLE COLLINS TRUWOOD</t>
  </si>
  <si>
    <t xml:space="preserve">        PT444 - 4/4" X 4" -16'TRIM FIBER REVERSIBLE COLLINS TRUWOOD</t>
  </si>
  <si>
    <t xml:space="preserve">        PT446 - 4/4" X 6" -16' TRIM FIBER REVERSIBLE COLLINS TRUWOOD</t>
  </si>
  <si>
    <t xml:space="preserve">        PT448 - 4/4" X 8" -16' TRIM FIBER REVERSIBLE COLLINS TRUWOOD</t>
  </si>
  <si>
    <t xml:space="preserve">        PT4410 - 4/4" X 10" -16' TRIM FIBER REVERSIBLE COLLINS TRUWOOD</t>
  </si>
  <si>
    <t xml:space="preserve">        PT4412 - 4/4" X 12" -16' TRIM FIBER REVERSIBLE COLLINS TRUWOOD</t>
  </si>
  <si>
    <t>ABS/AW</t>
  </si>
  <si>
    <t>P0423</t>
  </si>
  <si>
    <t xml:space="preserve">        HC712 -7-1/4"X12'  WDGRN CEMPLANK PRIMED LAP SIDING</t>
  </si>
  <si>
    <t xml:space="preserve">        HC812 -8-1/4"X12'  WDGRN CEMPLANK PRIMED LAP SIDING</t>
  </si>
  <si>
    <t xml:space="preserve">        HC912 -9-1/4"X12'  WDGRN CEMPLANK PRIMED LAP SIDING</t>
  </si>
  <si>
    <t xml:space="preserve">        HC48 - 4'X8' WDGRN CEMPANEL PRIMED </t>
  </si>
  <si>
    <t xml:space="preserve">        HC1212 - 12" X 12' x 1/4" WDGRN CEMPLANK PRIMED LAP SIDING</t>
  </si>
  <si>
    <t xml:space="preserve">        PJF9 - JOINT FLASH POLY 6"X9.25" 100/BND</t>
  </si>
  <si>
    <t xml:space="preserve">        A35Z - SST A35Z FRAMING ANCHOR ZMAX</t>
  </si>
  <si>
    <t>VAV 2</t>
  </si>
  <si>
    <t xml:space="preserve">        zz_HUC610  - HUC610 SST JOIST HANGER HD 6X10 CONCEALED</t>
  </si>
  <si>
    <t xml:space="preserve">        LS50Z - SST LS50 Z-MAX SKEWABLE REINFORCING ANGLE 5"</t>
  </si>
  <si>
    <t xml:space="preserve">        LUS26-2Z - SST LUS26 LIGHT DBL SHEAR 2X6 Z-MAX</t>
  </si>
  <si>
    <t xml:space="preserve">        THA422-2 - SST THA422-2/ADJUSTABLE TRUSS HANGER 10/CTN</t>
  </si>
  <si>
    <t>BSLN/PP/VAV</t>
  </si>
  <si>
    <t>ALL MULTI</t>
  </si>
  <si>
    <t>BSLN/SB/VAV3</t>
  </si>
  <si>
    <t>PP/ VAV2</t>
  </si>
  <si>
    <t>BH/PP/VAV2</t>
  </si>
  <si>
    <t>BSLN/VAV3</t>
  </si>
  <si>
    <t>BLSN/VAV3</t>
  </si>
  <si>
    <t>BH/MC</t>
  </si>
  <si>
    <t>ALL SINGLE FAM</t>
  </si>
  <si>
    <t>BUFFALO/RV</t>
  </si>
  <si>
    <t>HUT/VAV2</t>
  </si>
  <si>
    <t>VAV3</t>
  </si>
  <si>
    <t>BH/MC/PP/RV</t>
  </si>
  <si>
    <t>BH/RV</t>
  </si>
  <si>
    <t>PPTH/VAV2</t>
  </si>
  <si>
    <t>BH/VAV2</t>
  </si>
  <si>
    <t>BH/MC/RV/VAV2</t>
  </si>
  <si>
    <t>RIDGELINE</t>
  </si>
  <si>
    <t>ALL (EXCL BH)</t>
  </si>
  <si>
    <t xml:space="preserve">        AC4Z - SST AC4 Z-MAX POST CAP 4X 20/CTN</t>
  </si>
  <si>
    <t xml:space="preserve">        zz_NSBLDMNTHNGR  - MGU5.50-SDS HIGH CAPACITY GIRDER HANGER</t>
  </si>
  <si>
    <t xml:space="preserve">        zz_VGT - VGT SST VARIABLE GIRDER TIEDOWN</t>
  </si>
  <si>
    <t>P0523</t>
  </si>
  <si>
    <t>FLOOR TRUSSES</t>
  </si>
  <si>
    <t>P0623</t>
  </si>
  <si>
    <t xml:space="preserve">        2128DF - 2X12X8 #2 AND BTR DOUG FIR</t>
  </si>
  <si>
    <t>P0723</t>
  </si>
  <si>
    <t xml:space="preserve">        zz_NSLUMB050_22560 - 4×8-16' R/S CEDARTONE TREATED</t>
  </si>
  <si>
    <t xml:space="preserve">        zz_NSLUMB050_22561 - 4×12-16' R/S CEDARTONE TREATED</t>
  </si>
  <si>
    <t xml:space="preserve">        zz_NSLUMB050_24448 - 4×4-16' S4S CEDARTONE TREATED</t>
  </si>
  <si>
    <t xml:space="preserve">        zz_NSLUMB050_22559 - 4×6-8' S4S CEDARTONE TREATED</t>
  </si>
  <si>
    <t>P0823</t>
  </si>
  <si>
    <t xml:space="preserve">        zz_NSLUMB - 2×12-20' REDWOOD FOHC OR CEDAR</t>
  </si>
  <si>
    <t>P0923</t>
  </si>
  <si>
    <t>BH</t>
  </si>
  <si>
    <t xml:space="preserve">        zz_NSLUMB050_22559 - 2×10-20' S4S CEDARTONE TREATED</t>
  </si>
  <si>
    <t xml:space="preserve">        HCS164SH - 16" X 48" STAGGARD WDGRN PRIMED CEMENT SHAKE PANELS (300/UNT)</t>
  </si>
  <si>
    <t>P1023</t>
  </si>
  <si>
    <t>P11 2023 NOV 10/13/23</t>
  </si>
  <si>
    <t>P1123</t>
  </si>
  <si>
    <t>P1223</t>
  </si>
  <si>
    <t>P12 2023 DEC 11/10/23</t>
  </si>
  <si>
    <t xml:space="preserve"> </t>
  </si>
  <si>
    <t>P01 2024 JAN 12/08/23</t>
  </si>
  <si>
    <t>P0124</t>
  </si>
  <si>
    <t>P02 2024 FEB 01/12/24</t>
  </si>
  <si>
    <t>P0224</t>
  </si>
  <si>
    <t>P03 2024 MAR 02/09/24</t>
  </si>
  <si>
    <t>P0324</t>
  </si>
  <si>
    <t>P04 2024 APR 03/08/24</t>
  </si>
  <si>
    <t>P0424</t>
  </si>
  <si>
    <t>P05 2024 MAY 04/12/24</t>
  </si>
  <si>
    <t>P0524</t>
  </si>
  <si>
    <t>P06 2024 MAY 05/10/24</t>
  </si>
  <si>
    <t>P0624</t>
  </si>
  <si>
    <t>P06 2024 JUNE 05/10/24</t>
  </si>
  <si>
    <t>P07 2024 JULY 06/14/24</t>
  </si>
  <si>
    <t>P0724</t>
  </si>
  <si>
    <t>P08 2024 AUGUST 07/12/24</t>
  </si>
  <si>
    <t>P0824</t>
  </si>
  <si>
    <t>P09 2024 SEPTEMBER 08/09/24</t>
  </si>
  <si>
    <t>P0924</t>
  </si>
  <si>
    <t>P10 2024 OCTOBER 09/13/24</t>
  </si>
  <si>
    <t>P1024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</si>
</sst>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2" fontId="0" fillId="0" borderId="0" xfId="0" applyNumberFormat="1" applyAlignment="1">
      <alignment horizontal="center"/>
    </xf>
    <xf numFmtId="49" fontId="0" fillId="0" borderId="0" xfId="0" applyNumberFormat="1"/>
    <xf numFmtId="2" fontId="0" fillId="0" borderId="0" xfId="0" applyNumberFormat="1"/>
    <xf numFmtId="49" fontId="0" fillId="0" borderId="1" xfId="0" applyNumberFormat="1" applyBorder="1"/>
    <xf numFmtId="2" fontId="0" fillId="2" borderId="1" xfId="0" applyNumberFormat="1" applyFill="1" applyBorder="1"/>
    <xf numFmtId="2" fontId="0" fillId="0" borderId="0" xfId="1" applyNumberFormat="1" applyFont="1"/>
    <xf numFmtId="9" fontId="0" fillId="0" borderId="0" xfId="2" applyFont="1" applyFill="1"/>
    <xf numFmtId="2" fontId="0" fillId="0" borderId="1" xfId="0" applyNumberFormat="1" applyBorder="1"/>
    <xf numFmtId="2" fontId="0" fillId="3" borderId="1" xfId="0" applyNumberFormat="1" applyFill="1" applyBorder="1"/>
    <xf numFmtId="9" fontId="2" fillId="0" borderId="0" xfId="0" applyNumberFormat="1" applyFont="1"/>
    <xf numFmtId="2" fontId="0" fillId="4" borderId="1" xfId="0" applyNumberFormat="1" applyFill="1" applyBorder="1"/>
    <xf numFmtId="2" fontId="0" fillId="5" borderId="1" xfId="0" applyNumberFormat="1" applyFill="1" applyBorder="1"/>
    <xf numFmtId="2" fontId="0" fillId="0" borderId="0" xfId="1" applyNumberFormat="1" applyFont="1" applyFill="1"/>
    <xf numFmtId="2" fontId="3" fillId="5" borderId="1" xfId="0" applyNumberFormat="1" applyFont="1" applyFill="1" applyBorder="1"/>
    <xf numFmtId="2" fontId="0" fillId="0" borderId="2" xfId="0" applyNumberFormat="1" applyBorder="1"/>
    <xf numFmtId="0" fontId="0" fillId="5" borderId="1" xfId="0" applyFill="1" applyBorder="1"/>
    <xf numFmtId="49" fontId="0" fillId="3" borderId="1" xfId="0" applyNumberFormat="1" applyFill="1" applyBorder="1"/>
    <xf numFmtId="0" fontId="0" fillId="0" borderId="0" xfId="0" applyAlignment="1">
      <alignment horizontal="right"/>
    </xf>
    <xf numFmtId="9" fontId="0" fillId="0" borderId="0" xfId="0" applyNumberFormat="1"/>
    <xf numFmtId="16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9" fontId="0" fillId="2" borderId="1" xfId="0" applyNumberFormat="1" applyFill="1" applyBorder="1"/>
    <xf numFmtId="49" fontId="0" fillId="4" borderId="1" xfId="0" applyNumberFormat="1" applyFill="1" applyBorder="1"/>
    <xf numFmtId="9" fontId="0" fillId="0" borderId="0" xfId="2" applyFont="1" applyAlignment="1">
      <alignment horizontal="right"/>
    </xf>
    <xf numFmtId="2" fontId="0" fillId="6" borderId="1" xfId="0" applyNumberFormat="1" applyFill="1" applyBorder="1"/>
    <xf numFmtId="9" fontId="0" fillId="5" borderId="0" xfId="0" applyNumberFormat="1" applyFill="1"/>
    <xf numFmtId="4" fontId="0" fillId="0" borderId="0" xfId="0" applyNumberFormat="1"/>
    <xf numFmtId="0" fontId="3" fillId="0" borderId="0" xfId="0" applyFont="1"/>
    <xf numFmtId="49" fontId="0" fillId="7" borderId="1" xfId="0" applyNumberFormat="1" applyFill="1" applyBorder="1"/>
    <xf numFmtId="9" fontId="0" fillId="0" borderId="0" xfId="2" applyFont="1"/>
    <xf numFmtId="9" fontId="0" fillId="0" borderId="0" xfId="2" applyFont="1" applyFill="1" applyAlignment="1">
      <alignment horizontal="right"/>
    </xf>
    <xf numFmtId="10" fontId="0" fillId="0" borderId="0" xfId="2" applyNumberFormat="1" applyFont="1" applyAlignment="1">
      <alignment horizontal="right"/>
    </xf>
    <xf numFmtId="2" fontId="3" fillId="4" borderId="1" xfId="0" applyNumberFormat="1" applyFont="1" applyFill="1" applyBorder="1"/>
    <xf numFmtId="49" fontId="2" fillId="0" borderId="0" xfId="0" applyNumberFormat="1" applyFont="1"/>
    <xf numFmtId="14" fontId="0" fillId="0" borderId="0" xfId="0" applyNumberFormat="1" applyAlignment="1">
      <alignment horizontal="center"/>
    </xf>
    <xf numFmtId="49" fontId="2" fillId="2" borderId="0" xfId="0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19"/>
  <sheetViews>
    <sheetView workbookViewId="0"/>
  </sheetViews>
  <sheetFormatPr defaultRowHeight="15" x14ac:dyDescent="0.25"/>
  <cols>
    <col min="1" max="1" width="16.28515625" style="18" bestFit="1" customWidth="1"/>
    <col min="2" max="27" width="16.28515625" style="18" customWidth="1"/>
    <col min="28" max="30" width="9.140625" style="19"/>
  </cols>
  <sheetData>
    <row r="2" spans="1:30" x14ac:dyDescent="0.25">
      <c r="B2" s="19" t="s">
        <v>531</v>
      </c>
      <c r="C2" s="19" t="s">
        <v>529</v>
      </c>
      <c r="D2" s="19" t="s">
        <v>527</v>
      </c>
      <c r="E2" s="19" t="s">
        <v>525</v>
      </c>
      <c r="F2" s="19" t="s">
        <v>522</v>
      </c>
      <c r="G2" s="19" t="s">
        <v>520</v>
      </c>
      <c r="H2" s="19" t="s">
        <v>518</v>
      </c>
      <c r="I2" s="19" t="s">
        <v>516</v>
      </c>
      <c r="J2" s="19" t="s">
        <v>514</v>
      </c>
      <c r="K2" s="19" t="s">
        <v>512</v>
      </c>
      <c r="L2" s="19" t="s">
        <v>508</v>
      </c>
      <c r="M2" s="19" t="s">
        <v>507</v>
      </c>
      <c r="N2" s="19" t="s">
        <v>505</v>
      </c>
      <c r="O2" s="19" t="s">
        <v>501</v>
      </c>
      <c r="P2" s="19" t="s">
        <v>499</v>
      </c>
      <c r="Q2" s="19" t="s">
        <v>494</v>
      </c>
      <c r="R2" s="19" t="s">
        <v>492</v>
      </c>
      <c r="S2" s="19" t="s">
        <v>490</v>
      </c>
      <c r="T2" s="19" t="s">
        <v>455</v>
      </c>
      <c r="U2" s="19" t="s">
        <v>447</v>
      </c>
      <c r="V2" s="19" t="s">
        <v>442</v>
      </c>
      <c r="W2" s="19" t="s">
        <v>441</v>
      </c>
      <c r="X2" s="19" t="s">
        <v>423</v>
      </c>
      <c r="Y2" s="19" t="s">
        <v>424</v>
      </c>
      <c r="Z2" s="19" t="s">
        <v>425</v>
      </c>
      <c r="AA2" s="19" t="s">
        <v>426</v>
      </c>
      <c r="AB2" s="19" t="s">
        <v>427</v>
      </c>
      <c r="AC2" s="19" t="s">
        <v>428</v>
      </c>
      <c r="AD2" s="19" t="s">
        <v>429</v>
      </c>
    </row>
    <row r="3" spans="1:30" x14ac:dyDescent="0.25">
      <c r="A3" s="18" t="s">
        <v>430</v>
      </c>
      <c r="B3" s="19">
        <f>AVERAGE('317421 - P1024'!H4:H9)</f>
        <v>-2.3584905660377364E-2</v>
      </c>
      <c r="C3" s="19">
        <f>AVERAGE('316556 - P0924'!H4:H9)</f>
        <v>5.0832952147673777E-2</v>
      </c>
      <c r="D3" s="19">
        <f>AVERAGE('315805 - P0824'!H4:H9)</f>
        <v>-5.6069526212503502E-2</v>
      </c>
      <c r="E3" s="19">
        <f>AVERAGE('315019 - P0724'!H4:H9)</f>
        <v>-1.0852673353797151E-2</v>
      </c>
      <c r="F3" s="19">
        <f>AVERAGE('314020 - P0624'!H4:H9)</f>
        <v>-1.4164305949008499E-2</v>
      </c>
      <c r="G3" s="19">
        <f>AVERAGE('310785 - P0524'!H4:H9)</f>
        <v>-7.9673310365720493E-2</v>
      </c>
      <c r="H3" s="19">
        <f>AVERAGE('305245 - P0424'!H4:H9)</f>
        <v>7.9149803381268119E-2</v>
      </c>
      <c r="I3" s="19">
        <f>AVERAGE('301055 - P0324'!H4:H9)</f>
        <v>-5.043238318076556E-2</v>
      </c>
      <c r="J3" s="19">
        <f>AVERAGE('297195 - P0224'!H4:H9)</f>
        <v>6.1523034824005694E-2</v>
      </c>
      <c r="K3" s="19">
        <f>AVERAGE('294130 - P0124'!H4:H9)</f>
        <v>6.3770285730427534E-2</v>
      </c>
      <c r="L3" s="19">
        <f>AVERAGE('290710 - P1223'!H4:H9)</f>
        <v>-4.9487243170495097E-2</v>
      </c>
      <c r="M3" s="19">
        <v>-3.8649958546091323E-2</v>
      </c>
      <c r="N3" s="19">
        <v>-5.7091201561844794E-2</v>
      </c>
      <c r="O3" s="19">
        <v>-2.3923444976076555E-2</v>
      </c>
      <c r="P3" s="19">
        <v>-1.3315579227696404E-2</v>
      </c>
      <c r="Q3" s="19">
        <v>-6.8158336740444442E-2</v>
      </c>
      <c r="R3" s="19">
        <v>-7.9759119307141902E-3</v>
      </c>
      <c r="S3" s="19">
        <v>5.8667374203677175E-3</v>
      </c>
      <c r="T3" s="19">
        <v>-4.4982610025752719E-2</v>
      </c>
      <c r="U3" s="19">
        <v>0.13661410180823977</v>
      </c>
      <c r="V3" s="19">
        <v>-9.0231938634685968E-2</v>
      </c>
      <c r="W3" s="19">
        <v>-4.8874944968819695E-2</v>
      </c>
      <c r="X3" s="19">
        <v>3.1214323181832208E-2</v>
      </c>
      <c r="Y3" s="19">
        <v>-6.2776919637413095E-2</v>
      </c>
      <c r="Z3" s="19">
        <v>-7.331509808636566E-2</v>
      </c>
      <c r="AA3" s="19">
        <v>1.1236250149899256E-2</v>
      </c>
      <c r="AB3" s="19">
        <v>-5.3965509128552601E-3</v>
      </c>
      <c r="AC3" s="19">
        <v>-0.2703585203366059</v>
      </c>
      <c r="AD3" s="19">
        <v>-1.1340408083330275E-2</v>
      </c>
    </row>
    <row r="4" spans="1:30" x14ac:dyDescent="0.25">
      <c r="A4" s="18" t="s">
        <v>431</v>
      </c>
      <c r="B4" s="19">
        <f>AVERAGE('317421 - P1024'!H10:H17)</f>
        <v>-3.398317206234075E-2</v>
      </c>
      <c r="C4" s="19">
        <f>AVERAGE('316556 - P0924'!H10:H17)</f>
        <v>6.2000495221169627E-2</v>
      </c>
      <c r="D4" s="19">
        <f>AVERAGE('315805 - P0824'!H10:H17)</f>
        <v>-5.9368374696015469E-2</v>
      </c>
      <c r="E4" s="19">
        <f>AVERAGE('315019 - P0724'!H10:H17)</f>
        <v>9.7106438652550774E-3</v>
      </c>
      <c r="F4" s="19">
        <f>AVERAGE('314020 - P0624'!H10:H17)</f>
        <v>-0.10262663219628419</v>
      </c>
      <c r="G4" s="19">
        <f>AVERAGE('310785 - P0524'!H10:H17)</f>
        <v>-5.093331714047214E-2</v>
      </c>
      <c r="H4" s="19">
        <f>AVERAGE('305245 - P0424'!H10:H17)</f>
        <v>-1.2397815464476037E-2</v>
      </c>
      <c r="I4" s="19">
        <f>AVERAGE('301055 - P0324'!H10:H17)</f>
        <v>-5.0504917483594133E-3</v>
      </c>
      <c r="J4" s="19">
        <f>AVERAGE('297195 - P0224'!H10:H17)</f>
        <v>3.0300727897879628E-2</v>
      </c>
      <c r="K4" s="19">
        <f>AVERAGE('294130 - P0124'!H10:H17)</f>
        <v>-2.803104265035598E-2</v>
      </c>
      <c r="L4" s="19">
        <f>AVERAGE('290710 - P1223'!H10:H17)</f>
        <v>-5.637868624521758E-2</v>
      </c>
      <c r="M4" s="19">
        <v>-4.8408096541052107E-3</v>
      </c>
      <c r="N4" s="19">
        <v>-2.0497661970530191E-2</v>
      </c>
      <c r="O4" s="19">
        <v>3.0921373374299382E-2</v>
      </c>
      <c r="P4" s="19">
        <v>2.490970471432688E-2</v>
      </c>
      <c r="Q4" s="19">
        <v>-4.3069305939355831E-2</v>
      </c>
      <c r="R4" s="19">
        <v>-1.8636232419796128E-2</v>
      </c>
      <c r="S4" s="19">
        <v>-5.1890042488803249E-3</v>
      </c>
      <c r="T4" s="19">
        <v>5.1534239999818108E-4</v>
      </c>
      <c r="U4" s="19">
        <v>8.0751500585454911E-3</v>
      </c>
      <c r="V4" s="19">
        <v>-4.3512818401622785E-2</v>
      </c>
      <c r="W4" s="19">
        <v>1.0374587405534062E-2</v>
      </c>
      <c r="X4" s="19">
        <v>4.9023783518384711E-2</v>
      </c>
      <c r="Y4" s="19">
        <v>-5.4623712404979041E-2</v>
      </c>
      <c r="Z4" s="19">
        <v>-1.0266920171625134E-3</v>
      </c>
      <c r="AA4" s="19">
        <v>0.12522389163909681</v>
      </c>
      <c r="AB4" s="19">
        <v>-0.11886124527550194</v>
      </c>
      <c r="AC4" s="19">
        <v>-0.11721190032170101</v>
      </c>
      <c r="AD4" s="19">
        <v>-0.18442291784125145</v>
      </c>
    </row>
    <row r="5" spans="1:30" x14ac:dyDescent="0.25">
      <c r="A5" s="18" t="s">
        <v>432</v>
      </c>
      <c r="B5" s="19">
        <f>AVERAGE('317421 - P1024'!H27,'317421 - P1024'!H30)</f>
        <v>0.10171212662514174</v>
      </c>
      <c r="C5" s="19">
        <f>AVERAGE('316556 - P0924'!H27,'316556 - P0924'!H30)</f>
        <v>1.9566410759406811E-2</v>
      </c>
      <c r="D5" s="19">
        <f>AVERAGE('315805 - P0824'!H27,'315805 - P0824'!H30)</f>
        <v>-6.1563397503341201E-2</v>
      </c>
      <c r="E5" s="19">
        <f>AVERAGE('315019 - P0724'!H27,'315019 - P0724'!H30)</f>
        <v>-3.237441190366866E-2</v>
      </c>
      <c r="F5" s="19">
        <f>AVERAGE('314020 - P0624'!H27,'314020 - P0624'!H30)</f>
        <v>-0.11327692034213774</v>
      </c>
      <c r="G5" s="19">
        <f>AVERAGE('310785 - P0524'!H27,'310785 - P0524'!H30)</f>
        <v>1.2376237623762377E-2</v>
      </c>
      <c r="H5" s="19">
        <f>AVERAGE('305245 - P0424'!H27,'305245 - P0424'!H30)</f>
        <v>8.4355296889073644E-2</v>
      </c>
      <c r="I5" s="19">
        <f>AVERAGE('301055 - P0324'!H27,'301055 - P0324'!H30)</f>
        <v>8.9527308634375913E-3</v>
      </c>
      <c r="J5" s="19">
        <f>AVERAGE('297195 - P0224'!H27,'297195 - P0224'!H30)</f>
        <v>2.2893772893772896E-2</v>
      </c>
      <c r="K5" s="19">
        <f>AVERAGE('294130 - P0124'!H27,'294130 - P0124'!H30)</f>
        <v>8.035651377439583E-2</v>
      </c>
      <c r="L5" s="19">
        <f>AVERAGE('290710 - P1223'!H27,'290710 - P1223'!H30)</f>
        <v>-3.6904485495784421E-2</v>
      </c>
      <c r="M5" s="19">
        <v>-0.10591745832898354</v>
      </c>
      <c r="N5" s="19">
        <v>1.3202391017015752E-2</v>
      </c>
      <c r="O5" s="19">
        <v>-0.1210808685213888</v>
      </c>
      <c r="P5" s="19">
        <v>0.1175765294414613</v>
      </c>
      <c r="Q5" s="19">
        <v>-5.547821814608582E-2</v>
      </c>
      <c r="R5" s="19">
        <v>4.4404973357015983E-3</v>
      </c>
      <c r="S5" s="19">
        <v>4.3112648998438391E-2</v>
      </c>
      <c r="T5" s="19">
        <v>-6.7774961022230129E-2</v>
      </c>
      <c r="U5" s="19">
        <v>0.2057819874984054</v>
      </c>
      <c r="V5" s="19">
        <v>-2.1336776628127555E-2</v>
      </c>
      <c r="W5" s="19">
        <v>-0.17033673167124988</v>
      </c>
      <c r="X5" s="19">
        <v>-3.5029642553339235E-2</v>
      </c>
      <c r="Y5" s="19">
        <v>-6.5710594951501916E-2</v>
      </c>
      <c r="Z5" s="19">
        <v>-6.5160693878698578E-2</v>
      </c>
      <c r="AA5" s="19">
        <v>1.2768685011971702E-2</v>
      </c>
      <c r="AB5" s="19">
        <v>0.10457909783332713</v>
      </c>
      <c r="AC5" s="19">
        <v>-0.42898941336441332</v>
      </c>
      <c r="AD5" s="19">
        <v>9.04614437669507E-2</v>
      </c>
    </row>
    <row r="6" spans="1:30" x14ac:dyDescent="0.25">
      <c r="A6" s="18" t="s">
        <v>433</v>
      </c>
      <c r="B6" s="19">
        <f>AVERAGE('317421 - P1024'!H34:H49)</f>
        <v>4.4352044352044366E-2</v>
      </c>
      <c r="C6" s="19">
        <f>AVERAGE('316556 - P0924'!H34:H49)</f>
        <v>7.1031746031746043E-2</v>
      </c>
      <c r="D6" s="19">
        <f>AVERAGE('315805 - P0824'!H34:H49)</f>
        <v>-4.0472517658520751E-2</v>
      </c>
      <c r="E6" s="19">
        <f>AVERAGE('315019 - P0724'!H34:H49)</f>
        <v>-3.4579297820823252E-2</v>
      </c>
      <c r="F6" s="19">
        <f>AVERAGE('314020 - P0624'!H34:H49)</f>
        <v>-0.114962962962963</v>
      </c>
      <c r="G6" s="19">
        <f>AVERAGE('310785 - P0524'!H34:H49)</f>
        <v>2.3397256873332082E-2</v>
      </c>
      <c r="H6" s="19">
        <f>AVERAGE('305245 - P0424'!H34:H49)</f>
        <v>7.1494727842690203E-2</v>
      </c>
      <c r="I6" s="19">
        <f>AVERAGE('301055 - P0324'!H34:H49)</f>
        <v>8.5144927536231901E-3</v>
      </c>
      <c r="J6" s="19">
        <f>AVERAGE('297195 - P0224'!H34:H49)</f>
        <v>3.9823008849557529E-2</v>
      </c>
      <c r="K6" s="19">
        <f>AVERAGE('294130 - P0124'!H34:H49)</f>
        <v>8.1562557244916636E-2</v>
      </c>
      <c r="L6" s="19">
        <f>AVERAGE('290710 - P1223'!H34:H49)</f>
        <v>-5.4121599475581768E-2</v>
      </c>
      <c r="M6" s="19">
        <v>-6.3649425287356329E-2</v>
      </c>
      <c r="N6" s="19">
        <v>-4.4584316810910032E-2</v>
      </c>
      <c r="O6" s="19">
        <v>-4.991419610627848E-2</v>
      </c>
      <c r="P6" s="19">
        <v>0.10267471958584985</v>
      </c>
      <c r="Q6" s="19">
        <v>-3.6881419234360419E-2</v>
      </c>
      <c r="R6" s="19">
        <v>1.7992816687387767E-2</v>
      </c>
      <c r="S6" s="19">
        <v>0.16017747125753401</v>
      </c>
      <c r="T6" s="19">
        <v>-0.17515151515151514</v>
      </c>
      <c r="U6" s="19">
        <v>0.21153846153846151</v>
      </c>
      <c r="V6" s="19">
        <v>-9.558378705384149E-2</v>
      </c>
      <c r="W6" s="19">
        <v>-0.12549155678926666</v>
      </c>
      <c r="X6" s="19">
        <v>-2.1545524947449934E-2</v>
      </c>
      <c r="Y6" s="19">
        <v>-3.2297332297332296E-2</v>
      </c>
      <c r="Z6" s="19">
        <v>-6.40880217785844E-2</v>
      </c>
      <c r="AA6" s="19">
        <v>-2.6243331612459134E-2</v>
      </c>
      <c r="AB6" s="19">
        <v>-9.807229932087571E-3</v>
      </c>
      <c r="AC6" s="19">
        <v>-0.39491119691119692</v>
      </c>
      <c r="AD6" s="19">
        <v>-1.9615789058051426E-2</v>
      </c>
    </row>
    <row r="7" spans="1:30" x14ac:dyDescent="0.25">
      <c r="A7" s="18" t="s">
        <v>434</v>
      </c>
      <c r="B7" s="19">
        <f>AVERAGE('317421 - P1024'!H72:H89)</f>
        <v>0.18416319194673222</v>
      </c>
      <c r="C7" s="19">
        <f>AVERAGE('316556 - P0924'!H72:H89)</f>
        <v>-1.7491972782575069E-2</v>
      </c>
      <c r="D7" s="19">
        <f>AVERAGE('315805 - P0824'!H72:H89)</f>
        <v>-1.840882915793218E-3</v>
      </c>
      <c r="E7" s="19">
        <f>AVERAGE('315019 - P0724'!H72:H89)</f>
        <v>-4.7013687897929021E-3</v>
      </c>
      <c r="F7" s="19">
        <f>AVERAGE('314020 - P0624'!H72:H89)</f>
        <v>-4.0882991728250093E-2</v>
      </c>
      <c r="G7" s="19">
        <f>AVERAGE('310785 - P0524'!H72:H89)</f>
        <v>4.1974342986016065E-2</v>
      </c>
      <c r="H7" s="19">
        <f>AVERAGE('305245 - P0424'!H72:H89)</f>
        <v>2.7407007672404872E-2</v>
      </c>
      <c r="I7" s="19">
        <f>AVERAGE('301055 - P0324'!H72:H89)</f>
        <v>3.2917644040463268E-2</v>
      </c>
      <c r="J7" s="19">
        <f>AVERAGE('297195 - P0224'!H72:H89)</f>
        <v>0.25756841715541906</v>
      </c>
      <c r="K7" s="19">
        <f>AVERAGE('294130 - P0124'!H72:H89)</f>
        <v>-0.32808159473205412</v>
      </c>
      <c r="L7" s="19">
        <f>AVERAGE('290710 - P1223'!H72:H89)</f>
        <v>-4.6512009187636351E-2</v>
      </c>
      <c r="M7" s="19">
        <v>-5.739555253728959E-2</v>
      </c>
      <c r="N7" s="19">
        <v>-2.4083666269793566E-2</v>
      </c>
      <c r="O7" s="19">
        <v>-1.1614059779218429E-2</v>
      </c>
      <c r="P7" s="19">
        <v>0.19000245862814522</v>
      </c>
      <c r="Q7" s="19">
        <v>-7.0732409428652721E-2</v>
      </c>
      <c r="R7" s="19">
        <v>-7.0765504614838159E-2</v>
      </c>
      <c r="S7" s="19">
        <v>-5.8927092054528306E-2</v>
      </c>
      <c r="T7" s="19">
        <v>-4.3561882219781169E-2</v>
      </c>
      <c r="U7" s="19">
        <v>2.8070519733988802E-2</v>
      </c>
      <c r="V7" s="19">
        <v>-9.1690643993275603E-2</v>
      </c>
      <c r="W7" s="19">
        <v>-7.8966596494880872E-2</v>
      </c>
      <c r="X7" s="19">
        <v>6.6063441833245751E-2</v>
      </c>
      <c r="Y7" s="19">
        <v>0.10092701056707355</v>
      </c>
      <c r="Z7" s="19">
        <v>-6.9013101010632905E-2</v>
      </c>
      <c r="AA7" s="19">
        <v>-3.2292373787153973E-2</v>
      </c>
      <c r="AB7" s="19">
        <v>-4.0453915534293422E-2</v>
      </c>
      <c r="AC7" s="19">
        <v>-0.19691656739908442</v>
      </c>
      <c r="AD7" s="19">
        <v>5.7297002108225113E-3</v>
      </c>
    </row>
    <row r="8" spans="1:30" x14ac:dyDescent="0.25">
      <c r="A8" s="18" t="s">
        <v>435</v>
      </c>
      <c r="B8" s="19">
        <f>AVERAGE('317421 - P1024'!H93:H97)</f>
        <v>-9.1346437056963881E-3</v>
      </c>
      <c r="C8" s="19">
        <f>AVERAGE('316556 - P0924'!H93:H97)</f>
        <v>-2.4919932896141531E-2</v>
      </c>
      <c r="D8" s="19">
        <f>AVERAGE('315805 - P0824'!H93:H97)</f>
        <v>-0.10430405646063494</v>
      </c>
      <c r="E8" s="19">
        <f>AVERAGE('315019 - P0724'!H93:H97)</f>
        <v>-0.11253405194069296</v>
      </c>
      <c r="F8" s="19">
        <f>AVERAGE('314020 - P0624'!H93:H97)</f>
        <v>-0.1907706629995449</v>
      </c>
      <c r="G8" s="19">
        <f>AVERAGE('310785 - P0524'!H93:H97)</f>
        <v>0.27694422689910175</v>
      </c>
      <c r="H8" s="19">
        <f>AVERAGE('305245 - P0424'!H93:H97)</f>
        <v>9.0021658810039498E-2</v>
      </c>
      <c r="I8" s="19">
        <f>AVERAGE('301055 - P0324'!H93:H97)</f>
        <v>-7.0619714598677052E-2</v>
      </c>
      <c r="J8" s="19">
        <f>AVERAGE('297195 - P0224'!H93:H97)</f>
        <v>0</v>
      </c>
      <c r="K8" s="19">
        <f>AVERAGE('294130 - P0124'!H93:H97)</f>
        <v>9.3964589520730141E-2</v>
      </c>
      <c r="L8" s="19">
        <f>AVERAGE('290710 - P1223'!H93:H97)</f>
        <v>0.14096997693537633</v>
      </c>
      <c r="M8" s="19">
        <v>-0.31099556217327862</v>
      </c>
      <c r="N8" s="19">
        <v>-8.4227856011213104E-2</v>
      </c>
      <c r="O8" s="19">
        <v>8.9548437370166767E-2</v>
      </c>
      <c r="P8" s="19">
        <v>0.50711676999396815</v>
      </c>
      <c r="Q8" s="19">
        <v>0</v>
      </c>
      <c r="R8" s="19">
        <v>0.19671337323371746</v>
      </c>
      <c r="S8" s="19">
        <v>-2.5077908003286343E-2</v>
      </c>
      <c r="T8" s="19">
        <v>0</v>
      </c>
      <c r="U8" s="19">
        <v>9.2937173980880694E-3</v>
      </c>
      <c r="V8" s="19">
        <v>-2.215643715577215E-2</v>
      </c>
      <c r="W8" s="19">
        <v>-0.16431280884919391</v>
      </c>
      <c r="X8" s="19">
        <v>1.5869062444404912E-3</v>
      </c>
      <c r="Y8" s="19">
        <v>-5.886543354698083E-2</v>
      </c>
      <c r="Z8" s="19">
        <v>-0.2104614870045769</v>
      </c>
      <c r="AA8" s="19">
        <v>0.14026922452667218</v>
      </c>
      <c r="AB8" s="19">
        <v>-0.20641417343915119</v>
      </c>
      <c r="AC8" s="19">
        <v>-0.31714687890620968</v>
      </c>
      <c r="AD8" s="19">
        <v>-0.23560875592059408</v>
      </c>
    </row>
    <row r="9" spans="1:30" x14ac:dyDescent="0.25">
      <c r="A9" s="18" t="s">
        <v>106</v>
      </c>
      <c r="B9" s="19">
        <f>'317421 - P1024'!H116</f>
        <v>0</v>
      </c>
      <c r="C9" s="19">
        <f>'316556 - P0924'!H116</f>
        <v>0</v>
      </c>
      <c r="D9" s="19">
        <f>'315805 - P0824'!H116</f>
        <v>0</v>
      </c>
      <c r="E9" s="19">
        <f>'315019 - P0724'!H116</f>
        <v>0</v>
      </c>
      <c r="F9" s="19">
        <f>'314020 - P0624'!H116</f>
        <v>0</v>
      </c>
      <c r="G9" s="19">
        <f>'310785 - P0524'!H116</f>
        <v>-3.4245350635066361E-2</v>
      </c>
      <c r="H9" s="19">
        <f>'305245 - P0424'!H116</f>
        <v>0</v>
      </c>
      <c r="I9" s="19">
        <f>'301055 - P0324'!H116</f>
        <v>0</v>
      </c>
      <c r="J9" s="19">
        <f>'297195 - P0224'!H116</f>
        <v>0</v>
      </c>
      <c r="K9" s="19">
        <f>'294130 - P0124'!H116</f>
        <v>0</v>
      </c>
      <c r="L9" s="19">
        <f>'290710 - P1223'!H116</f>
        <v>0</v>
      </c>
      <c r="M9" s="19">
        <v>0</v>
      </c>
      <c r="N9" s="19">
        <v>3.1806615776080744E-4</v>
      </c>
      <c r="O9" s="19">
        <v>3.1806615776080744E-4</v>
      </c>
      <c r="P9" s="19">
        <v>0</v>
      </c>
      <c r="Q9" s="19">
        <v>0</v>
      </c>
      <c r="R9" s="19">
        <v>0</v>
      </c>
      <c r="S9" s="19">
        <v>1.5550960486932547E-2</v>
      </c>
      <c r="T9" s="19">
        <v>0</v>
      </c>
      <c r="U9" s="19">
        <v>0</v>
      </c>
      <c r="V9" s="26">
        <v>-6.7306877172458923E-2</v>
      </c>
      <c r="W9" s="19">
        <v>-4.2956708169673681E-2</v>
      </c>
      <c r="X9" s="19">
        <v>0</v>
      </c>
      <c r="Y9" s="19">
        <v>0</v>
      </c>
      <c r="Z9" s="19">
        <v>0</v>
      </c>
      <c r="AA9" s="19">
        <v>1.0302233849706707E-2</v>
      </c>
      <c r="AB9" s="19">
        <v>8.1663044353215922E-3</v>
      </c>
      <c r="AC9" s="19">
        <v>0</v>
      </c>
      <c r="AD9" s="19">
        <v>0</v>
      </c>
    </row>
    <row r="10" spans="1:30" x14ac:dyDescent="0.25">
      <c r="A10" s="18" t="s">
        <v>436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D10" s="19">
        <v>0.04</v>
      </c>
    </row>
    <row r="11" spans="1:30" x14ac:dyDescent="0.25">
      <c r="A11" s="18" t="s">
        <v>437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D11" s="19">
        <v>0.08</v>
      </c>
    </row>
    <row r="12" spans="1:30" x14ac:dyDescent="0.25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30" x14ac:dyDescent="0.25">
      <c r="A13" s="18" t="s">
        <v>438</v>
      </c>
      <c r="B13" s="19">
        <f>AVERAGE('317421 - P1024'!H416:H417)</f>
        <v>8.1898584905660377E-2</v>
      </c>
      <c r="C13" s="19">
        <f>AVERAGE('316556 - P0924'!H416:H417)</f>
        <v>0.13697240259740259</v>
      </c>
      <c r="D13" s="19">
        <f>AVERAGE('315805 - P0824'!H416:H417)</f>
        <v>-7.4999999999999997E-2</v>
      </c>
      <c r="E13" s="19">
        <f>AVERAGE('315019 - P0724'!H416:H417)</f>
        <v>-2.0306154326772883E-2</v>
      </c>
      <c r="F13" s="19">
        <f>AVERAGE('314020 - P0624'!H416:H417)</f>
        <v>-0.10909992561368709</v>
      </c>
      <c r="G13" s="19">
        <f>AVERAGE('310785 - P0524'!H416:H417)</f>
        <v>-3.2374134120749534E-2</v>
      </c>
      <c r="H13" s="19">
        <f>AVERAGE('305245 - P0424'!H416:H417)</f>
        <v>7.4896744086252215E-2</v>
      </c>
      <c r="I13" s="19">
        <f>AVERAGE('301055 - P0324'!H416:H417)</f>
        <v>-2.1883552271483305E-2</v>
      </c>
      <c r="J13" s="19">
        <f>AVERAGE('297195 - P0224'!H416:H417)</f>
        <v>9.0691997884544961E-2</v>
      </c>
      <c r="K13" s="19">
        <f>AVERAGE('294130 - P0124'!H416:H417)</f>
        <v>1.8636555508653438E-2</v>
      </c>
      <c r="L13" s="19">
        <f>AVERAGE('290710 - P1223'!H416:H417)</f>
        <v>4.6844284095376859E-2</v>
      </c>
      <c r="M13" s="19">
        <v>-8.9893555921430487E-2</v>
      </c>
      <c r="N13" s="19">
        <v>3.8154639175257736E-2</v>
      </c>
      <c r="O13" s="19">
        <v>-0.12436788874841972</v>
      </c>
      <c r="P13" s="19">
        <v>0.1400086491829611</v>
      </c>
      <c r="Q13" s="19">
        <v>-2.6103447265911021E-2</v>
      </c>
      <c r="R13" s="19">
        <v>7.178014766201805E-4</v>
      </c>
      <c r="S13" s="19">
        <v>-3.0893682588597843E-2</v>
      </c>
      <c r="T13" s="19">
        <v>-0.15493042952208108</v>
      </c>
      <c r="U13" s="19">
        <v>0.18416698730280878</v>
      </c>
      <c r="V13" s="19">
        <v>-3.015916078856936E-2</v>
      </c>
      <c r="W13" s="19">
        <v>-8.7832756805534679E-2</v>
      </c>
      <c r="X13" s="19">
        <v>3.0813999840548514E-2</v>
      </c>
      <c r="Y13" s="19">
        <v>-3.6072958204105748E-2</v>
      </c>
      <c r="Z13" s="19">
        <v>-0.12942657342657343</v>
      </c>
      <c r="AA13" s="19">
        <v>-1.2799821915521169E-3</v>
      </c>
      <c r="AB13" s="19">
        <v>0.10930439545392305</v>
      </c>
      <c r="AC13" s="19">
        <v>-0.46136039886039881</v>
      </c>
      <c r="AD13" s="19">
        <v>4.3428087558376981E-2</v>
      </c>
    </row>
    <row r="14" spans="1:30" x14ac:dyDescent="0.25">
      <c r="A14" s="18" t="s">
        <v>439</v>
      </c>
      <c r="B14" s="19">
        <f>'317421 - P1024'!H418</f>
        <v>3.2765399737876802E-2</v>
      </c>
      <c r="C14" s="19">
        <f>'316556 - P0924'!H418</f>
        <v>1.3280212483399735E-2</v>
      </c>
      <c r="D14" s="19">
        <f>'315805 - P0824'!H418</f>
        <v>-5.6390977443609019E-2</v>
      </c>
      <c r="E14" s="19">
        <f>'315019 - P0724'!H418</f>
        <v>-2.4449877750611249E-2</v>
      </c>
      <c r="F14" s="19">
        <f>'314020 - P0624'!H418</f>
        <v>-5.2143684820393978E-2</v>
      </c>
      <c r="G14" s="19">
        <f>'310785 - P0524'!H418</f>
        <v>5.8275058275058279E-3</v>
      </c>
      <c r="H14" s="19">
        <f>'305245 - P0424'!H418</f>
        <v>0</v>
      </c>
      <c r="I14" s="19">
        <f>'301055 - P0324'!H418</f>
        <v>-5.7937427578215531E-3</v>
      </c>
      <c r="J14" s="19">
        <f>'297195 - P0224'!H418</f>
        <v>1.7688679245283018E-2</v>
      </c>
      <c r="K14" s="19">
        <f>'294130 - P0124'!H418</f>
        <v>5.9311981020166073E-3</v>
      </c>
      <c r="L14" s="19">
        <f>'290710 - P1223'!H418</f>
        <v>-5.0675675675675678E-2</v>
      </c>
      <c r="M14" s="19">
        <v>-1.6611295681063124E-2</v>
      </c>
      <c r="N14" s="19">
        <v>1.1198208286674132E-2</v>
      </c>
      <c r="O14" s="19">
        <v>2.880184331797235E-2</v>
      </c>
      <c r="P14" s="19">
        <v>1.6339869281045753E-2</v>
      </c>
      <c r="Q14" s="19">
        <v>0</v>
      </c>
      <c r="R14" s="19">
        <v>6.4267352185089976E-3</v>
      </c>
      <c r="S14" s="19">
        <v>-8.254716981132075E-2</v>
      </c>
      <c r="T14" s="19">
        <v>-2.3041474654377881E-2</v>
      </c>
      <c r="U14" s="19">
        <v>3.5799522673031027E-2</v>
      </c>
      <c r="V14" s="19">
        <v>-0.1160337552742616</v>
      </c>
      <c r="W14" s="19">
        <v>-6.4165844027640667E-2</v>
      </c>
      <c r="X14" s="19">
        <v>2.5303643724696356E-2</v>
      </c>
      <c r="Y14" s="19">
        <v>1.0224948875255624E-2</v>
      </c>
      <c r="Z14" s="19">
        <v>-4.8638132295719845E-2</v>
      </c>
      <c r="AA14" s="19">
        <v>-4.1938490214352281E-2</v>
      </c>
      <c r="AB14" s="19">
        <v>-9.2336103416435829E-3</v>
      </c>
      <c r="AC14" s="19">
        <v>-0.30931122448979592</v>
      </c>
      <c r="AD14" s="19">
        <v>-8.1967213114754092E-2</v>
      </c>
    </row>
    <row r="16" spans="1:30" x14ac:dyDescent="0.25">
      <c r="A16" s="18" t="s">
        <v>440</v>
      </c>
      <c r="B16" s="21" t="s">
        <v>510</v>
      </c>
      <c r="C16" s="21" t="s">
        <v>510</v>
      </c>
      <c r="D16" s="21" t="s">
        <v>510</v>
      </c>
      <c r="E16" s="21" t="s">
        <v>510</v>
      </c>
      <c r="F16" s="21" t="s">
        <v>510</v>
      </c>
      <c r="G16" s="21" t="s">
        <v>510</v>
      </c>
      <c r="H16" s="21" t="s">
        <v>510</v>
      </c>
      <c r="I16" s="21" t="s">
        <v>510</v>
      </c>
      <c r="J16" s="21" t="s">
        <v>510</v>
      </c>
      <c r="K16" s="21" t="s">
        <v>510</v>
      </c>
      <c r="L16" s="21" t="s">
        <v>510</v>
      </c>
      <c r="M16" s="21">
        <v>-0.06</v>
      </c>
      <c r="N16" s="21"/>
      <c r="O16" s="21">
        <v>-0.03</v>
      </c>
      <c r="P16" s="21">
        <v>0.09</v>
      </c>
      <c r="Q16" s="21">
        <v>-0.03</v>
      </c>
      <c r="R16" s="21">
        <v>0.03</v>
      </c>
      <c r="S16" s="21">
        <v>0.01</v>
      </c>
      <c r="T16" s="21">
        <v>-0.04</v>
      </c>
      <c r="U16" s="21">
        <v>0.1</v>
      </c>
      <c r="V16" s="21">
        <v>-0.04</v>
      </c>
      <c r="W16" s="21">
        <v>-0.13</v>
      </c>
      <c r="X16" s="20">
        <v>5.0000000000000001E-3</v>
      </c>
      <c r="Y16" s="21">
        <v>-0.05</v>
      </c>
      <c r="Z16" s="21">
        <v>-0.1</v>
      </c>
      <c r="AA16" s="21">
        <v>0.04</v>
      </c>
    </row>
    <row r="17" spans="1:27" x14ac:dyDescent="0.25">
      <c r="A17" s="18" t="s">
        <v>444</v>
      </c>
      <c r="B17" s="21"/>
      <c r="C17" s="21"/>
      <c r="D17" s="21"/>
      <c r="E17" s="21"/>
      <c r="F17" s="21"/>
      <c r="G17" s="21"/>
      <c r="H17" s="21"/>
      <c r="I17" s="21"/>
      <c r="J17" s="21">
        <v>0.01</v>
      </c>
      <c r="K17" s="21"/>
      <c r="L17" s="21"/>
      <c r="M17" s="21">
        <v>-0.01</v>
      </c>
      <c r="N17" s="21"/>
      <c r="O17" s="21">
        <v>-0.01</v>
      </c>
      <c r="P17" s="21">
        <v>0.06</v>
      </c>
      <c r="Q17" s="21">
        <v>0</v>
      </c>
      <c r="R17" s="21">
        <v>0.01</v>
      </c>
      <c r="S17" s="21">
        <v>-0.01</v>
      </c>
      <c r="T17" s="21">
        <v>-4.4999999999999998E-2</v>
      </c>
      <c r="U17" s="21">
        <v>0.05</v>
      </c>
      <c r="V17" s="21">
        <v>-0.03</v>
      </c>
      <c r="W17" s="21">
        <v>-0.04</v>
      </c>
      <c r="X17" s="20">
        <v>1.4999999999999999E-2</v>
      </c>
      <c r="Y17" s="21">
        <v>-0.01</v>
      </c>
      <c r="Z17" s="21">
        <v>-0.06</v>
      </c>
      <c r="AA17" s="21">
        <v>-0.01</v>
      </c>
    </row>
    <row r="18" spans="1:27" x14ac:dyDescent="0.25">
      <c r="A18" s="18" t="s">
        <v>443</v>
      </c>
      <c r="B18" s="31"/>
      <c r="C18" s="31"/>
      <c r="D18" s="31"/>
      <c r="E18" s="31"/>
      <c r="F18" s="31"/>
      <c r="G18" s="31"/>
      <c r="H18" s="31">
        <v>0.01</v>
      </c>
      <c r="I18" s="31"/>
      <c r="J18" s="31">
        <v>0.01</v>
      </c>
      <c r="K18" s="31"/>
      <c r="L18" s="31"/>
      <c r="M18" s="31">
        <v>-0.01</v>
      </c>
      <c r="N18" s="24"/>
      <c r="O18" s="24">
        <v>-0.02</v>
      </c>
      <c r="P18" s="24">
        <v>7.0000000000000007E-2</v>
      </c>
      <c r="Q18" s="24"/>
      <c r="R18" s="24">
        <v>0.02</v>
      </c>
      <c r="S18" s="24">
        <v>-0.01</v>
      </c>
      <c r="T18" s="24">
        <v>-4.4999999999999998E-2</v>
      </c>
      <c r="U18" s="24">
        <v>0.05</v>
      </c>
      <c r="V18" s="24">
        <v>-0.03</v>
      </c>
    </row>
    <row r="19" spans="1:27" x14ac:dyDescent="0.25">
      <c r="A19" s="18" t="s">
        <v>491</v>
      </c>
      <c r="B19" s="24"/>
      <c r="C19" s="24"/>
      <c r="D19" s="24"/>
      <c r="E19" s="24"/>
      <c r="F19" s="24"/>
      <c r="G19" s="24"/>
      <c r="H19" s="24">
        <v>0.01</v>
      </c>
      <c r="I19" s="24"/>
      <c r="J19" s="24">
        <v>0.01</v>
      </c>
      <c r="K19" s="32"/>
      <c r="L19" s="32"/>
      <c r="M19" s="32">
        <v>-5.0000000000000001E-3</v>
      </c>
      <c r="N19" s="24"/>
      <c r="O19" s="24">
        <v>-0.02</v>
      </c>
      <c r="P19" s="24">
        <v>0.06</v>
      </c>
      <c r="Q19" s="24"/>
      <c r="R19" s="24">
        <v>0.02</v>
      </c>
      <c r="S19" s="24">
        <v>-0.02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94F3-7312-4099-BC1A-0376F5B20A03}">
  <dimension ref="A1:P426"/>
  <sheetViews>
    <sheetView workbookViewId="0">
      <pane ySplit="2" topLeftCell="A3" activePane="bottomLeft" state="frozen"/>
      <selection pane="bottomLeft" activeCell="J4" sqref="J4"/>
    </sheetView>
  </sheetViews>
  <sheetFormatPr defaultColWidth="9.140625" defaultRowHeight="15" x14ac:dyDescent="0.25"/>
  <cols>
    <col min="1" max="1" width="4" bestFit="1" customWidth="1"/>
    <col min="2" max="2" width="17.28515625" customWidth="1"/>
    <col min="3" max="3" width="11.7109375" customWidth="1"/>
    <col min="4" max="4" width="76.7109375" customWidth="1"/>
    <col min="5" max="5" width="28.42578125" style="3" customWidth="1"/>
    <col min="6" max="6" width="29.5703125" style="3" customWidth="1"/>
    <col min="7" max="7" width="8.28515625" style="3" customWidth="1"/>
    <col min="8" max="8" width="7.7109375" style="3" customWidth="1"/>
    <col min="9" max="9" width="28.42578125" style="3" customWidth="1"/>
    <col min="10" max="10" width="29.5703125" customWidth="1"/>
    <col min="16" max="16" width="9.140625" style="30"/>
  </cols>
  <sheetData>
    <row r="1" spans="1:16" x14ac:dyDescent="0.25">
      <c r="E1" s="1" t="s">
        <v>0</v>
      </c>
      <c r="F1" s="1" t="s">
        <v>0</v>
      </c>
      <c r="G1" s="1"/>
      <c r="H1" s="1"/>
      <c r="I1" s="1" t="s">
        <v>1</v>
      </c>
      <c r="J1" s="1" t="s">
        <v>1</v>
      </c>
      <c r="M1" t="s">
        <v>2</v>
      </c>
    </row>
    <row r="2" spans="1:16" x14ac:dyDescent="0.25">
      <c r="B2" t="s">
        <v>3</v>
      </c>
      <c r="C2" t="s">
        <v>4</v>
      </c>
      <c r="D2" t="s">
        <v>5</v>
      </c>
      <c r="E2" s="35">
        <v>45513</v>
      </c>
      <c r="F2" s="35">
        <v>45765</v>
      </c>
      <c r="G2" s="1"/>
      <c r="H2" s="1"/>
      <c r="I2" s="1" t="s">
        <v>528</v>
      </c>
      <c r="J2" s="1" t="s">
        <v>530</v>
      </c>
    </row>
    <row r="3" spans="1:16" x14ac:dyDescent="0.25">
      <c r="A3">
        <v>1</v>
      </c>
      <c r="D3" s="34" t="s">
        <v>6</v>
      </c>
      <c r="M3" t="s">
        <v>7</v>
      </c>
    </row>
    <row r="4" spans="1:16" x14ac:dyDescent="0.25">
      <c r="A4">
        <v>2</v>
      </c>
      <c r="C4" t="s">
        <v>8</v>
      </c>
      <c r="D4" s="4" t="s">
        <v>9</v>
      </c>
      <c r="E4" s="5">
        <v>706</v>
      </c>
      <c r="F4" s="5">
        <v>846</v>
      </c>
      <c r="G4" s="6">
        <f t="shared" ref="G4:G23" si="0">+F4-E4</f>
        <v>140</v>
      </c>
      <c r="H4" s="7">
        <f t="shared" ref="H4:H23" si="1">(F4-E4)/ABS(E4)</f>
        <v>0.19830028328611898</v>
      </c>
      <c r="I4" s="8">
        <v>851.61761297798387</v>
      </c>
      <c r="J4" s="9">
        <f t="shared" ref="J4:J23" si="2">(I4*H4)+I4</f>
        <v>1020.4936268829665</v>
      </c>
      <c r="K4" s="3">
        <f t="shared" ref="K4:K23" si="3">J4-I4</f>
        <v>168.87601390498264</v>
      </c>
      <c r="L4" s="7">
        <f t="shared" ref="L4:L23" si="4">(J4-I4)/ABS(I4)</f>
        <v>0.19830028328611898</v>
      </c>
      <c r="M4" t="s">
        <v>7</v>
      </c>
      <c r="O4" s="3">
        <f>E4-'315805 - P0824'!F4</f>
        <v>35</v>
      </c>
      <c r="P4" s="30">
        <f>I4-'315805 - P0824'!J4</f>
        <v>42.219003476245689</v>
      </c>
    </row>
    <row r="5" spans="1:16" x14ac:dyDescent="0.25">
      <c r="A5">
        <v>3</v>
      </c>
      <c r="D5" s="4" t="s">
        <v>10</v>
      </c>
      <c r="E5" s="8">
        <v>706</v>
      </c>
      <c r="F5" s="8">
        <f>F4</f>
        <v>846</v>
      </c>
      <c r="G5" s="6">
        <f t="shared" si="0"/>
        <v>140</v>
      </c>
      <c r="H5" s="7">
        <f t="shared" si="1"/>
        <v>0.19830028328611898</v>
      </c>
      <c r="I5" s="8">
        <v>851.61761297798387</v>
      </c>
      <c r="J5" s="9">
        <f t="shared" si="2"/>
        <v>1020.4936268829665</v>
      </c>
      <c r="K5" s="3">
        <f t="shared" si="3"/>
        <v>168.87601390498264</v>
      </c>
      <c r="L5" s="7">
        <f t="shared" si="4"/>
        <v>0.19830028328611898</v>
      </c>
      <c r="M5" t="s">
        <v>7</v>
      </c>
      <c r="O5" s="3">
        <f>E5-'315805 - P0824'!F5</f>
        <v>35</v>
      </c>
      <c r="P5" s="30">
        <f>I5-'315805 - P0824'!J5</f>
        <v>42.219003476245689</v>
      </c>
    </row>
    <row r="6" spans="1:16" x14ac:dyDescent="0.25">
      <c r="A6">
        <v>4</v>
      </c>
      <c r="D6" s="4" t="s">
        <v>11</v>
      </c>
      <c r="E6" s="8">
        <v>706</v>
      </c>
      <c r="F6" s="8">
        <f>F4</f>
        <v>846</v>
      </c>
      <c r="G6" s="6">
        <f t="shared" si="0"/>
        <v>140</v>
      </c>
      <c r="H6" s="7">
        <f t="shared" si="1"/>
        <v>0.19830028328611898</v>
      </c>
      <c r="I6" s="8">
        <v>851.61761297798387</v>
      </c>
      <c r="J6" s="9">
        <f t="shared" si="2"/>
        <v>1020.4936268829665</v>
      </c>
      <c r="K6" s="3">
        <f t="shared" si="3"/>
        <v>168.87601390498264</v>
      </c>
      <c r="L6" s="7">
        <f t="shared" si="4"/>
        <v>0.19830028328611898</v>
      </c>
      <c r="M6" t="s">
        <v>7</v>
      </c>
      <c r="O6" s="3">
        <f>E6-'315805 - P0824'!F6</f>
        <v>35</v>
      </c>
      <c r="P6" s="30">
        <f>I6-'315805 - P0824'!J6</f>
        <v>42.219003476245689</v>
      </c>
    </row>
    <row r="7" spans="1:16" x14ac:dyDescent="0.25">
      <c r="A7">
        <v>5</v>
      </c>
      <c r="C7" t="s">
        <v>8</v>
      </c>
      <c r="D7" s="4" t="s">
        <v>12</v>
      </c>
      <c r="E7" s="5">
        <v>636</v>
      </c>
      <c r="F7" s="5">
        <v>751</v>
      </c>
      <c r="G7" s="6">
        <f t="shared" si="0"/>
        <v>115</v>
      </c>
      <c r="H7" s="7">
        <f t="shared" si="1"/>
        <v>0.18081761006289307</v>
      </c>
      <c r="I7" s="8">
        <v>820.97524752475238</v>
      </c>
      <c r="J7" s="9">
        <f t="shared" si="2"/>
        <v>969.42202970297012</v>
      </c>
      <c r="K7" s="3">
        <f t="shared" si="3"/>
        <v>148.44678217821775</v>
      </c>
      <c r="L7" s="7">
        <f t="shared" si="4"/>
        <v>0.18081761006289301</v>
      </c>
      <c r="M7" t="s">
        <v>7</v>
      </c>
      <c r="N7" s="27"/>
      <c r="O7" s="3">
        <f>E7-'315805 - P0824'!F7</f>
        <v>30</v>
      </c>
      <c r="P7" s="30">
        <f>I7-'315805 - P0824'!J7</f>
        <v>38.72524752475249</v>
      </c>
    </row>
    <row r="8" spans="1:16" x14ac:dyDescent="0.25">
      <c r="A8">
        <v>6</v>
      </c>
      <c r="D8" s="4" t="s">
        <v>13</v>
      </c>
      <c r="E8" s="8">
        <v>636</v>
      </c>
      <c r="F8" s="8">
        <f>F7</f>
        <v>751</v>
      </c>
      <c r="G8" s="6">
        <f t="shared" si="0"/>
        <v>115</v>
      </c>
      <c r="H8" s="7">
        <f t="shared" si="1"/>
        <v>0.18081761006289307</v>
      </c>
      <c r="I8" s="8">
        <v>820.97524752475238</v>
      </c>
      <c r="J8" s="9">
        <f t="shared" si="2"/>
        <v>969.42202970297012</v>
      </c>
      <c r="K8" s="3">
        <f t="shared" si="3"/>
        <v>148.44678217821775</v>
      </c>
      <c r="L8" s="7">
        <f t="shared" si="4"/>
        <v>0.18081761006289301</v>
      </c>
      <c r="M8" t="s">
        <v>7</v>
      </c>
      <c r="N8" s="27"/>
      <c r="O8" s="3">
        <f>E8-'315805 - P0824'!F8</f>
        <v>30</v>
      </c>
      <c r="P8" s="30">
        <f>I8-'315805 - P0824'!J8</f>
        <v>38.72524752475249</v>
      </c>
    </row>
    <row r="9" spans="1:16" x14ac:dyDescent="0.25">
      <c r="A9">
        <v>7</v>
      </c>
      <c r="D9" s="4" t="s">
        <v>14</v>
      </c>
      <c r="E9" s="8">
        <v>636</v>
      </c>
      <c r="F9" s="8">
        <f>F7</f>
        <v>751</v>
      </c>
      <c r="G9" s="6">
        <f t="shared" si="0"/>
        <v>115</v>
      </c>
      <c r="H9" s="7">
        <f t="shared" si="1"/>
        <v>0.18081761006289307</v>
      </c>
      <c r="I9" s="8">
        <v>820.97524752475238</v>
      </c>
      <c r="J9" s="9">
        <f t="shared" si="2"/>
        <v>969.42202970297012</v>
      </c>
      <c r="K9" s="3">
        <f t="shared" si="3"/>
        <v>148.44678217821775</v>
      </c>
      <c r="L9" s="7">
        <f t="shared" si="4"/>
        <v>0.18081761006289301</v>
      </c>
      <c r="M9" t="s">
        <v>7</v>
      </c>
      <c r="N9" s="27"/>
      <c r="O9" s="3">
        <f>E9-'315805 - P0824'!F9</f>
        <v>30</v>
      </c>
      <c r="P9" s="30">
        <f>I9-'315805 - P0824'!J9</f>
        <v>38.72524752475249</v>
      </c>
    </row>
    <row r="10" spans="1:16" x14ac:dyDescent="0.25">
      <c r="A10">
        <v>8</v>
      </c>
      <c r="C10" t="s">
        <v>8</v>
      </c>
      <c r="D10" s="4" t="s">
        <v>15</v>
      </c>
      <c r="E10" s="5">
        <v>825</v>
      </c>
      <c r="F10" s="5">
        <v>930</v>
      </c>
      <c r="G10" s="6">
        <f t="shared" si="0"/>
        <v>105</v>
      </c>
      <c r="H10" s="7">
        <f t="shared" si="1"/>
        <v>0.12727272727272726</v>
      </c>
      <c r="I10" s="8">
        <v>1095.682187330807</v>
      </c>
      <c r="J10" s="9">
        <f t="shared" si="2"/>
        <v>1235.1326475365461</v>
      </c>
      <c r="K10" s="3">
        <f t="shared" si="3"/>
        <v>139.45046020573909</v>
      </c>
      <c r="L10" s="7">
        <f t="shared" si="4"/>
        <v>0.12727272727272729</v>
      </c>
      <c r="M10" t="s">
        <v>7</v>
      </c>
      <c r="N10" s="27"/>
      <c r="O10" s="3">
        <f>E10-'315805 - P0824'!F10</f>
        <v>115</v>
      </c>
      <c r="P10" s="30">
        <f>I10-'315805 - P0824'!J10</f>
        <v>152.73145641580948</v>
      </c>
    </row>
    <row r="11" spans="1:16" x14ac:dyDescent="0.25">
      <c r="A11">
        <v>9</v>
      </c>
      <c r="D11" s="4" t="s">
        <v>16</v>
      </c>
      <c r="E11" s="8">
        <v>825</v>
      </c>
      <c r="F11" s="8">
        <f>F10</f>
        <v>930</v>
      </c>
      <c r="G11" s="6">
        <f t="shared" si="0"/>
        <v>105</v>
      </c>
      <c r="H11" s="7">
        <f t="shared" si="1"/>
        <v>0.12727272727272726</v>
      </c>
      <c r="I11" s="8">
        <v>1095.682187330807</v>
      </c>
      <c r="J11" s="9">
        <f t="shared" si="2"/>
        <v>1235.1326475365461</v>
      </c>
      <c r="K11" s="3">
        <f t="shared" si="3"/>
        <v>139.45046020573909</v>
      </c>
      <c r="L11" s="7">
        <f t="shared" si="4"/>
        <v>0.12727272727272729</v>
      </c>
      <c r="M11" t="s">
        <v>7</v>
      </c>
      <c r="N11" s="27"/>
      <c r="O11" s="3">
        <f>E11-'315805 - P0824'!F11</f>
        <v>115</v>
      </c>
      <c r="P11" s="30">
        <f>I11-'315805 - P0824'!J11</f>
        <v>152.73145641580948</v>
      </c>
    </row>
    <row r="12" spans="1:16" x14ac:dyDescent="0.25">
      <c r="A12">
        <v>10</v>
      </c>
      <c r="C12" t="s">
        <v>8</v>
      </c>
      <c r="D12" s="4" t="s">
        <v>17</v>
      </c>
      <c r="E12" s="5">
        <v>710</v>
      </c>
      <c r="F12" s="5">
        <v>790</v>
      </c>
      <c r="G12" s="6">
        <f t="shared" si="0"/>
        <v>80</v>
      </c>
      <c r="H12" s="7">
        <f t="shared" si="1"/>
        <v>0.11267605633802817</v>
      </c>
      <c r="I12" s="8">
        <v>846.92307692307725</v>
      </c>
      <c r="J12" s="9">
        <f t="shared" si="2"/>
        <v>942.35102925243802</v>
      </c>
      <c r="K12" s="3">
        <f t="shared" si="3"/>
        <v>95.427952329360778</v>
      </c>
      <c r="L12" s="7">
        <f t="shared" si="4"/>
        <v>0.11267605633802813</v>
      </c>
      <c r="M12" t="s">
        <v>7</v>
      </c>
      <c r="N12" s="27"/>
      <c r="O12" s="3">
        <f>E12-'315805 - P0824'!F12</f>
        <v>25</v>
      </c>
      <c r="P12" s="30">
        <f>I12-'315805 - P0824'!J12</f>
        <v>29.821235102925243</v>
      </c>
    </row>
    <row r="13" spans="1:16" x14ac:dyDescent="0.25">
      <c r="A13">
        <v>11</v>
      </c>
      <c r="D13" s="4" t="s">
        <v>18</v>
      </c>
      <c r="E13" s="8">
        <v>710</v>
      </c>
      <c r="F13" s="8">
        <f>F12</f>
        <v>790</v>
      </c>
      <c r="G13" s="6">
        <f t="shared" si="0"/>
        <v>80</v>
      </c>
      <c r="H13" s="7">
        <f t="shared" si="1"/>
        <v>0.11267605633802817</v>
      </c>
      <c r="I13" s="8">
        <v>846.92307692307725</v>
      </c>
      <c r="J13" s="9">
        <f t="shared" si="2"/>
        <v>942.35102925243802</v>
      </c>
      <c r="K13" s="3">
        <f t="shared" si="3"/>
        <v>95.427952329360778</v>
      </c>
      <c r="L13" s="7">
        <f t="shared" si="4"/>
        <v>0.11267605633802813</v>
      </c>
      <c r="M13" t="s">
        <v>7</v>
      </c>
      <c r="N13" s="27"/>
      <c r="O13" s="3">
        <f>E13-'315805 - P0824'!F13</f>
        <v>25</v>
      </c>
      <c r="P13" s="30">
        <f>I13-'315805 - P0824'!J13</f>
        <v>29.821235102925243</v>
      </c>
    </row>
    <row r="14" spans="1:16" x14ac:dyDescent="0.25">
      <c r="A14">
        <v>12</v>
      </c>
      <c r="D14" s="4" t="s">
        <v>19</v>
      </c>
      <c r="E14" s="5">
        <v>680</v>
      </c>
      <c r="F14" s="5">
        <v>780</v>
      </c>
      <c r="G14" s="6">
        <f t="shared" si="0"/>
        <v>100</v>
      </c>
      <c r="H14" s="7">
        <f t="shared" si="1"/>
        <v>0.14705882352941177</v>
      </c>
      <c r="I14" s="8">
        <v>874.08999328408322</v>
      </c>
      <c r="J14" s="9">
        <f t="shared" si="2"/>
        <v>1002.632639355272</v>
      </c>
      <c r="K14" s="3">
        <f t="shared" si="3"/>
        <v>128.54264607118876</v>
      </c>
      <c r="L14" s="7">
        <f t="shared" si="4"/>
        <v>0.14705882352941183</v>
      </c>
      <c r="M14" t="s">
        <v>7</v>
      </c>
      <c r="N14" s="27"/>
      <c r="O14" s="3">
        <f>E14-'315805 - P0824'!F14</f>
        <v>20</v>
      </c>
      <c r="P14" s="30">
        <f>I14-'315805 - P0824'!J14</f>
        <v>25.708529214237728</v>
      </c>
    </row>
    <row r="15" spans="1:16" x14ac:dyDescent="0.25">
      <c r="A15">
        <v>13</v>
      </c>
      <c r="D15" s="4" t="s">
        <v>20</v>
      </c>
      <c r="E15" s="8">
        <v>680</v>
      </c>
      <c r="F15" s="8">
        <f>F14</f>
        <v>780</v>
      </c>
      <c r="G15" s="6">
        <f t="shared" si="0"/>
        <v>100</v>
      </c>
      <c r="H15" s="7">
        <f t="shared" si="1"/>
        <v>0.14705882352941177</v>
      </c>
      <c r="I15" s="8">
        <v>874.08999328408322</v>
      </c>
      <c r="J15" s="9">
        <f t="shared" si="2"/>
        <v>1002.632639355272</v>
      </c>
      <c r="K15" s="3">
        <f t="shared" si="3"/>
        <v>128.54264607118876</v>
      </c>
      <c r="L15" s="7">
        <f t="shared" si="4"/>
        <v>0.14705882352941183</v>
      </c>
      <c r="M15" t="s">
        <v>7</v>
      </c>
      <c r="N15" s="27"/>
      <c r="O15" s="3">
        <f>E15-'315805 - P0824'!F15</f>
        <v>20</v>
      </c>
      <c r="P15" s="30">
        <f>I15-'315805 - P0824'!J15</f>
        <v>25.708529214237728</v>
      </c>
    </row>
    <row r="16" spans="1:16" x14ac:dyDescent="0.25">
      <c r="A16">
        <v>14</v>
      </c>
      <c r="C16" t="s">
        <v>8</v>
      </c>
      <c r="D16" s="4" t="s">
        <v>21</v>
      </c>
      <c r="E16" s="5">
        <v>795</v>
      </c>
      <c r="F16" s="5">
        <v>850</v>
      </c>
      <c r="G16" s="6">
        <f t="shared" si="0"/>
        <v>55</v>
      </c>
      <c r="H16" s="7">
        <f t="shared" si="1"/>
        <v>6.9182389937106917E-2</v>
      </c>
      <c r="I16" s="8">
        <v>1119.8387096774197</v>
      </c>
      <c r="J16" s="9">
        <f t="shared" si="2"/>
        <v>1197.3118279569896</v>
      </c>
      <c r="K16" s="3">
        <f t="shared" si="3"/>
        <v>77.473118279569917</v>
      </c>
      <c r="L16" s="7">
        <f t="shared" si="4"/>
        <v>6.9182389937106917E-2</v>
      </c>
      <c r="M16" t="s">
        <v>7</v>
      </c>
      <c r="N16" s="27"/>
      <c r="O16" s="3">
        <f>E16-'315805 - P0824'!F16</f>
        <v>15</v>
      </c>
      <c r="P16" s="30">
        <f>I16-'315805 - P0824'!J16</f>
        <v>21.129032258064626</v>
      </c>
    </row>
    <row r="17" spans="1:16" x14ac:dyDescent="0.25">
      <c r="A17">
        <v>15</v>
      </c>
      <c r="D17" s="4" t="s">
        <v>22</v>
      </c>
      <c r="E17" s="8">
        <v>795</v>
      </c>
      <c r="F17" s="8">
        <f>F16</f>
        <v>850</v>
      </c>
      <c r="G17" s="6">
        <f t="shared" si="0"/>
        <v>55</v>
      </c>
      <c r="H17" s="7">
        <f t="shared" si="1"/>
        <v>6.9182389937106917E-2</v>
      </c>
      <c r="I17" s="8">
        <v>1119.8387096774197</v>
      </c>
      <c r="J17" s="9">
        <f t="shared" si="2"/>
        <v>1197.3118279569896</v>
      </c>
      <c r="K17" s="3">
        <f t="shared" si="3"/>
        <v>77.473118279569917</v>
      </c>
      <c r="L17" s="7">
        <f t="shared" si="4"/>
        <v>6.9182389937106917E-2</v>
      </c>
      <c r="M17" t="s">
        <v>7</v>
      </c>
      <c r="N17" s="27"/>
      <c r="O17" s="3">
        <f>E17-'315805 - P0824'!F17</f>
        <v>15</v>
      </c>
      <c r="P17" s="30">
        <f>I17-'315805 - P0824'!J17</f>
        <v>21.129032258064626</v>
      </c>
    </row>
    <row r="18" spans="1:16" x14ac:dyDescent="0.25">
      <c r="A18">
        <v>16</v>
      </c>
      <c r="C18" t="s">
        <v>8</v>
      </c>
      <c r="D18" s="4" t="s">
        <v>23</v>
      </c>
      <c r="E18" s="5">
        <v>880</v>
      </c>
      <c r="F18" s="5">
        <v>800</v>
      </c>
      <c r="G18" s="6">
        <f t="shared" si="0"/>
        <v>-80</v>
      </c>
      <c r="H18" s="7">
        <f t="shared" si="1"/>
        <v>-9.0909090909090912E-2</v>
      </c>
      <c r="I18" s="8">
        <v>1222.995780590717</v>
      </c>
      <c r="J18" s="9">
        <f t="shared" si="2"/>
        <v>1111.8143459915609</v>
      </c>
      <c r="K18" s="3">
        <f t="shared" si="3"/>
        <v>-111.18143459915609</v>
      </c>
      <c r="L18" s="7">
        <f t="shared" si="4"/>
        <v>-9.0909090909090912E-2</v>
      </c>
      <c r="M18" t="s">
        <v>7</v>
      </c>
      <c r="N18" s="27"/>
      <c r="O18" s="3">
        <f>E18-'315805 - P0824'!F18</f>
        <v>35</v>
      </c>
      <c r="P18" s="30">
        <f>I18-'315805 - P0824'!J18</f>
        <v>48.641877637130847</v>
      </c>
    </row>
    <row r="19" spans="1:16" x14ac:dyDescent="0.25">
      <c r="A19">
        <v>17</v>
      </c>
      <c r="D19" s="4" t="s">
        <v>24</v>
      </c>
      <c r="E19" s="8">
        <v>880</v>
      </c>
      <c r="F19" s="8">
        <f>F18</f>
        <v>800</v>
      </c>
      <c r="G19" s="6">
        <f t="shared" si="0"/>
        <v>-80</v>
      </c>
      <c r="H19" s="7">
        <f t="shared" si="1"/>
        <v>-9.0909090909090912E-2</v>
      </c>
      <c r="I19" s="8">
        <v>1222.995780590717</v>
      </c>
      <c r="J19" s="9">
        <f t="shared" si="2"/>
        <v>1111.8143459915609</v>
      </c>
      <c r="K19" s="3">
        <f t="shared" si="3"/>
        <v>-111.18143459915609</v>
      </c>
      <c r="L19" s="7">
        <f t="shared" si="4"/>
        <v>-9.0909090909090912E-2</v>
      </c>
      <c r="M19" t="s">
        <v>7</v>
      </c>
      <c r="N19" s="27"/>
      <c r="O19" s="3">
        <f>E19-'315805 - P0824'!F19</f>
        <v>35</v>
      </c>
      <c r="P19" s="30">
        <f>I19-'315805 - P0824'!J19</f>
        <v>48.641877637130847</v>
      </c>
    </row>
    <row r="20" spans="1:16" x14ac:dyDescent="0.25">
      <c r="A20">
        <v>18</v>
      </c>
      <c r="C20" t="s">
        <v>8</v>
      </c>
      <c r="D20" s="4" t="s">
        <v>25</v>
      </c>
      <c r="E20" s="5">
        <v>1070</v>
      </c>
      <c r="F20" s="5">
        <v>1170</v>
      </c>
      <c r="G20" s="6">
        <f t="shared" si="0"/>
        <v>100</v>
      </c>
      <c r="H20" s="7">
        <f t="shared" si="1"/>
        <v>9.3457943925233641E-2</v>
      </c>
      <c r="I20" s="8">
        <v>2159.8757414212118</v>
      </c>
      <c r="J20" s="9">
        <f t="shared" si="2"/>
        <v>2361.7332873484279</v>
      </c>
      <c r="K20" s="3">
        <f t="shared" si="3"/>
        <v>201.85754592721605</v>
      </c>
      <c r="L20" s="7">
        <f t="shared" si="4"/>
        <v>9.3457943925233641E-2</v>
      </c>
      <c r="M20" t="s">
        <v>7</v>
      </c>
      <c r="N20" s="27"/>
      <c r="O20" s="3">
        <f>E20-'315805 - P0824'!F20</f>
        <v>30</v>
      </c>
      <c r="P20" s="30">
        <f>I20-'315805 - P0824'!J20</f>
        <v>60.557263778164724</v>
      </c>
    </row>
    <row r="21" spans="1:16" x14ac:dyDescent="0.25">
      <c r="A21">
        <v>19</v>
      </c>
      <c r="C21" t="s">
        <v>8</v>
      </c>
      <c r="D21" s="4" t="s">
        <v>26</v>
      </c>
      <c r="E21" s="5">
        <v>16.07</v>
      </c>
      <c r="F21" s="5">
        <v>17.2</v>
      </c>
      <c r="G21" s="6">
        <f t="shared" si="0"/>
        <v>1.129999999999999</v>
      </c>
      <c r="H21" s="7">
        <f t="shared" si="1"/>
        <v>7.0317361543248219E-2</v>
      </c>
      <c r="I21" s="8">
        <v>36.488665130799234</v>
      </c>
      <c r="J21" s="9">
        <f t="shared" si="2"/>
        <v>39.054451789032157</v>
      </c>
      <c r="K21" s="3">
        <f t="shared" si="3"/>
        <v>2.5657866582329234</v>
      </c>
      <c r="L21" s="7">
        <f t="shared" si="4"/>
        <v>7.0317361543248191E-2</v>
      </c>
      <c r="M21" t="s">
        <v>7</v>
      </c>
      <c r="O21" s="3">
        <f>E21-'315805 - P0824'!F21</f>
        <v>0</v>
      </c>
      <c r="P21" s="30">
        <f>I21-'315805 - P0824'!J21</f>
        <v>0</v>
      </c>
    </row>
    <row r="22" spans="1:16" x14ac:dyDescent="0.25">
      <c r="A22">
        <v>20</v>
      </c>
      <c r="C22" t="s">
        <v>8</v>
      </c>
      <c r="D22" s="4" t="s">
        <v>27</v>
      </c>
      <c r="E22" s="5">
        <v>1430</v>
      </c>
      <c r="F22" s="5">
        <v>1470</v>
      </c>
      <c r="G22" s="6">
        <f t="shared" si="0"/>
        <v>40</v>
      </c>
      <c r="H22" s="7">
        <f t="shared" si="1"/>
        <v>2.7972027972027972E-2</v>
      </c>
      <c r="I22" s="8">
        <v>2041.9221967963392</v>
      </c>
      <c r="J22" s="9">
        <f t="shared" si="2"/>
        <v>2099.0389016018312</v>
      </c>
      <c r="K22" s="3">
        <f t="shared" si="3"/>
        <v>57.116704805491963</v>
      </c>
      <c r="L22" s="7">
        <f t="shared" si="4"/>
        <v>2.7972027972027951E-2</v>
      </c>
      <c r="M22" t="s">
        <v>7</v>
      </c>
      <c r="N22" s="27"/>
      <c r="O22" s="3">
        <f>E22-'315805 - P0824'!F22</f>
        <v>0</v>
      </c>
      <c r="P22" s="30">
        <f>I22-'315805 - P0824'!J22</f>
        <v>0</v>
      </c>
    </row>
    <row r="23" spans="1:16" x14ac:dyDescent="0.25">
      <c r="A23">
        <v>21</v>
      </c>
      <c r="D23" s="4" t="s">
        <v>28</v>
      </c>
      <c r="E23" s="8">
        <v>1430</v>
      </c>
      <c r="F23" s="8">
        <f>F22</f>
        <v>1470</v>
      </c>
      <c r="G23" s="6">
        <f t="shared" si="0"/>
        <v>40</v>
      </c>
      <c r="H23" s="7">
        <f t="shared" si="1"/>
        <v>2.7972027972027972E-2</v>
      </c>
      <c r="I23" s="8">
        <v>2041.9221967963392</v>
      </c>
      <c r="J23" s="9">
        <f t="shared" si="2"/>
        <v>2099.0389016018312</v>
      </c>
      <c r="K23" s="3">
        <f t="shared" si="3"/>
        <v>57.116704805491963</v>
      </c>
      <c r="L23" s="7">
        <f t="shared" si="4"/>
        <v>2.7972027972027951E-2</v>
      </c>
      <c r="M23" t="s">
        <v>7</v>
      </c>
      <c r="N23" s="27"/>
      <c r="O23" s="3">
        <f>E23-'315805 - P0824'!F23</f>
        <v>0</v>
      </c>
      <c r="P23" s="30">
        <f>I23-'315805 - P0824'!J23</f>
        <v>0</v>
      </c>
    </row>
    <row r="24" spans="1:16" x14ac:dyDescent="0.25">
      <c r="A24">
        <v>22</v>
      </c>
      <c r="D24" s="34" t="s">
        <v>29</v>
      </c>
      <c r="H24" s="10">
        <f>AVERAGE(H4:H23)</f>
        <v>0.10438174268979702</v>
      </c>
      <c r="L24" s="10">
        <f>AVERAGE(L4:L23)</f>
        <v>0.10438174268979701</v>
      </c>
    </row>
    <row r="25" spans="1:16" x14ac:dyDescent="0.25">
      <c r="A25">
        <v>23</v>
      </c>
      <c r="D25" s="34" t="s">
        <v>30</v>
      </c>
      <c r="M25" t="s">
        <v>7</v>
      </c>
    </row>
    <row r="26" spans="1:16" x14ac:dyDescent="0.25">
      <c r="A26">
        <v>24</v>
      </c>
      <c r="D26" s="4" t="s">
        <v>31</v>
      </c>
      <c r="E26" s="5">
        <v>441</v>
      </c>
      <c r="F26" s="5">
        <v>544</v>
      </c>
      <c r="G26" s="6">
        <f t="shared" ref="G26:G31" si="5">+F26-E26</f>
        <v>103</v>
      </c>
      <c r="H26" s="7">
        <f t="shared" ref="H26:H31" si="6">(F26-E26)/ABS(E26)</f>
        <v>0.23356009070294784</v>
      </c>
      <c r="I26" s="8">
        <v>654.29675354366714</v>
      </c>
      <c r="J26" s="12">
        <v>587</v>
      </c>
      <c r="K26" s="3">
        <f t="shared" ref="K26:K31" si="7">J26-I26</f>
        <v>-67.296753543667137</v>
      </c>
      <c r="L26" s="7">
        <f t="shared" ref="L26:L31" si="8">(J26-I26)/ABS(I26)</f>
        <v>-0.10285356480708233</v>
      </c>
      <c r="M26" t="s">
        <v>7</v>
      </c>
      <c r="O26" s="3">
        <f>E26-'315805 - P0824'!F26</f>
        <v>0</v>
      </c>
      <c r="P26" s="30">
        <f>I26-'315805 - P0824'!J26</f>
        <v>0</v>
      </c>
    </row>
    <row r="27" spans="1:16" x14ac:dyDescent="0.25">
      <c r="A27">
        <v>25</v>
      </c>
      <c r="D27" s="4" t="s">
        <v>32</v>
      </c>
      <c r="E27" s="5">
        <v>476</v>
      </c>
      <c r="F27" s="5">
        <v>632</v>
      </c>
      <c r="G27" s="6">
        <f t="shared" si="5"/>
        <v>156</v>
      </c>
      <c r="H27" s="7">
        <f t="shared" si="6"/>
        <v>0.32773109243697479</v>
      </c>
      <c r="I27" s="8">
        <v>627.9453357100416</v>
      </c>
      <c r="J27" s="12">
        <v>682</v>
      </c>
      <c r="K27" s="3">
        <f t="shared" si="7"/>
        <v>54.054664289958396</v>
      </c>
      <c r="L27" s="7">
        <f t="shared" si="8"/>
        <v>8.6081799188518118E-2</v>
      </c>
      <c r="M27" t="s">
        <v>7</v>
      </c>
      <c r="O27" s="3">
        <f>E27-'315805 - P0824'!F27</f>
        <v>5</v>
      </c>
      <c r="P27" s="30">
        <f>I27-'315805 - P0824'!J27</f>
        <v>6.5960644507357529</v>
      </c>
    </row>
    <row r="28" spans="1:16" x14ac:dyDescent="0.25">
      <c r="A28">
        <v>26</v>
      </c>
      <c r="D28" s="4" t="s">
        <v>33</v>
      </c>
      <c r="E28" s="5">
        <v>476</v>
      </c>
      <c r="F28" s="5">
        <v>635</v>
      </c>
      <c r="G28" s="6">
        <f t="shared" si="5"/>
        <v>159</v>
      </c>
      <c r="H28" s="7">
        <f t="shared" si="6"/>
        <v>0.33403361344537813</v>
      </c>
      <c r="I28" s="8">
        <v>589.74688057040999</v>
      </c>
      <c r="J28" s="12">
        <v>686</v>
      </c>
      <c r="K28" s="3">
        <f t="shared" si="7"/>
        <v>96.253119429590015</v>
      </c>
      <c r="L28" s="7">
        <f t="shared" si="8"/>
        <v>0.16321090047393363</v>
      </c>
      <c r="M28" t="s">
        <v>7</v>
      </c>
      <c r="O28" s="3">
        <f>E28-'315805 - P0824'!F28</f>
        <v>5</v>
      </c>
      <c r="P28" s="30">
        <f>I28-'315805 - P0824'!J28</f>
        <v>6.1948201740589184</v>
      </c>
    </row>
    <row r="29" spans="1:16" x14ac:dyDescent="0.25">
      <c r="A29">
        <v>27</v>
      </c>
      <c r="D29" s="4" t="s">
        <v>34</v>
      </c>
      <c r="E29" s="5">
        <v>436</v>
      </c>
      <c r="F29" s="5">
        <v>596</v>
      </c>
      <c r="G29" s="6">
        <f t="shared" si="5"/>
        <v>160</v>
      </c>
      <c r="H29" s="7">
        <f t="shared" si="6"/>
        <v>0.3669724770642202</v>
      </c>
      <c r="I29" s="8">
        <v>560.47437673130196</v>
      </c>
      <c r="J29" s="12">
        <v>644</v>
      </c>
      <c r="K29" s="3">
        <f t="shared" si="7"/>
        <v>83.525623268698041</v>
      </c>
      <c r="L29" s="7">
        <f t="shared" si="8"/>
        <v>0.14902665801748366</v>
      </c>
      <c r="M29" t="s">
        <v>7</v>
      </c>
      <c r="O29" s="3">
        <f>E29-'315805 - P0824'!F29</f>
        <v>5</v>
      </c>
      <c r="P29" s="30">
        <f>I29-'315805 - P0824'!J29</f>
        <v>6.4274584487534412</v>
      </c>
    </row>
    <row r="30" spans="1:16" x14ac:dyDescent="0.25">
      <c r="A30">
        <v>28</v>
      </c>
      <c r="D30" s="4" t="s">
        <v>35</v>
      </c>
      <c r="E30" s="5">
        <v>541</v>
      </c>
      <c r="F30" s="5">
        <v>686</v>
      </c>
      <c r="G30" s="6">
        <f t="shared" si="5"/>
        <v>145</v>
      </c>
      <c r="H30" s="7">
        <f t="shared" si="6"/>
        <v>0.26802218114602588</v>
      </c>
      <c r="I30" s="8">
        <v>684.6413802145114</v>
      </c>
      <c r="J30" s="12">
        <v>740</v>
      </c>
      <c r="K30" s="3">
        <f t="shared" si="7"/>
        <v>55.3586197854886</v>
      </c>
      <c r="L30" s="7">
        <f t="shared" si="8"/>
        <v>8.0857835043718324E-2</v>
      </c>
      <c r="M30" t="s">
        <v>7</v>
      </c>
      <c r="O30" s="3">
        <f>E30-'315805 - P0824'!F30</f>
        <v>15</v>
      </c>
      <c r="P30" s="30">
        <f>I30-'315805 - P0824'!J30</f>
        <v>18.982663037370912</v>
      </c>
    </row>
    <row r="31" spans="1:16" x14ac:dyDescent="0.25">
      <c r="A31">
        <v>29</v>
      </c>
      <c r="D31" s="4" t="s">
        <v>36</v>
      </c>
      <c r="E31" s="5">
        <v>541</v>
      </c>
      <c r="F31" s="5">
        <v>686</v>
      </c>
      <c r="G31" s="6">
        <f t="shared" si="5"/>
        <v>145</v>
      </c>
      <c r="H31" s="7">
        <f t="shared" si="6"/>
        <v>0.26802218114602588</v>
      </c>
      <c r="I31" s="8">
        <v>646.77631135361901</v>
      </c>
      <c r="J31" s="12">
        <v>741</v>
      </c>
      <c r="K31" s="3">
        <f t="shared" si="7"/>
        <v>94.223688646380992</v>
      </c>
      <c r="L31" s="7">
        <f t="shared" si="8"/>
        <v>0.14568203410106814</v>
      </c>
      <c r="M31" t="s">
        <v>7</v>
      </c>
      <c r="O31" s="3">
        <f>E31-'315805 - P0824'!F31</f>
        <v>15</v>
      </c>
      <c r="P31" s="30">
        <f>I31-'315805 - P0824'!J31</f>
        <v>17.932799760266676</v>
      </c>
    </row>
    <row r="32" spans="1:16" x14ac:dyDescent="0.25">
      <c r="A32">
        <v>30</v>
      </c>
      <c r="D32" s="34" t="s">
        <v>37</v>
      </c>
      <c r="H32" s="10">
        <f>AVERAGE(H26:H31)</f>
        <v>0.29972360599026215</v>
      </c>
      <c r="L32" s="10">
        <f>AVERAGE(L26:L31)</f>
        <v>8.700094366960659E-2</v>
      </c>
    </row>
    <row r="33" spans="1:16" x14ac:dyDescent="0.25">
      <c r="A33">
        <v>31</v>
      </c>
      <c r="D33" s="34" t="s">
        <v>38</v>
      </c>
      <c r="M33" t="s">
        <v>7</v>
      </c>
    </row>
    <row r="34" spans="1:16" x14ac:dyDescent="0.25">
      <c r="A34">
        <v>32</v>
      </c>
      <c r="D34" s="4" t="s">
        <v>39</v>
      </c>
      <c r="E34" s="5">
        <v>555</v>
      </c>
      <c r="F34" s="5">
        <v>696</v>
      </c>
      <c r="G34" s="6">
        <f t="shared" ref="G34:G62" si="9">+F34-E34</f>
        <v>141</v>
      </c>
      <c r="H34" s="7">
        <f t="shared" ref="H34:H62" si="10">(F34-E34)/ABS(E34)</f>
        <v>0.25405405405405407</v>
      </c>
      <c r="I34" s="8">
        <v>631.07327586206873</v>
      </c>
      <c r="J34" s="12">
        <v>765</v>
      </c>
      <c r="K34" s="3">
        <f t="shared" ref="K34:K62" si="11">J34-I34</f>
        <v>133.92672413793127</v>
      </c>
      <c r="L34" s="7">
        <f t="shared" ref="L34:L62" si="12">(J34-I34)/ABS(I34)</f>
        <v>0.21222056021146288</v>
      </c>
      <c r="M34" t="s">
        <v>7</v>
      </c>
      <c r="O34" s="3">
        <f>E34-'315805 - P0824'!F34</f>
        <v>15</v>
      </c>
      <c r="P34" s="30">
        <f>I34-'315805 - P0824'!J34</f>
        <v>17.056034482758605</v>
      </c>
    </row>
    <row r="35" spans="1:16" x14ac:dyDescent="0.25">
      <c r="A35">
        <v>33</v>
      </c>
      <c r="D35" s="4" t="s">
        <v>40</v>
      </c>
      <c r="E35" s="8">
        <v>555</v>
      </c>
      <c r="F35" s="8">
        <f>F34</f>
        <v>696</v>
      </c>
      <c r="G35" s="6">
        <f t="shared" si="9"/>
        <v>141</v>
      </c>
      <c r="H35" s="7">
        <f t="shared" si="10"/>
        <v>0.25405405405405407</v>
      </c>
      <c r="I35" s="8">
        <v>631.07327586206907</v>
      </c>
      <c r="J35" s="12">
        <f>J34</f>
        <v>765</v>
      </c>
      <c r="K35" s="3">
        <f t="shared" si="11"/>
        <v>133.92672413793093</v>
      </c>
      <c r="L35" s="7">
        <f t="shared" si="12"/>
        <v>0.21222056021146221</v>
      </c>
      <c r="M35" t="s">
        <v>7</v>
      </c>
      <c r="O35" s="3">
        <f>E35-'315805 - P0824'!F35</f>
        <v>15</v>
      </c>
      <c r="P35" s="30">
        <f>I35-'315805 - P0824'!J35</f>
        <v>17.056034482758605</v>
      </c>
    </row>
    <row r="36" spans="1:16" x14ac:dyDescent="0.25">
      <c r="A36">
        <v>34</v>
      </c>
      <c r="D36" s="4" t="s">
        <v>41</v>
      </c>
      <c r="E36" s="8">
        <v>555</v>
      </c>
      <c r="F36" s="8">
        <f>F34</f>
        <v>696</v>
      </c>
      <c r="G36" s="6">
        <f t="shared" si="9"/>
        <v>141</v>
      </c>
      <c r="H36" s="7">
        <f t="shared" si="10"/>
        <v>0.25405405405405407</v>
      </c>
      <c r="I36" s="8">
        <v>631.07327586206907</v>
      </c>
      <c r="J36" s="12">
        <f>J34</f>
        <v>765</v>
      </c>
      <c r="K36" s="3">
        <f t="shared" si="11"/>
        <v>133.92672413793093</v>
      </c>
      <c r="L36" s="7">
        <f t="shared" si="12"/>
        <v>0.21222056021146221</v>
      </c>
      <c r="M36" t="s">
        <v>7</v>
      </c>
      <c r="O36" s="3">
        <f>E36-'315805 - P0824'!F36</f>
        <v>15</v>
      </c>
      <c r="P36" s="30">
        <f>I36-'315805 - P0824'!J36</f>
        <v>17.056034482758605</v>
      </c>
    </row>
    <row r="37" spans="1:16" x14ac:dyDescent="0.25">
      <c r="A37">
        <v>35</v>
      </c>
      <c r="D37" s="4" t="s">
        <v>42</v>
      </c>
      <c r="E37" s="8">
        <v>555</v>
      </c>
      <c r="F37" s="8">
        <f>F34</f>
        <v>696</v>
      </c>
      <c r="G37" s="6">
        <f t="shared" si="9"/>
        <v>141</v>
      </c>
      <c r="H37" s="7">
        <f t="shared" si="10"/>
        <v>0.25405405405405407</v>
      </c>
      <c r="I37" s="8">
        <v>631.07327586206907</v>
      </c>
      <c r="J37" s="12">
        <f>J34</f>
        <v>765</v>
      </c>
      <c r="K37" s="3">
        <f t="shared" si="11"/>
        <v>133.92672413793093</v>
      </c>
      <c r="L37" s="7">
        <f t="shared" si="12"/>
        <v>0.21222056021146221</v>
      </c>
      <c r="M37" t="s">
        <v>7</v>
      </c>
      <c r="O37" s="3">
        <f>E37-'315805 - P0824'!F37</f>
        <v>15</v>
      </c>
      <c r="P37" s="30">
        <f>I37-'315805 - P0824'!J37</f>
        <v>17.056034482758605</v>
      </c>
    </row>
    <row r="38" spans="1:16" x14ac:dyDescent="0.25">
      <c r="A38">
        <v>36</v>
      </c>
      <c r="D38" s="4" t="s">
        <v>43</v>
      </c>
      <c r="E38" s="8">
        <v>555</v>
      </c>
      <c r="F38" s="8">
        <f>F34</f>
        <v>696</v>
      </c>
      <c r="G38" s="6">
        <f t="shared" si="9"/>
        <v>141</v>
      </c>
      <c r="H38" s="7">
        <f t="shared" si="10"/>
        <v>0.25405405405405407</v>
      </c>
      <c r="I38" s="8">
        <v>631.07327586206907</v>
      </c>
      <c r="J38" s="12">
        <f>J34</f>
        <v>765</v>
      </c>
      <c r="K38" s="3">
        <f t="shared" si="11"/>
        <v>133.92672413793093</v>
      </c>
      <c r="L38" s="7">
        <f t="shared" si="12"/>
        <v>0.21222056021146221</v>
      </c>
      <c r="M38" t="s">
        <v>7</v>
      </c>
      <c r="O38" s="3">
        <f>E38-'315805 - P0824'!F38</f>
        <v>15</v>
      </c>
      <c r="P38" s="30">
        <f>I38-'315805 - P0824'!J38</f>
        <v>17.056034482758605</v>
      </c>
    </row>
    <row r="39" spans="1:16" x14ac:dyDescent="0.25">
      <c r="A39">
        <v>37</v>
      </c>
      <c r="D39" s="4" t="s">
        <v>44</v>
      </c>
      <c r="E39" s="8">
        <v>555</v>
      </c>
      <c r="F39" s="8">
        <f>F34</f>
        <v>696</v>
      </c>
      <c r="G39" s="6">
        <f t="shared" si="9"/>
        <v>141</v>
      </c>
      <c r="H39" s="7">
        <f t="shared" si="10"/>
        <v>0.25405405405405407</v>
      </c>
      <c r="I39" s="8">
        <v>631.07327586206907</v>
      </c>
      <c r="J39" s="12">
        <f>J34</f>
        <v>765</v>
      </c>
      <c r="K39" s="3">
        <f t="shared" si="11"/>
        <v>133.92672413793093</v>
      </c>
      <c r="L39" s="7">
        <f t="shared" si="12"/>
        <v>0.21222056021146221</v>
      </c>
      <c r="M39" t="s">
        <v>7</v>
      </c>
      <c r="O39" s="3">
        <f>E39-'315805 - P0824'!F39</f>
        <v>15</v>
      </c>
      <c r="P39" s="30">
        <f>I39-'315805 - P0824'!J39</f>
        <v>17.056034482758605</v>
      </c>
    </row>
    <row r="40" spans="1:16" x14ac:dyDescent="0.25">
      <c r="A40">
        <v>38</v>
      </c>
      <c r="D40" s="4" t="s">
        <v>45</v>
      </c>
      <c r="E40" s="8">
        <v>555</v>
      </c>
      <c r="F40" s="8">
        <f>F34</f>
        <v>696</v>
      </c>
      <c r="G40" s="6">
        <f t="shared" si="9"/>
        <v>141</v>
      </c>
      <c r="H40" s="7">
        <f t="shared" si="10"/>
        <v>0.25405405405405407</v>
      </c>
      <c r="I40" s="8">
        <v>631.07327586206907</v>
      </c>
      <c r="J40" s="12">
        <f>J34</f>
        <v>765</v>
      </c>
      <c r="K40" s="3">
        <f t="shared" si="11"/>
        <v>133.92672413793093</v>
      </c>
      <c r="L40" s="7">
        <f t="shared" si="12"/>
        <v>0.21222056021146221</v>
      </c>
      <c r="M40" t="s">
        <v>7</v>
      </c>
      <c r="O40" s="3">
        <f>E40-'315805 - P0824'!F40</f>
        <v>15</v>
      </c>
      <c r="P40" s="30">
        <f>I40-'315805 - P0824'!J40</f>
        <v>17.056034482758605</v>
      </c>
    </row>
    <row r="41" spans="1:16" x14ac:dyDescent="0.25">
      <c r="A41">
        <v>39</v>
      </c>
      <c r="D41" s="4" t="s">
        <v>46</v>
      </c>
      <c r="E41" s="8">
        <v>555</v>
      </c>
      <c r="F41" s="8">
        <f>F35</f>
        <v>696</v>
      </c>
      <c r="G41" s="6">
        <f t="shared" si="9"/>
        <v>141</v>
      </c>
      <c r="H41" s="7">
        <f t="shared" si="10"/>
        <v>0.25405405405405407</v>
      </c>
      <c r="I41" s="8">
        <v>631.07327586206907</v>
      </c>
      <c r="J41" s="12">
        <f>J35</f>
        <v>765</v>
      </c>
      <c r="K41" s="3">
        <f t="shared" si="11"/>
        <v>133.92672413793093</v>
      </c>
      <c r="L41" s="7">
        <f t="shared" si="12"/>
        <v>0.21222056021146221</v>
      </c>
      <c r="M41" t="s">
        <v>7</v>
      </c>
      <c r="O41" s="3">
        <f>E41-'315805 - P0824'!F41</f>
        <v>15</v>
      </c>
      <c r="P41" s="30">
        <f>I41-'315805 - P0824'!J41</f>
        <v>17.056034482758605</v>
      </c>
    </row>
    <row r="42" spans="1:16" x14ac:dyDescent="0.25">
      <c r="A42">
        <v>40</v>
      </c>
      <c r="D42" s="4" t="s">
        <v>47</v>
      </c>
      <c r="E42" s="5">
        <v>585</v>
      </c>
      <c r="F42" s="5">
        <v>703</v>
      </c>
      <c r="G42" s="6">
        <f t="shared" si="9"/>
        <v>118</v>
      </c>
      <c r="H42" s="7">
        <f t="shared" si="10"/>
        <v>0.20170940170940171</v>
      </c>
      <c r="I42" s="8">
        <v>667.12500000000023</v>
      </c>
      <c r="J42" s="12">
        <v>813</v>
      </c>
      <c r="K42" s="3">
        <f t="shared" si="11"/>
        <v>145.87499999999977</v>
      </c>
      <c r="L42" s="7">
        <f t="shared" si="12"/>
        <v>0.21866216975829075</v>
      </c>
      <c r="M42" t="s">
        <v>7</v>
      </c>
      <c r="O42" s="3">
        <f>E42-'315805 - P0824'!F42</f>
        <v>60</v>
      </c>
      <c r="P42" s="30">
        <f>I42-'315805 - P0824'!J42</f>
        <v>68.423076923076906</v>
      </c>
    </row>
    <row r="43" spans="1:16" x14ac:dyDescent="0.25">
      <c r="A43">
        <v>41</v>
      </c>
      <c r="D43" s="4" t="s">
        <v>48</v>
      </c>
      <c r="E43" s="8">
        <v>585</v>
      </c>
      <c r="F43" s="8">
        <f>F42</f>
        <v>703</v>
      </c>
      <c r="G43" s="6">
        <f t="shared" si="9"/>
        <v>118</v>
      </c>
      <c r="H43" s="7">
        <f t="shared" si="10"/>
        <v>0.20170940170940171</v>
      </c>
      <c r="I43" s="8">
        <v>667.12500000000023</v>
      </c>
      <c r="J43" s="12">
        <f>J42</f>
        <v>813</v>
      </c>
      <c r="K43" s="3">
        <f t="shared" si="11"/>
        <v>145.87499999999977</v>
      </c>
      <c r="L43" s="7">
        <f t="shared" si="12"/>
        <v>0.21866216975829075</v>
      </c>
      <c r="M43" t="s">
        <v>7</v>
      </c>
      <c r="O43" s="3">
        <f>E43-'315805 - P0824'!F43</f>
        <v>60</v>
      </c>
      <c r="P43" s="30">
        <f>I43-'315805 - P0824'!J43</f>
        <v>68.423076923076906</v>
      </c>
    </row>
    <row r="44" spans="1:16" x14ac:dyDescent="0.25">
      <c r="A44">
        <v>42</v>
      </c>
      <c r="D44" s="4" t="s">
        <v>49</v>
      </c>
      <c r="E44" s="8">
        <v>585</v>
      </c>
      <c r="F44" s="8">
        <f>F42</f>
        <v>703</v>
      </c>
      <c r="G44" s="6">
        <f t="shared" si="9"/>
        <v>118</v>
      </c>
      <c r="H44" s="7">
        <f t="shared" si="10"/>
        <v>0.20170940170940171</v>
      </c>
      <c r="I44" s="8">
        <v>667.12500000000023</v>
      </c>
      <c r="J44" s="12">
        <f>J42</f>
        <v>813</v>
      </c>
      <c r="K44" s="3">
        <f t="shared" si="11"/>
        <v>145.87499999999977</v>
      </c>
      <c r="L44" s="7">
        <f t="shared" si="12"/>
        <v>0.21866216975829075</v>
      </c>
      <c r="M44" t="s">
        <v>7</v>
      </c>
      <c r="O44" s="3">
        <f>E44-'315805 - P0824'!F44</f>
        <v>60</v>
      </c>
      <c r="P44" s="30">
        <f>I44-'315805 - P0824'!J44</f>
        <v>68.423076923076906</v>
      </c>
    </row>
    <row r="45" spans="1:16" x14ac:dyDescent="0.25">
      <c r="A45">
        <v>43</v>
      </c>
      <c r="D45" s="4" t="s">
        <v>50</v>
      </c>
      <c r="E45" s="8">
        <v>585</v>
      </c>
      <c r="F45" s="8">
        <f>F42</f>
        <v>703</v>
      </c>
      <c r="G45" s="6">
        <f t="shared" si="9"/>
        <v>118</v>
      </c>
      <c r="H45" s="7">
        <f t="shared" si="10"/>
        <v>0.20170940170940171</v>
      </c>
      <c r="I45" s="8">
        <v>667.12500000000023</v>
      </c>
      <c r="J45" s="12">
        <f>J42</f>
        <v>813</v>
      </c>
      <c r="K45" s="3">
        <f t="shared" si="11"/>
        <v>145.87499999999977</v>
      </c>
      <c r="L45" s="7">
        <f t="shared" si="12"/>
        <v>0.21866216975829075</v>
      </c>
      <c r="M45" t="s">
        <v>7</v>
      </c>
      <c r="O45" s="3">
        <f>E45-'315805 - P0824'!F45</f>
        <v>60</v>
      </c>
      <c r="P45" s="30">
        <f>I45-'315805 - P0824'!J45</f>
        <v>68.423076923076906</v>
      </c>
    </row>
    <row r="46" spans="1:16" x14ac:dyDescent="0.25">
      <c r="A46">
        <v>44</v>
      </c>
      <c r="D46" s="4" t="s">
        <v>51</v>
      </c>
      <c r="E46" s="8">
        <v>585</v>
      </c>
      <c r="F46" s="8">
        <f>F42</f>
        <v>703</v>
      </c>
      <c r="G46" s="6">
        <f t="shared" si="9"/>
        <v>118</v>
      </c>
      <c r="H46" s="7">
        <f t="shared" si="10"/>
        <v>0.20170940170940171</v>
      </c>
      <c r="I46" s="8">
        <v>667.12500000000023</v>
      </c>
      <c r="J46" s="12">
        <f>J42</f>
        <v>813</v>
      </c>
      <c r="K46" s="3">
        <f t="shared" si="11"/>
        <v>145.87499999999977</v>
      </c>
      <c r="L46" s="7">
        <f t="shared" si="12"/>
        <v>0.21866216975829075</v>
      </c>
      <c r="M46" t="s">
        <v>7</v>
      </c>
      <c r="O46" s="3">
        <f>E46-'315805 - P0824'!F46</f>
        <v>60</v>
      </c>
      <c r="P46" s="30">
        <f>I46-'315805 - P0824'!J46</f>
        <v>68.423076923076906</v>
      </c>
    </row>
    <row r="47" spans="1:16" x14ac:dyDescent="0.25">
      <c r="A47">
        <v>45</v>
      </c>
      <c r="D47" s="4" t="s">
        <v>52</v>
      </c>
      <c r="E47" s="8">
        <v>585</v>
      </c>
      <c r="F47" s="8">
        <f>F42</f>
        <v>703</v>
      </c>
      <c r="G47" s="6">
        <f t="shared" si="9"/>
        <v>118</v>
      </c>
      <c r="H47" s="7">
        <f t="shared" si="10"/>
        <v>0.20170940170940171</v>
      </c>
      <c r="I47" s="8">
        <v>667.12500000000023</v>
      </c>
      <c r="J47" s="12">
        <f>J42</f>
        <v>813</v>
      </c>
      <c r="K47" s="3">
        <f t="shared" si="11"/>
        <v>145.87499999999977</v>
      </c>
      <c r="L47" s="7">
        <f t="shared" si="12"/>
        <v>0.21866216975829075</v>
      </c>
      <c r="M47" t="s">
        <v>7</v>
      </c>
      <c r="O47" s="3">
        <f>E47-'315805 - P0824'!F47</f>
        <v>60</v>
      </c>
      <c r="P47" s="30">
        <f>I47-'315805 - P0824'!J47</f>
        <v>68.423076923076906</v>
      </c>
    </row>
    <row r="48" spans="1:16" x14ac:dyDescent="0.25">
      <c r="A48">
        <v>46</v>
      </c>
      <c r="D48" s="4" t="s">
        <v>53</v>
      </c>
      <c r="E48" s="8">
        <v>585</v>
      </c>
      <c r="F48" s="8">
        <f>F42</f>
        <v>703</v>
      </c>
      <c r="G48" s="6">
        <f t="shared" si="9"/>
        <v>118</v>
      </c>
      <c r="H48" s="7">
        <f t="shared" si="10"/>
        <v>0.20170940170940171</v>
      </c>
      <c r="I48" s="8">
        <v>667.12500000000023</v>
      </c>
      <c r="J48" s="12">
        <f>J42</f>
        <v>813</v>
      </c>
      <c r="K48" s="3">
        <f t="shared" si="11"/>
        <v>145.87499999999977</v>
      </c>
      <c r="L48" s="7">
        <f t="shared" si="12"/>
        <v>0.21866216975829075</v>
      </c>
      <c r="M48" t="s">
        <v>7</v>
      </c>
      <c r="O48" s="3">
        <f>E48-'315805 - P0824'!F48</f>
        <v>60</v>
      </c>
      <c r="P48" s="30">
        <f>I48-'315805 - P0824'!J48</f>
        <v>68.423076923076906</v>
      </c>
    </row>
    <row r="49" spans="1:16" x14ac:dyDescent="0.25">
      <c r="A49">
        <v>47</v>
      </c>
      <c r="D49" s="4" t="s">
        <v>54</v>
      </c>
      <c r="E49" s="8">
        <v>585</v>
      </c>
      <c r="F49" s="8">
        <f>F43</f>
        <v>703</v>
      </c>
      <c r="G49" s="6">
        <f t="shared" si="9"/>
        <v>118</v>
      </c>
      <c r="H49" s="7">
        <f t="shared" si="10"/>
        <v>0.20170940170940171</v>
      </c>
      <c r="I49" s="8">
        <v>667.12500000000023</v>
      </c>
      <c r="J49" s="12">
        <f>J43</f>
        <v>813</v>
      </c>
      <c r="K49" s="3">
        <f t="shared" si="11"/>
        <v>145.87499999999977</v>
      </c>
      <c r="L49" s="7">
        <f t="shared" si="12"/>
        <v>0.21866216975829075</v>
      </c>
      <c r="M49" t="s">
        <v>7</v>
      </c>
      <c r="O49" s="3">
        <f>E49-'315805 - P0824'!F49</f>
        <v>60</v>
      </c>
      <c r="P49" s="30">
        <f>I49-'315805 - P0824'!J49</f>
        <v>68.423076923076906</v>
      </c>
    </row>
    <row r="50" spans="1:16" x14ac:dyDescent="0.25">
      <c r="A50">
        <v>48</v>
      </c>
      <c r="D50" s="4" t="s">
        <v>55</v>
      </c>
      <c r="E50" s="5">
        <v>520</v>
      </c>
      <c r="F50" s="5">
        <v>568</v>
      </c>
      <c r="G50" s="6">
        <f t="shared" si="9"/>
        <v>48</v>
      </c>
      <c r="H50" s="7">
        <f t="shared" si="10"/>
        <v>9.2307692307692313E-2</v>
      </c>
      <c r="I50" s="8">
        <v>643.71865443425077</v>
      </c>
      <c r="J50" s="12">
        <v>625</v>
      </c>
      <c r="K50" s="3">
        <f t="shared" si="11"/>
        <v>-18.718654434250766</v>
      </c>
      <c r="L50" s="7">
        <f t="shared" si="12"/>
        <v>-2.9078937366980848E-2</v>
      </c>
      <c r="M50" t="s">
        <v>7</v>
      </c>
      <c r="O50" s="3">
        <f>E50-'315805 - P0824'!F50</f>
        <v>40</v>
      </c>
      <c r="P50" s="30">
        <f>I50-'315805 - P0824'!J50</f>
        <v>49.516819571865426</v>
      </c>
    </row>
    <row r="51" spans="1:16" x14ac:dyDescent="0.25">
      <c r="A51">
        <v>49</v>
      </c>
      <c r="D51" s="4" t="s">
        <v>56</v>
      </c>
      <c r="E51" s="8">
        <v>520</v>
      </c>
      <c r="F51" s="8">
        <f>F50</f>
        <v>568</v>
      </c>
      <c r="G51" s="6">
        <f t="shared" si="9"/>
        <v>48</v>
      </c>
      <c r="H51" s="7">
        <f t="shared" si="10"/>
        <v>9.2307692307692313E-2</v>
      </c>
      <c r="I51" s="8">
        <v>643.71865443425077</v>
      </c>
      <c r="J51" s="12">
        <f>J50</f>
        <v>625</v>
      </c>
      <c r="K51" s="3">
        <f t="shared" si="11"/>
        <v>-18.718654434250766</v>
      </c>
      <c r="L51" s="7">
        <f t="shared" si="12"/>
        <v>-2.9078937366980848E-2</v>
      </c>
      <c r="M51" t="s">
        <v>7</v>
      </c>
      <c r="O51" s="3">
        <f>E51-'315805 - P0824'!F51</f>
        <v>40</v>
      </c>
      <c r="P51" s="30">
        <f>I51-'315805 - P0824'!J51</f>
        <v>49.516819571865426</v>
      </c>
    </row>
    <row r="52" spans="1:16" x14ac:dyDescent="0.25">
      <c r="A52">
        <v>50</v>
      </c>
      <c r="D52" s="4" t="s">
        <v>57</v>
      </c>
      <c r="E52" s="8">
        <v>520</v>
      </c>
      <c r="F52" s="8">
        <f>F50</f>
        <v>568</v>
      </c>
      <c r="G52" s="6">
        <f t="shared" si="9"/>
        <v>48</v>
      </c>
      <c r="H52" s="7">
        <f t="shared" si="10"/>
        <v>9.2307692307692313E-2</v>
      </c>
      <c r="I52" s="8">
        <v>643.71865443425077</v>
      </c>
      <c r="J52" s="12">
        <f>J50</f>
        <v>625</v>
      </c>
      <c r="K52" s="3">
        <f t="shared" si="11"/>
        <v>-18.718654434250766</v>
      </c>
      <c r="L52" s="7">
        <f t="shared" si="12"/>
        <v>-2.9078937366980848E-2</v>
      </c>
      <c r="M52" t="s">
        <v>7</v>
      </c>
      <c r="O52" s="3">
        <f>E52-'315805 - P0824'!F52</f>
        <v>40</v>
      </c>
      <c r="P52" s="30">
        <f>I52-'315805 - P0824'!J52</f>
        <v>49.516819571865426</v>
      </c>
    </row>
    <row r="53" spans="1:16" x14ac:dyDescent="0.25">
      <c r="A53">
        <v>51</v>
      </c>
      <c r="D53" s="4" t="s">
        <v>58</v>
      </c>
      <c r="E53" s="8">
        <v>520</v>
      </c>
      <c r="F53" s="8">
        <f>F50</f>
        <v>568</v>
      </c>
      <c r="G53" s="6">
        <f t="shared" si="9"/>
        <v>48</v>
      </c>
      <c r="H53" s="7">
        <f t="shared" si="10"/>
        <v>9.2307692307692313E-2</v>
      </c>
      <c r="I53" s="8">
        <v>643.71865443425077</v>
      </c>
      <c r="J53" s="12">
        <f>J50</f>
        <v>625</v>
      </c>
      <c r="K53" s="3">
        <f t="shared" si="11"/>
        <v>-18.718654434250766</v>
      </c>
      <c r="L53" s="7">
        <f t="shared" si="12"/>
        <v>-2.9078937366980848E-2</v>
      </c>
      <c r="M53" t="s">
        <v>7</v>
      </c>
      <c r="O53" s="3">
        <f>E53-'315805 - P0824'!F53</f>
        <v>40</v>
      </c>
      <c r="P53" s="30">
        <f>I53-'315805 - P0824'!J53</f>
        <v>49.516819571865426</v>
      </c>
    </row>
    <row r="54" spans="1:16" x14ac:dyDescent="0.25">
      <c r="A54">
        <v>52</v>
      </c>
      <c r="D54" s="4" t="s">
        <v>59</v>
      </c>
      <c r="E54" s="5">
        <v>558</v>
      </c>
      <c r="F54" s="5">
        <v>743</v>
      </c>
      <c r="G54" s="6">
        <f t="shared" si="9"/>
        <v>185</v>
      </c>
      <c r="H54" s="7">
        <f t="shared" si="10"/>
        <v>0.33154121863799285</v>
      </c>
      <c r="I54" s="8">
        <v>890.53273137697511</v>
      </c>
      <c r="J54" s="12">
        <v>817</v>
      </c>
      <c r="K54" s="3">
        <f t="shared" si="11"/>
        <v>-73.532731376975107</v>
      </c>
      <c r="L54" s="7">
        <f t="shared" si="12"/>
        <v>-8.2571621217421218E-2</v>
      </c>
      <c r="M54" t="s">
        <v>7</v>
      </c>
      <c r="O54" s="3">
        <f>E54-'315805 - P0824'!F54</f>
        <v>45</v>
      </c>
      <c r="P54" s="30">
        <f>I54-'315805 - P0824'!J54</f>
        <v>71.817155756207626</v>
      </c>
    </row>
    <row r="55" spans="1:16" x14ac:dyDescent="0.25">
      <c r="A55">
        <v>53</v>
      </c>
      <c r="D55" s="4" t="s">
        <v>60</v>
      </c>
      <c r="E55" s="8">
        <v>558</v>
      </c>
      <c r="F55" s="8">
        <f>F54</f>
        <v>743</v>
      </c>
      <c r="G55" s="6">
        <f t="shared" si="9"/>
        <v>185</v>
      </c>
      <c r="H55" s="7">
        <f t="shared" si="10"/>
        <v>0.33154121863799285</v>
      </c>
      <c r="I55" s="8">
        <v>890.53273137697511</v>
      </c>
      <c r="J55" s="12">
        <f>J54</f>
        <v>817</v>
      </c>
      <c r="K55" s="3">
        <f t="shared" si="11"/>
        <v>-73.532731376975107</v>
      </c>
      <c r="L55" s="7">
        <f t="shared" si="12"/>
        <v>-8.2571621217421218E-2</v>
      </c>
      <c r="M55" t="s">
        <v>7</v>
      </c>
      <c r="O55" s="3">
        <f>E55-'315805 - P0824'!F55</f>
        <v>45</v>
      </c>
      <c r="P55" s="30">
        <f>I55-'315805 - P0824'!J55</f>
        <v>71.817155756207626</v>
      </c>
    </row>
    <row r="56" spans="1:16" x14ac:dyDescent="0.25">
      <c r="A56">
        <v>54</v>
      </c>
      <c r="D56" s="4" t="s">
        <v>61</v>
      </c>
      <c r="E56" s="8">
        <v>558</v>
      </c>
      <c r="F56" s="8">
        <f>F54</f>
        <v>743</v>
      </c>
      <c r="G56" s="6">
        <f t="shared" si="9"/>
        <v>185</v>
      </c>
      <c r="H56" s="7">
        <f t="shared" si="10"/>
        <v>0.33154121863799285</v>
      </c>
      <c r="I56" s="8">
        <v>890.53273137697511</v>
      </c>
      <c r="J56" s="12">
        <f>J54</f>
        <v>817</v>
      </c>
      <c r="K56" s="3">
        <f t="shared" si="11"/>
        <v>-73.532731376975107</v>
      </c>
      <c r="L56" s="7">
        <f t="shared" si="12"/>
        <v>-8.2571621217421218E-2</v>
      </c>
      <c r="M56" t="s">
        <v>7</v>
      </c>
      <c r="O56" s="3">
        <f>E56-'315805 - P0824'!F56</f>
        <v>45</v>
      </c>
      <c r="P56" s="30">
        <f>I56-'315805 - P0824'!J56</f>
        <v>71.817155756207626</v>
      </c>
    </row>
    <row r="57" spans="1:16" x14ac:dyDescent="0.25">
      <c r="A57">
        <v>55</v>
      </c>
      <c r="D57" s="4" t="s">
        <v>62</v>
      </c>
      <c r="E57" s="8">
        <v>558</v>
      </c>
      <c r="F57" s="8">
        <f>F54</f>
        <v>743</v>
      </c>
      <c r="G57" s="6">
        <f t="shared" si="9"/>
        <v>185</v>
      </c>
      <c r="H57" s="7">
        <f t="shared" si="10"/>
        <v>0.33154121863799285</v>
      </c>
      <c r="I57" s="8">
        <v>890.53273137697511</v>
      </c>
      <c r="J57" s="12">
        <f>J54</f>
        <v>817</v>
      </c>
      <c r="K57" s="3">
        <f t="shared" si="11"/>
        <v>-73.532731376975107</v>
      </c>
      <c r="L57" s="7">
        <f t="shared" si="12"/>
        <v>-8.2571621217421218E-2</v>
      </c>
      <c r="M57" t="s">
        <v>7</v>
      </c>
      <c r="O57" s="3">
        <f>E57-'315805 - P0824'!F57</f>
        <v>45</v>
      </c>
      <c r="P57" s="30">
        <f>I57-'315805 - P0824'!J57</f>
        <v>71.817155756207626</v>
      </c>
    </row>
    <row r="58" spans="1:16" x14ac:dyDescent="0.25">
      <c r="A58">
        <v>56</v>
      </c>
      <c r="D58" s="4" t="s">
        <v>63</v>
      </c>
      <c r="E58" s="8">
        <v>558</v>
      </c>
      <c r="F58" s="8">
        <f>F54</f>
        <v>743</v>
      </c>
      <c r="G58" s="6">
        <f t="shared" si="9"/>
        <v>185</v>
      </c>
      <c r="H58" s="7">
        <f t="shared" si="10"/>
        <v>0.33154121863799285</v>
      </c>
      <c r="I58" s="8">
        <v>890.53273137697511</v>
      </c>
      <c r="J58" s="12">
        <f>J54</f>
        <v>817</v>
      </c>
      <c r="K58" s="3">
        <f t="shared" si="11"/>
        <v>-73.532731376975107</v>
      </c>
      <c r="L58" s="7">
        <f t="shared" si="12"/>
        <v>-8.2571621217421218E-2</v>
      </c>
      <c r="M58" t="s">
        <v>7</v>
      </c>
      <c r="O58" s="3">
        <f>E58-'315805 - P0824'!F58</f>
        <v>45</v>
      </c>
      <c r="P58" s="30">
        <f>I58-'315805 - P0824'!J58</f>
        <v>71.817155756207626</v>
      </c>
    </row>
    <row r="59" spans="1:16" x14ac:dyDescent="0.25">
      <c r="A59">
        <v>57</v>
      </c>
      <c r="D59" s="4" t="s">
        <v>64</v>
      </c>
      <c r="E59" s="5">
        <v>628</v>
      </c>
      <c r="F59" s="5">
        <v>631</v>
      </c>
      <c r="G59" s="6">
        <f t="shared" si="9"/>
        <v>3</v>
      </c>
      <c r="H59" s="7">
        <f t="shared" si="10"/>
        <v>4.7770700636942673E-3</v>
      </c>
      <c r="I59" s="8">
        <v>902.31226765799249</v>
      </c>
      <c r="J59" s="12">
        <v>694</v>
      </c>
      <c r="K59" s="3">
        <f t="shared" si="11"/>
        <v>-208.31226765799249</v>
      </c>
      <c r="L59" s="7">
        <f t="shared" si="12"/>
        <v>-0.23086494013727632</v>
      </c>
      <c r="M59" t="s">
        <v>7</v>
      </c>
      <c r="O59" s="3">
        <f>E59-'315805 - P0824'!F59</f>
        <v>115</v>
      </c>
      <c r="P59" s="30">
        <f>I59-'315805 - P0824'!J59</f>
        <v>165.23234200743491</v>
      </c>
    </row>
    <row r="60" spans="1:16" x14ac:dyDescent="0.25">
      <c r="A60">
        <v>58</v>
      </c>
      <c r="D60" s="4" t="s">
        <v>65</v>
      </c>
      <c r="E60" s="8">
        <v>628</v>
      </c>
      <c r="F60" s="8">
        <f>F59</f>
        <v>631</v>
      </c>
      <c r="G60" s="6">
        <f t="shared" si="9"/>
        <v>3</v>
      </c>
      <c r="H60" s="7">
        <f t="shared" si="10"/>
        <v>4.7770700636942673E-3</v>
      </c>
      <c r="I60" s="8">
        <v>902.31226765799249</v>
      </c>
      <c r="J60" s="12">
        <f>J59</f>
        <v>694</v>
      </c>
      <c r="K60" s="3">
        <f t="shared" si="11"/>
        <v>-208.31226765799249</v>
      </c>
      <c r="L60" s="7">
        <f t="shared" si="12"/>
        <v>-0.23086494013727632</v>
      </c>
      <c r="M60" t="s">
        <v>7</v>
      </c>
      <c r="O60" s="3">
        <f>E60-'315805 - P0824'!F60</f>
        <v>115</v>
      </c>
      <c r="P60" s="30">
        <f>I60-'315805 - P0824'!J60</f>
        <v>165.23234200743491</v>
      </c>
    </row>
    <row r="61" spans="1:16" x14ac:dyDescent="0.25">
      <c r="A61">
        <v>59</v>
      </c>
      <c r="D61" s="4" t="s">
        <v>66</v>
      </c>
      <c r="E61" s="8">
        <v>628</v>
      </c>
      <c r="F61" s="8">
        <f>F59</f>
        <v>631</v>
      </c>
      <c r="G61" s="6">
        <f t="shared" si="9"/>
        <v>3</v>
      </c>
      <c r="H61" s="7">
        <f t="shared" si="10"/>
        <v>4.7770700636942673E-3</v>
      </c>
      <c r="I61" s="8">
        <v>902.31226765799249</v>
      </c>
      <c r="J61" s="12">
        <f>J59</f>
        <v>694</v>
      </c>
      <c r="K61" s="3">
        <f t="shared" si="11"/>
        <v>-208.31226765799249</v>
      </c>
      <c r="L61" s="7">
        <f t="shared" si="12"/>
        <v>-0.23086494013727632</v>
      </c>
      <c r="M61" t="s">
        <v>7</v>
      </c>
      <c r="O61" s="3">
        <f>E61-'315805 - P0824'!F61</f>
        <v>115</v>
      </c>
      <c r="P61" s="30">
        <f>I61-'315805 - P0824'!J61</f>
        <v>165.23234200743491</v>
      </c>
    </row>
    <row r="62" spans="1:16" x14ac:dyDescent="0.25">
      <c r="A62">
        <v>60</v>
      </c>
      <c r="D62" s="4" t="s">
        <v>67</v>
      </c>
      <c r="E62" s="8">
        <v>628</v>
      </c>
      <c r="F62" s="8">
        <f>F59</f>
        <v>631</v>
      </c>
      <c r="G62" s="6">
        <f t="shared" si="9"/>
        <v>3</v>
      </c>
      <c r="H62" s="7">
        <f t="shared" si="10"/>
        <v>4.7770700636942673E-3</v>
      </c>
      <c r="I62" s="8">
        <v>902.31226765799249</v>
      </c>
      <c r="J62" s="12">
        <f>J59</f>
        <v>694</v>
      </c>
      <c r="K62" s="3">
        <f t="shared" si="11"/>
        <v>-208.31226765799249</v>
      </c>
      <c r="L62" s="7">
        <f t="shared" si="12"/>
        <v>-0.23086494013727632</v>
      </c>
      <c r="M62" t="s">
        <v>7</v>
      </c>
      <c r="O62" s="3">
        <f>E62-'315805 - P0824'!F62</f>
        <v>115</v>
      </c>
      <c r="P62" s="30">
        <f>I62-'315805 - P0824'!J62</f>
        <v>165.23234200743491</v>
      </c>
    </row>
    <row r="63" spans="1:16" x14ac:dyDescent="0.25">
      <c r="A63">
        <v>61</v>
      </c>
      <c r="D63" s="2"/>
      <c r="G63" s="6"/>
      <c r="H63" s="10">
        <f>AVERAGE(H34:H62)</f>
        <v>0.19628113064769506</v>
      </c>
      <c r="J63" s="3"/>
      <c r="K63" s="3"/>
      <c r="L63" s="10">
        <f>AVERAGE(L34:L62)</f>
        <v>6.8773387022547899E-2</v>
      </c>
    </row>
    <row r="64" spans="1:16" x14ac:dyDescent="0.25">
      <c r="A64">
        <v>62</v>
      </c>
      <c r="D64" s="34" t="s">
        <v>68</v>
      </c>
      <c r="G64" s="6"/>
      <c r="H64" s="7"/>
      <c r="J64" s="3"/>
      <c r="K64" s="3"/>
      <c r="L64" s="7"/>
    </row>
    <row r="65" spans="1:16" x14ac:dyDescent="0.25">
      <c r="A65">
        <v>63</v>
      </c>
      <c r="D65" s="4" t="s">
        <v>69</v>
      </c>
      <c r="E65" s="5">
        <v>550</v>
      </c>
      <c r="F65" s="5">
        <v>735</v>
      </c>
      <c r="G65" s="6">
        <f t="shared" ref="G65:G71" si="13">+F65-E65</f>
        <v>185</v>
      </c>
      <c r="H65" s="7">
        <f t="shared" ref="H65:H71" si="14">(F65-E65)/ABS(E65)</f>
        <v>0.33636363636363636</v>
      </c>
      <c r="I65" s="8">
        <v>670.81967213114763</v>
      </c>
      <c r="J65" s="12">
        <v>809</v>
      </c>
      <c r="K65" s="3">
        <f t="shared" ref="K65:K71" si="15">J65-I65</f>
        <v>138.18032786885237</v>
      </c>
      <c r="L65" s="7">
        <f t="shared" ref="L65:L71" si="16">(J65-I65)/ABS(I65)</f>
        <v>0.2059872922776147</v>
      </c>
      <c r="M65" t="s">
        <v>7</v>
      </c>
      <c r="O65" s="3">
        <f>E65-'315805 - P0824'!F65</f>
        <v>30</v>
      </c>
      <c r="P65" s="30">
        <f>I65-'315805 - P0824'!J65</f>
        <v>36.590163934426187</v>
      </c>
    </row>
    <row r="66" spans="1:16" x14ac:dyDescent="0.25">
      <c r="A66">
        <v>64</v>
      </c>
      <c r="D66" s="4" t="s">
        <v>70</v>
      </c>
      <c r="E66" s="8">
        <v>550</v>
      </c>
      <c r="F66" s="8">
        <f>F65</f>
        <v>735</v>
      </c>
      <c r="G66" s="6">
        <f t="shared" si="13"/>
        <v>185</v>
      </c>
      <c r="H66" s="7">
        <f t="shared" si="14"/>
        <v>0.33636363636363636</v>
      </c>
      <c r="I66" s="8">
        <v>670.81967213114763</v>
      </c>
      <c r="J66" s="12">
        <f>J65</f>
        <v>809</v>
      </c>
      <c r="K66" s="3">
        <f t="shared" si="15"/>
        <v>138.18032786885237</v>
      </c>
      <c r="L66" s="7">
        <f t="shared" si="16"/>
        <v>0.2059872922776147</v>
      </c>
      <c r="M66" t="s">
        <v>7</v>
      </c>
      <c r="O66" s="3">
        <f>E66-'315805 - P0824'!F66</f>
        <v>30</v>
      </c>
      <c r="P66" s="30">
        <f>I66-'315805 - P0824'!J66</f>
        <v>36.590163934426187</v>
      </c>
    </row>
    <row r="67" spans="1:16" x14ac:dyDescent="0.25">
      <c r="A67">
        <v>65</v>
      </c>
      <c r="D67" s="4" t="s">
        <v>71</v>
      </c>
      <c r="E67" s="8">
        <v>550</v>
      </c>
      <c r="F67" s="8">
        <f>F65</f>
        <v>735</v>
      </c>
      <c r="G67" s="6">
        <f t="shared" si="13"/>
        <v>185</v>
      </c>
      <c r="H67" s="7">
        <f t="shared" si="14"/>
        <v>0.33636363636363636</v>
      </c>
      <c r="I67" s="8">
        <v>670.81967213114763</v>
      </c>
      <c r="J67" s="12">
        <f>J65</f>
        <v>809</v>
      </c>
      <c r="K67" s="3">
        <f t="shared" si="15"/>
        <v>138.18032786885237</v>
      </c>
      <c r="L67" s="7">
        <f t="shared" si="16"/>
        <v>0.2059872922776147</v>
      </c>
      <c r="M67" t="s">
        <v>7</v>
      </c>
      <c r="O67" s="3">
        <f>E67-'315805 - P0824'!F67</f>
        <v>30</v>
      </c>
      <c r="P67" s="30">
        <f>I67-'315805 - P0824'!J67</f>
        <v>36.590163934426187</v>
      </c>
    </row>
    <row r="68" spans="1:16" x14ac:dyDescent="0.25">
      <c r="A68">
        <v>66</v>
      </c>
      <c r="D68" s="4" t="s">
        <v>72</v>
      </c>
      <c r="E68" s="8">
        <v>550</v>
      </c>
      <c r="F68" s="8">
        <f>F65</f>
        <v>735</v>
      </c>
      <c r="G68" s="6">
        <f t="shared" si="13"/>
        <v>185</v>
      </c>
      <c r="H68" s="7">
        <f t="shared" si="14"/>
        <v>0.33636363636363636</v>
      </c>
      <c r="I68" s="8">
        <v>670.81967213114763</v>
      </c>
      <c r="J68" s="12">
        <f>J65</f>
        <v>809</v>
      </c>
      <c r="K68" s="3">
        <f t="shared" si="15"/>
        <v>138.18032786885237</v>
      </c>
      <c r="L68" s="7">
        <f t="shared" si="16"/>
        <v>0.2059872922776147</v>
      </c>
      <c r="M68" t="s">
        <v>7</v>
      </c>
      <c r="O68" s="3">
        <f>E68-'315805 - P0824'!F68</f>
        <v>30</v>
      </c>
      <c r="P68" s="30">
        <f>I68-'315805 - P0824'!J68</f>
        <v>36.590163934426187</v>
      </c>
    </row>
    <row r="69" spans="1:16" x14ac:dyDescent="0.25">
      <c r="A69">
        <v>67</v>
      </c>
      <c r="D69" s="4" t="s">
        <v>73</v>
      </c>
      <c r="E69" s="8">
        <v>550</v>
      </c>
      <c r="F69" s="8">
        <f>F65</f>
        <v>735</v>
      </c>
      <c r="G69" s="6">
        <f t="shared" si="13"/>
        <v>185</v>
      </c>
      <c r="H69" s="7">
        <f t="shared" si="14"/>
        <v>0.33636363636363636</v>
      </c>
      <c r="I69" s="8">
        <v>670.81967213114763</v>
      </c>
      <c r="J69" s="12">
        <f>J65</f>
        <v>809</v>
      </c>
      <c r="K69" s="3">
        <f t="shared" si="15"/>
        <v>138.18032786885237</v>
      </c>
      <c r="L69" s="7">
        <f t="shared" si="16"/>
        <v>0.2059872922776147</v>
      </c>
      <c r="M69" t="s">
        <v>7</v>
      </c>
      <c r="O69" s="3">
        <f>E69-'315805 - P0824'!F69</f>
        <v>30</v>
      </c>
      <c r="P69" s="30">
        <f>I69-'315805 - P0824'!J69</f>
        <v>36.590163934426187</v>
      </c>
    </row>
    <row r="70" spans="1:16" x14ac:dyDescent="0.25">
      <c r="A70">
        <v>68</v>
      </c>
      <c r="D70" s="4" t="s">
        <v>74</v>
      </c>
      <c r="E70" s="8">
        <v>550</v>
      </c>
      <c r="F70" s="8">
        <f>F65</f>
        <v>735</v>
      </c>
      <c r="G70" s="6">
        <f t="shared" si="13"/>
        <v>185</v>
      </c>
      <c r="H70" s="7">
        <f t="shared" si="14"/>
        <v>0.33636363636363636</v>
      </c>
      <c r="I70" s="8">
        <v>670.81967213114763</v>
      </c>
      <c r="J70" s="12">
        <f>J65</f>
        <v>809</v>
      </c>
      <c r="K70" s="3">
        <f t="shared" si="15"/>
        <v>138.18032786885237</v>
      </c>
      <c r="L70" s="7">
        <f t="shared" si="16"/>
        <v>0.2059872922776147</v>
      </c>
      <c r="M70" t="s">
        <v>7</v>
      </c>
      <c r="O70" s="3">
        <f>E70-'315805 - P0824'!F70</f>
        <v>30</v>
      </c>
      <c r="P70" s="30">
        <f>I70-'315805 - P0824'!J70</f>
        <v>36.590163934426187</v>
      </c>
    </row>
    <row r="71" spans="1:16" x14ac:dyDescent="0.25">
      <c r="A71">
        <v>69</v>
      </c>
      <c r="D71" s="4" t="s">
        <v>75</v>
      </c>
      <c r="E71" s="8">
        <v>550</v>
      </c>
      <c r="F71" s="8">
        <f>F67</f>
        <v>735</v>
      </c>
      <c r="G71" s="6">
        <f t="shared" si="13"/>
        <v>185</v>
      </c>
      <c r="H71" s="7">
        <f t="shared" si="14"/>
        <v>0.33636363636363636</v>
      </c>
      <c r="I71" s="8">
        <v>670.81967213114763</v>
      </c>
      <c r="J71" s="12">
        <f>J67</f>
        <v>809</v>
      </c>
      <c r="K71" s="3">
        <f t="shared" si="15"/>
        <v>138.18032786885237</v>
      </c>
      <c r="L71" s="7">
        <f t="shared" si="16"/>
        <v>0.2059872922776147</v>
      </c>
      <c r="M71" t="s">
        <v>7</v>
      </c>
      <c r="O71" s="3">
        <f>E71-'315805 - P0824'!F71</f>
        <v>30</v>
      </c>
      <c r="P71" s="30">
        <f>I71-'315805 - P0824'!J71</f>
        <v>36.590163934426187</v>
      </c>
    </row>
    <row r="72" spans="1:16" x14ac:dyDescent="0.25">
      <c r="A72">
        <v>70</v>
      </c>
      <c r="D72" s="4" t="s">
        <v>76</v>
      </c>
      <c r="E72" s="5">
        <v>550</v>
      </c>
      <c r="F72" s="5">
        <v>676</v>
      </c>
      <c r="G72" s="6">
        <f>+F72-E72</f>
        <v>126</v>
      </c>
      <c r="H72" s="7">
        <f>(F72-E72)/ABS(E72)</f>
        <v>0.2290909090909091</v>
      </c>
      <c r="I72" s="8">
        <v>771.44837144837129</v>
      </c>
      <c r="J72" s="12">
        <v>778</v>
      </c>
      <c r="K72" s="3">
        <f>J72-I72</f>
        <v>6.5516285516287098</v>
      </c>
      <c r="L72" s="7">
        <f>(J72-I72)/ABS(I72)</f>
        <v>8.4926338483652802E-3</v>
      </c>
      <c r="M72" t="s">
        <v>7</v>
      </c>
      <c r="O72" s="3">
        <f>E72-'315805 - P0824'!F72</f>
        <v>-113</v>
      </c>
      <c r="P72" s="30">
        <f>I72-'315805 - P0824'!J72</f>
        <v>-158.49757449757453</v>
      </c>
    </row>
    <row r="73" spans="1:16" x14ac:dyDescent="0.25">
      <c r="A73">
        <v>71</v>
      </c>
      <c r="D73" s="4" t="s">
        <v>77</v>
      </c>
      <c r="E73" s="8">
        <v>550</v>
      </c>
      <c r="F73" s="8">
        <f>F72</f>
        <v>676</v>
      </c>
      <c r="G73" s="6">
        <f>+F73-E73</f>
        <v>126</v>
      </c>
      <c r="H73" s="7">
        <f>(F73-E73)/ABS(E73)</f>
        <v>0.2290909090909091</v>
      </c>
      <c r="I73" s="8">
        <v>771.44837144837129</v>
      </c>
      <c r="J73" s="12">
        <f>J72</f>
        <v>778</v>
      </c>
      <c r="K73" s="3">
        <f>J73-I73</f>
        <v>6.5516285516287098</v>
      </c>
      <c r="L73" s="7">
        <f>(J73-I73)/ABS(I73)</f>
        <v>8.4926338483652802E-3</v>
      </c>
      <c r="M73" t="s">
        <v>7</v>
      </c>
      <c r="O73" s="3">
        <f>E73-'315805 - P0824'!F73</f>
        <v>-113</v>
      </c>
      <c r="P73" s="30">
        <f>I73-'315805 - P0824'!J73</f>
        <v>-158.49757449757453</v>
      </c>
    </row>
    <row r="74" spans="1:16" x14ac:dyDescent="0.25">
      <c r="A74">
        <v>72</v>
      </c>
      <c r="D74" s="4" t="s">
        <v>78</v>
      </c>
      <c r="E74" s="8">
        <v>550</v>
      </c>
      <c r="F74" s="8">
        <f>F72</f>
        <v>676</v>
      </c>
      <c r="G74" s="6">
        <f>+F74-E74</f>
        <v>126</v>
      </c>
      <c r="H74" s="7">
        <f>(F74-E74)/ABS(E74)</f>
        <v>0.2290909090909091</v>
      </c>
      <c r="I74" s="8">
        <v>771.44837144837129</v>
      </c>
      <c r="J74" s="12">
        <f>J72</f>
        <v>778</v>
      </c>
      <c r="K74" s="3">
        <f>J74-I74</f>
        <v>6.5516285516287098</v>
      </c>
      <c r="L74" s="7">
        <f>(J74-I74)/ABS(I74)</f>
        <v>8.4926338483652802E-3</v>
      </c>
      <c r="M74" t="s">
        <v>7</v>
      </c>
      <c r="O74" s="3">
        <f>E74-'315805 - P0824'!F74</f>
        <v>-113</v>
      </c>
      <c r="P74" s="30">
        <f>I74-'315805 - P0824'!J74</f>
        <v>-158.49757449757453</v>
      </c>
    </row>
    <row r="75" spans="1:16" x14ac:dyDescent="0.25">
      <c r="A75">
        <v>73</v>
      </c>
      <c r="D75" s="4" t="s">
        <v>79</v>
      </c>
      <c r="E75" s="8">
        <v>550</v>
      </c>
      <c r="F75" s="8">
        <f>F72</f>
        <v>676</v>
      </c>
      <c r="G75" s="6">
        <f>+F75-E75</f>
        <v>126</v>
      </c>
      <c r="H75" s="7">
        <f>(F75-E75)/ABS(E75)</f>
        <v>0.2290909090909091</v>
      </c>
      <c r="I75" s="8">
        <v>771.44837144837129</v>
      </c>
      <c r="J75" s="12">
        <f>J72</f>
        <v>778</v>
      </c>
      <c r="K75" s="3">
        <f>J75-I75</f>
        <v>6.5516285516287098</v>
      </c>
      <c r="L75" s="7">
        <f>(J75-I75)/ABS(I75)</f>
        <v>8.4926338483652802E-3</v>
      </c>
      <c r="M75" t="s">
        <v>7</v>
      </c>
      <c r="O75" s="3">
        <f>E75-'315805 - P0824'!F75</f>
        <v>-113</v>
      </c>
      <c r="P75" s="30">
        <f>I75-'315805 - P0824'!J75</f>
        <v>-158.49757449757453</v>
      </c>
    </row>
    <row r="76" spans="1:16" x14ac:dyDescent="0.25">
      <c r="A76">
        <v>74</v>
      </c>
      <c r="D76" s="4" t="s">
        <v>80</v>
      </c>
      <c r="E76" s="8">
        <v>550</v>
      </c>
      <c r="F76" s="8">
        <f>F72</f>
        <v>676</v>
      </c>
      <c r="G76" s="6">
        <f>+F76-E76</f>
        <v>126</v>
      </c>
      <c r="H76" s="7">
        <f>(F76-E76)/ABS(E76)</f>
        <v>0.2290909090909091</v>
      </c>
      <c r="I76" s="8">
        <v>771.44837144837129</v>
      </c>
      <c r="J76" s="12">
        <f>J72</f>
        <v>778</v>
      </c>
      <c r="K76" s="3">
        <f>J76-I76</f>
        <v>6.5516285516287098</v>
      </c>
      <c r="L76" s="7">
        <f>(J76-I76)/ABS(I76)</f>
        <v>8.4926338483652802E-3</v>
      </c>
      <c r="M76" t="s">
        <v>7</v>
      </c>
      <c r="O76" s="3">
        <f>E76-'315805 - P0824'!F76</f>
        <v>-113</v>
      </c>
      <c r="P76" s="30">
        <f>I76-'315805 - P0824'!J76</f>
        <v>-158.49757449757453</v>
      </c>
    </row>
    <row r="77" spans="1:16" x14ac:dyDescent="0.25">
      <c r="A77">
        <v>75</v>
      </c>
      <c r="D77" s="4" t="s">
        <v>81</v>
      </c>
      <c r="E77" s="8">
        <v>550</v>
      </c>
      <c r="F77" s="8">
        <f t="shared" ref="F77" si="17">F74</f>
        <v>676</v>
      </c>
      <c r="G77" s="6">
        <f t="shared" ref="G77" si="18">+F77-E77</f>
        <v>126</v>
      </c>
      <c r="H77" s="7">
        <f t="shared" ref="H77" si="19">(F77-E77)/ABS(E77)</f>
        <v>0.2290909090909091</v>
      </c>
      <c r="I77" s="8">
        <v>771.44837144837129</v>
      </c>
      <c r="J77" s="12">
        <f t="shared" ref="J77" si="20">J74</f>
        <v>778</v>
      </c>
      <c r="K77" s="3">
        <f t="shared" ref="K77" si="21">J77-I77</f>
        <v>6.5516285516287098</v>
      </c>
      <c r="L77" s="7">
        <f t="shared" ref="L77" si="22">(J77-I77)/ABS(I77)</f>
        <v>8.4926338483652802E-3</v>
      </c>
      <c r="M77" t="s">
        <v>7</v>
      </c>
      <c r="O77" s="3">
        <f>E77-'315805 - P0824'!F77</f>
        <v>-113</v>
      </c>
      <c r="P77" s="30">
        <f>I77-'315805 - P0824'!J77</f>
        <v>-158.49757449757453</v>
      </c>
    </row>
    <row r="78" spans="1:16" x14ac:dyDescent="0.25">
      <c r="A78">
        <v>76</v>
      </c>
      <c r="D78" s="4" t="s">
        <v>82</v>
      </c>
      <c r="E78" s="5">
        <v>738</v>
      </c>
      <c r="F78" s="5">
        <v>1021</v>
      </c>
      <c r="G78" s="6">
        <f>+F78-E78</f>
        <v>283</v>
      </c>
      <c r="H78" s="7">
        <f>(F78-E78)/ABS(E78)</f>
        <v>0.38346883468834686</v>
      </c>
      <c r="I78" s="8">
        <v>934.28481675392686</v>
      </c>
      <c r="J78" s="12">
        <v>1174</v>
      </c>
      <c r="K78" s="3">
        <f>J78-I78</f>
        <v>239.71518324607314</v>
      </c>
      <c r="L78" s="7">
        <f>(J78-I78)/ABS(I78)</f>
        <v>0.25657613069100066</v>
      </c>
      <c r="M78" t="s">
        <v>7</v>
      </c>
      <c r="O78" s="3">
        <f>E78-'315805 - P0824'!F78</f>
        <v>18</v>
      </c>
      <c r="P78" s="30">
        <f>I78-'315805 - P0824'!J78</f>
        <v>22.787434554973856</v>
      </c>
    </row>
    <row r="79" spans="1:16" x14ac:dyDescent="0.25">
      <c r="A79">
        <v>77</v>
      </c>
      <c r="D79" s="4" t="s">
        <v>83</v>
      </c>
      <c r="E79" s="8">
        <v>738</v>
      </c>
      <c r="F79" s="8">
        <f>F78</f>
        <v>1021</v>
      </c>
      <c r="G79" s="6">
        <f>+F79-E79</f>
        <v>283</v>
      </c>
      <c r="H79" s="7">
        <f>(F79-E79)/ABS(E79)</f>
        <v>0.38346883468834686</v>
      </c>
      <c r="I79" s="8">
        <v>934.28481675392686</v>
      </c>
      <c r="J79" s="12">
        <f>J78</f>
        <v>1174</v>
      </c>
      <c r="K79" s="3">
        <f>J79-I79</f>
        <v>239.71518324607314</v>
      </c>
      <c r="L79" s="7">
        <f>(J79-I79)/ABS(I79)</f>
        <v>0.25657613069100066</v>
      </c>
      <c r="M79" t="s">
        <v>7</v>
      </c>
      <c r="O79" s="3">
        <f>E79-'315805 - P0824'!F79</f>
        <v>18</v>
      </c>
      <c r="P79" s="30">
        <f>I79-'315805 - P0824'!J79</f>
        <v>22.787434554973856</v>
      </c>
    </row>
    <row r="80" spans="1:16" x14ac:dyDescent="0.25">
      <c r="A80">
        <v>78</v>
      </c>
      <c r="D80" s="4" t="s">
        <v>84</v>
      </c>
      <c r="E80" s="8">
        <v>738</v>
      </c>
      <c r="F80" s="8">
        <f>F78</f>
        <v>1021</v>
      </c>
      <c r="G80" s="6">
        <f>+F80-E80</f>
        <v>283</v>
      </c>
      <c r="H80" s="7">
        <f>(F80-E80)/ABS(E80)</f>
        <v>0.38346883468834686</v>
      </c>
      <c r="I80" s="8">
        <v>934.28481675392686</v>
      </c>
      <c r="J80" s="12">
        <f>J78</f>
        <v>1174</v>
      </c>
      <c r="K80" s="3">
        <f>J80-I80</f>
        <v>239.71518324607314</v>
      </c>
      <c r="L80" s="7">
        <f>(J80-I80)/ABS(I80)</f>
        <v>0.25657613069100066</v>
      </c>
      <c r="M80" t="s">
        <v>7</v>
      </c>
      <c r="O80" s="3">
        <f>E80-'315805 - P0824'!F80</f>
        <v>18</v>
      </c>
      <c r="P80" s="30">
        <f>I80-'315805 - P0824'!J80</f>
        <v>22.787434554973856</v>
      </c>
    </row>
    <row r="81" spans="1:16" x14ac:dyDescent="0.25">
      <c r="A81">
        <v>79</v>
      </c>
      <c r="D81" s="4" t="s">
        <v>85</v>
      </c>
      <c r="E81" s="8">
        <v>738</v>
      </c>
      <c r="F81" s="8">
        <f>F78</f>
        <v>1021</v>
      </c>
      <c r="G81" s="6">
        <f>+F81-E81</f>
        <v>283</v>
      </c>
      <c r="H81" s="7">
        <f>(F81-E81)/ABS(E81)</f>
        <v>0.38346883468834686</v>
      </c>
      <c r="I81" s="8">
        <v>934.28481675392686</v>
      </c>
      <c r="J81" s="12">
        <f>J78</f>
        <v>1174</v>
      </c>
      <c r="K81" s="3">
        <f>J81-I81</f>
        <v>239.71518324607314</v>
      </c>
      <c r="L81" s="7">
        <f>(J81-I81)/ABS(I81)</f>
        <v>0.25657613069100066</v>
      </c>
      <c r="M81" t="s">
        <v>7</v>
      </c>
      <c r="O81" s="3">
        <f>E81-'315805 - P0824'!F81</f>
        <v>18</v>
      </c>
      <c r="P81" s="30">
        <f>I81-'315805 - P0824'!J81</f>
        <v>22.787434554973856</v>
      </c>
    </row>
    <row r="82" spans="1:16" x14ac:dyDescent="0.25">
      <c r="A82">
        <v>80</v>
      </c>
      <c r="D82" s="4" t="s">
        <v>86</v>
      </c>
      <c r="E82" s="8">
        <v>738</v>
      </c>
      <c r="F82" s="8">
        <f>F78</f>
        <v>1021</v>
      </c>
      <c r="G82" s="6">
        <f>+F82-E82</f>
        <v>283</v>
      </c>
      <c r="H82" s="7">
        <f>(F82-E82)/ABS(E82)</f>
        <v>0.38346883468834686</v>
      </c>
      <c r="I82" s="8">
        <v>934.28481675392686</v>
      </c>
      <c r="J82" s="12">
        <f>J78</f>
        <v>1174</v>
      </c>
      <c r="K82" s="3">
        <f>J82-I82</f>
        <v>239.71518324607314</v>
      </c>
      <c r="L82" s="7">
        <f>(J82-I82)/ABS(I82)</f>
        <v>0.25657613069100066</v>
      </c>
      <c r="M82" t="s">
        <v>7</v>
      </c>
      <c r="O82" s="3">
        <f>E82-'315805 - P0824'!F82</f>
        <v>18</v>
      </c>
      <c r="P82" s="30">
        <f>I82-'315805 - P0824'!J82</f>
        <v>22.787434554973856</v>
      </c>
    </row>
    <row r="83" spans="1:16" x14ac:dyDescent="0.25">
      <c r="A83">
        <v>81</v>
      </c>
      <c r="D83" s="4" t="s">
        <v>87</v>
      </c>
      <c r="E83" s="8">
        <v>738</v>
      </c>
      <c r="F83" s="8">
        <f>F80</f>
        <v>1021</v>
      </c>
      <c r="G83" s="6">
        <f t="shared" ref="G83" si="23">+F83-E83</f>
        <v>283</v>
      </c>
      <c r="H83" s="7">
        <f t="shared" ref="H83" si="24">(F83-E83)/ABS(E83)</f>
        <v>0.38346883468834686</v>
      </c>
      <c r="I83" s="8">
        <v>934.28481675392686</v>
      </c>
      <c r="J83" s="12">
        <f>J80</f>
        <v>1174</v>
      </c>
      <c r="K83" s="3">
        <f t="shared" ref="K83" si="25">J83-I83</f>
        <v>239.71518324607314</v>
      </c>
      <c r="L83" s="7">
        <f t="shared" ref="L83" si="26">(J83-I83)/ABS(I83)</f>
        <v>0.25657613069100066</v>
      </c>
      <c r="M83" t="s">
        <v>7</v>
      </c>
      <c r="O83" s="3">
        <f>E83-'315805 - P0824'!F83</f>
        <v>18</v>
      </c>
      <c r="P83" s="30">
        <f>I83-'315805 - P0824'!J83</f>
        <v>22.787434554973856</v>
      </c>
    </row>
    <row r="84" spans="1:16" x14ac:dyDescent="0.25">
      <c r="A84">
        <v>82</v>
      </c>
      <c r="D84" s="4" t="s">
        <v>493</v>
      </c>
      <c r="E84" s="5">
        <v>823</v>
      </c>
      <c r="F84" s="5">
        <v>1011</v>
      </c>
      <c r="G84" s="6">
        <f>+F84-E84</f>
        <v>188</v>
      </c>
      <c r="H84" s="7">
        <f>(F84-E84)/ABS(E84)</f>
        <v>0.22843256379100851</v>
      </c>
      <c r="I84" s="8">
        <v>1054.2450495703899</v>
      </c>
      <c r="J84" s="12">
        <v>1163</v>
      </c>
      <c r="K84" s="3">
        <f>J84-I84</f>
        <v>108.75495042961006</v>
      </c>
      <c r="L84" s="7">
        <f>(J84-I84)/ABS(I84)</f>
        <v>0.10315908096882052</v>
      </c>
      <c r="M84" t="s">
        <v>7</v>
      </c>
      <c r="O84" s="3">
        <f>E84-'315805 - P0824'!F84</f>
        <v>70</v>
      </c>
      <c r="P84" s="30">
        <f>I84-'315805 - P0824'!J84</f>
        <v>89.668473231989424</v>
      </c>
    </row>
    <row r="85" spans="1:16" x14ac:dyDescent="0.25">
      <c r="A85">
        <v>83</v>
      </c>
      <c r="D85" s="4" t="s">
        <v>88</v>
      </c>
      <c r="E85" s="8">
        <v>823</v>
      </c>
      <c r="F85" s="8">
        <f>F84</f>
        <v>1011</v>
      </c>
      <c r="G85" s="6">
        <f>+F85-E85</f>
        <v>188</v>
      </c>
      <c r="H85" s="7">
        <f>(F85-E85)/ABS(E85)</f>
        <v>0.22843256379100851</v>
      </c>
      <c r="I85" s="8">
        <v>1054.2450495703899</v>
      </c>
      <c r="J85" s="12">
        <f>J84</f>
        <v>1163</v>
      </c>
      <c r="K85" s="3">
        <f>J85-I85</f>
        <v>108.75495042961006</v>
      </c>
      <c r="L85" s="7">
        <f>(J85-I85)/ABS(I85)</f>
        <v>0.10315908096882052</v>
      </c>
      <c r="M85" t="s">
        <v>7</v>
      </c>
      <c r="O85" s="3">
        <f>E85-'315805 - P0824'!F85</f>
        <v>70</v>
      </c>
      <c r="P85" s="30">
        <f>I85-'315805 - P0824'!J85</f>
        <v>89.668473231989424</v>
      </c>
    </row>
    <row r="86" spans="1:16" x14ac:dyDescent="0.25">
      <c r="A86">
        <v>84</v>
      </c>
      <c r="D86" s="4" t="s">
        <v>89</v>
      </c>
      <c r="E86" s="8">
        <v>823</v>
      </c>
      <c r="F86" s="8">
        <f>F84</f>
        <v>1011</v>
      </c>
      <c r="G86" s="6">
        <f>+F86-E86</f>
        <v>188</v>
      </c>
      <c r="H86" s="7">
        <f>(F86-E86)/ABS(E86)</f>
        <v>0.22843256379100851</v>
      </c>
      <c r="I86" s="8">
        <v>1054.2450495703899</v>
      </c>
      <c r="J86" s="12">
        <f>J84</f>
        <v>1163</v>
      </c>
      <c r="K86" s="3">
        <f>J86-I86</f>
        <v>108.75495042961006</v>
      </c>
      <c r="L86" s="7">
        <f>(J86-I86)/ABS(I86)</f>
        <v>0.10315908096882052</v>
      </c>
      <c r="M86" t="s">
        <v>7</v>
      </c>
      <c r="O86" s="3">
        <f>E86-'315805 - P0824'!F86</f>
        <v>70</v>
      </c>
      <c r="P86" s="30">
        <f>I86-'315805 - P0824'!J86</f>
        <v>89.668473231989424</v>
      </c>
    </row>
    <row r="87" spans="1:16" x14ac:dyDescent="0.25">
      <c r="A87">
        <v>85</v>
      </c>
      <c r="D87" s="4" t="s">
        <v>90</v>
      </c>
      <c r="E87" s="8">
        <v>823</v>
      </c>
      <c r="F87" s="8">
        <f>F84</f>
        <v>1011</v>
      </c>
      <c r="G87" s="6">
        <f>+F87-E87</f>
        <v>188</v>
      </c>
      <c r="H87" s="7">
        <f>(F87-E87)/ABS(E87)</f>
        <v>0.22843256379100851</v>
      </c>
      <c r="I87" s="8">
        <v>1054.2450495703899</v>
      </c>
      <c r="J87" s="12">
        <f>J84</f>
        <v>1163</v>
      </c>
      <c r="K87" s="3">
        <f>J87-I87</f>
        <v>108.75495042961006</v>
      </c>
      <c r="L87" s="7">
        <f>(J87-I87)/ABS(I87)</f>
        <v>0.10315908096882052</v>
      </c>
      <c r="M87" t="s">
        <v>7</v>
      </c>
      <c r="O87" s="3">
        <f>E87-'315805 - P0824'!F87</f>
        <v>70</v>
      </c>
      <c r="P87" s="30">
        <f>I87-'315805 - P0824'!J87</f>
        <v>89.668473231989424</v>
      </c>
    </row>
    <row r="88" spans="1:16" x14ac:dyDescent="0.25">
      <c r="A88">
        <v>86</v>
      </c>
      <c r="D88" s="4" t="s">
        <v>91</v>
      </c>
      <c r="E88" s="8">
        <v>823</v>
      </c>
      <c r="F88" s="8">
        <f>F84</f>
        <v>1011</v>
      </c>
      <c r="G88" s="6">
        <f>+F88-E88</f>
        <v>188</v>
      </c>
      <c r="H88" s="7">
        <f>(F88-E88)/ABS(E88)</f>
        <v>0.22843256379100851</v>
      </c>
      <c r="I88" s="8">
        <v>1054.2450495703899</v>
      </c>
      <c r="J88" s="12">
        <f>J84</f>
        <v>1163</v>
      </c>
      <c r="K88" s="3">
        <f>J88-I88</f>
        <v>108.75495042961006</v>
      </c>
      <c r="L88" s="7">
        <f>(J88-I88)/ABS(I88)</f>
        <v>0.10315908096882052</v>
      </c>
      <c r="M88" t="s">
        <v>7</v>
      </c>
      <c r="O88" s="3">
        <f>E88-'315805 - P0824'!F88</f>
        <v>70</v>
      </c>
      <c r="P88" s="30">
        <f>I88-'315805 - P0824'!J88</f>
        <v>89.668473231989424</v>
      </c>
    </row>
    <row r="89" spans="1:16" x14ac:dyDescent="0.25">
      <c r="A89">
        <v>87</v>
      </c>
      <c r="D89" s="4" t="s">
        <v>92</v>
      </c>
      <c r="E89" s="8">
        <v>823</v>
      </c>
      <c r="F89" s="8">
        <f t="shared" ref="F89" si="27">F86</f>
        <v>1011</v>
      </c>
      <c r="G89" s="6">
        <f t="shared" ref="G89:G90" si="28">+F89-E89</f>
        <v>188</v>
      </c>
      <c r="H89" s="7">
        <f t="shared" ref="H89:H90" si="29">(F89-E89)/ABS(E89)</f>
        <v>0.22843256379100851</v>
      </c>
      <c r="I89" s="8">
        <v>1054.2450495703899</v>
      </c>
      <c r="J89" s="12">
        <f t="shared" ref="J89" si="30">J86</f>
        <v>1163</v>
      </c>
      <c r="K89" s="3">
        <f t="shared" ref="K89:K90" si="31">J89-I89</f>
        <v>108.75495042961006</v>
      </c>
      <c r="L89" s="7">
        <f t="shared" ref="L89:L90" si="32">(J89-I89)/ABS(I89)</f>
        <v>0.10315908096882052</v>
      </c>
      <c r="M89" t="s">
        <v>7</v>
      </c>
      <c r="O89" s="3">
        <f>E89-'315805 - P0824'!F89</f>
        <v>70</v>
      </c>
      <c r="P89" s="30">
        <f>I89-'315805 - P0824'!J89</f>
        <v>89.668473231989424</v>
      </c>
    </row>
    <row r="90" spans="1:16" x14ac:dyDescent="0.25">
      <c r="A90">
        <v>88</v>
      </c>
      <c r="C90" t="s">
        <v>8</v>
      </c>
      <c r="D90" s="4" t="s">
        <v>93</v>
      </c>
      <c r="E90" s="5">
        <v>12.85</v>
      </c>
      <c r="F90" s="5">
        <f>4*4*8/12*1.29</f>
        <v>13.76</v>
      </c>
      <c r="G90" s="6">
        <f t="shared" si="28"/>
        <v>0.91000000000000014</v>
      </c>
      <c r="H90" s="7">
        <f t="shared" si="29"/>
        <v>7.0817120622568105E-2</v>
      </c>
      <c r="I90" s="8">
        <v>2580.3146038322125</v>
      </c>
      <c r="J90" s="9">
        <f t="shared" ref="J90" si="33">(I90*H90)+I90</f>
        <v>2763.0450543759721</v>
      </c>
      <c r="K90" s="3">
        <f t="shared" si="31"/>
        <v>182.73045054375962</v>
      </c>
      <c r="L90" s="7">
        <f t="shared" si="32"/>
        <v>7.0817120622568022E-2</v>
      </c>
      <c r="M90" t="s">
        <v>7</v>
      </c>
      <c r="O90" s="3">
        <f>E90-'315805 - P0824'!F90</f>
        <v>0</v>
      </c>
      <c r="P90" s="30">
        <f>I90-'315805 - P0824'!J90</f>
        <v>0</v>
      </c>
    </row>
    <row r="91" spans="1:16" x14ac:dyDescent="0.25">
      <c r="A91">
        <v>89</v>
      </c>
      <c r="D91" s="34" t="s">
        <v>94</v>
      </c>
      <c r="H91" s="10">
        <f>AVERAGE(H65:H90)</f>
        <v>0.28735832386883098</v>
      </c>
      <c r="I91"/>
      <c r="L91" s="10">
        <f>AVERAGE(L65:L89)</f>
        <v>0.14605112475969681</v>
      </c>
    </row>
    <row r="92" spans="1:16" x14ac:dyDescent="0.25">
      <c r="A92">
        <v>90</v>
      </c>
      <c r="D92" s="34" t="s">
        <v>95</v>
      </c>
      <c r="I92"/>
      <c r="M92" t="s">
        <v>7</v>
      </c>
      <c r="O92" s="3">
        <f>E92-'315805 - P0824'!F92</f>
        <v>0</v>
      </c>
      <c r="P92" s="30">
        <f>I92-'315805 - P0824'!J92</f>
        <v>0</v>
      </c>
    </row>
    <row r="93" spans="1:16" x14ac:dyDescent="0.25">
      <c r="A93">
        <v>91</v>
      </c>
      <c r="D93" s="4" t="s">
        <v>96</v>
      </c>
      <c r="E93" s="5">
        <v>381</v>
      </c>
      <c r="F93" s="5">
        <v>395</v>
      </c>
      <c r="G93" s="6">
        <f t="shared" ref="G93:G101" si="34">+F93-E93</f>
        <v>14</v>
      </c>
      <c r="H93" s="7">
        <f t="shared" ref="H93:H101" si="35">(F93-E93)/ABS(E93)</f>
        <v>3.6745406824146981E-2</v>
      </c>
      <c r="I93" s="8">
        <v>432.08379888268161</v>
      </c>
      <c r="J93" s="12">
        <v>427</v>
      </c>
      <c r="K93" s="3">
        <f t="shared" ref="K93:K101" si="36">J93-I93</f>
        <v>-5.0837988826816058</v>
      </c>
      <c r="L93" s="7">
        <f t="shared" ref="L93:L101" si="37">(J93-I93)/ABS(I93)</f>
        <v>-1.1765770657978193E-2</v>
      </c>
      <c r="M93" t="s">
        <v>7</v>
      </c>
      <c r="O93" s="3">
        <f>E93-'315805 - P0824'!F93</f>
        <v>-14</v>
      </c>
      <c r="P93" s="30">
        <f>I93-'315805 - P0824'!J93</f>
        <v>-15.877094972067027</v>
      </c>
    </row>
    <row r="94" spans="1:16" x14ac:dyDescent="0.25">
      <c r="A94">
        <v>92</v>
      </c>
      <c r="D94" s="4" t="s">
        <v>97</v>
      </c>
      <c r="E94" s="5">
        <v>401</v>
      </c>
      <c r="F94" s="5">
        <v>415</v>
      </c>
      <c r="G94" s="6">
        <f t="shared" si="34"/>
        <v>14</v>
      </c>
      <c r="H94" s="7">
        <f t="shared" si="35"/>
        <v>3.4912718204488775E-2</v>
      </c>
      <c r="I94" s="8">
        <v>461.48191293684857</v>
      </c>
      <c r="J94" s="12">
        <v>448</v>
      </c>
      <c r="K94" s="3">
        <f t="shared" si="36"/>
        <v>-13.481912936848573</v>
      </c>
      <c r="L94" s="7">
        <f t="shared" si="37"/>
        <v>-2.9214390767885855E-2</v>
      </c>
      <c r="M94" t="s">
        <v>7</v>
      </c>
      <c r="O94" s="3">
        <f>E94-'315805 - P0824'!F94</f>
        <v>-14</v>
      </c>
      <c r="P94" s="30">
        <f>I94-'315805 - P0824'!J94</f>
        <v>-16.111587982832646</v>
      </c>
    </row>
    <row r="95" spans="1:16" x14ac:dyDescent="0.25">
      <c r="A95">
        <v>93</v>
      </c>
      <c r="D95" s="4" t="s">
        <v>98</v>
      </c>
      <c r="E95" s="5">
        <v>401</v>
      </c>
      <c r="F95" s="5">
        <v>415</v>
      </c>
      <c r="G95" s="6">
        <f t="shared" si="34"/>
        <v>14</v>
      </c>
      <c r="H95" s="7">
        <f t="shared" si="35"/>
        <v>3.4912718204488775E-2</v>
      </c>
      <c r="I95" s="8">
        <v>458.77743715511934</v>
      </c>
      <c r="J95" s="12">
        <v>448</v>
      </c>
      <c r="K95" s="3">
        <f t="shared" si="36"/>
        <v>-10.777437155119344</v>
      </c>
      <c r="L95" s="7">
        <f t="shared" si="37"/>
        <v>-2.3491646018928641E-2</v>
      </c>
      <c r="M95" t="s">
        <v>7</v>
      </c>
      <c r="O95" s="3">
        <f>E95-'315805 - P0824'!F95</f>
        <v>-14</v>
      </c>
      <c r="P95" s="30">
        <f>I95-'315805 - P0824'!J95</f>
        <v>-16.017167381974218</v>
      </c>
    </row>
    <row r="96" spans="1:16" x14ac:dyDescent="0.25">
      <c r="A96">
        <v>94</v>
      </c>
      <c r="D96" s="4" t="s">
        <v>99</v>
      </c>
      <c r="E96" s="5">
        <v>406</v>
      </c>
      <c r="F96" s="5">
        <v>423</v>
      </c>
      <c r="G96" s="6">
        <f t="shared" si="34"/>
        <v>17</v>
      </c>
      <c r="H96" s="7">
        <f t="shared" si="35"/>
        <v>4.1871921182266007E-2</v>
      </c>
      <c r="I96" s="8">
        <v>478.56170212765954</v>
      </c>
      <c r="J96" s="12">
        <v>456</v>
      </c>
      <c r="K96" s="3">
        <f t="shared" si="36"/>
        <v>-22.561702127659544</v>
      </c>
      <c r="L96" s="7">
        <f t="shared" si="37"/>
        <v>-4.7144813359179041E-2</v>
      </c>
      <c r="M96" t="s">
        <v>7</v>
      </c>
      <c r="O96" s="3">
        <f>E96-'315805 - P0824'!F96</f>
        <v>-9</v>
      </c>
      <c r="P96" s="30">
        <f>I96-'315805 - P0824'!J96</f>
        <v>-10.608510638297844</v>
      </c>
    </row>
    <row r="97" spans="1:16" x14ac:dyDescent="0.25">
      <c r="A97">
        <v>95</v>
      </c>
      <c r="D97" s="4" t="s">
        <v>100</v>
      </c>
      <c r="E97" s="5">
        <v>633</v>
      </c>
      <c r="F97" s="5">
        <v>645</v>
      </c>
      <c r="G97" s="6">
        <f t="shared" si="34"/>
        <v>12</v>
      </c>
      <c r="H97" s="7">
        <f t="shared" si="35"/>
        <v>1.8957345971563982E-2</v>
      </c>
      <c r="I97" s="8">
        <v>744.59270516717322</v>
      </c>
      <c r="J97" s="12">
        <v>696</v>
      </c>
      <c r="K97" s="3">
        <f t="shared" si="36"/>
        <v>-48.592705167173222</v>
      </c>
      <c r="L97" s="7">
        <f>(J97-I97)/ABS(I97)</f>
        <v>-6.526078597058424E-2</v>
      </c>
      <c r="M97" t="s">
        <v>7</v>
      </c>
      <c r="O97" s="3">
        <f>E97-'315805 - P0824'!F97</f>
        <v>0</v>
      </c>
      <c r="P97" s="30">
        <f>I97-'315805 - P0824'!J97</f>
        <v>0</v>
      </c>
    </row>
    <row r="98" spans="1:16" x14ac:dyDescent="0.25">
      <c r="A98">
        <v>96</v>
      </c>
      <c r="C98" t="s">
        <v>8</v>
      </c>
      <c r="D98" s="4" t="s">
        <v>101</v>
      </c>
      <c r="E98" s="5">
        <v>930</v>
      </c>
      <c r="F98" s="5">
        <v>900</v>
      </c>
      <c r="G98" s="6">
        <f t="shared" si="34"/>
        <v>-30</v>
      </c>
      <c r="H98" s="7">
        <f t="shared" si="35"/>
        <v>-3.2258064516129031E-2</v>
      </c>
      <c r="I98" s="8">
        <v>1108.2901554404145</v>
      </c>
      <c r="J98" s="9">
        <f t="shared" ref="J98:J101" si="38">(I98*H98)+I98</f>
        <v>1072.538860103627</v>
      </c>
      <c r="K98" s="3">
        <f t="shared" si="36"/>
        <v>-35.751295336787507</v>
      </c>
      <c r="L98" s="7">
        <f t="shared" si="37"/>
        <v>-3.2258064516128976E-2</v>
      </c>
      <c r="M98" t="s">
        <v>7</v>
      </c>
      <c r="O98" s="3">
        <f>E98-'315805 - P0824'!F98</f>
        <v>0</v>
      </c>
      <c r="P98" s="30">
        <f>I98-'315805 - P0824'!J98</f>
        <v>0</v>
      </c>
    </row>
    <row r="99" spans="1:16" x14ac:dyDescent="0.25">
      <c r="A99">
        <v>97</v>
      </c>
      <c r="C99" t="s">
        <v>8</v>
      </c>
      <c r="D99" s="4" t="s">
        <v>102</v>
      </c>
      <c r="E99" s="5">
        <v>1127</v>
      </c>
      <c r="F99" s="5">
        <v>1076</v>
      </c>
      <c r="G99" s="6">
        <f t="shared" si="34"/>
        <v>-51</v>
      </c>
      <c r="H99" s="7">
        <f t="shared" si="35"/>
        <v>-4.5252883762200533E-2</v>
      </c>
      <c r="I99" s="8">
        <v>1480.3326598207814</v>
      </c>
      <c r="J99" s="9">
        <f t="shared" si="38"/>
        <v>1413.3433380365225</v>
      </c>
      <c r="K99" s="3">
        <f t="shared" si="36"/>
        <v>-66.989321784258891</v>
      </c>
      <c r="L99" s="7">
        <f t="shared" si="37"/>
        <v>-4.5252883762200484E-2</v>
      </c>
      <c r="M99" t="s">
        <v>7</v>
      </c>
      <c r="O99" s="3">
        <f>E99-'315805 - P0824'!F99</f>
        <v>0</v>
      </c>
      <c r="P99" s="30">
        <f>I99-'315805 - P0824'!J99</f>
        <v>0</v>
      </c>
    </row>
    <row r="100" spans="1:16" x14ac:dyDescent="0.25">
      <c r="A100">
        <v>98</v>
      </c>
      <c r="D100" s="4" t="s">
        <v>103</v>
      </c>
      <c r="E100" s="5">
        <v>17.600000000000001</v>
      </c>
      <c r="F100" s="5">
        <v>17.600000000000001</v>
      </c>
      <c r="G100" s="6">
        <f t="shared" si="34"/>
        <v>0</v>
      </c>
      <c r="H100" s="7">
        <f t="shared" si="35"/>
        <v>0</v>
      </c>
      <c r="I100" s="8">
        <v>47.120192307692307</v>
      </c>
      <c r="J100" s="9">
        <f t="shared" si="38"/>
        <v>47.120192307692307</v>
      </c>
      <c r="K100" s="3">
        <f t="shared" si="36"/>
        <v>0</v>
      </c>
      <c r="L100" s="7">
        <f t="shared" si="37"/>
        <v>0</v>
      </c>
      <c r="M100" t="s">
        <v>7</v>
      </c>
      <c r="O100" s="3">
        <f>E100-'315805 - P0824'!F100</f>
        <v>0</v>
      </c>
      <c r="P100" s="30">
        <f>I100-'315805 - P0824'!J100</f>
        <v>0</v>
      </c>
    </row>
    <row r="101" spans="1:16" x14ac:dyDescent="0.25">
      <c r="A101">
        <v>99</v>
      </c>
      <c r="C101" t="s">
        <v>8</v>
      </c>
      <c r="D101" s="4" t="s">
        <v>104</v>
      </c>
      <c r="E101" s="5">
        <v>1606</v>
      </c>
      <c r="F101" s="5">
        <v>1605</v>
      </c>
      <c r="G101" s="6">
        <f t="shared" si="34"/>
        <v>-1</v>
      </c>
      <c r="H101" s="7">
        <f t="shared" si="35"/>
        <v>-6.2266500622665006E-4</v>
      </c>
      <c r="I101" s="8">
        <v>2655.2076759061838</v>
      </c>
      <c r="J101" s="9">
        <f t="shared" si="38"/>
        <v>2653.5543710021325</v>
      </c>
      <c r="K101" s="3">
        <f t="shared" si="36"/>
        <v>-1.6533049040513106</v>
      </c>
      <c r="L101" s="7">
        <f t="shared" si="37"/>
        <v>-6.2266500622670188E-4</v>
      </c>
      <c r="M101" t="s">
        <v>7</v>
      </c>
      <c r="O101" s="3">
        <f>E101-'315805 - P0824'!F101</f>
        <v>-14</v>
      </c>
      <c r="P101" s="30">
        <f>I101-'315805 - P0824'!J101</f>
        <v>-23.146268656716529</v>
      </c>
    </row>
    <row r="102" spans="1:16" x14ac:dyDescent="0.25">
      <c r="A102">
        <v>100</v>
      </c>
      <c r="D102" s="34" t="s">
        <v>105</v>
      </c>
      <c r="H102" s="10">
        <f>AVERAGE(H93:H101)</f>
        <v>9.9184996780442552E-3</v>
      </c>
      <c r="I102"/>
      <c r="L102" s="10">
        <f>AVERAGE(L93:L101)</f>
        <v>-2.8334557784345793E-2</v>
      </c>
    </row>
    <row r="103" spans="1:16" x14ac:dyDescent="0.25">
      <c r="A103">
        <v>101</v>
      </c>
      <c r="D103" s="34" t="s">
        <v>106</v>
      </c>
      <c r="G103" s="6"/>
      <c r="H103" s="7"/>
      <c r="I103"/>
      <c r="M103" t="s">
        <v>106</v>
      </c>
    </row>
    <row r="104" spans="1:16" x14ac:dyDescent="0.25">
      <c r="A104">
        <v>102</v>
      </c>
      <c r="C104" t="s">
        <v>8</v>
      </c>
      <c r="D104" s="4" t="s">
        <v>107</v>
      </c>
      <c r="E104" s="5">
        <v>36</v>
      </c>
      <c r="F104" s="5"/>
      <c r="G104" s="6">
        <f t="shared" ref="G104:G115" si="39">+F104-E104</f>
        <v>-36</v>
      </c>
      <c r="H104" s="7">
        <f t="shared" ref="H104:H115" si="40">(F104-E104)/ABS(E104)</f>
        <v>-1</v>
      </c>
      <c r="I104" s="8">
        <v>85.406538115384606</v>
      </c>
      <c r="J104" s="12">
        <f t="shared" ref="J104:J115" si="41">(I104*H104)+I104</f>
        <v>0</v>
      </c>
      <c r="K104" s="3">
        <f t="shared" ref="K104:K115" si="42">J104-I104</f>
        <v>-85.406538115384606</v>
      </c>
      <c r="L104" s="7">
        <f t="shared" ref="L104:L115" si="43">(J104-I104)/ABS(I104)</f>
        <v>-1</v>
      </c>
      <c r="M104" t="s">
        <v>106</v>
      </c>
      <c r="O104" s="3">
        <f>E104-'315805 - P0824'!F104</f>
        <v>0</v>
      </c>
      <c r="P104" s="30">
        <f>I104-'315805 - P0824'!J104</f>
        <v>0</v>
      </c>
    </row>
    <row r="105" spans="1:16" x14ac:dyDescent="0.25">
      <c r="A105">
        <v>103</v>
      </c>
      <c r="C105" t="s">
        <v>8</v>
      </c>
      <c r="D105" s="4" t="s">
        <v>108</v>
      </c>
      <c r="E105" s="5">
        <v>42</v>
      </c>
      <c r="F105" s="5"/>
      <c r="G105" s="6">
        <f t="shared" si="39"/>
        <v>-42</v>
      </c>
      <c r="H105" s="7">
        <f t="shared" si="40"/>
        <v>-1</v>
      </c>
      <c r="I105" s="8">
        <v>80.176901208617949</v>
      </c>
      <c r="J105" s="12">
        <f t="shared" si="41"/>
        <v>0</v>
      </c>
      <c r="K105" s="3">
        <f>J105-I105</f>
        <v>-80.176901208617949</v>
      </c>
      <c r="L105" s="7">
        <f>(J105-I105)/ABS(I105)</f>
        <v>-1</v>
      </c>
      <c r="M105" t="s">
        <v>106</v>
      </c>
      <c r="O105" s="3">
        <f>E105-'315805 - P0824'!F105</f>
        <v>0</v>
      </c>
      <c r="P105" s="30">
        <f>I105-'315805 - P0824'!J105</f>
        <v>0</v>
      </c>
    </row>
    <row r="106" spans="1:16" x14ac:dyDescent="0.25">
      <c r="A106">
        <v>104</v>
      </c>
      <c r="C106" t="s">
        <v>8</v>
      </c>
      <c r="D106" s="4" t="s">
        <v>109</v>
      </c>
      <c r="E106" s="12">
        <v>3.19</v>
      </c>
      <c r="F106" s="12">
        <v>3.19</v>
      </c>
      <c r="G106" s="6">
        <f t="shared" si="39"/>
        <v>0</v>
      </c>
      <c r="H106" s="7">
        <f t="shared" si="40"/>
        <v>0</v>
      </c>
      <c r="I106" s="8">
        <v>3.8745328209552197</v>
      </c>
      <c r="J106" s="12">
        <v>0</v>
      </c>
      <c r="K106" s="3">
        <f t="shared" si="42"/>
        <v>-3.8745328209552197</v>
      </c>
      <c r="L106" s="7">
        <f t="shared" si="43"/>
        <v>-1</v>
      </c>
      <c r="M106" t="s">
        <v>106</v>
      </c>
      <c r="O106" s="3">
        <f>E106-'315805 - P0824'!F106</f>
        <v>0</v>
      </c>
      <c r="P106" s="30">
        <f>I106-'315805 - P0824'!J106</f>
        <v>0</v>
      </c>
    </row>
    <row r="107" spans="1:16" x14ac:dyDescent="0.25">
      <c r="A107">
        <v>105</v>
      </c>
      <c r="C107" t="s">
        <v>8</v>
      </c>
      <c r="D107" s="4" t="s">
        <v>110</v>
      </c>
      <c r="E107" s="12">
        <v>3.48</v>
      </c>
      <c r="F107" s="12">
        <v>3.48</v>
      </c>
      <c r="G107" s="6">
        <f t="shared" si="39"/>
        <v>0</v>
      </c>
      <c r="H107" s="7">
        <f t="shared" si="40"/>
        <v>0</v>
      </c>
      <c r="I107" s="8">
        <v>4.0655928193903108</v>
      </c>
      <c r="J107" s="12">
        <v>5.87</v>
      </c>
      <c r="K107" s="3">
        <f t="shared" si="42"/>
        <v>1.8044071806096893</v>
      </c>
      <c r="L107" s="7">
        <f t="shared" si="43"/>
        <v>0.44382388024787095</v>
      </c>
      <c r="M107" t="s">
        <v>106</v>
      </c>
      <c r="O107" s="3">
        <f>E107-'315805 - P0824'!F107</f>
        <v>0</v>
      </c>
      <c r="P107" s="30">
        <f>I107-'315805 - P0824'!J107</f>
        <v>0</v>
      </c>
    </row>
    <row r="108" spans="1:16" x14ac:dyDescent="0.25">
      <c r="A108">
        <v>106</v>
      </c>
      <c r="C108" t="s">
        <v>8</v>
      </c>
      <c r="D108" s="4" t="s">
        <v>111</v>
      </c>
      <c r="E108" s="12">
        <v>7.89</v>
      </c>
      <c r="F108" s="12">
        <v>7.89</v>
      </c>
      <c r="G108" s="6">
        <f t="shared" si="39"/>
        <v>0</v>
      </c>
      <c r="H108" s="7">
        <f t="shared" si="40"/>
        <v>0</v>
      </c>
      <c r="I108" s="8">
        <v>8.9203191080353719</v>
      </c>
      <c r="J108" s="12">
        <v>9.1999999999999993</v>
      </c>
      <c r="K108" s="3">
        <f t="shared" si="42"/>
        <v>0.27968089196462742</v>
      </c>
      <c r="L108" s="7">
        <f t="shared" si="43"/>
        <v>3.1353238441065689E-2</v>
      </c>
      <c r="M108" t="s">
        <v>106</v>
      </c>
      <c r="O108" s="3">
        <f>E108-'315805 - P0824'!F108</f>
        <v>0</v>
      </c>
      <c r="P108" s="30">
        <f>I108-'315805 - P0824'!J108</f>
        <v>0</v>
      </c>
    </row>
    <row r="109" spans="1:16" x14ac:dyDescent="0.25">
      <c r="A109">
        <v>107</v>
      </c>
      <c r="C109" t="s">
        <v>8</v>
      </c>
      <c r="D109" s="4" t="s">
        <v>112</v>
      </c>
      <c r="E109" s="12">
        <v>9.34</v>
      </c>
      <c r="F109" s="12">
        <v>9.34</v>
      </c>
      <c r="G109" s="6">
        <f t="shared" si="39"/>
        <v>0</v>
      </c>
      <c r="H109" s="7">
        <f t="shared" si="40"/>
        <v>0</v>
      </c>
      <c r="I109" s="8">
        <v>10.432893234927514</v>
      </c>
      <c r="J109" s="12">
        <v>11.85</v>
      </c>
      <c r="K109" s="3">
        <f t="shared" si="42"/>
        <v>1.4171067650724858</v>
      </c>
      <c r="L109" s="7">
        <f t="shared" si="43"/>
        <v>0.13583065916252823</v>
      </c>
      <c r="M109" t="s">
        <v>106</v>
      </c>
      <c r="O109" s="3">
        <f>E109-'315805 - P0824'!F109</f>
        <v>0</v>
      </c>
      <c r="P109" s="30">
        <f>I109-'315805 - P0824'!J109</f>
        <v>0</v>
      </c>
    </row>
    <row r="110" spans="1:16" x14ac:dyDescent="0.25">
      <c r="A110">
        <v>108</v>
      </c>
      <c r="C110" t="s">
        <v>8</v>
      </c>
      <c r="D110" s="4" t="s">
        <v>113</v>
      </c>
      <c r="E110" s="12">
        <v>3.79</v>
      </c>
      <c r="F110" s="12">
        <v>3.79</v>
      </c>
      <c r="G110" s="6">
        <f t="shared" si="39"/>
        <v>0</v>
      </c>
      <c r="H110" s="7">
        <f t="shared" si="40"/>
        <v>0</v>
      </c>
      <c r="I110" s="8">
        <v>5.2944973572314407</v>
      </c>
      <c r="J110" s="9">
        <f t="shared" si="41"/>
        <v>5.2944973572314407</v>
      </c>
      <c r="K110" s="3">
        <f>J110-I110</f>
        <v>0</v>
      </c>
      <c r="L110" s="7">
        <f>(J110-I110)/ABS(I110)</f>
        <v>0</v>
      </c>
      <c r="M110" t="s">
        <v>106</v>
      </c>
      <c r="O110" s="3">
        <f>E110-'315805 - P0824'!F110</f>
        <v>0</v>
      </c>
      <c r="P110" s="30">
        <f>I110-'315805 - P0824'!J110</f>
        <v>0</v>
      </c>
    </row>
    <row r="111" spans="1:16" x14ac:dyDescent="0.25">
      <c r="A111">
        <v>109</v>
      </c>
      <c r="C111" t="s">
        <v>8</v>
      </c>
      <c r="D111" s="4" t="s">
        <v>114</v>
      </c>
      <c r="E111" s="12">
        <v>4.95</v>
      </c>
      <c r="F111" s="12">
        <v>4.95</v>
      </c>
      <c r="G111" s="6">
        <f t="shared" si="39"/>
        <v>0</v>
      </c>
      <c r="H111" s="7">
        <f t="shared" si="40"/>
        <v>0</v>
      </c>
      <c r="I111" s="8">
        <v>6.6523403553892901</v>
      </c>
      <c r="J111" s="9">
        <f t="shared" si="41"/>
        <v>6.6523403553892901</v>
      </c>
      <c r="K111" s="3">
        <f t="shared" si="42"/>
        <v>0</v>
      </c>
      <c r="L111" s="7">
        <f t="shared" si="43"/>
        <v>0</v>
      </c>
      <c r="M111" t="s">
        <v>106</v>
      </c>
      <c r="O111" s="3">
        <f>E111-'315805 - P0824'!F111</f>
        <v>0</v>
      </c>
      <c r="P111" s="30">
        <f>I111-'315805 - P0824'!J111</f>
        <v>0</v>
      </c>
    </row>
    <row r="112" spans="1:16" x14ac:dyDescent="0.25">
      <c r="A112">
        <v>110</v>
      </c>
      <c r="C112" t="s">
        <v>8</v>
      </c>
      <c r="D112" s="4" t="s">
        <v>115</v>
      </c>
      <c r="E112" s="12">
        <v>6.16</v>
      </c>
      <c r="F112" s="12">
        <v>6.16</v>
      </c>
      <c r="G112" s="6">
        <f t="shared" si="39"/>
        <v>0</v>
      </c>
      <c r="H112" s="7">
        <f t="shared" si="40"/>
        <v>0</v>
      </c>
      <c r="I112" s="8">
        <v>7.8767696532032376</v>
      </c>
      <c r="J112" s="12">
        <v>9.1999999999999993</v>
      </c>
      <c r="K112" s="3">
        <f t="shared" si="42"/>
        <v>1.3232303467967617</v>
      </c>
      <c r="L112" s="7">
        <f t="shared" si="43"/>
        <v>0.16799149969539162</v>
      </c>
      <c r="M112" t="s">
        <v>106</v>
      </c>
      <c r="O112" s="3">
        <f>E112-'315805 - P0824'!F112</f>
        <v>0</v>
      </c>
      <c r="P112" s="30">
        <f>I112-'315805 - P0824'!J112</f>
        <v>0</v>
      </c>
    </row>
    <row r="113" spans="1:16" x14ac:dyDescent="0.25">
      <c r="A113">
        <v>111</v>
      </c>
      <c r="C113" t="s">
        <v>8</v>
      </c>
      <c r="D113" s="4" t="s">
        <v>116</v>
      </c>
      <c r="E113" s="12">
        <v>7.33</v>
      </c>
      <c r="F113" s="12">
        <v>7.33</v>
      </c>
      <c r="G113" s="6">
        <f t="shared" si="39"/>
        <v>0</v>
      </c>
      <c r="H113" s="7">
        <f t="shared" si="40"/>
        <v>0</v>
      </c>
      <c r="I113" s="8">
        <v>9.6975016766020872</v>
      </c>
      <c r="J113" s="9">
        <f t="shared" si="41"/>
        <v>9.6975016766020872</v>
      </c>
      <c r="K113" s="3">
        <f t="shared" si="42"/>
        <v>0</v>
      </c>
      <c r="L113" s="7">
        <f t="shared" si="43"/>
        <v>0</v>
      </c>
      <c r="M113" t="s">
        <v>106</v>
      </c>
      <c r="O113" s="3">
        <f>E113-'315805 - P0824'!F113</f>
        <v>0</v>
      </c>
      <c r="P113" s="30">
        <f>I113-'315805 - P0824'!J113</f>
        <v>0</v>
      </c>
    </row>
    <row r="114" spans="1:16" x14ac:dyDescent="0.25">
      <c r="A114">
        <v>112</v>
      </c>
      <c r="C114" t="s">
        <v>8</v>
      </c>
      <c r="D114" s="4" t="s">
        <v>117</v>
      </c>
      <c r="E114" s="12">
        <v>8.39</v>
      </c>
      <c r="F114" s="12">
        <v>8.39</v>
      </c>
      <c r="G114" s="6">
        <f t="shared" si="39"/>
        <v>0</v>
      </c>
      <c r="H114" s="7">
        <f t="shared" si="40"/>
        <v>0</v>
      </c>
      <c r="I114" s="8">
        <v>9.9493819659061415</v>
      </c>
      <c r="J114" s="9">
        <f t="shared" si="41"/>
        <v>9.9493819659061415</v>
      </c>
      <c r="K114" s="3">
        <f t="shared" si="42"/>
        <v>0</v>
      </c>
      <c r="L114" s="7">
        <f t="shared" si="43"/>
        <v>0</v>
      </c>
      <c r="M114" t="s">
        <v>106</v>
      </c>
      <c r="O114" s="3">
        <f>E114-'315805 - P0824'!F114</f>
        <v>0</v>
      </c>
      <c r="P114" s="30">
        <f>I114-'315805 - P0824'!J114</f>
        <v>0</v>
      </c>
    </row>
    <row r="115" spans="1:16" x14ac:dyDescent="0.25">
      <c r="A115">
        <v>113</v>
      </c>
      <c r="C115" t="s">
        <v>8</v>
      </c>
      <c r="D115" s="4" t="s">
        <v>118</v>
      </c>
      <c r="E115" s="12">
        <v>9.39</v>
      </c>
      <c r="F115" s="12">
        <v>9.39</v>
      </c>
      <c r="G115" s="6">
        <f t="shared" si="39"/>
        <v>0</v>
      </c>
      <c r="H115" s="7">
        <f t="shared" si="40"/>
        <v>0</v>
      </c>
      <c r="I115" s="8">
        <v>11.783981312354875</v>
      </c>
      <c r="J115" s="9">
        <f t="shared" si="41"/>
        <v>11.783981312354875</v>
      </c>
      <c r="K115" s="3">
        <f t="shared" si="42"/>
        <v>0</v>
      </c>
      <c r="L115" s="7">
        <f t="shared" si="43"/>
        <v>0</v>
      </c>
      <c r="M115" t="s">
        <v>106</v>
      </c>
      <c r="O115" s="3">
        <f>E115-'315805 - P0824'!F115</f>
        <v>0</v>
      </c>
      <c r="P115" s="30">
        <f>I115-'315805 - P0824'!J115</f>
        <v>0</v>
      </c>
    </row>
    <row r="116" spans="1:16" x14ac:dyDescent="0.25">
      <c r="A116">
        <v>114</v>
      </c>
      <c r="D116" s="34" t="s">
        <v>119</v>
      </c>
      <c r="H116" s="10">
        <f>AVERAGE(H104:H115)</f>
        <v>-0.16666666666666666</v>
      </c>
      <c r="I116"/>
      <c r="L116" s="10">
        <f>AVERAGE(L104:L115)</f>
        <v>-0.18508339353776196</v>
      </c>
    </row>
    <row r="117" spans="1:16" x14ac:dyDescent="0.25">
      <c r="A117">
        <v>115</v>
      </c>
      <c r="D117" s="36" t="s">
        <v>120</v>
      </c>
      <c r="I117"/>
      <c r="M117" t="s">
        <v>121</v>
      </c>
    </row>
    <row r="118" spans="1:16" x14ac:dyDescent="0.25">
      <c r="A118">
        <v>116</v>
      </c>
      <c r="C118" t="s">
        <v>8</v>
      </c>
      <c r="D118" s="4" t="s">
        <v>456</v>
      </c>
      <c r="E118" s="12">
        <v>6.3</v>
      </c>
      <c r="F118" s="12">
        <v>6.3</v>
      </c>
      <c r="G118" s="13">
        <f t="shared" ref="G118:G153" si="44">+F118-E118</f>
        <v>0</v>
      </c>
      <c r="H118" s="7">
        <f t="shared" ref="H118:H155" si="45">(F118-E118)/ABS(E118)</f>
        <v>0</v>
      </c>
      <c r="I118" s="8">
        <v>8.2214999999999989</v>
      </c>
      <c r="J118" s="9">
        <f t="shared" ref="J118:J155" si="46">(I118*H118)+I118</f>
        <v>8.2214999999999989</v>
      </c>
      <c r="K118" s="3">
        <f t="shared" ref="K118:K155" si="47">J118-I118</f>
        <v>0</v>
      </c>
      <c r="L118" s="7">
        <f t="shared" ref="L118:L155" si="48">(J118-I118)/ABS(I118)</f>
        <v>0</v>
      </c>
      <c r="M118" t="s">
        <v>121</v>
      </c>
      <c r="O118" s="3">
        <f>E118-'315805 - P0824'!F118</f>
        <v>0</v>
      </c>
      <c r="P118" s="30">
        <f>I118-'315805 - P0824'!J118</f>
        <v>0</v>
      </c>
    </row>
    <row r="119" spans="1:16" x14ac:dyDescent="0.25">
      <c r="A119">
        <v>117</v>
      </c>
      <c r="C119" t="s">
        <v>8</v>
      </c>
      <c r="D119" s="4" t="s">
        <v>457</v>
      </c>
      <c r="E119" s="12">
        <v>6.93</v>
      </c>
      <c r="F119" s="12">
        <v>6.93</v>
      </c>
      <c r="G119" s="13">
        <f t="shared" si="44"/>
        <v>0</v>
      </c>
      <c r="H119" s="7">
        <f t="shared" si="45"/>
        <v>0</v>
      </c>
      <c r="I119" s="8">
        <v>8.9245000000000001</v>
      </c>
      <c r="J119" s="12">
        <v>8.4</v>
      </c>
      <c r="K119" s="3">
        <f t="shared" si="47"/>
        <v>-0.52449999999999974</v>
      </c>
      <c r="L119" s="7">
        <f t="shared" si="48"/>
        <v>-5.8770799484564935E-2</v>
      </c>
      <c r="M119" t="s">
        <v>121</v>
      </c>
      <c r="O119" s="3">
        <f>E119-'315805 - P0824'!F119</f>
        <v>0</v>
      </c>
      <c r="P119" s="30">
        <f>I119-'315805 - P0824'!J119</f>
        <v>0</v>
      </c>
    </row>
    <row r="120" spans="1:16" x14ac:dyDescent="0.25">
      <c r="A120">
        <v>118</v>
      </c>
      <c r="C120" t="s">
        <v>8</v>
      </c>
      <c r="D120" s="4" t="s">
        <v>458</v>
      </c>
      <c r="E120" s="12">
        <v>7.98</v>
      </c>
      <c r="F120" s="12">
        <v>7.98</v>
      </c>
      <c r="G120" s="13">
        <f t="shared" si="44"/>
        <v>0</v>
      </c>
      <c r="H120" s="7">
        <f t="shared" si="45"/>
        <v>0</v>
      </c>
      <c r="I120" s="8">
        <v>10.762500000000001</v>
      </c>
      <c r="J120" s="9">
        <f t="shared" si="46"/>
        <v>10.762500000000001</v>
      </c>
      <c r="K120" s="3">
        <f t="shared" si="47"/>
        <v>0</v>
      </c>
      <c r="L120" s="7">
        <f t="shared" si="48"/>
        <v>0</v>
      </c>
      <c r="M120" t="s">
        <v>121</v>
      </c>
      <c r="O120" s="3">
        <f>E120-'315805 - P0824'!F120</f>
        <v>0</v>
      </c>
      <c r="P120" s="30">
        <f>I120-'315805 - P0824'!J120</f>
        <v>0</v>
      </c>
    </row>
    <row r="121" spans="1:16" x14ac:dyDescent="0.25">
      <c r="A121">
        <v>119</v>
      </c>
      <c r="C121" t="s">
        <v>8</v>
      </c>
      <c r="D121" s="4" t="s">
        <v>460</v>
      </c>
      <c r="E121" s="12">
        <v>10.08</v>
      </c>
      <c r="F121" s="12">
        <v>10.08</v>
      </c>
      <c r="G121" s="6">
        <f t="shared" si="44"/>
        <v>0</v>
      </c>
      <c r="H121" s="7">
        <f t="shared" si="45"/>
        <v>0</v>
      </c>
      <c r="I121" s="8">
        <v>14.563499999999999</v>
      </c>
      <c r="J121" s="12">
        <v>13.89</v>
      </c>
      <c r="K121" s="3">
        <f t="shared" si="47"/>
        <v>-0.67349999999999888</v>
      </c>
      <c r="L121" s="7">
        <f t="shared" si="48"/>
        <v>-4.6245751364713081E-2</v>
      </c>
      <c r="M121" t="s">
        <v>121</v>
      </c>
      <c r="O121" s="3">
        <f>E121-'315805 - P0824'!F121</f>
        <v>0</v>
      </c>
      <c r="P121" s="30">
        <f>I121-'315805 - P0824'!J121</f>
        <v>0</v>
      </c>
    </row>
    <row r="122" spans="1:16" x14ac:dyDescent="0.25">
      <c r="A122">
        <v>120</v>
      </c>
      <c r="C122" t="s">
        <v>8</v>
      </c>
      <c r="D122" s="4" t="s">
        <v>459</v>
      </c>
      <c r="E122" s="14">
        <v>26.88</v>
      </c>
      <c r="F122" s="14">
        <v>26.88</v>
      </c>
      <c r="G122" s="6">
        <f t="shared" si="44"/>
        <v>0</v>
      </c>
      <c r="H122" s="7">
        <f t="shared" si="45"/>
        <v>0</v>
      </c>
      <c r="I122" s="8">
        <v>39.973499999999994</v>
      </c>
      <c r="J122" s="12">
        <v>36.729999999999997</v>
      </c>
      <c r="K122" s="3">
        <f t="shared" si="47"/>
        <v>-3.2434999999999974</v>
      </c>
      <c r="L122" s="7">
        <f t="shared" si="48"/>
        <v>-8.1141256082154375E-2</v>
      </c>
      <c r="M122" t="s">
        <v>121</v>
      </c>
      <c r="O122" s="3">
        <f>E122-'315805 - P0824'!F122</f>
        <v>0</v>
      </c>
      <c r="P122" s="30">
        <f>I122-'315805 - P0824'!J122</f>
        <v>0</v>
      </c>
    </row>
    <row r="123" spans="1:16" x14ac:dyDescent="0.25">
      <c r="A123">
        <v>121</v>
      </c>
      <c r="C123" t="s">
        <v>8</v>
      </c>
      <c r="D123" s="4" t="s">
        <v>122</v>
      </c>
      <c r="E123" s="12">
        <v>6.25</v>
      </c>
      <c r="F123" s="12">
        <v>6.25</v>
      </c>
      <c r="G123" s="6">
        <f t="shared" si="44"/>
        <v>0</v>
      </c>
      <c r="H123" s="7">
        <f t="shared" si="45"/>
        <v>0</v>
      </c>
      <c r="I123" s="8">
        <v>6.930903510039002</v>
      </c>
      <c r="J123" s="9">
        <f t="shared" si="46"/>
        <v>6.930903510039002</v>
      </c>
      <c r="K123" s="3">
        <f t="shared" si="47"/>
        <v>0</v>
      </c>
      <c r="L123" s="7">
        <f t="shared" si="48"/>
        <v>0</v>
      </c>
      <c r="M123" t="s">
        <v>121</v>
      </c>
      <c r="O123" s="3">
        <f>E123-'315805 - P0824'!F123</f>
        <v>0</v>
      </c>
      <c r="P123" s="30">
        <f>I123-'315805 - P0824'!J123</f>
        <v>0</v>
      </c>
    </row>
    <row r="124" spans="1:16" x14ac:dyDescent="0.25">
      <c r="A124">
        <v>122</v>
      </c>
      <c r="C124" t="s">
        <v>8</v>
      </c>
      <c r="D124" s="4" t="s">
        <v>123</v>
      </c>
      <c r="E124" s="12">
        <v>8.6300000000000008</v>
      </c>
      <c r="F124" s="12">
        <v>8.6300000000000008</v>
      </c>
      <c r="G124" s="13">
        <f t="shared" si="44"/>
        <v>0</v>
      </c>
      <c r="H124" s="7">
        <f t="shared" si="45"/>
        <v>0</v>
      </c>
      <c r="I124" s="8">
        <v>8.7073886883273168</v>
      </c>
      <c r="J124" s="9">
        <f t="shared" si="46"/>
        <v>8.7073886883273168</v>
      </c>
      <c r="K124" s="3">
        <f t="shared" si="47"/>
        <v>0</v>
      </c>
      <c r="L124" s="7">
        <f t="shared" si="48"/>
        <v>0</v>
      </c>
      <c r="M124" t="s">
        <v>121</v>
      </c>
      <c r="O124" s="3">
        <f>E124-'315805 - P0824'!F124</f>
        <v>0</v>
      </c>
      <c r="P124" s="30">
        <f>I124-'315805 - P0824'!J124</f>
        <v>0</v>
      </c>
    </row>
    <row r="125" spans="1:16" x14ac:dyDescent="0.25">
      <c r="A125">
        <v>123</v>
      </c>
      <c r="C125" t="s">
        <v>8</v>
      </c>
      <c r="D125" s="4" t="s">
        <v>124</v>
      </c>
      <c r="E125" s="12">
        <v>9.82</v>
      </c>
      <c r="F125" s="12">
        <v>9.82</v>
      </c>
      <c r="G125" s="13">
        <f t="shared" si="44"/>
        <v>0</v>
      </c>
      <c r="H125" s="7">
        <f t="shared" si="45"/>
        <v>0</v>
      </c>
      <c r="I125" s="8">
        <v>10.822370370370372</v>
      </c>
      <c r="J125" s="12">
        <v>8.4</v>
      </c>
      <c r="K125" s="3">
        <f t="shared" si="47"/>
        <v>-2.4223703703703716</v>
      </c>
      <c r="L125" s="7">
        <f t="shared" si="48"/>
        <v>-0.22382992703727542</v>
      </c>
      <c r="M125" t="s">
        <v>121</v>
      </c>
      <c r="O125" s="3">
        <f>E125-'315805 - P0824'!F125</f>
        <v>0</v>
      </c>
      <c r="P125" s="30">
        <f>I125-'315805 - P0824'!J125</f>
        <v>0</v>
      </c>
    </row>
    <row r="126" spans="1:16" x14ac:dyDescent="0.25">
      <c r="A126">
        <v>124</v>
      </c>
      <c r="C126" t="s">
        <v>8</v>
      </c>
      <c r="D126" s="4" t="s">
        <v>125</v>
      </c>
      <c r="E126" s="12">
        <v>11.01</v>
      </c>
      <c r="F126" s="12">
        <v>11.01</v>
      </c>
      <c r="G126" s="13">
        <f t="shared" si="44"/>
        <v>0</v>
      </c>
      <c r="H126" s="7">
        <f t="shared" si="45"/>
        <v>0</v>
      </c>
      <c r="I126" s="8">
        <v>12.518858490566037</v>
      </c>
      <c r="J126" s="9">
        <f t="shared" si="46"/>
        <v>12.518858490566037</v>
      </c>
      <c r="K126" s="3">
        <f t="shared" si="47"/>
        <v>0</v>
      </c>
      <c r="L126" s="7">
        <f t="shared" si="48"/>
        <v>0</v>
      </c>
      <c r="M126" t="s">
        <v>121</v>
      </c>
      <c r="O126" s="3">
        <f>E126-'315805 - P0824'!F126</f>
        <v>0</v>
      </c>
      <c r="P126" s="30">
        <f>I126-'315805 - P0824'!J126</f>
        <v>0</v>
      </c>
    </row>
    <row r="127" spans="1:16" x14ac:dyDescent="0.25">
      <c r="A127">
        <v>125</v>
      </c>
      <c r="C127" t="s">
        <v>8</v>
      </c>
      <c r="D127" s="4" t="s">
        <v>126</v>
      </c>
      <c r="E127" s="12">
        <v>12.13</v>
      </c>
      <c r="F127" s="12">
        <v>12.13</v>
      </c>
      <c r="G127" s="6">
        <f t="shared" si="44"/>
        <v>0</v>
      </c>
      <c r="H127" s="7">
        <f t="shared" si="45"/>
        <v>0</v>
      </c>
      <c r="I127" s="8">
        <v>13.092551369863015</v>
      </c>
      <c r="J127" s="12">
        <v>13.89</v>
      </c>
      <c r="K127" s="3">
        <f t="shared" si="47"/>
        <v>0.79744863013698541</v>
      </c>
      <c r="L127" s="7">
        <f t="shared" si="48"/>
        <v>6.0908573707992943E-2</v>
      </c>
      <c r="M127" t="s">
        <v>121</v>
      </c>
      <c r="O127" s="3">
        <f>E127-'315805 - P0824'!F127</f>
        <v>0</v>
      </c>
      <c r="P127" s="30">
        <f>I127-'315805 - P0824'!J127</f>
        <v>0</v>
      </c>
    </row>
    <row r="128" spans="1:16" x14ac:dyDescent="0.25">
      <c r="A128">
        <v>126</v>
      </c>
      <c r="C128" t="s">
        <v>8</v>
      </c>
      <c r="D128" s="4" t="s">
        <v>127</v>
      </c>
      <c r="E128" s="12">
        <v>16.18</v>
      </c>
      <c r="F128" s="12">
        <v>16.18</v>
      </c>
      <c r="G128" s="6">
        <f t="shared" si="44"/>
        <v>0</v>
      </c>
      <c r="H128" s="7">
        <f t="shared" si="45"/>
        <v>0</v>
      </c>
      <c r="I128" s="8">
        <v>18.131712053429638</v>
      </c>
      <c r="J128" s="12">
        <v>10.88</v>
      </c>
      <c r="K128" s="3">
        <f t="shared" si="47"/>
        <v>-7.2517120534296371</v>
      </c>
      <c r="L128" s="7">
        <f t="shared" si="48"/>
        <v>-0.3999463499122779</v>
      </c>
      <c r="M128" t="s">
        <v>121</v>
      </c>
      <c r="O128" s="3">
        <f>E128-'315805 - P0824'!F128</f>
        <v>0</v>
      </c>
      <c r="P128" s="30">
        <f>I128-'315805 - P0824'!J128</f>
        <v>0</v>
      </c>
    </row>
    <row r="129" spans="1:16" x14ac:dyDescent="0.25">
      <c r="A129">
        <v>127</v>
      </c>
      <c r="C129" t="s">
        <v>8</v>
      </c>
      <c r="D129" s="4" t="s">
        <v>128</v>
      </c>
      <c r="E129" s="12">
        <v>7.18</v>
      </c>
      <c r="F129" s="12">
        <v>7.18</v>
      </c>
      <c r="G129" s="6">
        <f t="shared" si="44"/>
        <v>0</v>
      </c>
      <c r="H129" s="7">
        <f t="shared" si="45"/>
        <v>0</v>
      </c>
      <c r="I129" s="8">
        <v>8.8881221902017273</v>
      </c>
      <c r="J129" s="12">
        <v>10.88</v>
      </c>
      <c r="K129" s="3">
        <f t="shared" si="47"/>
        <v>1.9918778097982734</v>
      </c>
      <c r="L129" s="7">
        <f t="shared" si="48"/>
        <v>0.22410558351618085</v>
      </c>
      <c r="M129" t="s">
        <v>121</v>
      </c>
      <c r="O129" s="3">
        <f>E129-'315805 - P0824'!F129</f>
        <v>0</v>
      </c>
      <c r="P129" s="30">
        <f>I129-'315805 - P0824'!J129</f>
        <v>0</v>
      </c>
    </row>
    <row r="130" spans="1:16" x14ac:dyDescent="0.25">
      <c r="A130">
        <v>128</v>
      </c>
      <c r="C130" t="s">
        <v>8</v>
      </c>
      <c r="D130" s="22" t="s">
        <v>504</v>
      </c>
      <c r="E130" s="12">
        <v>7.18</v>
      </c>
      <c r="F130" s="12">
        <v>7.18</v>
      </c>
      <c r="G130" s="6">
        <f t="shared" si="44"/>
        <v>0</v>
      </c>
      <c r="H130" s="7">
        <f t="shared" si="45"/>
        <v>0</v>
      </c>
      <c r="I130" s="8">
        <v>8.8881221902017273</v>
      </c>
      <c r="J130" s="12">
        <v>36.729999999999997</v>
      </c>
      <c r="K130" s="3">
        <f t="shared" si="47"/>
        <v>27.84187780979827</v>
      </c>
      <c r="L130" s="7">
        <f t="shared" si="48"/>
        <v>3.1324814414107829</v>
      </c>
      <c r="M130" t="s">
        <v>121</v>
      </c>
      <c r="O130" s="3">
        <f>E130-'315805 - P0824'!F130</f>
        <v>0</v>
      </c>
      <c r="P130" s="30">
        <f>I130-'315805 - P0824'!J130</f>
        <v>0</v>
      </c>
    </row>
    <row r="131" spans="1:16" x14ac:dyDescent="0.25">
      <c r="A131">
        <v>129</v>
      </c>
      <c r="C131" t="s">
        <v>8</v>
      </c>
      <c r="D131" s="4" t="s">
        <v>129</v>
      </c>
      <c r="E131" s="12">
        <v>31.782399999999999</v>
      </c>
      <c r="F131" s="12">
        <v>31.782399999999999</v>
      </c>
      <c r="G131" s="6">
        <f t="shared" si="44"/>
        <v>0</v>
      </c>
      <c r="H131" s="7">
        <f t="shared" si="45"/>
        <v>0</v>
      </c>
      <c r="I131" s="8">
        <v>42.795999999999999</v>
      </c>
      <c r="J131" s="12">
        <v>36.729999999999997</v>
      </c>
      <c r="K131" s="3">
        <f t="shared" si="47"/>
        <v>-6.0660000000000025</v>
      </c>
      <c r="L131" s="7">
        <f t="shared" si="48"/>
        <v>-0.14174221889896257</v>
      </c>
      <c r="M131" t="s">
        <v>121</v>
      </c>
      <c r="O131" s="3">
        <f>E131-'315805 - P0824'!F131</f>
        <v>0</v>
      </c>
      <c r="P131" s="30">
        <f>I131-'315805 - P0824'!J131</f>
        <v>0</v>
      </c>
    </row>
    <row r="132" spans="1:16" x14ac:dyDescent="0.25">
      <c r="A132">
        <v>130</v>
      </c>
      <c r="C132" t="s">
        <v>8</v>
      </c>
      <c r="D132" s="4" t="s">
        <v>130</v>
      </c>
      <c r="E132" s="14">
        <v>38.08</v>
      </c>
      <c r="F132" s="14">
        <v>38.08</v>
      </c>
      <c r="G132" s="6">
        <f t="shared" si="44"/>
        <v>0</v>
      </c>
      <c r="H132" s="7">
        <f t="shared" si="45"/>
        <v>0</v>
      </c>
      <c r="I132" s="8">
        <v>43.505252249795468</v>
      </c>
      <c r="J132" s="9">
        <f t="shared" si="46"/>
        <v>43.505252249795468</v>
      </c>
      <c r="K132" s="3">
        <f t="shared" si="47"/>
        <v>0</v>
      </c>
      <c r="L132" s="7">
        <f t="shared" si="48"/>
        <v>0</v>
      </c>
      <c r="M132" t="s">
        <v>121</v>
      </c>
      <c r="O132" s="3">
        <f>E132-'315805 - P0824'!F132</f>
        <v>0</v>
      </c>
      <c r="P132" s="30">
        <f>I132-'315805 - P0824'!J132</f>
        <v>0</v>
      </c>
    </row>
    <row r="133" spans="1:16" x14ac:dyDescent="0.25">
      <c r="A133">
        <v>131</v>
      </c>
      <c r="C133" t="s">
        <v>8</v>
      </c>
      <c r="D133" s="4" t="s">
        <v>131</v>
      </c>
      <c r="E133" s="14">
        <v>38.08</v>
      </c>
      <c r="F133" s="14">
        <v>38.08</v>
      </c>
      <c r="G133" s="6">
        <f t="shared" si="44"/>
        <v>0</v>
      </c>
      <c r="H133" s="7">
        <f t="shared" si="45"/>
        <v>0</v>
      </c>
      <c r="I133" s="8">
        <v>57.541818816471228</v>
      </c>
      <c r="J133" s="9">
        <f t="shared" si="46"/>
        <v>57.541818816471228</v>
      </c>
      <c r="K133" s="3">
        <f t="shared" si="47"/>
        <v>0</v>
      </c>
      <c r="L133" s="7">
        <f t="shared" si="48"/>
        <v>0</v>
      </c>
      <c r="M133" t="s">
        <v>121</v>
      </c>
      <c r="O133" s="3">
        <f>E133-'315805 - P0824'!F133</f>
        <v>0</v>
      </c>
      <c r="P133" s="30">
        <f>I133-'315805 - P0824'!J133</f>
        <v>0</v>
      </c>
    </row>
    <row r="134" spans="1:16" x14ac:dyDescent="0.25">
      <c r="A134">
        <v>132</v>
      </c>
      <c r="C134" t="s">
        <v>8</v>
      </c>
      <c r="D134" s="4" t="s">
        <v>132</v>
      </c>
      <c r="E134" s="12">
        <v>15.8436</v>
      </c>
      <c r="F134" s="12">
        <v>15.8436</v>
      </c>
      <c r="G134" s="6">
        <f t="shared" si="44"/>
        <v>0</v>
      </c>
      <c r="H134" s="7">
        <f t="shared" si="45"/>
        <v>0</v>
      </c>
      <c r="I134" s="8">
        <v>19.584000000000003</v>
      </c>
      <c r="J134" s="9">
        <f t="shared" si="46"/>
        <v>19.584000000000003</v>
      </c>
      <c r="K134" s="3">
        <f t="shared" si="47"/>
        <v>0</v>
      </c>
      <c r="L134" s="7">
        <f t="shared" si="48"/>
        <v>0</v>
      </c>
      <c r="M134" t="s">
        <v>121</v>
      </c>
      <c r="O134" s="3">
        <f>E134-'315805 - P0824'!F134</f>
        <v>0</v>
      </c>
      <c r="P134" s="30">
        <f>I134-'315805 - P0824'!J134</f>
        <v>0</v>
      </c>
    </row>
    <row r="135" spans="1:16" x14ac:dyDescent="0.25">
      <c r="A135">
        <v>133</v>
      </c>
      <c r="C135" t="s">
        <v>8</v>
      </c>
      <c r="D135" s="4" t="s">
        <v>133</v>
      </c>
      <c r="E135" s="12">
        <v>36.493200000000002</v>
      </c>
      <c r="F135" s="12">
        <v>36.493200000000002</v>
      </c>
      <c r="G135" s="6">
        <f t="shared" si="44"/>
        <v>0</v>
      </c>
      <c r="H135" s="7">
        <f t="shared" si="45"/>
        <v>0</v>
      </c>
      <c r="I135" s="8">
        <v>43.51</v>
      </c>
      <c r="J135" s="12">
        <v>36.729999999999997</v>
      </c>
      <c r="K135" s="3">
        <f t="shared" si="47"/>
        <v>-6.7800000000000011</v>
      </c>
      <c r="L135" s="7">
        <f t="shared" si="48"/>
        <v>-0.15582624683980698</v>
      </c>
      <c r="M135" t="s">
        <v>121</v>
      </c>
      <c r="O135" s="3">
        <f>E135-'315805 - P0824'!F135</f>
        <v>0</v>
      </c>
      <c r="P135" s="30">
        <f>I135-'315805 - P0824'!J135</f>
        <v>0</v>
      </c>
    </row>
    <row r="136" spans="1:16" x14ac:dyDescent="0.25">
      <c r="A136">
        <v>134</v>
      </c>
      <c r="C136" t="s">
        <v>8</v>
      </c>
      <c r="D136" s="4" t="s">
        <v>134</v>
      </c>
      <c r="E136" s="12">
        <v>54.151200000000003</v>
      </c>
      <c r="F136" s="12">
        <v>54.151200000000003</v>
      </c>
      <c r="G136" s="6">
        <f t="shared" si="44"/>
        <v>0</v>
      </c>
      <c r="H136" s="7">
        <f t="shared" si="45"/>
        <v>0</v>
      </c>
      <c r="I136" s="8">
        <v>92.212972774869115</v>
      </c>
      <c r="J136" s="9">
        <f t="shared" si="46"/>
        <v>92.212972774869115</v>
      </c>
      <c r="K136" s="3">
        <f t="shared" si="47"/>
        <v>0</v>
      </c>
      <c r="L136" s="7">
        <f t="shared" si="48"/>
        <v>0</v>
      </c>
      <c r="M136" t="s">
        <v>121</v>
      </c>
      <c r="O136" s="3">
        <f>E136-'315805 - P0824'!F136</f>
        <v>0</v>
      </c>
      <c r="P136" s="30">
        <f>I136-'315805 - P0824'!J136</f>
        <v>0</v>
      </c>
    </row>
    <row r="137" spans="1:16" x14ac:dyDescent="0.25">
      <c r="A137">
        <v>135</v>
      </c>
      <c r="C137" t="s">
        <v>8</v>
      </c>
      <c r="D137" s="4" t="s">
        <v>135</v>
      </c>
      <c r="E137" s="12">
        <v>6.0588000000000006</v>
      </c>
      <c r="F137" s="12">
        <v>6.0588000000000006</v>
      </c>
      <c r="G137" s="6">
        <f t="shared" si="44"/>
        <v>0</v>
      </c>
      <c r="H137" s="7">
        <f t="shared" si="45"/>
        <v>0</v>
      </c>
      <c r="I137" s="8">
        <v>9.417600000000002</v>
      </c>
      <c r="J137" s="12">
        <v>8.74</v>
      </c>
      <c r="K137" s="3">
        <f t="shared" si="47"/>
        <v>-0.67760000000000176</v>
      </c>
      <c r="L137" s="7">
        <f t="shared" si="48"/>
        <v>-7.1950390757730381E-2</v>
      </c>
      <c r="M137" t="s">
        <v>121</v>
      </c>
      <c r="O137" s="3">
        <f>E137-'315805 - P0824'!F137</f>
        <v>0</v>
      </c>
      <c r="P137" s="30">
        <f>I137-'315805 - P0824'!J137</f>
        <v>0</v>
      </c>
    </row>
    <row r="138" spans="1:16" x14ac:dyDescent="0.25">
      <c r="A138">
        <v>136</v>
      </c>
      <c r="C138" t="s">
        <v>8</v>
      </c>
      <c r="D138" s="4" t="s">
        <v>136</v>
      </c>
      <c r="E138" s="12">
        <v>10.7028</v>
      </c>
      <c r="F138" s="12">
        <v>10.7028</v>
      </c>
      <c r="G138" s="6">
        <f t="shared" si="44"/>
        <v>0</v>
      </c>
      <c r="H138" s="7">
        <f t="shared" si="45"/>
        <v>0</v>
      </c>
      <c r="I138" s="8">
        <v>14.990400000000001</v>
      </c>
      <c r="J138" s="9">
        <f t="shared" si="46"/>
        <v>14.990400000000001</v>
      </c>
      <c r="K138" s="3">
        <f t="shared" si="47"/>
        <v>0</v>
      </c>
      <c r="L138" s="7">
        <f t="shared" si="48"/>
        <v>0</v>
      </c>
      <c r="M138" t="s">
        <v>121</v>
      </c>
      <c r="O138" s="3">
        <f>E138-'315805 - P0824'!F138</f>
        <v>0</v>
      </c>
      <c r="P138" s="30">
        <f>I138-'315805 - P0824'!J138</f>
        <v>0</v>
      </c>
    </row>
    <row r="139" spans="1:16" x14ac:dyDescent="0.25">
      <c r="A139">
        <v>137</v>
      </c>
      <c r="C139" t="s">
        <v>8</v>
      </c>
      <c r="D139" s="4" t="s">
        <v>137</v>
      </c>
      <c r="E139" s="12">
        <v>16.0488</v>
      </c>
      <c r="F139" s="12">
        <v>16.0488</v>
      </c>
      <c r="G139" s="6">
        <f t="shared" si="44"/>
        <v>0</v>
      </c>
      <c r="H139" s="7">
        <f t="shared" si="45"/>
        <v>0</v>
      </c>
      <c r="I139" s="8">
        <v>22.485600000000002</v>
      </c>
      <c r="J139" s="9">
        <f t="shared" si="46"/>
        <v>22.485600000000002</v>
      </c>
      <c r="K139" s="3">
        <f t="shared" si="47"/>
        <v>0</v>
      </c>
      <c r="L139" s="7">
        <f t="shared" si="48"/>
        <v>0</v>
      </c>
      <c r="M139" t="s">
        <v>121</v>
      </c>
      <c r="O139" s="3">
        <f>E139-'315805 - P0824'!F139</f>
        <v>0</v>
      </c>
      <c r="P139" s="30">
        <f>I139-'315805 - P0824'!J139</f>
        <v>0</v>
      </c>
    </row>
    <row r="140" spans="1:16" x14ac:dyDescent="0.25">
      <c r="A140">
        <v>138</v>
      </c>
      <c r="C140" t="s">
        <v>8</v>
      </c>
      <c r="D140" s="4" t="s">
        <v>138</v>
      </c>
      <c r="E140" s="12">
        <v>21.4056</v>
      </c>
      <c r="F140" s="12">
        <v>21.4056</v>
      </c>
      <c r="G140" s="6">
        <f t="shared" si="44"/>
        <v>0</v>
      </c>
      <c r="H140" s="7">
        <f t="shared" si="45"/>
        <v>0</v>
      </c>
      <c r="I140" s="8">
        <v>31.557599999999997</v>
      </c>
      <c r="J140" s="9">
        <f t="shared" si="46"/>
        <v>31.557599999999997</v>
      </c>
      <c r="K140" s="3">
        <f t="shared" si="47"/>
        <v>0</v>
      </c>
      <c r="L140" s="7">
        <f t="shared" si="48"/>
        <v>0</v>
      </c>
      <c r="M140" t="s">
        <v>121</v>
      </c>
      <c r="O140" s="3">
        <f>E140-'315805 - P0824'!F140</f>
        <v>0</v>
      </c>
      <c r="P140" s="30">
        <f>I140-'315805 - P0824'!J140</f>
        <v>0</v>
      </c>
    </row>
    <row r="141" spans="1:16" x14ac:dyDescent="0.25">
      <c r="A141">
        <v>139</v>
      </c>
      <c r="C141" t="s">
        <v>8</v>
      </c>
      <c r="D141" s="4" t="s">
        <v>139</v>
      </c>
      <c r="E141" s="12">
        <v>29.019600000000001</v>
      </c>
      <c r="F141" s="12">
        <v>29.019600000000001</v>
      </c>
      <c r="G141" s="6">
        <f>+F141-E141</f>
        <v>0</v>
      </c>
      <c r="H141" s="7">
        <f t="shared" si="45"/>
        <v>0</v>
      </c>
      <c r="I141" s="8">
        <v>45.165599999999998</v>
      </c>
      <c r="J141" s="9">
        <f t="shared" si="46"/>
        <v>45.165599999999998</v>
      </c>
      <c r="K141" s="3">
        <f t="shared" si="47"/>
        <v>0</v>
      </c>
      <c r="L141" s="7">
        <f t="shared" si="48"/>
        <v>0</v>
      </c>
      <c r="M141" t="s">
        <v>121</v>
      </c>
      <c r="O141" s="3">
        <f>E141-'315805 - P0824'!F141</f>
        <v>0</v>
      </c>
      <c r="P141" s="30">
        <f>I141-'315805 - P0824'!J141</f>
        <v>0</v>
      </c>
    </row>
    <row r="142" spans="1:16" x14ac:dyDescent="0.25">
      <c r="A142">
        <v>140</v>
      </c>
      <c r="C142" t="s">
        <v>8</v>
      </c>
      <c r="D142" s="4" t="s">
        <v>140</v>
      </c>
      <c r="E142" s="12">
        <v>34.819200000000002</v>
      </c>
      <c r="F142" s="12">
        <v>34.819200000000002</v>
      </c>
      <c r="G142" s="6">
        <f t="shared" si="44"/>
        <v>0</v>
      </c>
      <c r="H142" s="7">
        <f t="shared" si="45"/>
        <v>0</v>
      </c>
      <c r="I142" s="8">
        <v>54.205199999999998</v>
      </c>
      <c r="J142" s="9">
        <f t="shared" si="46"/>
        <v>54.205199999999998</v>
      </c>
      <c r="K142" s="3">
        <f t="shared" si="47"/>
        <v>0</v>
      </c>
      <c r="L142" s="7">
        <f t="shared" si="48"/>
        <v>0</v>
      </c>
      <c r="M142" t="s">
        <v>121</v>
      </c>
      <c r="O142" s="3">
        <f>E142-'315805 - P0824'!F142</f>
        <v>0</v>
      </c>
      <c r="P142" s="30">
        <f>I142-'315805 - P0824'!J142</f>
        <v>0</v>
      </c>
    </row>
    <row r="143" spans="1:16" x14ac:dyDescent="0.25">
      <c r="A143">
        <v>141</v>
      </c>
      <c r="C143" t="s">
        <v>8</v>
      </c>
      <c r="D143" s="4" t="s">
        <v>141</v>
      </c>
      <c r="E143" s="12">
        <v>7.7867999999999995</v>
      </c>
      <c r="F143" s="12">
        <v>7.7867999999999995</v>
      </c>
      <c r="G143" s="6">
        <f t="shared" si="44"/>
        <v>0</v>
      </c>
      <c r="H143" s="7">
        <f t="shared" si="45"/>
        <v>0</v>
      </c>
      <c r="I143" s="8">
        <v>11.102399999999999</v>
      </c>
      <c r="J143" s="12">
        <v>10.97</v>
      </c>
      <c r="K143" s="3">
        <f t="shared" si="47"/>
        <v>-0.13239999999999874</v>
      </c>
      <c r="L143" s="7">
        <f t="shared" si="48"/>
        <v>-1.1925349473987493E-2</v>
      </c>
      <c r="M143" t="s">
        <v>121</v>
      </c>
      <c r="O143" s="3">
        <f>E143-'315805 - P0824'!F143</f>
        <v>0</v>
      </c>
      <c r="P143" s="30">
        <f>I143-'315805 - P0824'!J143</f>
        <v>0</v>
      </c>
    </row>
    <row r="144" spans="1:16" x14ac:dyDescent="0.25">
      <c r="A144">
        <v>142</v>
      </c>
      <c r="C144" t="s">
        <v>8</v>
      </c>
      <c r="D144" s="4" t="s">
        <v>142</v>
      </c>
      <c r="E144" s="12">
        <v>12.0528</v>
      </c>
      <c r="F144" s="12">
        <v>12.0528</v>
      </c>
      <c r="G144" s="6">
        <f t="shared" si="44"/>
        <v>0</v>
      </c>
      <c r="H144" s="7">
        <f t="shared" si="45"/>
        <v>0</v>
      </c>
      <c r="I144" s="8">
        <v>16.880400000000002</v>
      </c>
      <c r="J144" s="12">
        <v>16.649999999999999</v>
      </c>
      <c r="K144" s="3">
        <f t="shared" si="47"/>
        <v>-0.23040000000000305</v>
      </c>
      <c r="L144" s="7">
        <f t="shared" si="48"/>
        <v>-1.3648965664320931E-2</v>
      </c>
      <c r="M144" t="s">
        <v>121</v>
      </c>
      <c r="O144" s="3">
        <f>E144-'315805 - P0824'!F144</f>
        <v>0</v>
      </c>
      <c r="P144" s="30">
        <f>I144-'315805 - P0824'!J144</f>
        <v>0</v>
      </c>
    </row>
    <row r="145" spans="1:16" x14ac:dyDescent="0.25">
      <c r="A145">
        <v>143</v>
      </c>
      <c r="C145" t="s">
        <v>8</v>
      </c>
      <c r="D145" s="4" t="s">
        <v>143</v>
      </c>
      <c r="E145" s="12">
        <v>18.0792</v>
      </c>
      <c r="F145" s="12">
        <v>18.0792</v>
      </c>
      <c r="G145" s="6">
        <f t="shared" si="44"/>
        <v>0</v>
      </c>
      <c r="H145" s="7">
        <f t="shared" si="45"/>
        <v>0</v>
      </c>
      <c r="I145" s="8">
        <v>25.315200000000004</v>
      </c>
      <c r="J145" s="12">
        <v>25.6</v>
      </c>
      <c r="K145" s="3">
        <f t="shared" si="47"/>
        <v>0.28479999999999706</v>
      </c>
      <c r="L145" s="7">
        <f t="shared" si="48"/>
        <v>1.1250158007837071E-2</v>
      </c>
      <c r="M145" t="s">
        <v>121</v>
      </c>
      <c r="O145" s="3">
        <f>E145-'315805 - P0824'!F145</f>
        <v>0</v>
      </c>
      <c r="P145" s="30">
        <f>I145-'315805 - P0824'!J145</f>
        <v>0</v>
      </c>
    </row>
    <row r="146" spans="1:16" x14ac:dyDescent="0.25">
      <c r="A146">
        <v>144</v>
      </c>
      <c r="C146" t="s">
        <v>8</v>
      </c>
      <c r="D146" s="4" t="s">
        <v>144</v>
      </c>
      <c r="E146" s="12">
        <v>24.094799999999999</v>
      </c>
      <c r="F146" s="12">
        <v>24.094799999999999</v>
      </c>
      <c r="G146" s="6">
        <f t="shared" si="44"/>
        <v>0</v>
      </c>
      <c r="H146" s="7">
        <f t="shared" si="45"/>
        <v>0</v>
      </c>
      <c r="I146" s="8">
        <v>35.531999999999996</v>
      </c>
      <c r="J146" s="12">
        <v>35.64</v>
      </c>
      <c r="K146" s="3">
        <f t="shared" si="47"/>
        <v>0.10800000000000409</v>
      </c>
      <c r="L146" s="7">
        <f t="shared" si="48"/>
        <v>3.0395136778116655E-3</v>
      </c>
      <c r="M146" t="s">
        <v>121</v>
      </c>
      <c r="O146" s="3">
        <f>E146-'315805 - P0824'!F146</f>
        <v>0</v>
      </c>
      <c r="P146" s="30">
        <f>I146-'315805 - P0824'!J146</f>
        <v>0</v>
      </c>
    </row>
    <row r="147" spans="1:16" x14ac:dyDescent="0.25">
      <c r="A147">
        <v>145</v>
      </c>
      <c r="C147" t="s">
        <v>8</v>
      </c>
      <c r="D147" s="4" t="s">
        <v>145</v>
      </c>
      <c r="E147" s="12">
        <v>33.706800000000001</v>
      </c>
      <c r="F147" s="12">
        <v>33.706800000000001</v>
      </c>
      <c r="G147" s="6">
        <f t="shared" si="44"/>
        <v>0</v>
      </c>
      <c r="H147" s="7">
        <f t="shared" si="45"/>
        <v>0</v>
      </c>
      <c r="I147" s="8">
        <v>52.433999999999997</v>
      </c>
      <c r="J147" s="12">
        <v>47.75</v>
      </c>
      <c r="K147" s="3">
        <f t="shared" si="47"/>
        <v>-4.6839999999999975</v>
      </c>
      <c r="L147" s="7">
        <f t="shared" si="48"/>
        <v>-8.9331349887477554E-2</v>
      </c>
      <c r="M147" t="s">
        <v>121</v>
      </c>
      <c r="O147" s="3">
        <f>E147-'315805 - P0824'!F147</f>
        <v>0</v>
      </c>
      <c r="P147" s="30">
        <f>I147-'315805 - P0824'!J147</f>
        <v>0</v>
      </c>
    </row>
    <row r="148" spans="1:16" x14ac:dyDescent="0.25">
      <c r="A148">
        <v>146</v>
      </c>
      <c r="C148" t="s">
        <v>8</v>
      </c>
      <c r="D148" s="4" t="s">
        <v>146</v>
      </c>
      <c r="E148" s="12">
        <v>40.456800000000001</v>
      </c>
      <c r="F148" s="12">
        <v>40.456800000000001</v>
      </c>
      <c r="G148" s="6">
        <f t="shared" si="44"/>
        <v>0</v>
      </c>
      <c r="H148" s="7">
        <f t="shared" si="45"/>
        <v>0</v>
      </c>
      <c r="I148" s="8">
        <v>62.91</v>
      </c>
      <c r="J148" s="9">
        <f t="shared" si="46"/>
        <v>62.91</v>
      </c>
      <c r="K148" s="3">
        <f t="shared" si="47"/>
        <v>0</v>
      </c>
      <c r="L148" s="7">
        <f t="shared" si="48"/>
        <v>0</v>
      </c>
      <c r="M148" t="s">
        <v>121</v>
      </c>
      <c r="O148" s="3">
        <f>E148-'315805 - P0824'!F148</f>
        <v>0</v>
      </c>
      <c r="P148" s="30">
        <f>I148-'315805 - P0824'!J148</f>
        <v>0</v>
      </c>
    </row>
    <row r="149" spans="1:16" x14ac:dyDescent="0.25">
      <c r="A149">
        <v>147</v>
      </c>
      <c r="C149" t="s">
        <v>8</v>
      </c>
      <c r="D149" s="4" t="s">
        <v>147</v>
      </c>
      <c r="E149" s="12">
        <v>7.0091999999999999</v>
      </c>
      <c r="F149" s="12">
        <v>7.0091999999999999</v>
      </c>
      <c r="G149" s="6">
        <f t="shared" si="44"/>
        <v>0</v>
      </c>
      <c r="H149" s="7">
        <f t="shared" si="45"/>
        <v>0</v>
      </c>
      <c r="I149" s="8">
        <v>10.471083890410959</v>
      </c>
      <c r="J149" s="9">
        <f t="shared" si="46"/>
        <v>10.471083890410959</v>
      </c>
      <c r="K149" s="3">
        <f t="shared" si="47"/>
        <v>0</v>
      </c>
      <c r="L149" s="7">
        <f t="shared" si="48"/>
        <v>0</v>
      </c>
      <c r="M149" t="s">
        <v>121</v>
      </c>
      <c r="O149" s="3">
        <f>E149-'315805 - P0824'!F149</f>
        <v>0</v>
      </c>
      <c r="P149" s="30">
        <f>I149-'315805 - P0824'!J149</f>
        <v>0</v>
      </c>
    </row>
    <row r="150" spans="1:16" x14ac:dyDescent="0.25">
      <c r="A150">
        <v>148</v>
      </c>
      <c r="C150" t="s">
        <v>8</v>
      </c>
      <c r="D150" s="4" t="s">
        <v>448</v>
      </c>
      <c r="E150" s="12">
        <v>6.97</v>
      </c>
      <c r="F150" s="12">
        <v>6.97</v>
      </c>
      <c r="G150" s="6">
        <f t="shared" si="44"/>
        <v>0</v>
      </c>
      <c r="H150" s="7">
        <f t="shared" si="45"/>
        <v>0</v>
      </c>
      <c r="I150" s="8">
        <v>8.7200000000000006</v>
      </c>
      <c r="J150" s="12">
        <v>10.97</v>
      </c>
      <c r="K150" s="3">
        <f t="shared" si="47"/>
        <v>2.25</v>
      </c>
      <c r="L150" s="7">
        <f t="shared" si="48"/>
        <v>0.2580275229357798</v>
      </c>
      <c r="M150" t="s">
        <v>121</v>
      </c>
      <c r="O150" s="3">
        <f>E150-'315805 - P0824'!F150</f>
        <v>0</v>
      </c>
      <c r="P150" s="30">
        <f>I150-'315805 - P0824'!J150</f>
        <v>0</v>
      </c>
    </row>
    <row r="151" spans="1:16" x14ac:dyDescent="0.25">
      <c r="A151">
        <v>149</v>
      </c>
      <c r="C151" t="s">
        <v>8</v>
      </c>
      <c r="D151" s="4" t="s">
        <v>449</v>
      </c>
      <c r="E151" s="12">
        <v>8.33</v>
      </c>
      <c r="F151" s="12">
        <v>8.33</v>
      </c>
      <c r="G151" s="6">
        <f t="shared" si="44"/>
        <v>0</v>
      </c>
      <c r="H151" s="7">
        <f t="shared" si="45"/>
        <v>0</v>
      </c>
      <c r="I151" s="8">
        <v>10.42</v>
      </c>
      <c r="J151" s="12">
        <v>16.649999999999999</v>
      </c>
      <c r="K151" s="3">
        <f t="shared" si="47"/>
        <v>6.2299999999999986</v>
      </c>
      <c r="L151" s="7">
        <f t="shared" si="48"/>
        <v>0.59788867562380021</v>
      </c>
      <c r="M151" t="s">
        <v>121</v>
      </c>
      <c r="O151" s="3">
        <f>E151-'315805 - P0824'!F151</f>
        <v>0</v>
      </c>
      <c r="P151" s="30">
        <f>I151-'315805 - P0824'!J151</f>
        <v>0</v>
      </c>
    </row>
    <row r="152" spans="1:16" x14ac:dyDescent="0.25">
      <c r="A152">
        <v>150</v>
      </c>
      <c r="C152" t="s">
        <v>8</v>
      </c>
      <c r="D152" s="4" t="s">
        <v>450</v>
      </c>
      <c r="E152" s="12">
        <v>12.49</v>
      </c>
      <c r="F152" s="12">
        <v>12.49</v>
      </c>
      <c r="G152" s="6">
        <f t="shared" si="44"/>
        <v>0</v>
      </c>
      <c r="H152" s="7">
        <f t="shared" si="45"/>
        <v>0</v>
      </c>
      <c r="I152" s="8">
        <v>15.62</v>
      </c>
      <c r="J152" s="12">
        <v>25.6</v>
      </c>
      <c r="K152" s="3">
        <f t="shared" si="47"/>
        <v>9.9800000000000022</v>
      </c>
      <c r="L152" s="7">
        <f t="shared" si="48"/>
        <v>0.63892445582586443</v>
      </c>
      <c r="M152" t="s">
        <v>121</v>
      </c>
      <c r="O152" s="3">
        <f>E152-'315805 - P0824'!F152</f>
        <v>0</v>
      </c>
      <c r="P152" s="30">
        <f>I152-'315805 - P0824'!J152</f>
        <v>0</v>
      </c>
    </row>
    <row r="153" spans="1:16" x14ac:dyDescent="0.25">
      <c r="A153">
        <v>151</v>
      </c>
      <c r="C153" t="s">
        <v>8</v>
      </c>
      <c r="D153" s="4" t="s">
        <v>451</v>
      </c>
      <c r="E153" s="12">
        <v>16.27</v>
      </c>
      <c r="F153" s="12">
        <v>16.27</v>
      </c>
      <c r="G153" s="6">
        <f t="shared" si="44"/>
        <v>0</v>
      </c>
      <c r="H153" s="7">
        <f t="shared" si="45"/>
        <v>0</v>
      </c>
      <c r="I153" s="8">
        <v>21.41</v>
      </c>
      <c r="J153" s="12">
        <v>35.64</v>
      </c>
      <c r="K153" s="3">
        <f t="shared" si="47"/>
        <v>14.23</v>
      </c>
      <c r="L153" s="7">
        <f t="shared" si="48"/>
        <v>0.66464269033162071</v>
      </c>
      <c r="M153" t="s">
        <v>121</v>
      </c>
      <c r="O153" s="3">
        <f>E153-'315805 - P0824'!F153</f>
        <v>0</v>
      </c>
      <c r="P153" s="30">
        <f>I153-'315805 - P0824'!J153</f>
        <v>0</v>
      </c>
    </row>
    <row r="154" spans="1:16" x14ac:dyDescent="0.25">
      <c r="A154">
        <v>152</v>
      </c>
      <c r="C154" t="s">
        <v>8</v>
      </c>
      <c r="D154" s="4" t="s">
        <v>452</v>
      </c>
      <c r="E154" s="12">
        <v>20.329999999999998</v>
      </c>
      <c r="F154" s="12">
        <v>20.329999999999998</v>
      </c>
      <c r="G154" s="6">
        <f>+F154-E154</f>
        <v>0</v>
      </c>
      <c r="H154" s="7">
        <f t="shared" si="45"/>
        <v>0</v>
      </c>
      <c r="I154" s="8">
        <v>28.24</v>
      </c>
      <c r="J154" s="12">
        <v>47.75</v>
      </c>
      <c r="K154" s="3">
        <f t="shared" si="47"/>
        <v>19.510000000000002</v>
      </c>
      <c r="L154" s="7">
        <f t="shared" si="48"/>
        <v>0.6908640226628896</v>
      </c>
      <c r="M154" t="s">
        <v>121</v>
      </c>
      <c r="O154" s="3">
        <f>E154-'315805 - P0824'!F154</f>
        <v>0</v>
      </c>
      <c r="P154" s="30">
        <f>I154-'315805 - P0824'!J154</f>
        <v>0</v>
      </c>
    </row>
    <row r="155" spans="1:16" x14ac:dyDescent="0.25">
      <c r="A155">
        <v>153</v>
      </c>
      <c r="C155" t="s">
        <v>8</v>
      </c>
      <c r="D155" s="4" t="s">
        <v>453</v>
      </c>
      <c r="E155" s="12">
        <v>24.4</v>
      </c>
      <c r="F155" s="12">
        <v>24.4</v>
      </c>
      <c r="G155" s="6">
        <f t="shared" ref="G155" si="49">+F155-E155</f>
        <v>0</v>
      </c>
      <c r="H155" s="7">
        <f t="shared" si="45"/>
        <v>0</v>
      </c>
      <c r="I155" s="8">
        <v>33.89</v>
      </c>
      <c r="J155" s="9">
        <f t="shared" si="46"/>
        <v>33.89</v>
      </c>
      <c r="K155" s="3">
        <f t="shared" si="47"/>
        <v>0</v>
      </c>
      <c r="L155" s="7">
        <f t="shared" si="48"/>
        <v>0</v>
      </c>
      <c r="M155" t="s">
        <v>121</v>
      </c>
      <c r="O155" s="3">
        <f>E155-'315805 - P0824'!F155</f>
        <v>0</v>
      </c>
      <c r="P155" s="30">
        <f>I155-'315805 - P0824'!J155</f>
        <v>0</v>
      </c>
    </row>
    <row r="156" spans="1:16" x14ac:dyDescent="0.25">
      <c r="A156">
        <v>154</v>
      </c>
      <c r="D156" s="34" t="s">
        <v>148</v>
      </c>
      <c r="F156" s="15"/>
      <c r="H156" s="10">
        <f>AVERAGE(H123:H149)</f>
        <v>0</v>
      </c>
      <c r="I156"/>
    </row>
    <row r="157" spans="1:16" x14ac:dyDescent="0.25">
      <c r="A157">
        <v>155</v>
      </c>
      <c r="D157" s="34" t="s">
        <v>149</v>
      </c>
      <c r="I157"/>
      <c r="M157" t="s">
        <v>150</v>
      </c>
    </row>
    <row r="158" spans="1:16" x14ac:dyDescent="0.25">
      <c r="A158">
        <v>156</v>
      </c>
      <c r="C158" t="s">
        <v>8</v>
      </c>
      <c r="D158" s="4" t="s">
        <v>151</v>
      </c>
      <c r="E158" s="12">
        <v>37.49</v>
      </c>
      <c r="F158" s="12">
        <v>37.49</v>
      </c>
      <c r="G158" s="6">
        <f t="shared" ref="G158:G164" si="50">+F158-E158</f>
        <v>0</v>
      </c>
      <c r="H158" s="7">
        <f t="shared" ref="H158:H164" si="51">(F158-E158)/ABS(E158)</f>
        <v>0</v>
      </c>
      <c r="I158" s="12">
        <v>40.250769230769222</v>
      </c>
      <c r="J158" s="12">
        <f t="shared" ref="J158:J164" si="52">(I158*H158)+I158</f>
        <v>40.250769230769222</v>
      </c>
      <c r="K158" s="3">
        <f t="shared" ref="K158:K164" si="53">J158-I158</f>
        <v>0</v>
      </c>
      <c r="L158" s="7">
        <f t="shared" ref="L158:L164" si="54">(J158-I158)/ABS(I158)</f>
        <v>0</v>
      </c>
      <c r="M158" t="s">
        <v>150</v>
      </c>
      <c r="O158" s="3">
        <f>E158-'315805 - P0824'!F158</f>
        <v>0</v>
      </c>
      <c r="P158" s="30">
        <f>I158-'315805 - P0824'!J158</f>
        <v>0</v>
      </c>
    </row>
    <row r="159" spans="1:16" x14ac:dyDescent="0.25">
      <c r="A159">
        <v>157</v>
      </c>
      <c r="C159" t="s">
        <v>8</v>
      </c>
      <c r="D159" s="4" t="s">
        <v>152</v>
      </c>
      <c r="E159" s="12">
        <v>6.1</v>
      </c>
      <c r="F159" s="12">
        <v>6.1</v>
      </c>
      <c r="G159" s="6">
        <f t="shared" si="50"/>
        <v>0</v>
      </c>
      <c r="H159" s="7">
        <f t="shared" si="51"/>
        <v>0</v>
      </c>
      <c r="I159" s="12">
        <v>13.248680851063828</v>
      </c>
      <c r="J159" s="12">
        <f t="shared" si="52"/>
        <v>13.248680851063828</v>
      </c>
      <c r="K159" s="3">
        <f t="shared" si="53"/>
        <v>0</v>
      </c>
      <c r="L159" s="7">
        <f t="shared" si="54"/>
        <v>0</v>
      </c>
      <c r="M159" t="s">
        <v>150</v>
      </c>
      <c r="O159" s="3">
        <f>E159-'315805 - P0824'!F159</f>
        <v>0</v>
      </c>
      <c r="P159" s="30">
        <f>I159-'315805 - P0824'!J159</f>
        <v>0</v>
      </c>
    </row>
    <row r="160" spans="1:16" x14ac:dyDescent="0.25">
      <c r="A160">
        <v>158</v>
      </c>
      <c r="C160" t="s">
        <v>8</v>
      </c>
      <c r="D160" s="4" t="s">
        <v>153</v>
      </c>
      <c r="E160" s="12">
        <v>11.16</v>
      </c>
      <c r="F160" s="12">
        <v>11.16</v>
      </c>
      <c r="G160" s="6">
        <f t="shared" si="50"/>
        <v>0</v>
      </c>
      <c r="H160" s="7">
        <f t="shared" si="51"/>
        <v>0</v>
      </c>
      <c r="I160" s="12">
        <v>22.971018518518513</v>
      </c>
      <c r="J160" s="12">
        <f t="shared" si="52"/>
        <v>22.971018518518513</v>
      </c>
      <c r="K160" s="3">
        <f t="shared" si="53"/>
        <v>0</v>
      </c>
      <c r="L160" s="7">
        <f t="shared" si="54"/>
        <v>0</v>
      </c>
      <c r="M160" t="s">
        <v>150</v>
      </c>
      <c r="O160" s="3">
        <f>E160-'315805 - P0824'!F160</f>
        <v>0</v>
      </c>
      <c r="P160" s="30">
        <f>I160-'315805 - P0824'!J160</f>
        <v>0</v>
      </c>
    </row>
    <row r="161" spans="1:16" x14ac:dyDescent="0.25">
      <c r="A161">
        <v>159</v>
      </c>
      <c r="D161" s="4" t="s">
        <v>154</v>
      </c>
      <c r="E161" s="12">
        <v>6.8040000000000003</v>
      </c>
      <c r="F161" s="12">
        <v>6.8040000000000003</v>
      </c>
      <c r="G161" s="6">
        <f t="shared" si="50"/>
        <v>0</v>
      </c>
      <c r="H161" s="7">
        <f t="shared" si="51"/>
        <v>0</v>
      </c>
      <c r="I161" s="12">
        <v>22.285410234150319</v>
      </c>
      <c r="J161" s="12">
        <f t="shared" si="52"/>
        <v>22.285410234150319</v>
      </c>
      <c r="K161" s="3">
        <f t="shared" si="53"/>
        <v>0</v>
      </c>
      <c r="L161" s="7">
        <f t="shared" si="54"/>
        <v>0</v>
      </c>
      <c r="M161" t="s">
        <v>150</v>
      </c>
      <c r="O161" s="3">
        <f>E161-'315805 - P0824'!F161</f>
        <v>0</v>
      </c>
      <c r="P161" s="30">
        <f>I161-'315805 - P0824'!J161</f>
        <v>0</v>
      </c>
    </row>
    <row r="162" spans="1:16" x14ac:dyDescent="0.25">
      <c r="A162">
        <v>160</v>
      </c>
      <c r="C162" t="s">
        <v>8</v>
      </c>
      <c r="D162" s="4" t="s">
        <v>155</v>
      </c>
      <c r="E162" s="12">
        <v>18.05</v>
      </c>
      <c r="F162" s="12">
        <v>18.05</v>
      </c>
      <c r="G162" s="6">
        <f t="shared" si="50"/>
        <v>0</v>
      </c>
      <c r="H162" s="7">
        <f t="shared" si="51"/>
        <v>0</v>
      </c>
      <c r="I162" s="12">
        <v>28.933702479338844</v>
      </c>
      <c r="J162" s="12">
        <f t="shared" si="52"/>
        <v>28.933702479338844</v>
      </c>
      <c r="K162" s="3">
        <f t="shared" si="53"/>
        <v>0</v>
      </c>
      <c r="L162" s="7">
        <f t="shared" si="54"/>
        <v>0</v>
      </c>
      <c r="M162" t="s">
        <v>150</v>
      </c>
      <c r="O162" s="3">
        <f>E162-'315805 - P0824'!F162</f>
        <v>0</v>
      </c>
      <c r="P162" s="30">
        <f>I162-'315805 - P0824'!J162</f>
        <v>0</v>
      </c>
    </row>
    <row r="163" spans="1:16" x14ac:dyDescent="0.25">
      <c r="A163">
        <v>161</v>
      </c>
      <c r="D163" s="4" t="s">
        <v>156</v>
      </c>
      <c r="E163" s="12">
        <v>0.4</v>
      </c>
      <c r="F163" s="12">
        <v>0.4</v>
      </c>
      <c r="G163" s="6">
        <f t="shared" si="50"/>
        <v>0</v>
      </c>
      <c r="H163" s="7">
        <f t="shared" si="51"/>
        <v>0</v>
      </c>
      <c r="I163" s="12">
        <v>1.1076923076923078</v>
      </c>
      <c r="J163" s="12">
        <f t="shared" si="52"/>
        <v>1.1076923076923078</v>
      </c>
      <c r="K163" s="3">
        <f t="shared" si="53"/>
        <v>0</v>
      </c>
      <c r="L163" s="7">
        <f t="shared" si="54"/>
        <v>0</v>
      </c>
      <c r="M163" t="s">
        <v>150</v>
      </c>
      <c r="O163" s="3">
        <f>E163-'315805 - P0824'!F163</f>
        <v>0</v>
      </c>
      <c r="P163" s="30">
        <f>I163-'315805 - P0824'!J163</f>
        <v>0</v>
      </c>
    </row>
    <row r="164" spans="1:16" x14ac:dyDescent="0.25">
      <c r="A164">
        <v>162</v>
      </c>
      <c r="C164" t="s">
        <v>8</v>
      </c>
      <c r="D164" s="4" t="s">
        <v>157</v>
      </c>
      <c r="E164" s="12">
        <v>5.99</v>
      </c>
      <c r="F164" s="12">
        <v>5.99</v>
      </c>
      <c r="G164" s="6">
        <f t="shared" si="50"/>
        <v>0</v>
      </c>
      <c r="H164" s="7">
        <f t="shared" si="51"/>
        <v>0</v>
      </c>
      <c r="I164" s="12">
        <v>10.65</v>
      </c>
      <c r="J164" s="12">
        <f t="shared" si="52"/>
        <v>10.65</v>
      </c>
      <c r="K164" s="3">
        <f t="shared" si="53"/>
        <v>0</v>
      </c>
      <c r="L164" s="7">
        <f t="shared" si="54"/>
        <v>0</v>
      </c>
      <c r="M164" t="s">
        <v>150</v>
      </c>
      <c r="O164" s="3">
        <f>E164-'315805 - P0824'!F164</f>
        <v>0</v>
      </c>
      <c r="P164" s="30">
        <f>I164-'315805 - P0824'!J164</f>
        <v>0</v>
      </c>
    </row>
    <row r="165" spans="1:16" x14ac:dyDescent="0.25">
      <c r="A165">
        <v>163</v>
      </c>
      <c r="D165" s="34" t="s">
        <v>158</v>
      </c>
      <c r="H165" s="10">
        <f>AVERAGE(H158:H163)</f>
        <v>0</v>
      </c>
      <c r="I165"/>
    </row>
    <row r="166" spans="1:16" x14ac:dyDescent="0.25">
      <c r="A166">
        <v>164</v>
      </c>
      <c r="D166" s="34" t="s">
        <v>159</v>
      </c>
      <c r="I166"/>
    </row>
    <row r="167" spans="1:16" x14ac:dyDescent="0.25">
      <c r="A167">
        <v>165</v>
      </c>
      <c r="C167" t="s">
        <v>8</v>
      </c>
      <c r="D167" s="4" t="s">
        <v>160</v>
      </c>
      <c r="E167" s="5">
        <v>3.34</v>
      </c>
      <c r="F167" s="5">
        <v>3.34</v>
      </c>
      <c r="G167" s="6">
        <f t="shared" ref="G167:G191" si="55">+F167-E167</f>
        <v>0</v>
      </c>
      <c r="H167" s="7">
        <f t="shared" ref="H167:H191" si="56">(F167-E167)/ABS(E167)</f>
        <v>0</v>
      </c>
      <c r="I167" s="8">
        <v>6.1290657389972267</v>
      </c>
      <c r="J167" s="9">
        <f t="shared" ref="J167:J190" si="57">(I167*H167)+I167</f>
        <v>6.1290657389972267</v>
      </c>
      <c r="K167" s="3">
        <f t="shared" ref="K167:K191" si="58">J167-I167</f>
        <v>0</v>
      </c>
      <c r="L167" s="7">
        <f t="shared" ref="L167:L191" si="59">(J167-I167)/ABS(I167)</f>
        <v>0</v>
      </c>
      <c r="M167" t="s">
        <v>150</v>
      </c>
      <c r="O167" s="3">
        <f>E167-'315805 - P0824'!F167</f>
        <v>0</v>
      </c>
      <c r="P167" s="30">
        <f>I167-'315805 - P0824'!J167</f>
        <v>0</v>
      </c>
    </row>
    <row r="168" spans="1:16" x14ac:dyDescent="0.25">
      <c r="A168">
        <v>166</v>
      </c>
      <c r="C168" t="s">
        <v>8</v>
      </c>
      <c r="D168" s="4" t="s">
        <v>161</v>
      </c>
      <c r="E168" s="5">
        <v>5.01</v>
      </c>
      <c r="F168" s="5">
        <v>5.01</v>
      </c>
      <c r="G168" s="6">
        <f t="shared" si="55"/>
        <v>0</v>
      </c>
      <c r="H168" s="7">
        <f t="shared" si="56"/>
        <v>0</v>
      </c>
      <c r="I168" s="8">
        <v>10.644195465054626</v>
      </c>
      <c r="J168" s="9">
        <f t="shared" si="57"/>
        <v>10.644195465054626</v>
      </c>
      <c r="K168" s="3">
        <f t="shared" si="58"/>
        <v>0</v>
      </c>
      <c r="L168" s="7">
        <f t="shared" si="59"/>
        <v>0</v>
      </c>
      <c r="M168" t="s">
        <v>150</v>
      </c>
      <c r="O168" s="3">
        <f>E168-'315805 - P0824'!F168</f>
        <v>0</v>
      </c>
      <c r="P168" s="30">
        <f>I168-'315805 - P0824'!J168</f>
        <v>0</v>
      </c>
    </row>
    <row r="169" spans="1:16" x14ac:dyDescent="0.25">
      <c r="A169">
        <v>167</v>
      </c>
      <c r="C169" t="s">
        <v>8</v>
      </c>
      <c r="D169" s="4" t="s">
        <v>162</v>
      </c>
      <c r="E169" s="5">
        <v>3.47</v>
      </c>
      <c r="F169" s="5">
        <v>4.13</v>
      </c>
      <c r="G169" s="6">
        <f t="shared" si="55"/>
        <v>0.6599999999999997</v>
      </c>
      <c r="H169" s="7">
        <f t="shared" si="56"/>
        <v>0.19020172910662814</v>
      </c>
      <c r="I169" s="8">
        <v>4.7733355738018091</v>
      </c>
      <c r="J169" s="9">
        <f t="shared" si="57"/>
        <v>5.6812322535450921</v>
      </c>
      <c r="K169" s="3">
        <f t="shared" si="58"/>
        <v>0.90789667974328303</v>
      </c>
      <c r="L169" s="7">
        <f t="shared" si="59"/>
        <v>0.19020172910662814</v>
      </c>
      <c r="M169" t="s">
        <v>150</v>
      </c>
      <c r="O169" s="3">
        <f>E169-'315805 - P0824'!F169</f>
        <v>0</v>
      </c>
      <c r="P169" s="30">
        <f>I169-'315805 - P0824'!J169</f>
        <v>0</v>
      </c>
    </row>
    <row r="170" spans="1:16" x14ac:dyDescent="0.25">
      <c r="A170">
        <v>168</v>
      </c>
      <c r="C170" t="s">
        <v>8</v>
      </c>
      <c r="D170" s="4" t="s">
        <v>163</v>
      </c>
      <c r="E170" s="5">
        <v>13.87</v>
      </c>
      <c r="F170" s="5">
        <v>16.53</v>
      </c>
      <c r="G170" s="6">
        <f t="shared" si="55"/>
        <v>2.6600000000000019</v>
      </c>
      <c r="H170" s="7">
        <f t="shared" si="56"/>
        <v>0.19178082191780838</v>
      </c>
      <c r="I170" s="8">
        <v>18.526710428216624</v>
      </c>
      <c r="J170" s="9">
        <f t="shared" si="57"/>
        <v>22.079778181573239</v>
      </c>
      <c r="K170" s="3">
        <f t="shared" si="58"/>
        <v>3.5530677533566148</v>
      </c>
      <c r="L170" s="7">
        <f t="shared" si="59"/>
        <v>0.19178082191780832</v>
      </c>
      <c r="M170" t="s">
        <v>150</v>
      </c>
      <c r="O170" s="3">
        <f>E170-'315805 - P0824'!F170</f>
        <v>0</v>
      </c>
      <c r="P170" s="30">
        <f>I170-'315805 - P0824'!J170</f>
        <v>0</v>
      </c>
    </row>
    <row r="171" spans="1:16" x14ac:dyDescent="0.25">
      <c r="A171">
        <v>169</v>
      </c>
      <c r="C171" t="s">
        <v>8</v>
      </c>
      <c r="D171" s="4" t="s">
        <v>164</v>
      </c>
      <c r="E171" s="5">
        <v>1300</v>
      </c>
      <c r="F171" s="5">
        <v>1550</v>
      </c>
      <c r="G171" s="6">
        <f t="shared" si="55"/>
        <v>250</v>
      </c>
      <c r="H171" s="7">
        <f t="shared" si="56"/>
        <v>0.19230769230769232</v>
      </c>
      <c r="I171" s="8">
        <v>29.247408939808338</v>
      </c>
      <c r="J171" s="9">
        <f t="shared" si="57"/>
        <v>34.871910659002246</v>
      </c>
      <c r="K171" s="3">
        <f t="shared" si="58"/>
        <v>5.6245017191939084</v>
      </c>
      <c r="L171" s="7">
        <f t="shared" si="59"/>
        <v>0.19230769230769221</v>
      </c>
      <c r="M171" t="s">
        <v>150</v>
      </c>
      <c r="O171" s="3">
        <f>E171-'315805 - P0824'!F171</f>
        <v>0</v>
      </c>
      <c r="P171" s="30">
        <f>I171-'315805 - P0824'!J171</f>
        <v>0</v>
      </c>
    </row>
    <row r="172" spans="1:16" x14ac:dyDescent="0.25">
      <c r="A172">
        <v>170</v>
      </c>
      <c r="C172" t="s">
        <v>8</v>
      </c>
      <c r="D172" s="4" t="s">
        <v>165</v>
      </c>
      <c r="E172" s="5">
        <v>1300</v>
      </c>
      <c r="F172" s="5">
        <v>1550</v>
      </c>
      <c r="G172" s="6">
        <f t="shared" si="55"/>
        <v>250</v>
      </c>
      <c r="H172" s="7">
        <f t="shared" si="56"/>
        <v>0.19230769230769232</v>
      </c>
      <c r="I172" s="8">
        <v>1874.2587429242276</v>
      </c>
      <c r="J172" s="9">
        <f t="shared" si="57"/>
        <v>2234.6931165635024</v>
      </c>
      <c r="K172" s="3">
        <f t="shared" si="58"/>
        <v>360.43437363927478</v>
      </c>
      <c r="L172" s="7">
        <f t="shared" si="59"/>
        <v>0.19230769230769243</v>
      </c>
      <c r="M172" t="s">
        <v>150</v>
      </c>
      <c r="O172" s="3">
        <f>E172-'315805 - P0824'!F172</f>
        <v>0</v>
      </c>
      <c r="P172" s="30">
        <f>I172-'315805 - P0824'!J172</f>
        <v>0</v>
      </c>
    </row>
    <row r="173" spans="1:16" x14ac:dyDescent="0.25">
      <c r="A173">
        <v>171</v>
      </c>
      <c r="C173" t="s">
        <v>8</v>
      </c>
      <c r="D173" s="4" t="s">
        <v>166</v>
      </c>
      <c r="E173" s="5">
        <v>18.45</v>
      </c>
      <c r="F173" s="5">
        <v>13.39</v>
      </c>
      <c r="G173" s="6">
        <f t="shared" si="55"/>
        <v>-5.0599999999999987</v>
      </c>
      <c r="H173" s="7">
        <f t="shared" si="56"/>
        <v>-0.27425474254742543</v>
      </c>
      <c r="I173" s="8">
        <v>28.75</v>
      </c>
      <c r="J173" s="9">
        <f t="shared" si="57"/>
        <v>20.865176151761517</v>
      </c>
      <c r="K173" s="3">
        <f t="shared" si="58"/>
        <v>-7.8848238482384829</v>
      </c>
      <c r="L173" s="7">
        <f t="shared" si="59"/>
        <v>-0.27425474254742549</v>
      </c>
      <c r="M173" t="s">
        <v>150</v>
      </c>
      <c r="O173" s="3">
        <f>E173-'315805 - P0824'!F173</f>
        <v>0</v>
      </c>
      <c r="P173" s="30">
        <f>I173-'315805 - P0824'!J173</f>
        <v>0</v>
      </c>
    </row>
    <row r="174" spans="1:16" x14ac:dyDescent="0.25">
      <c r="A174">
        <v>172</v>
      </c>
      <c r="C174" t="s">
        <v>8</v>
      </c>
      <c r="D174" s="4" t="s">
        <v>167</v>
      </c>
      <c r="E174" s="11">
        <v>4.0199999999999996</v>
      </c>
      <c r="F174" s="11">
        <v>4.0199999999999996</v>
      </c>
      <c r="G174" s="6">
        <f t="shared" si="55"/>
        <v>0</v>
      </c>
      <c r="H174" s="7">
        <f t="shared" si="56"/>
        <v>0</v>
      </c>
      <c r="I174" s="8">
        <v>15.098612891135524</v>
      </c>
      <c r="J174" s="9">
        <f t="shared" si="57"/>
        <v>15.098612891135524</v>
      </c>
      <c r="K174" s="3">
        <f t="shared" si="58"/>
        <v>0</v>
      </c>
      <c r="L174" s="7">
        <f t="shared" si="59"/>
        <v>0</v>
      </c>
      <c r="M174" t="s">
        <v>150</v>
      </c>
      <c r="O174" s="3">
        <f>E174-'315805 - P0824'!F174</f>
        <v>0</v>
      </c>
      <c r="P174" s="30">
        <f>I174-'315805 - P0824'!J174</f>
        <v>0</v>
      </c>
    </row>
    <row r="175" spans="1:16" x14ac:dyDescent="0.25">
      <c r="A175">
        <v>173</v>
      </c>
      <c r="C175" t="s">
        <v>8</v>
      </c>
      <c r="D175" s="4" t="s">
        <v>168</v>
      </c>
      <c r="E175" s="11">
        <v>0.59</v>
      </c>
      <c r="F175" s="11">
        <v>0.59</v>
      </c>
      <c r="G175" s="6">
        <f t="shared" si="55"/>
        <v>0</v>
      </c>
      <c r="H175" s="7">
        <f t="shared" si="56"/>
        <v>0</v>
      </c>
      <c r="I175" s="8">
        <v>2.1049549224666428</v>
      </c>
      <c r="J175" s="9">
        <f t="shared" si="57"/>
        <v>2.1049549224666428</v>
      </c>
      <c r="K175" s="3">
        <f t="shared" si="58"/>
        <v>0</v>
      </c>
      <c r="L175" s="7">
        <f t="shared" si="59"/>
        <v>0</v>
      </c>
      <c r="M175" t="s">
        <v>150</v>
      </c>
      <c r="O175" s="3">
        <f>E175-'315805 - P0824'!F175</f>
        <v>0</v>
      </c>
      <c r="P175" s="30">
        <f>I175-'315805 - P0824'!J175</f>
        <v>0</v>
      </c>
    </row>
    <row r="176" spans="1:16" x14ac:dyDescent="0.25">
      <c r="A176">
        <v>174</v>
      </c>
      <c r="C176" t="s">
        <v>8</v>
      </c>
      <c r="D176" s="4" t="s">
        <v>169</v>
      </c>
      <c r="E176" s="11">
        <v>0.63</v>
      </c>
      <c r="F176" s="11">
        <v>0.63</v>
      </c>
      <c r="G176" s="6">
        <f t="shared" si="55"/>
        <v>0</v>
      </c>
      <c r="H176" s="7">
        <f t="shared" si="56"/>
        <v>0</v>
      </c>
      <c r="I176" s="8">
        <v>1.9152</v>
      </c>
      <c r="J176" s="9">
        <f t="shared" si="57"/>
        <v>1.9152</v>
      </c>
      <c r="K176" s="3">
        <f t="shared" si="58"/>
        <v>0</v>
      </c>
      <c r="L176" s="7">
        <f t="shared" si="59"/>
        <v>0</v>
      </c>
      <c r="M176" t="s">
        <v>150</v>
      </c>
      <c r="O176" s="3">
        <f>E176-'315805 - P0824'!F176</f>
        <v>0</v>
      </c>
      <c r="P176" s="30">
        <f>I176-'315805 - P0824'!J176</f>
        <v>0</v>
      </c>
    </row>
    <row r="177" spans="1:16" x14ac:dyDescent="0.25">
      <c r="A177">
        <v>175</v>
      </c>
      <c r="C177" t="s">
        <v>8</v>
      </c>
      <c r="D177" s="4" t="s">
        <v>461</v>
      </c>
      <c r="E177" s="11">
        <v>29</v>
      </c>
      <c r="F177" s="11">
        <v>29</v>
      </c>
      <c r="G177" s="6">
        <f t="shared" si="55"/>
        <v>0</v>
      </c>
      <c r="H177" s="7">
        <f t="shared" si="56"/>
        <v>0</v>
      </c>
      <c r="I177" s="8">
        <v>45.490196078431374</v>
      </c>
      <c r="J177" s="9">
        <f t="shared" si="57"/>
        <v>45.490196078431374</v>
      </c>
      <c r="K177" s="3">
        <f t="shared" si="58"/>
        <v>0</v>
      </c>
      <c r="L177" s="7">
        <f t="shared" si="59"/>
        <v>0</v>
      </c>
      <c r="M177" t="s">
        <v>150</v>
      </c>
      <c r="O177" s="3">
        <f>E177-'315805 - P0824'!F177</f>
        <v>0</v>
      </c>
      <c r="P177" s="30">
        <f>I177-'315805 - P0824'!J177</f>
        <v>0</v>
      </c>
    </row>
    <row r="178" spans="1:16" x14ac:dyDescent="0.25">
      <c r="A178">
        <v>176</v>
      </c>
      <c r="C178" t="s">
        <v>8</v>
      </c>
      <c r="D178" s="4" t="s">
        <v>170</v>
      </c>
      <c r="E178" s="11">
        <v>35.4</v>
      </c>
      <c r="F178" s="11">
        <v>35.4</v>
      </c>
      <c r="G178" s="6">
        <f t="shared" si="55"/>
        <v>0</v>
      </c>
      <c r="H178" s="7">
        <f t="shared" si="56"/>
        <v>0</v>
      </c>
      <c r="I178" s="8">
        <v>21.717791411042946</v>
      </c>
      <c r="J178" s="9">
        <f t="shared" si="57"/>
        <v>21.717791411042946</v>
      </c>
      <c r="K178" s="3">
        <f t="shared" si="58"/>
        <v>0</v>
      </c>
      <c r="L178" s="7">
        <f t="shared" si="59"/>
        <v>0</v>
      </c>
      <c r="M178" t="s">
        <v>150</v>
      </c>
      <c r="O178" s="3">
        <f>E178-'315805 - P0824'!F178</f>
        <v>0</v>
      </c>
      <c r="P178" s="30">
        <f>I178-'315805 - P0824'!J178</f>
        <v>0</v>
      </c>
    </row>
    <row r="179" spans="1:16" x14ac:dyDescent="0.25">
      <c r="A179">
        <v>177</v>
      </c>
      <c r="C179" t="s">
        <v>8</v>
      </c>
      <c r="D179" s="4" t="s">
        <v>171</v>
      </c>
      <c r="E179" s="11">
        <v>29.3</v>
      </c>
      <c r="F179" s="11">
        <v>29.3</v>
      </c>
      <c r="G179" s="6">
        <f t="shared" si="55"/>
        <v>0</v>
      </c>
      <c r="H179" s="7">
        <f t="shared" si="56"/>
        <v>0</v>
      </c>
      <c r="I179" s="8">
        <v>20</v>
      </c>
      <c r="J179" s="9">
        <f t="shared" si="57"/>
        <v>20</v>
      </c>
      <c r="K179" s="3">
        <f t="shared" si="58"/>
        <v>0</v>
      </c>
      <c r="L179" s="7">
        <f t="shared" si="59"/>
        <v>0</v>
      </c>
      <c r="M179" t="s">
        <v>150</v>
      </c>
      <c r="O179" s="3">
        <f>E179-'315805 - P0824'!F179</f>
        <v>0</v>
      </c>
      <c r="P179" s="30">
        <f>I179-'315805 - P0824'!J179</f>
        <v>0</v>
      </c>
    </row>
    <row r="180" spans="1:16" x14ac:dyDescent="0.25">
      <c r="A180">
        <v>178</v>
      </c>
      <c r="C180" t="s">
        <v>8</v>
      </c>
      <c r="D180" s="4" t="s">
        <v>172</v>
      </c>
      <c r="E180" s="11">
        <v>24.2</v>
      </c>
      <c r="F180" s="11">
        <v>24.75</v>
      </c>
      <c r="G180" s="6">
        <f t="shared" si="55"/>
        <v>0.55000000000000071</v>
      </c>
      <c r="H180" s="7">
        <f t="shared" si="56"/>
        <v>2.2727272727272756E-2</v>
      </c>
      <c r="I180" s="8">
        <v>20</v>
      </c>
      <c r="J180" s="9">
        <f t="shared" si="57"/>
        <v>20.454545454545457</v>
      </c>
      <c r="K180" s="3">
        <f t="shared" si="58"/>
        <v>0.45454545454545681</v>
      </c>
      <c r="L180" s="7">
        <f t="shared" si="59"/>
        <v>2.2727272727272839E-2</v>
      </c>
      <c r="M180" t="s">
        <v>150</v>
      </c>
      <c r="O180" s="3">
        <f>E180-'315805 - P0824'!F180</f>
        <v>0</v>
      </c>
      <c r="P180" s="30">
        <f>I180-'315805 - P0824'!J180</f>
        <v>0</v>
      </c>
    </row>
    <row r="181" spans="1:16" x14ac:dyDescent="0.25">
      <c r="A181">
        <v>179</v>
      </c>
      <c r="C181" t="s">
        <v>8</v>
      </c>
      <c r="D181" s="4" t="s">
        <v>173</v>
      </c>
      <c r="E181" s="12">
        <v>116</v>
      </c>
      <c r="F181" s="12">
        <v>116</v>
      </c>
      <c r="G181" s="6">
        <f t="shared" si="55"/>
        <v>0</v>
      </c>
      <c r="H181" s="7">
        <f t="shared" si="56"/>
        <v>0</v>
      </c>
      <c r="I181" s="8">
        <v>153.29999999999998</v>
      </c>
      <c r="J181" s="12">
        <v>154</v>
      </c>
      <c r="K181" s="3">
        <f t="shared" si="58"/>
        <v>0.70000000000001705</v>
      </c>
      <c r="L181" s="7">
        <f t="shared" si="59"/>
        <v>4.5662100456622121E-3</v>
      </c>
      <c r="M181" t="s">
        <v>121</v>
      </c>
      <c r="O181" s="3">
        <f>E181-'315805 - P0824'!F181</f>
        <v>0</v>
      </c>
      <c r="P181" s="30">
        <f>I181-'315805 - P0824'!J181</f>
        <v>0</v>
      </c>
    </row>
    <row r="182" spans="1:16" x14ac:dyDescent="0.25">
      <c r="A182">
        <v>180</v>
      </c>
      <c r="C182" t="s">
        <v>8</v>
      </c>
      <c r="D182" s="4" t="s">
        <v>174</v>
      </c>
      <c r="E182" s="12">
        <v>9.98</v>
      </c>
      <c r="F182" s="12">
        <v>9.98</v>
      </c>
      <c r="G182" s="6">
        <f t="shared" si="55"/>
        <v>0</v>
      </c>
      <c r="H182" s="7">
        <f t="shared" si="56"/>
        <v>0</v>
      </c>
      <c r="I182" s="8">
        <v>13.625326315789476</v>
      </c>
      <c r="J182" s="9">
        <v>9.75</v>
      </c>
      <c r="K182" s="3">
        <f t="shared" si="58"/>
        <v>-3.8753263157894757</v>
      </c>
      <c r="L182" s="7">
        <f t="shared" si="59"/>
        <v>-0.28442080769094097</v>
      </c>
      <c r="M182" t="s">
        <v>121</v>
      </c>
      <c r="O182" s="3">
        <f>E182-'315805 - P0824'!F182</f>
        <v>0</v>
      </c>
      <c r="P182" s="30">
        <f>I182-'315805 - P0824'!J182</f>
        <v>0</v>
      </c>
    </row>
    <row r="183" spans="1:16" x14ac:dyDescent="0.25">
      <c r="A183">
        <v>181</v>
      </c>
      <c r="C183" t="s">
        <v>8</v>
      </c>
      <c r="D183" s="4" t="s">
        <v>175</v>
      </c>
      <c r="E183" s="12">
        <v>190.995</v>
      </c>
      <c r="F183" s="12">
        <v>190.995</v>
      </c>
      <c r="G183" s="6">
        <f t="shared" si="55"/>
        <v>0</v>
      </c>
      <c r="H183" s="7">
        <f t="shared" si="56"/>
        <v>0</v>
      </c>
      <c r="I183" s="8">
        <v>251</v>
      </c>
      <c r="J183" s="9">
        <f t="shared" si="57"/>
        <v>251</v>
      </c>
      <c r="K183" s="3">
        <f t="shared" si="58"/>
        <v>0</v>
      </c>
      <c r="L183" s="7">
        <f t="shared" si="59"/>
        <v>0</v>
      </c>
      <c r="M183" t="s">
        <v>121</v>
      </c>
      <c r="O183" s="3">
        <f>E183-'315805 - P0824'!F183</f>
        <v>0</v>
      </c>
      <c r="P183" s="30">
        <f>I183-'315805 - P0824'!J183</f>
        <v>0</v>
      </c>
    </row>
    <row r="184" spans="1:16" x14ac:dyDescent="0.25">
      <c r="A184">
        <v>182</v>
      </c>
      <c r="C184" t="s">
        <v>8</v>
      </c>
      <c r="D184" s="4" t="s">
        <v>176</v>
      </c>
      <c r="E184" s="12">
        <v>14.01</v>
      </c>
      <c r="F184" s="12">
        <v>14.01</v>
      </c>
      <c r="G184" s="6">
        <f t="shared" si="55"/>
        <v>0</v>
      </c>
      <c r="H184" s="7">
        <f t="shared" si="56"/>
        <v>0</v>
      </c>
      <c r="I184" s="8">
        <v>19.616308543063266</v>
      </c>
      <c r="J184" s="9">
        <v>19</v>
      </c>
      <c r="K184" s="3">
        <f t="shared" si="58"/>
        <v>-0.61630854306326555</v>
      </c>
      <c r="L184" s="7">
        <f t="shared" si="59"/>
        <v>-3.1418171350144526E-2</v>
      </c>
      <c r="M184" t="s">
        <v>121</v>
      </c>
      <c r="O184" s="3">
        <f>E184-'315805 - P0824'!F184</f>
        <v>0</v>
      </c>
      <c r="P184" s="30">
        <f>I184-'315805 - P0824'!J184</f>
        <v>0</v>
      </c>
    </row>
    <row r="185" spans="1:16" x14ac:dyDescent="0.25">
      <c r="A185">
        <v>183</v>
      </c>
      <c r="C185" t="s">
        <v>8</v>
      </c>
      <c r="D185" s="4" t="s">
        <v>177</v>
      </c>
      <c r="E185" s="12">
        <v>33.25</v>
      </c>
      <c r="F185" s="12">
        <v>33.25</v>
      </c>
      <c r="G185" s="6">
        <f t="shared" si="55"/>
        <v>0</v>
      </c>
      <c r="H185" s="7">
        <f t="shared" si="56"/>
        <v>0</v>
      </c>
      <c r="I185" s="8">
        <v>49.869393819571762</v>
      </c>
      <c r="J185" s="12">
        <v>23</v>
      </c>
      <c r="K185" s="3">
        <f t="shared" si="58"/>
        <v>-26.869393819571762</v>
      </c>
      <c r="L185" s="7">
        <f t="shared" si="59"/>
        <v>-0.53879527625271817</v>
      </c>
      <c r="M185" t="s">
        <v>121</v>
      </c>
      <c r="O185" s="3">
        <f>E185-'315805 - P0824'!F185</f>
        <v>0</v>
      </c>
      <c r="P185" s="30">
        <f>I185-'315805 - P0824'!J185</f>
        <v>0</v>
      </c>
    </row>
    <row r="186" spans="1:16" x14ac:dyDescent="0.25">
      <c r="A186">
        <v>184</v>
      </c>
      <c r="C186" t="s">
        <v>8</v>
      </c>
      <c r="D186" s="4" t="s">
        <v>178</v>
      </c>
      <c r="E186" s="12">
        <v>44.04</v>
      </c>
      <c r="F186" s="12">
        <v>44.04</v>
      </c>
      <c r="G186" s="6">
        <f t="shared" si="55"/>
        <v>0</v>
      </c>
      <c r="H186" s="7">
        <f t="shared" si="56"/>
        <v>0</v>
      </c>
      <c r="I186" s="8">
        <v>61.644476622337386</v>
      </c>
      <c r="J186" s="12">
        <v>28</v>
      </c>
      <c r="K186" s="3">
        <f t="shared" si="58"/>
        <v>-33.644476622337386</v>
      </c>
      <c r="L186" s="7">
        <f t="shared" si="59"/>
        <v>-0.54578250097667358</v>
      </c>
      <c r="M186" t="s">
        <v>121</v>
      </c>
      <c r="O186" s="3">
        <f>E186-'315805 - P0824'!F186</f>
        <v>0</v>
      </c>
      <c r="P186" s="30">
        <f>I186-'315805 - P0824'!J186</f>
        <v>0</v>
      </c>
    </row>
    <row r="187" spans="1:16" x14ac:dyDescent="0.25">
      <c r="A187">
        <v>185</v>
      </c>
      <c r="C187" t="s">
        <v>8</v>
      </c>
      <c r="D187" s="4" t="s">
        <v>179</v>
      </c>
      <c r="E187" s="12">
        <v>144.85</v>
      </c>
      <c r="F187" s="12">
        <v>144.85</v>
      </c>
      <c r="G187" s="6">
        <f t="shared" si="55"/>
        <v>0</v>
      </c>
      <c r="H187" s="7">
        <f t="shared" si="56"/>
        <v>0</v>
      </c>
      <c r="I187" s="8">
        <v>241.42</v>
      </c>
      <c r="J187" s="12">
        <f t="shared" si="57"/>
        <v>241.42</v>
      </c>
      <c r="K187" s="3">
        <f t="shared" si="58"/>
        <v>0</v>
      </c>
      <c r="L187" s="7">
        <f t="shared" si="59"/>
        <v>0</v>
      </c>
      <c r="M187" t="s">
        <v>121</v>
      </c>
      <c r="O187" s="3">
        <f>E187-'315805 - P0824'!F187</f>
        <v>0</v>
      </c>
      <c r="P187" s="30">
        <f>I187-'315805 - P0824'!J187</f>
        <v>0</v>
      </c>
    </row>
    <row r="188" spans="1:16" x14ac:dyDescent="0.25">
      <c r="A188">
        <v>186</v>
      </c>
      <c r="C188" t="s">
        <v>8</v>
      </c>
      <c r="D188" s="4" t="s">
        <v>180</v>
      </c>
      <c r="E188" s="11">
        <v>21.42</v>
      </c>
      <c r="F188" s="11">
        <v>21.42</v>
      </c>
      <c r="G188" s="6">
        <f t="shared" si="55"/>
        <v>0</v>
      </c>
      <c r="H188" s="7">
        <f t="shared" si="56"/>
        <v>0</v>
      </c>
      <c r="I188" s="8">
        <v>36.651079812206568</v>
      </c>
      <c r="J188" s="12">
        <v>23</v>
      </c>
      <c r="K188" s="3">
        <f t="shared" si="58"/>
        <v>-13.651079812206568</v>
      </c>
      <c r="L188" s="7">
        <f t="shared" si="59"/>
        <v>-0.37246050818017384</v>
      </c>
      <c r="M188" t="s">
        <v>150</v>
      </c>
      <c r="O188" s="3">
        <f>E188-'315805 - P0824'!F188</f>
        <v>0</v>
      </c>
      <c r="P188" s="30">
        <f>I188-'315805 - P0824'!J188</f>
        <v>0</v>
      </c>
    </row>
    <row r="189" spans="1:16" x14ac:dyDescent="0.25">
      <c r="A189">
        <v>187</v>
      </c>
      <c r="C189" t="s">
        <v>8</v>
      </c>
      <c r="D189" s="4" t="s">
        <v>181</v>
      </c>
      <c r="E189" s="11">
        <v>32.67</v>
      </c>
      <c r="F189" s="11">
        <v>32.67</v>
      </c>
      <c r="G189" s="6">
        <f t="shared" si="55"/>
        <v>0</v>
      </c>
      <c r="H189" s="7">
        <f t="shared" si="56"/>
        <v>0</v>
      </c>
      <c r="I189" s="8">
        <v>45.558072000000003</v>
      </c>
      <c r="J189" s="12">
        <v>28</v>
      </c>
      <c r="K189" s="3">
        <f t="shared" si="58"/>
        <v>-17.558072000000003</v>
      </c>
      <c r="L189" s="7">
        <f t="shared" si="59"/>
        <v>-0.38539980357377723</v>
      </c>
      <c r="M189" t="s">
        <v>150</v>
      </c>
      <c r="O189" s="3">
        <f>E189-'315805 - P0824'!F189</f>
        <v>0</v>
      </c>
      <c r="P189" s="30">
        <f>I189-'315805 - P0824'!J189</f>
        <v>0</v>
      </c>
    </row>
    <row r="190" spans="1:16" x14ac:dyDescent="0.25">
      <c r="A190">
        <v>188</v>
      </c>
      <c r="C190" t="s">
        <v>8</v>
      </c>
      <c r="D190" s="4" t="s">
        <v>182</v>
      </c>
      <c r="E190" s="11">
        <v>43</v>
      </c>
      <c r="F190" s="11">
        <v>43</v>
      </c>
      <c r="G190" s="13">
        <f t="shared" si="55"/>
        <v>0</v>
      </c>
      <c r="H190" s="7">
        <f t="shared" si="56"/>
        <v>0</v>
      </c>
      <c r="I190" s="8">
        <v>91.806916426512956</v>
      </c>
      <c r="J190" s="9">
        <f t="shared" si="57"/>
        <v>91.806916426512956</v>
      </c>
      <c r="K190" s="3">
        <f t="shared" si="58"/>
        <v>0</v>
      </c>
      <c r="L190" s="7">
        <f t="shared" si="59"/>
        <v>0</v>
      </c>
      <c r="M190" t="s">
        <v>150</v>
      </c>
      <c r="O190" s="3">
        <f>E190-'315805 - P0824'!F190</f>
        <v>0</v>
      </c>
      <c r="P190" s="30">
        <f>I190-'315805 - P0824'!J190</f>
        <v>0</v>
      </c>
    </row>
    <row r="191" spans="1:16" x14ac:dyDescent="0.25">
      <c r="A191">
        <v>189</v>
      </c>
      <c r="C191" t="s">
        <v>8</v>
      </c>
      <c r="D191" s="4" t="s">
        <v>183</v>
      </c>
      <c r="E191" s="11">
        <v>4.24</v>
      </c>
      <c r="F191" s="11">
        <v>4.24</v>
      </c>
      <c r="G191" s="6">
        <f t="shared" si="55"/>
        <v>0</v>
      </c>
      <c r="H191" s="7">
        <f t="shared" si="56"/>
        <v>0</v>
      </c>
      <c r="I191" s="8">
        <v>7.5095819935691317</v>
      </c>
      <c r="J191" s="12">
        <v>7.29</v>
      </c>
      <c r="K191" s="3">
        <f t="shared" si="58"/>
        <v>-0.21958199356913166</v>
      </c>
      <c r="L191" s="7">
        <f t="shared" si="59"/>
        <v>-2.9240241834654953E-2</v>
      </c>
      <c r="M191" t="s">
        <v>150</v>
      </c>
      <c r="O191" s="3">
        <f>E191-'315805 - P0824'!F191</f>
        <v>0</v>
      </c>
      <c r="P191" s="30">
        <f>I191-'315805 - P0824'!J191</f>
        <v>0</v>
      </c>
    </row>
    <row r="192" spans="1:16" x14ac:dyDescent="0.25">
      <c r="A192">
        <v>190</v>
      </c>
      <c r="D192" s="34" t="s">
        <v>184</v>
      </c>
      <c r="H192" s="10">
        <f>AVERAGE(H167:H191)</f>
        <v>2.0602818632786738E-2</v>
      </c>
      <c r="I192"/>
    </row>
    <row r="193" spans="1:16" x14ac:dyDescent="0.25">
      <c r="A193">
        <v>191</v>
      </c>
      <c r="D193" s="34" t="s">
        <v>185</v>
      </c>
      <c r="I193"/>
    </row>
    <row r="194" spans="1:16" x14ac:dyDescent="0.25">
      <c r="A194">
        <v>192</v>
      </c>
      <c r="C194" t="s">
        <v>8</v>
      </c>
      <c r="D194" s="4" t="s">
        <v>186</v>
      </c>
      <c r="E194" s="12">
        <v>1.79</v>
      </c>
      <c r="F194" s="12">
        <v>1.79</v>
      </c>
      <c r="G194" s="6">
        <f t="shared" ref="G194:G241" si="60">+F194-E194</f>
        <v>0</v>
      </c>
      <c r="H194" s="7">
        <f t="shared" ref="H194:H241" si="61">(F194-E194)/ABS(E194)</f>
        <v>0</v>
      </c>
      <c r="I194" s="8">
        <v>2.3437962240000001</v>
      </c>
      <c r="J194" s="9">
        <f t="shared" ref="J194:J241" si="62">(I194*H194)+I194</f>
        <v>2.3437962240000001</v>
      </c>
      <c r="K194" s="3">
        <f t="shared" ref="K194:K241" si="63">J194-I194</f>
        <v>0</v>
      </c>
      <c r="L194" s="7">
        <f t="shared" ref="L194:L241" si="64">(J194-I194)/ABS(I194)</f>
        <v>0</v>
      </c>
      <c r="M194" t="s">
        <v>187</v>
      </c>
      <c r="O194" s="3">
        <f>E194-'315805 - P0824'!F194</f>
        <v>0</v>
      </c>
      <c r="P194" s="30">
        <f>I194-'315805 - P0824'!J194</f>
        <v>0</v>
      </c>
    </row>
    <row r="195" spans="1:16" x14ac:dyDescent="0.25">
      <c r="A195">
        <v>193</v>
      </c>
      <c r="C195" t="s">
        <v>8</v>
      </c>
      <c r="D195" s="4" t="s">
        <v>188</v>
      </c>
      <c r="E195" s="12">
        <v>0.46</v>
      </c>
      <c r="F195" s="12">
        <v>0.46</v>
      </c>
      <c r="G195" s="6">
        <f t="shared" si="60"/>
        <v>0</v>
      </c>
      <c r="H195" s="7">
        <f t="shared" si="61"/>
        <v>0</v>
      </c>
      <c r="I195" s="8">
        <v>0.70471188480000002</v>
      </c>
      <c r="J195" s="9">
        <f t="shared" si="62"/>
        <v>0.70471188480000002</v>
      </c>
      <c r="K195" s="3">
        <f t="shared" si="63"/>
        <v>0</v>
      </c>
      <c r="L195" s="7">
        <f t="shared" si="64"/>
        <v>0</v>
      </c>
      <c r="M195" t="s">
        <v>187</v>
      </c>
      <c r="O195" s="3">
        <f>E195-'315805 - P0824'!F195</f>
        <v>0</v>
      </c>
      <c r="P195" s="30">
        <f>I195-'315805 - P0824'!J195</f>
        <v>0</v>
      </c>
    </row>
    <row r="196" spans="1:16" x14ac:dyDescent="0.25">
      <c r="A196">
        <v>194</v>
      </c>
      <c r="C196" t="s">
        <v>8</v>
      </c>
      <c r="D196" s="4" t="s">
        <v>462</v>
      </c>
      <c r="E196" s="12">
        <v>0.6</v>
      </c>
      <c r="F196" s="12">
        <v>0.6</v>
      </c>
      <c r="G196" s="6">
        <f t="shared" si="60"/>
        <v>0</v>
      </c>
      <c r="H196" s="7">
        <f t="shared" si="61"/>
        <v>0</v>
      </c>
      <c r="I196" s="8">
        <v>1.04</v>
      </c>
      <c r="J196" s="9">
        <f t="shared" si="62"/>
        <v>1.04</v>
      </c>
      <c r="K196" s="3">
        <f t="shared" si="63"/>
        <v>0</v>
      </c>
      <c r="L196" s="7">
        <f t="shared" si="64"/>
        <v>0</v>
      </c>
      <c r="M196" t="s">
        <v>187</v>
      </c>
      <c r="O196" s="3">
        <f>E196-'315805 - P0824'!F196</f>
        <v>0</v>
      </c>
      <c r="P196" s="30">
        <f>I196-'315805 - P0824'!J196</f>
        <v>0</v>
      </c>
    </row>
    <row r="197" spans="1:16" x14ac:dyDescent="0.25">
      <c r="A197">
        <v>195</v>
      </c>
      <c r="C197" t="s">
        <v>8</v>
      </c>
      <c r="D197" s="4" t="s">
        <v>189</v>
      </c>
      <c r="E197" s="12">
        <v>17.88</v>
      </c>
      <c r="F197" s="12">
        <v>17.88</v>
      </c>
      <c r="G197" s="6">
        <f t="shared" si="60"/>
        <v>0</v>
      </c>
      <c r="H197" s="7">
        <f t="shared" si="61"/>
        <v>0</v>
      </c>
      <c r="I197" s="8">
        <v>35.219578060799989</v>
      </c>
      <c r="J197" s="9">
        <f t="shared" si="62"/>
        <v>35.219578060799989</v>
      </c>
      <c r="K197" s="3">
        <f t="shared" si="63"/>
        <v>0</v>
      </c>
      <c r="L197" s="7">
        <f t="shared" si="64"/>
        <v>0</v>
      </c>
      <c r="M197" t="s">
        <v>187</v>
      </c>
      <c r="O197" s="3">
        <f>E197-'315805 - P0824'!F197</f>
        <v>0</v>
      </c>
      <c r="P197" s="30">
        <f>I197-'315805 - P0824'!J197</f>
        <v>0</v>
      </c>
    </row>
    <row r="198" spans="1:16" x14ac:dyDescent="0.25">
      <c r="A198">
        <v>196</v>
      </c>
      <c r="C198" t="s">
        <v>8</v>
      </c>
      <c r="D198" s="4" t="s">
        <v>190</v>
      </c>
      <c r="E198" s="12">
        <v>36.299999999999997</v>
      </c>
      <c r="F198" s="12">
        <v>36.299999999999997</v>
      </c>
      <c r="G198" s="6">
        <f t="shared" si="60"/>
        <v>0</v>
      </c>
      <c r="H198" s="7">
        <f t="shared" si="61"/>
        <v>0</v>
      </c>
      <c r="I198" s="8">
        <v>82.49</v>
      </c>
      <c r="J198" s="9">
        <f t="shared" si="62"/>
        <v>82.49</v>
      </c>
      <c r="K198" s="3">
        <f t="shared" si="63"/>
        <v>0</v>
      </c>
      <c r="L198" s="7">
        <f t="shared" si="64"/>
        <v>0</v>
      </c>
      <c r="M198" t="s">
        <v>187</v>
      </c>
      <c r="O198" s="3">
        <f>E198-'315805 - P0824'!F198</f>
        <v>0</v>
      </c>
      <c r="P198" s="30">
        <f>I198-'315805 - P0824'!J198</f>
        <v>0</v>
      </c>
    </row>
    <row r="199" spans="1:16" x14ac:dyDescent="0.25">
      <c r="A199">
        <v>197</v>
      </c>
      <c r="C199" t="s">
        <v>8</v>
      </c>
      <c r="D199" s="4" t="s">
        <v>487</v>
      </c>
      <c r="E199" s="12">
        <v>5.18</v>
      </c>
      <c r="F199" s="12">
        <v>5.18</v>
      </c>
      <c r="G199" s="6">
        <f t="shared" si="60"/>
        <v>0</v>
      </c>
      <c r="H199" s="7">
        <f t="shared" si="61"/>
        <v>0</v>
      </c>
      <c r="I199" s="8">
        <v>7.13</v>
      </c>
      <c r="J199" s="9">
        <f t="shared" si="62"/>
        <v>7.13</v>
      </c>
      <c r="K199" s="3">
        <f t="shared" si="63"/>
        <v>0</v>
      </c>
      <c r="L199" s="7">
        <f t="shared" si="64"/>
        <v>0</v>
      </c>
      <c r="M199" t="s">
        <v>187</v>
      </c>
      <c r="O199" s="3">
        <f>E199-'315805 - P0824'!F199</f>
        <v>0</v>
      </c>
      <c r="P199" s="30">
        <f>I199-'315805 - P0824'!J199</f>
        <v>0</v>
      </c>
    </row>
    <row r="200" spans="1:16" x14ac:dyDescent="0.25">
      <c r="A200">
        <v>198</v>
      </c>
      <c r="C200" t="s">
        <v>8</v>
      </c>
      <c r="D200" s="4" t="s">
        <v>191</v>
      </c>
      <c r="E200" s="12">
        <v>8.2200000000000006</v>
      </c>
      <c r="F200" s="12">
        <v>8.2200000000000006</v>
      </c>
      <c r="G200" s="6">
        <f t="shared" si="60"/>
        <v>0</v>
      </c>
      <c r="H200" s="7">
        <f t="shared" si="61"/>
        <v>0</v>
      </c>
      <c r="I200" s="8">
        <v>18.68</v>
      </c>
      <c r="J200" s="9">
        <f t="shared" si="62"/>
        <v>18.68</v>
      </c>
      <c r="K200" s="3">
        <f t="shared" si="63"/>
        <v>0</v>
      </c>
      <c r="L200" s="7">
        <f t="shared" si="64"/>
        <v>0</v>
      </c>
      <c r="M200" t="s">
        <v>187</v>
      </c>
      <c r="O200" s="3">
        <f>E200-'315805 - P0824'!F200</f>
        <v>0</v>
      </c>
      <c r="P200" s="30">
        <f>I200-'315805 - P0824'!J200</f>
        <v>0</v>
      </c>
    </row>
    <row r="201" spans="1:16" x14ac:dyDescent="0.25">
      <c r="A201">
        <v>199</v>
      </c>
      <c r="C201" t="s">
        <v>8</v>
      </c>
      <c r="D201" s="4" t="s">
        <v>192</v>
      </c>
      <c r="E201" s="12">
        <v>137.77000000000001</v>
      </c>
      <c r="F201" s="12">
        <v>137.77000000000001</v>
      </c>
      <c r="G201" s="6">
        <f t="shared" si="60"/>
        <v>0</v>
      </c>
      <c r="H201" s="7">
        <f t="shared" si="61"/>
        <v>0</v>
      </c>
      <c r="I201" s="8">
        <v>207.19</v>
      </c>
      <c r="J201" s="9">
        <f t="shared" si="62"/>
        <v>207.19</v>
      </c>
      <c r="K201" s="3">
        <f t="shared" si="63"/>
        <v>0</v>
      </c>
      <c r="L201" s="7">
        <f t="shared" si="64"/>
        <v>0</v>
      </c>
      <c r="M201" t="s">
        <v>187</v>
      </c>
      <c r="O201" s="3">
        <f>E201-'315805 - P0824'!F201</f>
        <v>0</v>
      </c>
      <c r="P201" s="30">
        <f>I201-'315805 - P0824'!J201</f>
        <v>0</v>
      </c>
    </row>
    <row r="202" spans="1:16" x14ac:dyDescent="0.25">
      <c r="A202">
        <v>200</v>
      </c>
      <c r="C202" t="s">
        <v>8</v>
      </c>
      <c r="D202" s="4" t="s">
        <v>193</v>
      </c>
      <c r="E202" s="12">
        <v>123.36</v>
      </c>
      <c r="F202" s="12">
        <v>123.36</v>
      </c>
      <c r="G202" s="6">
        <f t="shared" si="60"/>
        <v>0</v>
      </c>
      <c r="H202" s="7">
        <f t="shared" si="61"/>
        <v>0</v>
      </c>
      <c r="I202" s="8">
        <v>168.12183306239999</v>
      </c>
      <c r="J202" s="9">
        <f t="shared" si="62"/>
        <v>168.12183306239999</v>
      </c>
      <c r="K202" s="3">
        <f t="shared" si="63"/>
        <v>0</v>
      </c>
      <c r="L202" s="7">
        <f t="shared" si="64"/>
        <v>0</v>
      </c>
      <c r="M202" t="s">
        <v>187</v>
      </c>
      <c r="O202" s="3">
        <f>E202-'315805 - P0824'!F202</f>
        <v>0</v>
      </c>
      <c r="P202" s="30">
        <f>I202-'315805 - P0824'!J202</f>
        <v>0</v>
      </c>
    </row>
    <row r="203" spans="1:16" x14ac:dyDescent="0.25">
      <c r="A203">
        <v>201</v>
      </c>
      <c r="C203" t="s">
        <v>8</v>
      </c>
      <c r="D203" s="4" t="s">
        <v>194</v>
      </c>
      <c r="E203" s="12">
        <v>36.909999999999997</v>
      </c>
      <c r="F203" s="12">
        <v>36.909999999999997</v>
      </c>
      <c r="G203" s="6">
        <f t="shared" si="60"/>
        <v>0</v>
      </c>
      <c r="H203" s="7">
        <f t="shared" si="61"/>
        <v>0</v>
      </c>
      <c r="I203" s="8">
        <v>77.662452940799994</v>
      </c>
      <c r="J203" s="9">
        <f t="shared" si="62"/>
        <v>77.662452940799994</v>
      </c>
      <c r="K203" s="3">
        <f t="shared" si="63"/>
        <v>0</v>
      </c>
      <c r="L203" s="7">
        <f t="shared" si="64"/>
        <v>0</v>
      </c>
      <c r="M203" t="s">
        <v>187</v>
      </c>
      <c r="O203" s="3">
        <f>E203-'315805 - P0824'!F203</f>
        <v>0</v>
      </c>
      <c r="P203" s="30">
        <f>I203-'315805 - P0824'!J203</f>
        <v>0</v>
      </c>
    </row>
    <row r="204" spans="1:16" x14ac:dyDescent="0.25">
      <c r="A204">
        <v>202</v>
      </c>
      <c r="C204" t="s">
        <v>8</v>
      </c>
      <c r="D204" s="4" t="s">
        <v>195</v>
      </c>
      <c r="E204" s="12">
        <v>25.49</v>
      </c>
      <c r="F204" s="12">
        <v>25.49</v>
      </c>
      <c r="G204" s="6">
        <f>+F204-E204</f>
        <v>0</v>
      </c>
      <c r="H204" s="7">
        <f>(F204-E204)/ABS(E204)</f>
        <v>0</v>
      </c>
      <c r="I204" s="8">
        <v>39.21</v>
      </c>
      <c r="J204" s="9">
        <f>(I204*H204)+I204</f>
        <v>39.21</v>
      </c>
      <c r="K204" s="3">
        <f>J204-I204</f>
        <v>0</v>
      </c>
      <c r="L204" s="7">
        <f>(J204-I204)/ABS(I204)</f>
        <v>0</v>
      </c>
      <c r="M204" t="s">
        <v>187</v>
      </c>
      <c r="O204" s="3">
        <f>E204-'315805 - P0824'!F204</f>
        <v>0</v>
      </c>
      <c r="P204" s="30">
        <f>I204-'315805 - P0824'!J204</f>
        <v>0</v>
      </c>
    </row>
    <row r="205" spans="1:16" x14ac:dyDescent="0.25">
      <c r="A205">
        <v>203</v>
      </c>
      <c r="C205" t="s">
        <v>8</v>
      </c>
      <c r="D205" s="4" t="s">
        <v>196</v>
      </c>
      <c r="E205" s="12">
        <v>5.72</v>
      </c>
      <c r="F205" s="12">
        <v>5.72</v>
      </c>
      <c r="G205" s="6">
        <f t="shared" si="60"/>
        <v>0</v>
      </c>
      <c r="H205" s="7">
        <f t="shared" si="61"/>
        <v>0</v>
      </c>
      <c r="I205" s="8">
        <v>8.6487367680000027</v>
      </c>
      <c r="J205" s="9">
        <f t="shared" si="62"/>
        <v>8.6487367680000027</v>
      </c>
      <c r="K205" s="3">
        <f t="shared" si="63"/>
        <v>0</v>
      </c>
      <c r="L205" s="7">
        <f t="shared" si="64"/>
        <v>0</v>
      </c>
      <c r="M205" t="s">
        <v>187</v>
      </c>
      <c r="O205" s="3">
        <f>E205-'315805 - P0824'!F205</f>
        <v>0</v>
      </c>
      <c r="P205" s="30">
        <f>I205-'315805 - P0824'!J205</f>
        <v>0</v>
      </c>
    </row>
    <row r="206" spans="1:16" x14ac:dyDescent="0.25">
      <c r="A206">
        <v>204</v>
      </c>
      <c r="C206" t="s">
        <v>8</v>
      </c>
      <c r="D206" s="4" t="s">
        <v>197</v>
      </c>
      <c r="E206" s="12">
        <v>21.44</v>
      </c>
      <c r="F206" s="12">
        <v>21.44</v>
      </c>
      <c r="G206" s="6">
        <f t="shared" si="60"/>
        <v>0</v>
      </c>
      <c r="H206" s="7">
        <f t="shared" si="61"/>
        <v>0</v>
      </c>
      <c r="I206" s="8">
        <v>57.90134784</v>
      </c>
      <c r="J206" s="9">
        <f t="shared" si="62"/>
        <v>57.90134784</v>
      </c>
      <c r="K206" s="3">
        <f t="shared" si="63"/>
        <v>0</v>
      </c>
      <c r="L206" s="7">
        <f t="shared" si="64"/>
        <v>0</v>
      </c>
      <c r="M206" t="s">
        <v>187</v>
      </c>
      <c r="O206" s="3">
        <f>E206-'315805 - P0824'!F206</f>
        <v>0</v>
      </c>
      <c r="P206" s="30">
        <f>I206-'315805 - P0824'!J206</f>
        <v>0</v>
      </c>
    </row>
    <row r="207" spans="1:16" x14ac:dyDescent="0.25">
      <c r="A207">
        <v>205</v>
      </c>
      <c r="C207" t="s">
        <v>8</v>
      </c>
      <c r="D207" s="4" t="s">
        <v>198</v>
      </c>
      <c r="E207" s="12">
        <v>8.5399999999999991</v>
      </c>
      <c r="F207" s="12">
        <v>8.5399999999999991</v>
      </c>
      <c r="G207" s="6">
        <f t="shared" si="60"/>
        <v>0</v>
      </c>
      <c r="H207" s="7">
        <f t="shared" si="61"/>
        <v>0</v>
      </c>
      <c r="I207" s="8">
        <v>17.61</v>
      </c>
      <c r="J207" s="9">
        <f t="shared" si="62"/>
        <v>17.61</v>
      </c>
      <c r="K207" s="3">
        <f t="shared" si="63"/>
        <v>0</v>
      </c>
      <c r="L207" s="7">
        <f t="shared" si="64"/>
        <v>0</v>
      </c>
      <c r="M207" t="s">
        <v>187</v>
      </c>
      <c r="O207" s="3">
        <f>E207-'315805 - P0824'!F207</f>
        <v>0</v>
      </c>
      <c r="P207" s="30">
        <f>I207-'315805 - P0824'!J207</f>
        <v>0</v>
      </c>
    </row>
    <row r="208" spans="1:16" x14ac:dyDescent="0.25">
      <c r="A208">
        <v>206</v>
      </c>
      <c r="C208" t="s">
        <v>8</v>
      </c>
      <c r="D208" s="4" t="s">
        <v>199</v>
      </c>
      <c r="E208" s="12">
        <v>2.2400000000000002</v>
      </c>
      <c r="F208" s="12">
        <v>2.2400000000000002</v>
      </c>
      <c r="G208" s="6">
        <f t="shared" si="60"/>
        <v>0</v>
      </c>
      <c r="H208" s="7">
        <f t="shared" si="61"/>
        <v>0</v>
      </c>
      <c r="I208" s="8">
        <v>3.2169142539130431</v>
      </c>
      <c r="J208" s="9">
        <f t="shared" si="62"/>
        <v>3.2169142539130431</v>
      </c>
      <c r="K208" s="3">
        <f t="shared" si="63"/>
        <v>0</v>
      </c>
      <c r="L208" s="7">
        <f t="shared" si="64"/>
        <v>0</v>
      </c>
      <c r="M208" t="s">
        <v>187</v>
      </c>
      <c r="O208" s="3">
        <f>E208-'315805 - P0824'!F208</f>
        <v>0</v>
      </c>
      <c r="P208" s="30">
        <f>I208-'315805 - P0824'!J208</f>
        <v>0</v>
      </c>
    </row>
    <row r="209" spans="1:16" x14ac:dyDescent="0.25">
      <c r="A209">
        <v>207</v>
      </c>
      <c r="C209" t="s">
        <v>8</v>
      </c>
      <c r="D209" s="4" t="s">
        <v>200</v>
      </c>
      <c r="E209" s="12">
        <v>12.54</v>
      </c>
      <c r="F209" s="12">
        <v>12.54</v>
      </c>
      <c r="G209" s="6">
        <f t="shared" si="60"/>
        <v>0</v>
      </c>
      <c r="H209" s="7">
        <f t="shared" si="61"/>
        <v>0</v>
      </c>
      <c r="I209" s="8">
        <v>18.163175635862068</v>
      </c>
      <c r="J209" s="9">
        <f t="shared" si="62"/>
        <v>18.163175635862068</v>
      </c>
      <c r="K209" s="3">
        <f t="shared" si="63"/>
        <v>0</v>
      </c>
      <c r="L209" s="7">
        <f t="shared" si="64"/>
        <v>0</v>
      </c>
      <c r="M209" t="s">
        <v>187</v>
      </c>
      <c r="O209" s="3">
        <f>E209-'315805 - P0824'!F209</f>
        <v>0</v>
      </c>
      <c r="P209" s="30">
        <f>I209-'315805 - P0824'!J209</f>
        <v>0</v>
      </c>
    </row>
    <row r="210" spans="1:16" x14ac:dyDescent="0.25">
      <c r="A210">
        <v>208</v>
      </c>
      <c r="C210" t="s">
        <v>8</v>
      </c>
      <c r="D210" s="4" t="s">
        <v>201</v>
      </c>
      <c r="E210" s="12">
        <v>13.2</v>
      </c>
      <c r="F210" s="12">
        <v>13.2</v>
      </c>
      <c r="G210" s="6">
        <f t="shared" si="60"/>
        <v>0</v>
      </c>
      <c r="H210" s="7">
        <f t="shared" si="61"/>
        <v>0</v>
      </c>
      <c r="I210" s="8">
        <v>33.770000000000003</v>
      </c>
      <c r="J210" s="9">
        <f t="shared" si="62"/>
        <v>33.770000000000003</v>
      </c>
      <c r="K210" s="3">
        <f t="shared" si="63"/>
        <v>0</v>
      </c>
      <c r="L210" s="7">
        <f t="shared" si="64"/>
        <v>0</v>
      </c>
      <c r="M210" t="s">
        <v>187</v>
      </c>
      <c r="O210" s="3">
        <f>E210-'315805 - P0824'!F210</f>
        <v>0</v>
      </c>
      <c r="P210" s="30">
        <f>I210-'315805 - P0824'!J210</f>
        <v>0</v>
      </c>
    </row>
    <row r="211" spans="1:16" x14ac:dyDescent="0.25">
      <c r="A211">
        <v>209</v>
      </c>
      <c r="C211" t="s">
        <v>8</v>
      </c>
      <c r="D211" s="4" t="s">
        <v>202</v>
      </c>
      <c r="E211" s="12">
        <v>20.100000000000001</v>
      </c>
      <c r="F211" s="12">
        <v>20.100000000000001</v>
      </c>
      <c r="G211" s="6">
        <f t="shared" si="60"/>
        <v>0</v>
      </c>
      <c r="H211" s="7">
        <f t="shared" si="61"/>
        <v>0</v>
      </c>
      <c r="I211" s="8">
        <v>54.326307840000005</v>
      </c>
      <c r="J211" s="9">
        <f t="shared" si="62"/>
        <v>54.326307840000005</v>
      </c>
      <c r="K211" s="3">
        <f t="shared" si="63"/>
        <v>0</v>
      </c>
      <c r="L211" s="7">
        <f t="shared" si="64"/>
        <v>0</v>
      </c>
      <c r="M211" t="s">
        <v>187</v>
      </c>
      <c r="O211" s="3">
        <f>E211-'315805 - P0824'!F211</f>
        <v>0</v>
      </c>
      <c r="P211" s="30">
        <f>I211-'315805 - P0824'!J211</f>
        <v>0</v>
      </c>
    </row>
    <row r="212" spans="1:16" x14ac:dyDescent="0.25">
      <c r="A212">
        <v>210</v>
      </c>
      <c r="C212" t="s">
        <v>8</v>
      </c>
      <c r="D212" s="4" t="s">
        <v>203</v>
      </c>
      <c r="E212" s="12">
        <v>38.64</v>
      </c>
      <c r="F212" s="12">
        <v>38.64</v>
      </c>
      <c r="G212" s="6">
        <f t="shared" si="60"/>
        <v>0</v>
      </c>
      <c r="H212" s="7">
        <f t="shared" si="61"/>
        <v>0</v>
      </c>
      <c r="I212" s="8">
        <v>85.68</v>
      </c>
      <c r="J212" s="9">
        <f t="shared" si="62"/>
        <v>85.68</v>
      </c>
      <c r="K212" s="3">
        <f t="shared" si="63"/>
        <v>0</v>
      </c>
      <c r="L212" s="7">
        <f t="shared" si="64"/>
        <v>0</v>
      </c>
      <c r="M212" t="s">
        <v>187</v>
      </c>
      <c r="O212" s="3">
        <f>E212-'315805 - P0824'!F212</f>
        <v>0</v>
      </c>
      <c r="P212" s="30">
        <f>I212-'315805 - P0824'!J212</f>
        <v>0</v>
      </c>
    </row>
    <row r="213" spans="1:16" x14ac:dyDescent="0.25">
      <c r="A213">
        <v>211</v>
      </c>
      <c r="C213" t="s">
        <v>8</v>
      </c>
      <c r="D213" s="4" t="s">
        <v>204</v>
      </c>
      <c r="E213" s="12">
        <v>17.16</v>
      </c>
      <c r="F213" s="12">
        <v>17.16</v>
      </c>
      <c r="G213" s="6">
        <f t="shared" si="60"/>
        <v>0</v>
      </c>
      <c r="H213" s="7">
        <f t="shared" si="61"/>
        <v>0</v>
      </c>
      <c r="I213" s="8">
        <v>26.391854075214955</v>
      </c>
      <c r="J213" s="9">
        <f t="shared" si="62"/>
        <v>26.391854075214955</v>
      </c>
      <c r="K213" s="3">
        <f t="shared" si="63"/>
        <v>0</v>
      </c>
      <c r="L213" s="7">
        <f t="shared" si="64"/>
        <v>0</v>
      </c>
      <c r="M213" t="s">
        <v>187</v>
      </c>
      <c r="O213" s="3">
        <f>E213-'315805 - P0824'!F213</f>
        <v>0</v>
      </c>
      <c r="P213" s="30">
        <f>I213-'315805 - P0824'!J213</f>
        <v>0</v>
      </c>
    </row>
    <row r="214" spans="1:16" x14ac:dyDescent="0.25">
      <c r="A214">
        <v>212</v>
      </c>
      <c r="C214" t="s">
        <v>8</v>
      </c>
      <c r="D214" s="4" t="s">
        <v>205</v>
      </c>
      <c r="E214" s="12">
        <v>30.07</v>
      </c>
      <c r="F214" s="12">
        <v>30.07</v>
      </c>
      <c r="G214" s="6">
        <f t="shared" si="60"/>
        <v>0</v>
      </c>
      <c r="H214" s="7">
        <f t="shared" si="61"/>
        <v>0</v>
      </c>
      <c r="I214" s="8">
        <v>35.416393485128204</v>
      </c>
      <c r="J214" s="9">
        <f t="shared" si="62"/>
        <v>35.416393485128204</v>
      </c>
      <c r="K214" s="3">
        <f t="shared" si="63"/>
        <v>0</v>
      </c>
      <c r="L214" s="7">
        <f t="shared" si="64"/>
        <v>0</v>
      </c>
      <c r="M214" t="s">
        <v>187</v>
      </c>
      <c r="O214" s="3">
        <f>E214-'315805 - P0824'!F214</f>
        <v>0</v>
      </c>
      <c r="P214" s="30">
        <f>I214-'315805 - P0824'!J214</f>
        <v>0</v>
      </c>
    </row>
    <row r="215" spans="1:16" x14ac:dyDescent="0.25">
      <c r="A215">
        <v>213</v>
      </c>
      <c r="C215" t="s">
        <v>8</v>
      </c>
      <c r="D215" s="4" t="s">
        <v>206</v>
      </c>
      <c r="E215" s="12">
        <v>30.42</v>
      </c>
      <c r="F215" s="12">
        <v>30.42</v>
      </c>
      <c r="G215" s="6">
        <f t="shared" si="60"/>
        <v>0</v>
      </c>
      <c r="H215" s="7">
        <f t="shared" si="61"/>
        <v>0</v>
      </c>
      <c r="I215" s="8">
        <v>42.49</v>
      </c>
      <c r="J215" s="9">
        <f t="shared" si="62"/>
        <v>42.49</v>
      </c>
      <c r="K215" s="3">
        <f t="shared" si="63"/>
        <v>0</v>
      </c>
      <c r="L215" s="7">
        <f t="shared" si="64"/>
        <v>0</v>
      </c>
      <c r="M215" t="s">
        <v>187</v>
      </c>
      <c r="O215" s="3">
        <f>E215-'315805 - P0824'!F215</f>
        <v>0</v>
      </c>
      <c r="P215" s="30">
        <f>I215-'315805 - P0824'!J215</f>
        <v>0</v>
      </c>
    </row>
    <row r="216" spans="1:16" x14ac:dyDescent="0.25">
      <c r="A216">
        <v>214</v>
      </c>
      <c r="C216" t="s">
        <v>8</v>
      </c>
      <c r="D216" s="4" t="s">
        <v>207</v>
      </c>
      <c r="E216" s="12">
        <v>2.4</v>
      </c>
      <c r="F216" s="12">
        <v>2.4</v>
      </c>
      <c r="G216" s="6">
        <f t="shared" si="60"/>
        <v>0</v>
      </c>
      <c r="H216" s="7">
        <f t="shared" si="61"/>
        <v>0</v>
      </c>
      <c r="I216" s="8">
        <v>4.84</v>
      </c>
      <c r="J216" s="9">
        <f t="shared" si="62"/>
        <v>4.84</v>
      </c>
      <c r="K216" s="3">
        <f t="shared" si="63"/>
        <v>0</v>
      </c>
      <c r="L216" s="7">
        <f t="shared" si="64"/>
        <v>0</v>
      </c>
      <c r="M216" t="s">
        <v>187</v>
      </c>
      <c r="O216" s="3">
        <f>E216-'315805 - P0824'!F216</f>
        <v>0</v>
      </c>
      <c r="P216" s="30">
        <f>I216-'315805 - P0824'!J216</f>
        <v>0</v>
      </c>
    </row>
    <row r="217" spans="1:16" x14ac:dyDescent="0.25">
      <c r="A217">
        <v>215</v>
      </c>
      <c r="C217" t="s">
        <v>8</v>
      </c>
      <c r="D217" s="4" t="s">
        <v>208</v>
      </c>
      <c r="E217" s="12">
        <v>3.66</v>
      </c>
      <c r="F217" s="12">
        <v>3.66</v>
      </c>
      <c r="G217" s="6">
        <f t="shared" si="60"/>
        <v>0</v>
      </c>
      <c r="H217" s="7">
        <f t="shared" si="61"/>
        <v>0</v>
      </c>
      <c r="I217" s="8">
        <v>5.4831979136563875</v>
      </c>
      <c r="J217" s="9">
        <f t="shared" si="62"/>
        <v>5.4831979136563875</v>
      </c>
      <c r="K217" s="3">
        <f t="shared" si="63"/>
        <v>0</v>
      </c>
      <c r="L217" s="7">
        <f t="shared" si="64"/>
        <v>0</v>
      </c>
      <c r="M217" t="s">
        <v>187</v>
      </c>
      <c r="O217" s="3">
        <f>E217-'315805 - P0824'!F217</f>
        <v>0</v>
      </c>
      <c r="P217" s="30">
        <f>I217-'315805 - P0824'!J217</f>
        <v>0</v>
      </c>
    </row>
    <row r="218" spans="1:16" x14ac:dyDescent="0.25">
      <c r="A218">
        <v>216</v>
      </c>
      <c r="C218" t="s">
        <v>8</v>
      </c>
      <c r="D218" s="4" t="s">
        <v>209</v>
      </c>
      <c r="E218" s="12">
        <v>3.26</v>
      </c>
      <c r="F218" s="12">
        <v>3.26</v>
      </c>
      <c r="G218" s="13">
        <f t="shared" si="60"/>
        <v>0</v>
      </c>
      <c r="H218" s="7">
        <f t="shared" si="61"/>
        <v>0</v>
      </c>
      <c r="I218" s="8">
        <v>5.48</v>
      </c>
      <c r="J218" s="9">
        <f t="shared" si="62"/>
        <v>5.48</v>
      </c>
      <c r="K218" s="3">
        <f t="shared" si="63"/>
        <v>0</v>
      </c>
      <c r="L218" s="7">
        <f t="shared" si="64"/>
        <v>0</v>
      </c>
      <c r="M218" t="s">
        <v>187</v>
      </c>
      <c r="O218" s="3">
        <f>E218-'315805 - P0824'!F218</f>
        <v>0</v>
      </c>
      <c r="P218" s="30">
        <f>I218-'315805 - P0824'!J218</f>
        <v>0</v>
      </c>
    </row>
    <row r="219" spans="1:16" x14ac:dyDescent="0.25">
      <c r="A219">
        <v>217</v>
      </c>
      <c r="C219" t="s">
        <v>8</v>
      </c>
      <c r="D219" s="4" t="s">
        <v>210</v>
      </c>
      <c r="E219" s="12">
        <v>4.46</v>
      </c>
      <c r="F219" s="12">
        <v>4.46</v>
      </c>
      <c r="G219" s="6">
        <f t="shared" si="60"/>
        <v>0</v>
      </c>
      <c r="H219" s="7">
        <f t="shared" si="61"/>
        <v>0</v>
      </c>
      <c r="I219" s="8">
        <v>6.8717173187003597</v>
      </c>
      <c r="J219" s="9">
        <f t="shared" si="62"/>
        <v>6.8717173187003597</v>
      </c>
      <c r="K219" s="3">
        <f t="shared" si="63"/>
        <v>0</v>
      </c>
      <c r="L219" s="7">
        <f t="shared" si="64"/>
        <v>0</v>
      </c>
      <c r="M219" t="s">
        <v>187</v>
      </c>
      <c r="O219" s="3">
        <f>E219-'315805 - P0824'!F219</f>
        <v>0</v>
      </c>
      <c r="P219" s="30">
        <f>I219-'315805 - P0824'!J219</f>
        <v>0</v>
      </c>
    </row>
    <row r="220" spans="1:16" x14ac:dyDescent="0.25">
      <c r="A220">
        <v>218</v>
      </c>
      <c r="C220" t="s">
        <v>8</v>
      </c>
      <c r="D220" s="4" t="s">
        <v>211</v>
      </c>
      <c r="E220" s="12">
        <v>1.78</v>
      </c>
      <c r="F220" s="12">
        <v>1.78</v>
      </c>
      <c r="G220" s="6">
        <f t="shared" si="60"/>
        <v>0</v>
      </c>
      <c r="H220" s="7">
        <f t="shared" si="61"/>
        <v>0</v>
      </c>
      <c r="I220" s="8">
        <v>3.6982813789090896</v>
      </c>
      <c r="J220" s="9">
        <f t="shared" si="62"/>
        <v>3.6982813789090896</v>
      </c>
      <c r="K220" s="3">
        <f t="shared" si="63"/>
        <v>0</v>
      </c>
      <c r="L220" s="7">
        <f t="shared" si="64"/>
        <v>0</v>
      </c>
      <c r="M220" t="s">
        <v>187</v>
      </c>
      <c r="O220" s="3">
        <f>E220-'315805 - P0824'!F220</f>
        <v>0</v>
      </c>
      <c r="P220" s="30">
        <f>I220-'315805 - P0824'!J220</f>
        <v>0</v>
      </c>
    </row>
    <row r="221" spans="1:16" x14ac:dyDescent="0.25">
      <c r="A221">
        <v>219</v>
      </c>
      <c r="C221" t="s">
        <v>8</v>
      </c>
      <c r="D221" s="4" t="s">
        <v>212</v>
      </c>
      <c r="E221" s="12">
        <v>2.66</v>
      </c>
      <c r="F221" s="12">
        <v>2.66</v>
      </c>
      <c r="G221" s="6">
        <f t="shared" si="60"/>
        <v>0</v>
      </c>
      <c r="H221" s="7">
        <f t="shared" si="61"/>
        <v>0</v>
      </c>
      <c r="I221" s="8">
        <v>4.4491697803636372</v>
      </c>
      <c r="J221" s="9">
        <f t="shared" si="62"/>
        <v>4.4491697803636372</v>
      </c>
      <c r="K221" s="3">
        <f t="shared" si="63"/>
        <v>0</v>
      </c>
      <c r="L221" s="7">
        <f t="shared" si="64"/>
        <v>0</v>
      </c>
      <c r="M221" t="s">
        <v>187</v>
      </c>
      <c r="O221" s="3">
        <f>E221-'315805 - P0824'!F221</f>
        <v>0</v>
      </c>
      <c r="P221" s="30">
        <f>I221-'315805 - P0824'!J221</f>
        <v>0</v>
      </c>
    </row>
    <row r="222" spans="1:16" x14ac:dyDescent="0.25">
      <c r="A222">
        <v>220</v>
      </c>
      <c r="C222" t="s">
        <v>8</v>
      </c>
      <c r="D222" s="4" t="s">
        <v>213</v>
      </c>
      <c r="E222" s="12">
        <v>2.85</v>
      </c>
      <c r="F222" s="12">
        <v>2.85</v>
      </c>
      <c r="G222" s="6">
        <f t="shared" si="60"/>
        <v>0</v>
      </c>
      <c r="H222" s="7">
        <f t="shared" si="61"/>
        <v>0</v>
      </c>
      <c r="I222" s="8">
        <v>7.25</v>
      </c>
      <c r="J222" s="9">
        <f t="shared" si="62"/>
        <v>7.25</v>
      </c>
      <c r="K222" s="3">
        <f t="shared" si="63"/>
        <v>0</v>
      </c>
      <c r="L222" s="7">
        <f t="shared" si="64"/>
        <v>0</v>
      </c>
      <c r="M222" t="s">
        <v>187</v>
      </c>
      <c r="O222" s="3">
        <f>E222-'315805 - P0824'!F222</f>
        <v>0</v>
      </c>
      <c r="P222" s="30">
        <f>I222-'315805 - P0824'!J222</f>
        <v>0</v>
      </c>
    </row>
    <row r="223" spans="1:16" x14ac:dyDescent="0.25">
      <c r="A223">
        <v>221</v>
      </c>
      <c r="C223" t="s">
        <v>8</v>
      </c>
      <c r="D223" s="4" t="s">
        <v>465</v>
      </c>
      <c r="E223" s="12">
        <v>2.5099999999999998</v>
      </c>
      <c r="F223" s="12">
        <v>2.5099999999999998</v>
      </c>
      <c r="G223" s="6">
        <f t="shared" si="60"/>
        <v>0</v>
      </c>
      <c r="H223" s="7">
        <f t="shared" si="61"/>
        <v>0</v>
      </c>
      <c r="I223" s="8">
        <v>4.32</v>
      </c>
      <c r="J223" s="9">
        <f t="shared" si="62"/>
        <v>4.32</v>
      </c>
      <c r="K223" s="3">
        <f t="shared" si="63"/>
        <v>0</v>
      </c>
      <c r="L223" s="7">
        <f t="shared" si="64"/>
        <v>0</v>
      </c>
      <c r="M223" t="s">
        <v>187</v>
      </c>
      <c r="O223" s="3">
        <f>E223-'315805 - P0824'!F223</f>
        <v>0</v>
      </c>
      <c r="P223" s="30">
        <f>I223-'315805 - P0824'!J223</f>
        <v>0</v>
      </c>
    </row>
    <row r="224" spans="1:16" x14ac:dyDescent="0.25">
      <c r="A224">
        <v>222</v>
      </c>
      <c r="C224" t="s">
        <v>8</v>
      </c>
      <c r="D224" s="4" t="s">
        <v>214</v>
      </c>
      <c r="E224" s="12">
        <v>2.69</v>
      </c>
      <c r="F224" s="12">
        <v>2.69</v>
      </c>
      <c r="G224" s="6">
        <f t="shared" si="60"/>
        <v>0</v>
      </c>
      <c r="H224" s="7">
        <f t="shared" si="61"/>
        <v>0</v>
      </c>
      <c r="I224" s="8">
        <v>4.49</v>
      </c>
      <c r="J224" s="9">
        <f t="shared" si="62"/>
        <v>4.49</v>
      </c>
      <c r="K224" s="3">
        <f t="shared" si="63"/>
        <v>0</v>
      </c>
      <c r="L224" s="7">
        <f t="shared" si="64"/>
        <v>0</v>
      </c>
      <c r="M224" t="s">
        <v>187</v>
      </c>
      <c r="O224" s="3">
        <f>E224-'315805 - P0824'!F224</f>
        <v>0</v>
      </c>
      <c r="P224" s="30">
        <f>I224-'315805 - P0824'!J224</f>
        <v>0</v>
      </c>
    </row>
    <row r="225" spans="1:16" x14ac:dyDescent="0.25">
      <c r="A225">
        <v>223</v>
      </c>
      <c r="C225" t="s">
        <v>8</v>
      </c>
      <c r="D225" s="4" t="s">
        <v>215</v>
      </c>
      <c r="E225" s="12">
        <v>0.45</v>
      </c>
      <c r="F225" s="12">
        <v>0.45</v>
      </c>
      <c r="G225" s="6">
        <f t="shared" si="60"/>
        <v>0</v>
      </c>
      <c r="H225" s="7">
        <f t="shared" si="61"/>
        <v>0</v>
      </c>
      <c r="I225" s="8">
        <v>0.70471188480000002</v>
      </c>
      <c r="J225" s="9">
        <f t="shared" si="62"/>
        <v>0.70471188480000002</v>
      </c>
      <c r="K225" s="3">
        <f t="shared" si="63"/>
        <v>0</v>
      </c>
      <c r="L225" s="7">
        <f t="shared" si="64"/>
        <v>0</v>
      </c>
      <c r="M225" t="s">
        <v>187</v>
      </c>
      <c r="O225" s="3">
        <f>E225-'315805 - P0824'!F225</f>
        <v>0</v>
      </c>
      <c r="P225" s="30">
        <f>I225-'315805 - P0824'!J225</f>
        <v>0</v>
      </c>
    </row>
    <row r="226" spans="1:16" x14ac:dyDescent="0.25">
      <c r="A226">
        <v>224</v>
      </c>
      <c r="C226" t="s">
        <v>8</v>
      </c>
      <c r="D226" s="4" t="s">
        <v>216</v>
      </c>
      <c r="E226" s="12">
        <v>1.1000000000000001</v>
      </c>
      <c r="F226" s="12">
        <v>1.1000000000000001</v>
      </c>
      <c r="G226" s="6">
        <f t="shared" si="60"/>
        <v>0</v>
      </c>
      <c r="H226" s="7">
        <f t="shared" si="61"/>
        <v>0</v>
      </c>
      <c r="I226" s="8">
        <v>1.23</v>
      </c>
      <c r="J226" s="9">
        <f t="shared" si="62"/>
        <v>1.23</v>
      </c>
      <c r="K226" s="3">
        <f t="shared" si="63"/>
        <v>0</v>
      </c>
      <c r="L226" s="7">
        <f t="shared" si="64"/>
        <v>0</v>
      </c>
      <c r="M226" t="s">
        <v>187</v>
      </c>
      <c r="O226" s="3">
        <f>E226-'315805 - P0824'!F226</f>
        <v>0</v>
      </c>
      <c r="P226" s="30">
        <f>I226-'315805 - P0824'!J226</f>
        <v>0</v>
      </c>
    </row>
    <row r="227" spans="1:16" x14ac:dyDescent="0.25">
      <c r="A227">
        <v>225</v>
      </c>
      <c r="C227" t="s">
        <v>8</v>
      </c>
      <c r="D227" s="4" t="s">
        <v>217</v>
      </c>
      <c r="E227" s="12">
        <v>1.1000000000000001</v>
      </c>
      <c r="F227" s="12">
        <v>1.1000000000000001</v>
      </c>
      <c r="G227" s="6">
        <f t="shared" si="60"/>
        <v>0</v>
      </c>
      <c r="H227" s="7">
        <f t="shared" si="61"/>
        <v>0</v>
      </c>
      <c r="I227" s="8">
        <v>1.8621752470588233</v>
      </c>
      <c r="J227" s="9">
        <f t="shared" si="62"/>
        <v>1.8621752470588233</v>
      </c>
      <c r="K227" s="3">
        <f t="shared" si="63"/>
        <v>0</v>
      </c>
      <c r="L227" s="7">
        <f t="shared" si="64"/>
        <v>0</v>
      </c>
      <c r="M227" t="s">
        <v>187</v>
      </c>
      <c r="O227" s="3">
        <f>E227-'315805 - P0824'!F227</f>
        <v>0</v>
      </c>
      <c r="P227" s="30">
        <f>I227-'315805 - P0824'!J227</f>
        <v>0</v>
      </c>
    </row>
    <row r="228" spans="1:16" x14ac:dyDescent="0.25">
      <c r="A228">
        <v>226</v>
      </c>
      <c r="C228" t="s">
        <v>8</v>
      </c>
      <c r="D228" s="4" t="s">
        <v>218</v>
      </c>
      <c r="E228" s="12">
        <v>1.28</v>
      </c>
      <c r="F228" s="12">
        <v>1.28</v>
      </c>
      <c r="G228" s="6">
        <f t="shared" si="60"/>
        <v>0</v>
      </c>
      <c r="H228" s="7">
        <f t="shared" si="61"/>
        <v>0</v>
      </c>
      <c r="I228" s="8">
        <v>2.3682151048101265</v>
      </c>
      <c r="J228" s="9">
        <f t="shared" si="62"/>
        <v>2.3682151048101265</v>
      </c>
      <c r="K228" s="3">
        <f t="shared" si="63"/>
        <v>0</v>
      </c>
      <c r="L228" s="7">
        <f t="shared" si="64"/>
        <v>0</v>
      </c>
      <c r="M228" t="s">
        <v>187</v>
      </c>
      <c r="O228" s="3">
        <f>E228-'315805 - P0824'!F228</f>
        <v>0</v>
      </c>
      <c r="P228" s="30">
        <f>I228-'315805 - P0824'!J228</f>
        <v>0</v>
      </c>
    </row>
    <row r="229" spans="1:16" x14ac:dyDescent="0.25">
      <c r="A229">
        <v>227</v>
      </c>
      <c r="C229" t="s">
        <v>8</v>
      </c>
      <c r="D229" s="4" t="s">
        <v>219</v>
      </c>
      <c r="E229" s="12">
        <v>2.64</v>
      </c>
      <c r="F229" s="12">
        <v>2.64</v>
      </c>
      <c r="G229" s="6">
        <f t="shared" si="60"/>
        <v>0</v>
      </c>
      <c r="H229" s="7">
        <f t="shared" si="61"/>
        <v>0</v>
      </c>
      <c r="I229" s="8">
        <v>5.58</v>
      </c>
      <c r="J229" s="9">
        <f t="shared" si="62"/>
        <v>5.58</v>
      </c>
      <c r="K229" s="3">
        <f t="shared" si="63"/>
        <v>0</v>
      </c>
      <c r="L229" s="7">
        <f t="shared" si="64"/>
        <v>0</v>
      </c>
      <c r="M229" t="s">
        <v>187</v>
      </c>
      <c r="O229" s="3">
        <f>E229-'315805 - P0824'!F229</f>
        <v>0</v>
      </c>
      <c r="P229" s="30">
        <f>I229-'315805 - P0824'!J229</f>
        <v>0</v>
      </c>
    </row>
    <row r="230" spans="1:16" x14ac:dyDescent="0.25">
      <c r="A230">
        <v>228</v>
      </c>
      <c r="C230" t="s">
        <v>8</v>
      </c>
      <c r="D230" s="4" t="s">
        <v>220</v>
      </c>
      <c r="E230" s="12">
        <v>0.09</v>
      </c>
      <c r="F230" s="12">
        <v>0.09</v>
      </c>
      <c r="G230" s="6">
        <f t="shared" si="60"/>
        <v>0</v>
      </c>
      <c r="H230" s="7">
        <f t="shared" si="61"/>
        <v>0</v>
      </c>
      <c r="I230" s="8">
        <v>0.19219415040000001</v>
      </c>
      <c r="J230" s="9">
        <f t="shared" si="62"/>
        <v>0.19219415040000001</v>
      </c>
      <c r="K230" s="3">
        <f t="shared" si="63"/>
        <v>0</v>
      </c>
      <c r="L230" s="7">
        <f t="shared" si="64"/>
        <v>0</v>
      </c>
      <c r="M230" t="s">
        <v>187</v>
      </c>
      <c r="O230" s="3">
        <f>E230-'315805 - P0824'!F230</f>
        <v>0</v>
      </c>
      <c r="P230" s="30">
        <f>I230-'315805 - P0824'!J230</f>
        <v>0</v>
      </c>
    </row>
    <row r="231" spans="1:16" x14ac:dyDescent="0.25">
      <c r="A231">
        <v>229</v>
      </c>
      <c r="C231" t="s">
        <v>8</v>
      </c>
      <c r="D231" s="4" t="s">
        <v>221</v>
      </c>
      <c r="E231" s="12">
        <v>1.01</v>
      </c>
      <c r="F231" s="12">
        <v>1.01</v>
      </c>
      <c r="G231" s="6">
        <f t="shared" si="60"/>
        <v>0</v>
      </c>
      <c r="H231" s="7">
        <f t="shared" si="61"/>
        <v>0</v>
      </c>
      <c r="I231" s="8">
        <v>1.6874188799999998</v>
      </c>
      <c r="J231" s="9">
        <f t="shared" si="62"/>
        <v>1.6874188799999998</v>
      </c>
      <c r="K231" s="3">
        <f t="shared" si="63"/>
        <v>0</v>
      </c>
      <c r="L231" s="7">
        <f t="shared" si="64"/>
        <v>0</v>
      </c>
      <c r="M231" t="s">
        <v>187</v>
      </c>
      <c r="O231" s="3">
        <f>E231-'315805 - P0824'!F231</f>
        <v>0</v>
      </c>
      <c r="P231" s="30">
        <f>I231-'315805 - P0824'!J231</f>
        <v>0</v>
      </c>
    </row>
    <row r="232" spans="1:16" x14ac:dyDescent="0.25">
      <c r="A232">
        <v>230</v>
      </c>
      <c r="C232" t="s">
        <v>8</v>
      </c>
      <c r="D232" s="4" t="s">
        <v>222</v>
      </c>
      <c r="E232" s="12">
        <v>0.06</v>
      </c>
      <c r="F232" s="12">
        <v>0.06</v>
      </c>
      <c r="G232" s="6">
        <f t="shared" si="60"/>
        <v>0</v>
      </c>
      <c r="H232" s="7">
        <f t="shared" si="61"/>
        <v>0</v>
      </c>
      <c r="I232" s="8">
        <v>2.29</v>
      </c>
      <c r="J232" s="9">
        <f t="shared" si="62"/>
        <v>2.29</v>
      </c>
      <c r="K232" s="3">
        <f t="shared" si="63"/>
        <v>0</v>
      </c>
      <c r="L232" s="7">
        <f t="shared" si="64"/>
        <v>0</v>
      </c>
      <c r="M232" t="s">
        <v>187</v>
      </c>
      <c r="O232" s="3">
        <f>E232-'315805 - P0824'!F232</f>
        <v>0</v>
      </c>
      <c r="P232" s="30">
        <f>I232-'315805 - P0824'!J232</f>
        <v>0</v>
      </c>
    </row>
    <row r="233" spans="1:16" x14ac:dyDescent="0.25">
      <c r="A233">
        <v>231</v>
      </c>
      <c r="C233" t="s">
        <v>8</v>
      </c>
      <c r="D233" s="4" t="s">
        <v>223</v>
      </c>
      <c r="E233" s="12">
        <v>4.1399999999999997</v>
      </c>
      <c r="F233" s="12">
        <v>4.1399999999999997</v>
      </c>
      <c r="G233" s="6">
        <f t="shared" si="60"/>
        <v>0</v>
      </c>
      <c r="H233" s="7">
        <f t="shared" si="61"/>
        <v>0</v>
      </c>
      <c r="I233" s="8">
        <v>6.49</v>
      </c>
      <c r="J233" s="9">
        <f t="shared" si="62"/>
        <v>6.49</v>
      </c>
      <c r="K233" s="3">
        <f t="shared" si="63"/>
        <v>0</v>
      </c>
      <c r="L233" s="7">
        <f t="shared" si="64"/>
        <v>0</v>
      </c>
      <c r="M233" t="s">
        <v>187</v>
      </c>
      <c r="O233" s="3">
        <f>E233-'315805 - P0824'!F233</f>
        <v>0</v>
      </c>
      <c r="P233" s="30">
        <f>I233-'315805 - P0824'!J233</f>
        <v>0</v>
      </c>
    </row>
    <row r="234" spans="1:16" x14ac:dyDescent="0.25">
      <c r="A234">
        <v>232</v>
      </c>
      <c r="C234" t="s">
        <v>8</v>
      </c>
      <c r="D234" s="4" t="s">
        <v>224</v>
      </c>
      <c r="E234" s="12">
        <v>24.6</v>
      </c>
      <c r="F234" s="12">
        <v>24.6</v>
      </c>
      <c r="G234" s="6">
        <f t="shared" si="60"/>
        <v>0</v>
      </c>
      <c r="H234" s="7">
        <f t="shared" si="61"/>
        <v>0</v>
      </c>
      <c r="I234" s="8">
        <v>37.85520480000001</v>
      </c>
      <c r="J234" s="9">
        <f t="shared" si="62"/>
        <v>37.85520480000001</v>
      </c>
      <c r="K234" s="3">
        <f t="shared" si="63"/>
        <v>0</v>
      </c>
      <c r="L234" s="7">
        <f t="shared" si="64"/>
        <v>0</v>
      </c>
      <c r="M234" t="s">
        <v>187</v>
      </c>
      <c r="O234" s="3">
        <f>E234-'315805 - P0824'!F234</f>
        <v>0</v>
      </c>
      <c r="P234" s="30">
        <f>I234-'315805 - P0824'!J234</f>
        <v>0</v>
      </c>
    </row>
    <row r="235" spans="1:16" x14ac:dyDescent="0.25">
      <c r="A235">
        <v>233</v>
      </c>
      <c r="C235" t="s">
        <v>8</v>
      </c>
      <c r="D235" s="4" t="s">
        <v>225</v>
      </c>
      <c r="E235" s="12">
        <v>8.41</v>
      </c>
      <c r="F235" s="12">
        <v>8.41</v>
      </c>
      <c r="G235" s="6">
        <f t="shared" si="60"/>
        <v>0</v>
      </c>
      <c r="H235" s="7">
        <f t="shared" si="61"/>
        <v>0</v>
      </c>
      <c r="I235" s="8">
        <v>17.605379996335873</v>
      </c>
      <c r="J235" s="9">
        <f t="shared" si="62"/>
        <v>17.605379996335873</v>
      </c>
      <c r="K235" s="3">
        <f t="shared" si="63"/>
        <v>0</v>
      </c>
      <c r="L235" s="7">
        <f t="shared" si="64"/>
        <v>0</v>
      </c>
      <c r="M235" t="s">
        <v>187</v>
      </c>
      <c r="O235" s="3">
        <f>E235-'315805 - P0824'!F235</f>
        <v>0</v>
      </c>
      <c r="P235" s="30">
        <f>I235-'315805 - P0824'!J235</f>
        <v>0</v>
      </c>
    </row>
    <row r="236" spans="1:16" x14ac:dyDescent="0.25">
      <c r="A236">
        <v>234</v>
      </c>
      <c r="C236" t="s">
        <v>8</v>
      </c>
      <c r="D236" s="4" t="s">
        <v>226</v>
      </c>
      <c r="E236" s="12">
        <v>19.87</v>
      </c>
      <c r="F236" s="12">
        <v>19.87</v>
      </c>
      <c r="G236" s="6">
        <f t="shared" si="60"/>
        <v>0</v>
      </c>
      <c r="H236" s="7">
        <f t="shared" si="61"/>
        <v>0</v>
      </c>
      <c r="I236" s="8">
        <v>37.722017205436892</v>
      </c>
      <c r="J236" s="9">
        <f t="shared" si="62"/>
        <v>37.722017205436892</v>
      </c>
      <c r="K236" s="3">
        <f t="shared" si="63"/>
        <v>0</v>
      </c>
      <c r="L236" s="7">
        <f t="shared" si="64"/>
        <v>0</v>
      </c>
      <c r="M236" t="s">
        <v>187</v>
      </c>
      <c r="O236" s="3">
        <f>E236-'315805 - P0824'!F236</f>
        <v>0</v>
      </c>
      <c r="P236" s="30">
        <f>I236-'315805 - P0824'!J236</f>
        <v>0</v>
      </c>
    </row>
    <row r="237" spans="1:16" x14ac:dyDescent="0.25">
      <c r="A237">
        <v>235</v>
      </c>
      <c r="C237" t="s">
        <v>8</v>
      </c>
      <c r="D237" s="4" t="s">
        <v>227</v>
      </c>
      <c r="E237" s="12">
        <v>19.89</v>
      </c>
      <c r="F237" s="12">
        <v>19.89</v>
      </c>
      <c r="G237" s="6">
        <f t="shared" si="60"/>
        <v>0</v>
      </c>
      <c r="H237" s="7">
        <f t="shared" si="61"/>
        <v>0</v>
      </c>
      <c r="I237" s="8">
        <v>39.222494967342996</v>
      </c>
      <c r="J237" s="9">
        <f t="shared" si="62"/>
        <v>39.222494967342996</v>
      </c>
      <c r="K237" s="3">
        <f t="shared" si="63"/>
        <v>0</v>
      </c>
      <c r="L237" s="7">
        <f t="shared" si="64"/>
        <v>0</v>
      </c>
      <c r="M237" t="s">
        <v>187</v>
      </c>
      <c r="O237" s="3">
        <f>E237-'315805 - P0824'!F237</f>
        <v>0</v>
      </c>
      <c r="P237" s="30">
        <f>I237-'315805 - P0824'!J237</f>
        <v>0</v>
      </c>
    </row>
    <row r="238" spans="1:16" x14ac:dyDescent="0.25">
      <c r="A238">
        <v>236</v>
      </c>
      <c r="C238" t="s">
        <v>8</v>
      </c>
      <c r="D238" s="4" t="s">
        <v>228</v>
      </c>
      <c r="E238" s="12">
        <v>4.71</v>
      </c>
      <c r="F238" s="12">
        <v>4.71</v>
      </c>
      <c r="G238" s="6">
        <f t="shared" si="60"/>
        <v>0</v>
      </c>
      <c r="H238" s="7">
        <f t="shared" si="61"/>
        <v>0</v>
      </c>
      <c r="I238" s="8">
        <v>11.98</v>
      </c>
      <c r="J238" s="9">
        <f t="shared" si="62"/>
        <v>11.98</v>
      </c>
      <c r="K238" s="3">
        <f t="shared" si="63"/>
        <v>0</v>
      </c>
      <c r="L238" s="7">
        <f t="shared" si="64"/>
        <v>0</v>
      </c>
      <c r="M238" t="s">
        <v>187</v>
      </c>
      <c r="O238" s="3">
        <f>E238-'315805 - P0824'!F238</f>
        <v>0</v>
      </c>
      <c r="P238" s="30">
        <f>I238-'315805 - P0824'!J238</f>
        <v>0</v>
      </c>
    </row>
    <row r="239" spans="1:16" x14ac:dyDescent="0.25">
      <c r="A239">
        <v>237</v>
      </c>
      <c r="C239" t="s">
        <v>8</v>
      </c>
      <c r="D239" s="4" t="s">
        <v>229</v>
      </c>
      <c r="E239" s="12">
        <v>51.79</v>
      </c>
      <c r="F239" s="12">
        <v>51.79</v>
      </c>
      <c r="G239" s="6">
        <f t="shared" si="60"/>
        <v>0</v>
      </c>
      <c r="H239" s="7">
        <f t="shared" si="61"/>
        <v>0</v>
      </c>
      <c r="I239" s="8">
        <v>79.680000000000007</v>
      </c>
      <c r="J239" s="9">
        <f t="shared" si="62"/>
        <v>79.680000000000007</v>
      </c>
      <c r="K239" s="3">
        <f t="shared" si="63"/>
        <v>0</v>
      </c>
      <c r="L239" s="7">
        <f t="shared" si="64"/>
        <v>0</v>
      </c>
      <c r="M239" t="s">
        <v>187</v>
      </c>
      <c r="O239" s="3">
        <f>E239-'315805 - P0824'!F239</f>
        <v>0</v>
      </c>
      <c r="P239" s="30">
        <f>I239-'315805 - P0824'!J239</f>
        <v>0</v>
      </c>
    </row>
    <row r="240" spans="1:16" x14ac:dyDescent="0.25">
      <c r="A240">
        <v>238</v>
      </c>
      <c r="C240" t="s">
        <v>8</v>
      </c>
      <c r="D240" s="4" t="s">
        <v>230</v>
      </c>
      <c r="E240" s="12">
        <v>9.76</v>
      </c>
      <c r="F240" s="12">
        <v>9.76</v>
      </c>
      <c r="G240" s="6">
        <f t="shared" si="60"/>
        <v>0</v>
      </c>
      <c r="H240" s="7">
        <f t="shared" si="61"/>
        <v>0</v>
      </c>
      <c r="I240" s="8">
        <v>19.82</v>
      </c>
      <c r="J240" s="9">
        <f t="shared" si="62"/>
        <v>19.82</v>
      </c>
      <c r="K240" s="3">
        <f t="shared" si="63"/>
        <v>0</v>
      </c>
      <c r="L240" s="7">
        <f t="shared" si="64"/>
        <v>0</v>
      </c>
      <c r="M240" t="s">
        <v>187</v>
      </c>
      <c r="O240" s="3">
        <f>E240-'315805 - P0824'!F240</f>
        <v>0</v>
      </c>
      <c r="P240" s="30">
        <f>I240-'315805 - P0824'!J240</f>
        <v>0</v>
      </c>
    </row>
    <row r="241" spans="1:16" x14ac:dyDescent="0.25">
      <c r="A241">
        <v>239</v>
      </c>
      <c r="C241" t="s">
        <v>8</v>
      </c>
      <c r="D241" s="4" t="s">
        <v>231</v>
      </c>
      <c r="E241" s="12">
        <v>2.87</v>
      </c>
      <c r="F241" s="12">
        <v>2.87</v>
      </c>
      <c r="G241" s="6">
        <f t="shared" si="60"/>
        <v>0</v>
      </c>
      <c r="H241" s="7">
        <f t="shared" si="61"/>
        <v>0</v>
      </c>
      <c r="I241" s="8">
        <v>5.82</v>
      </c>
      <c r="J241" s="9">
        <f t="shared" si="62"/>
        <v>5.82</v>
      </c>
      <c r="K241" s="3">
        <f t="shared" si="63"/>
        <v>0</v>
      </c>
      <c r="L241" s="7">
        <f t="shared" si="64"/>
        <v>0</v>
      </c>
      <c r="M241" t="s">
        <v>187</v>
      </c>
      <c r="O241" s="3">
        <f>E241-'315805 - P0824'!F241</f>
        <v>0</v>
      </c>
      <c r="P241" s="30">
        <f>I241-'315805 - P0824'!J241</f>
        <v>0</v>
      </c>
    </row>
    <row r="242" spans="1:16" x14ac:dyDescent="0.25">
      <c r="A242">
        <v>240</v>
      </c>
      <c r="D242" s="34" t="s">
        <v>232</v>
      </c>
      <c r="H242" s="10">
        <f>AVERAGE(H194:H237)</f>
        <v>0</v>
      </c>
      <c r="I242"/>
    </row>
    <row r="243" spans="1:16" x14ac:dyDescent="0.25">
      <c r="A243">
        <v>241</v>
      </c>
      <c r="D243" s="34" t="s">
        <v>233</v>
      </c>
      <c r="I243"/>
      <c r="M243" t="s">
        <v>234</v>
      </c>
      <c r="O243" s="3">
        <f>E243-'315805 - P0824'!F243</f>
        <v>0</v>
      </c>
      <c r="P243" s="30">
        <f>I243-'315805 - P0824'!J243</f>
        <v>0</v>
      </c>
    </row>
    <row r="244" spans="1:16" x14ac:dyDescent="0.25">
      <c r="A244">
        <v>242</v>
      </c>
      <c r="C244" t="s">
        <v>8</v>
      </c>
      <c r="D244" s="4" t="s">
        <v>235</v>
      </c>
      <c r="E244" s="12">
        <v>19.32</v>
      </c>
      <c r="F244" s="12">
        <v>19.32</v>
      </c>
      <c r="G244" s="6">
        <f t="shared" ref="G244:G248" si="65">+F244-E244</f>
        <v>0</v>
      </c>
      <c r="H244" s="7">
        <f t="shared" ref="H244:H248" si="66">(F244-E244)/ABS(E244)</f>
        <v>0</v>
      </c>
      <c r="I244" s="8">
        <v>43.363738242210459</v>
      </c>
      <c r="J244" s="9">
        <f t="shared" ref="J244:J248" si="67">(I244*H244)+I244</f>
        <v>43.363738242210459</v>
      </c>
      <c r="K244" s="3">
        <f t="shared" ref="K244:K248" si="68">J244-I244</f>
        <v>0</v>
      </c>
      <c r="L244" s="7">
        <f t="shared" ref="L244:L248" si="69">(J244-I244)/ABS(I244)</f>
        <v>0</v>
      </c>
      <c r="M244" t="s">
        <v>234</v>
      </c>
      <c r="O244" s="3">
        <f>E244-'315805 - P0824'!F244</f>
        <v>0</v>
      </c>
      <c r="P244" s="30">
        <f>I244-'315805 - P0824'!J244</f>
        <v>0</v>
      </c>
    </row>
    <row r="245" spans="1:16" x14ac:dyDescent="0.25">
      <c r="A245">
        <v>243</v>
      </c>
      <c r="C245" t="s">
        <v>8</v>
      </c>
      <c r="D245" s="4" t="s">
        <v>236</v>
      </c>
      <c r="E245" s="12">
        <v>25.76</v>
      </c>
      <c r="F245" s="12">
        <v>25.76</v>
      </c>
      <c r="G245" s="6">
        <f t="shared" si="65"/>
        <v>0</v>
      </c>
      <c r="H245" s="7">
        <f t="shared" si="66"/>
        <v>0</v>
      </c>
      <c r="I245" s="8">
        <v>54.72</v>
      </c>
      <c r="J245" s="9">
        <f t="shared" si="67"/>
        <v>54.72</v>
      </c>
      <c r="K245" s="3">
        <f t="shared" si="68"/>
        <v>0</v>
      </c>
      <c r="L245" s="7">
        <f t="shared" si="69"/>
        <v>0</v>
      </c>
      <c r="M245" t="s">
        <v>234</v>
      </c>
      <c r="O245" s="3">
        <f>E245-'315805 - P0824'!F245</f>
        <v>0</v>
      </c>
      <c r="P245" s="30">
        <f>I245-'315805 - P0824'!J245</f>
        <v>0</v>
      </c>
    </row>
    <row r="246" spans="1:16" x14ac:dyDescent="0.25">
      <c r="A246">
        <v>244</v>
      </c>
      <c r="C246" t="s">
        <v>8</v>
      </c>
      <c r="D246" s="4" t="s">
        <v>237</v>
      </c>
      <c r="E246" s="12">
        <v>26.28</v>
      </c>
      <c r="F246" s="12">
        <v>26.28</v>
      </c>
      <c r="G246" s="6">
        <f t="shared" si="65"/>
        <v>0</v>
      </c>
      <c r="H246" s="7">
        <f t="shared" si="66"/>
        <v>0</v>
      </c>
      <c r="I246" s="8">
        <v>41.047300934300516</v>
      </c>
      <c r="J246" s="9">
        <f t="shared" si="67"/>
        <v>41.047300934300516</v>
      </c>
      <c r="K246" s="3">
        <f t="shared" si="68"/>
        <v>0</v>
      </c>
      <c r="L246" s="7">
        <f t="shared" si="69"/>
        <v>0</v>
      </c>
      <c r="M246" t="s">
        <v>234</v>
      </c>
      <c r="O246" s="3">
        <f>E246-'315805 - P0824'!F246</f>
        <v>0</v>
      </c>
      <c r="P246" s="30">
        <f>I246-'315805 - P0824'!J246</f>
        <v>0</v>
      </c>
    </row>
    <row r="247" spans="1:16" x14ac:dyDescent="0.25">
      <c r="A247">
        <v>245</v>
      </c>
      <c r="C247" t="s">
        <v>8</v>
      </c>
      <c r="D247" s="4" t="s">
        <v>238</v>
      </c>
      <c r="E247" s="12">
        <v>35.04</v>
      </c>
      <c r="F247" s="12">
        <v>35.04</v>
      </c>
      <c r="G247" s="6">
        <f t="shared" si="65"/>
        <v>0</v>
      </c>
      <c r="H247" s="7">
        <f t="shared" si="66"/>
        <v>0</v>
      </c>
      <c r="I247" s="8">
        <v>54.724364707150258</v>
      </c>
      <c r="J247" s="9">
        <f t="shared" si="67"/>
        <v>54.724364707150258</v>
      </c>
      <c r="K247" s="3">
        <f t="shared" si="68"/>
        <v>0</v>
      </c>
      <c r="L247" s="7">
        <f t="shared" si="69"/>
        <v>0</v>
      </c>
      <c r="M247" t="s">
        <v>234</v>
      </c>
      <c r="O247" s="3">
        <f>E247-'315805 - P0824'!F247</f>
        <v>0</v>
      </c>
      <c r="P247" s="30">
        <f>I247-'315805 - P0824'!J247</f>
        <v>0</v>
      </c>
    </row>
    <row r="248" spans="1:16" x14ac:dyDescent="0.25">
      <c r="A248">
        <v>246</v>
      </c>
      <c r="C248" t="s">
        <v>8</v>
      </c>
      <c r="D248" s="4" t="s">
        <v>239</v>
      </c>
      <c r="E248" s="12">
        <v>43.8</v>
      </c>
      <c r="F248" s="12">
        <v>43.8</v>
      </c>
      <c r="G248" s="6">
        <f t="shared" si="65"/>
        <v>0</v>
      </c>
      <c r="H248" s="7">
        <f t="shared" si="66"/>
        <v>0</v>
      </c>
      <c r="I248" s="8">
        <v>68.401428479999993</v>
      </c>
      <c r="J248" s="9">
        <f t="shared" si="67"/>
        <v>68.401428479999993</v>
      </c>
      <c r="K248" s="3">
        <f t="shared" si="68"/>
        <v>0</v>
      </c>
      <c r="L248" s="7">
        <f t="shared" si="69"/>
        <v>0</v>
      </c>
      <c r="M248" t="s">
        <v>234</v>
      </c>
      <c r="O248" s="3">
        <f>E248-'315805 - P0824'!F248</f>
        <v>0</v>
      </c>
      <c r="P248" s="30">
        <f>I248-'315805 - P0824'!J248</f>
        <v>0</v>
      </c>
    </row>
    <row r="249" spans="1:16" x14ac:dyDescent="0.25">
      <c r="A249">
        <v>247</v>
      </c>
      <c r="D249" s="34" t="s">
        <v>240</v>
      </c>
      <c r="H249" s="10">
        <f>AVERAGE(H244:H248)</f>
        <v>0</v>
      </c>
      <c r="I249"/>
    </row>
    <row r="250" spans="1:16" x14ac:dyDescent="0.25">
      <c r="A250">
        <v>248</v>
      </c>
      <c r="D250" s="34" t="s">
        <v>241</v>
      </c>
      <c r="I250"/>
    </row>
    <row r="251" spans="1:16" x14ac:dyDescent="0.25">
      <c r="A251">
        <v>249</v>
      </c>
      <c r="C251" t="s">
        <v>8</v>
      </c>
      <c r="D251" s="4" t="s">
        <v>242</v>
      </c>
      <c r="E251" s="12">
        <v>8.2200000000000006</v>
      </c>
      <c r="F251" s="11">
        <v>8.2200000000000006</v>
      </c>
      <c r="G251" s="6">
        <f t="shared" ref="G251:G295" si="70">+F251-E251</f>
        <v>0</v>
      </c>
      <c r="H251" s="7">
        <f t="shared" ref="H251:H295" si="71">(F251-E251)/ABS(E251)</f>
        <v>0</v>
      </c>
      <c r="I251" s="8">
        <v>28.54202272220985</v>
      </c>
      <c r="J251" s="9">
        <f t="shared" ref="J251:J295" si="72">(I251*H251)+I251</f>
        <v>28.54202272220985</v>
      </c>
      <c r="K251" s="3">
        <f t="shared" ref="K251:K295" si="73">J251-I251</f>
        <v>0</v>
      </c>
      <c r="L251" s="7">
        <f t="shared" ref="L251:L295" si="74">(J251-I251)/ABS(I251)</f>
        <v>0</v>
      </c>
      <c r="M251" t="s">
        <v>150</v>
      </c>
      <c r="O251" s="3">
        <f>E251-'315805 - P0824'!F251</f>
        <v>0</v>
      </c>
      <c r="P251" s="30">
        <f>I251-'315805 - P0824'!J251</f>
        <v>0</v>
      </c>
    </row>
    <row r="252" spans="1:16" x14ac:dyDescent="0.25">
      <c r="A252">
        <v>250</v>
      </c>
      <c r="C252" t="s">
        <v>8</v>
      </c>
      <c r="D252" s="4" t="s">
        <v>243</v>
      </c>
      <c r="E252" s="12">
        <v>7.68</v>
      </c>
      <c r="F252" s="11">
        <v>7.68</v>
      </c>
      <c r="G252" s="6">
        <f t="shared" si="70"/>
        <v>0</v>
      </c>
      <c r="H252" s="7">
        <f t="shared" si="71"/>
        <v>0</v>
      </c>
      <c r="I252" s="8">
        <v>16.421831032972253</v>
      </c>
      <c r="J252" s="9">
        <f t="shared" si="72"/>
        <v>16.421831032972253</v>
      </c>
      <c r="K252" s="3">
        <f t="shared" si="73"/>
        <v>0</v>
      </c>
      <c r="L252" s="7">
        <f t="shared" si="74"/>
        <v>0</v>
      </c>
      <c r="M252" t="s">
        <v>150</v>
      </c>
      <c r="O252" s="3">
        <f>E252-'315805 - P0824'!F252</f>
        <v>0</v>
      </c>
      <c r="P252" s="30">
        <f>I252-'315805 - P0824'!J252</f>
        <v>0</v>
      </c>
    </row>
    <row r="253" spans="1:16" x14ac:dyDescent="0.25">
      <c r="A253">
        <v>251</v>
      </c>
      <c r="C253" t="s">
        <v>8</v>
      </c>
      <c r="D253" s="4" t="s">
        <v>244</v>
      </c>
      <c r="E253" s="12">
        <v>58.2</v>
      </c>
      <c r="F253" s="12">
        <v>58.2</v>
      </c>
      <c r="G253" s="6">
        <f t="shared" si="70"/>
        <v>0</v>
      </c>
      <c r="H253" s="7">
        <f t="shared" si="71"/>
        <v>0</v>
      </c>
      <c r="I253" s="8">
        <v>83.610119999999995</v>
      </c>
      <c r="J253" s="9">
        <f t="shared" si="72"/>
        <v>83.610119999999995</v>
      </c>
      <c r="K253" s="3">
        <f t="shared" si="73"/>
        <v>0</v>
      </c>
      <c r="L253" s="7">
        <f t="shared" si="74"/>
        <v>0</v>
      </c>
      <c r="M253" t="s">
        <v>150</v>
      </c>
      <c r="O253" s="3">
        <f>E253-'315805 - P0824'!F253</f>
        <v>0</v>
      </c>
      <c r="P253" s="30">
        <f>I253-'315805 - P0824'!J253</f>
        <v>0</v>
      </c>
    </row>
    <row r="254" spans="1:16" x14ac:dyDescent="0.25">
      <c r="A254">
        <v>252</v>
      </c>
      <c r="C254" t="s">
        <v>8</v>
      </c>
      <c r="D254" s="4" t="s">
        <v>245</v>
      </c>
      <c r="E254" s="12">
        <v>3.75</v>
      </c>
      <c r="F254" s="12">
        <v>3.75</v>
      </c>
      <c r="G254" s="6">
        <f t="shared" si="70"/>
        <v>0</v>
      </c>
      <c r="H254" s="7">
        <f t="shared" si="71"/>
        <v>0</v>
      </c>
      <c r="I254" s="8">
        <v>7.7840909090909092</v>
      </c>
      <c r="J254" s="9">
        <f t="shared" si="72"/>
        <v>7.7840909090909092</v>
      </c>
      <c r="K254" s="3">
        <f t="shared" si="73"/>
        <v>0</v>
      </c>
      <c r="L254" s="7">
        <f t="shared" si="74"/>
        <v>0</v>
      </c>
      <c r="M254" t="s">
        <v>150</v>
      </c>
      <c r="O254" s="3">
        <f>E254-'315805 - P0824'!F254</f>
        <v>0</v>
      </c>
      <c r="P254" s="30">
        <f>I254-'315805 - P0824'!J254</f>
        <v>0</v>
      </c>
    </row>
    <row r="255" spans="1:16" x14ac:dyDescent="0.25">
      <c r="A255">
        <v>253</v>
      </c>
      <c r="C255" t="s">
        <v>8</v>
      </c>
      <c r="D255" s="4" t="s">
        <v>246</v>
      </c>
      <c r="E255" s="12">
        <v>7.34</v>
      </c>
      <c r="F255" s="11">
        <v>7.34</v>
      </c>
      <c r="G255" s="6">
        <f t="shared" si="70"/>
        <v>0</v>
      </c>
      <c r="H255" s="7">
        <f t="shared" si="71"/>
        <v>0</v>
      </c>
      <c r="I255" s="8">
        <v>27.961904761904762</v>
      </c>
      <c r="J255" s="9">
        <f t="shared" si="72"/>
        <v>27.961904761904762</v>
      </c>
      <c r="K255" s="3">
        <f t="shared" si="73"/>
        <v>0</v>
      </c>
      <c r="L255" s="7">
        <f t="shared" si="74"/>
        <v>0</v>
      </c>
      <c r="M255" t="s">
        <v>150</v>
      </c>
      <c r="O255" s="3">
        <f>E255-'315805 - P0824'!F255</f>
        <v>0</v>
      </c>
      <c r="P255" s="30">
        <f>I255-'315805 - P0824'!J255</f>
        <v>0</v>
      </c>
    </row>
    <row r="256" spans="1:16" x14ac:dyDescent="0.25">
      <c r="A256">
        <v>254</v>
      </c>
      <c r="C256" t="s">
        <v>8</v>
      </c>
      <c r="D256" s="4" t="s">
        <v>247</v>
      </c>
      <c r="E256" s="12">
        <v>13.75</v>
      </c>
      <c r="F256" s="12">
        <v>13.75</v>
      </c>
      <c r="G256" s="6">
        <f t="shared" si="70"/>
        <v>0</v>
      </c>
      <c r="H256" s="7">
        <f t="shared" si="71"/>
        <v>0</v>
      </c>
      <c r="I256" s="8">
        <v>17.348837209302324</v>
      </c>
      <c r="J256" s="9">
        <f t="shared" si="72"/>
        <v>17.348837209302324</v>
      </c>
      <c r="K256" s="3">
        <f t="shared" si="73"/>
        <v>0</v>
      </c>
      <c r="L256" s="7">
        <f t="shared" si="74"/>
        <v>0</v>
      </c>
      <c r="M256" t="s">
        <v>150</v>
      </c>
      <c r="O256" s="3">
        <f>E256-'315805 - P0824'!F256</f>
        <v>0</v>
      </c>
      <c r="P256" s="30">
        <f>I256-'315805 - P0824'!J256</f>
        <v>0</v>
      </c>
    </row>
    <row r="257" spans="1:16" x14ac:dyDescent="0.25">
      <c r="A257">
        <v>255</v>
      </c>
      <c r="C257" t="s">
        <v>8</v>
      </c>
      <c r="D257" s="4" t="s">
        <v>248</v>
      </c>
      <c r="E257" s="12">
        <v>10.25</v>
      </c>
      <c r="F257" s="12">
        <v>10.25</v>
      </c>
      <c r="G257" s="6">
        <f t="shared" si="70"/>
        <v>0</v>
      </c>
      <c r="H257" s="7">
        <f t="shared" si="71"/>
        <v>0</v>
      </c>
      <c r="I257" s="8">
        <v>13.461538461538462</v>
      </c>
      <c r="J257" s="9">
        <f t="shared" si="72"/>
        <v>13.461538461538462</v>
      </c>
      <c r="K257" s="3">
        <f t="shared" si="73"/>
        <v>0</v>
      </c>
      <c r="L257" s="7">
        <f t="shared" si="74"/>
        <v>0</v>
      </c>
      <c r="M257" t="s">
        <v>150</v>
      </c>
      <c r="O257" s="3">
        <f>E257-'315805 - P0824'!F257</f>
        <v>0</v>
      </c>
      <c r="P257" s="30">
        <f>I257-'315805 - P0824'!J257</f>
        <v>0</v>
      </c>
    </row>
    <row r="258" spans="1:16" x14ac:dyDescent="0.25">
      <c r="A258">
        <v>256</v>
      </c>
      <c r="C258" t="s">
        <v>8</v>
      </c>
      <c r="D258" s="4" t="s">
        <v>249</v>
      </c>
      <c r="E258" s="12">
        <v>5.75</v>
      </c>
      <c r="F258" s="12">
        <v>5.75</v>
      </c>
      <c r="G258" s="6">
        <f t="shared" si="70"/>
        <v>0</v>
      </c>
      <c r="H258" s="7">
        <f t="shared" si="71"/>
        <v>0</v>
      </c>
      <c r="I258" s="8">
        <v>15.717408000000002</v>
      </c>
      <c r="J258" s="9">
        <f t="shared" si="72"/>
        <v>15.717408000000002</v>
      </c>
      <c r="K258" s="3">
        <f t="shared" si="73"/>
        <v>0</v>
      </c>
      <c r="L258" s="7">
        <f t="shared" si="74"/>
        <v>0</v>
      </c>
      <c r="M258" t="s">
        <v>187</v>
      </c>
      <c r="O258" s="3">
        <f>E258-'315805 - P0824'!F258</f>
        <v>0</v>
      </c>
      <c r="P258" s="30">
        <f>I258-'315805 - P0824'!J258</f>
        <v>0</v>
      </c>
    </row>
    <row r="259" spans="1:16" x14ac:dyDescent="0.25">
      <c r="A259">
        <v>257</v>
      </c>
      <c r="C259" t="s">
        <v>8</v>
      </c>
      <c r="D259" s="4" t="s">
        <v>250</v>
      </c>
      <c r="E259" s="12">
        <v>18.22</v>
      </c>
      <c r="F259" s="5">
        <v>18.22</v>
      </c>
      <c r="G259" s="6">
        <f t="shared" si="70"/>
        <v>0</v>
      </c>
      <c r="H259" s="7">
        <f t="shared" si="71"/>
        <v>0</v>
      </c>
      <c r="I259" s="8">
        <v>36.44</v>
      </c>
      <c r="J259" s="9">
        <f t="shared" si="72"/>
        <v>36.44</v>
      </c>
      <c r="K259" s="3">
        <f t="shared" si="73"/>
        <v>0</v>
      </c>
      <c r="L259" s="7">
        <f t="shared" si="74"/>
        <v>0</v>
      </c>
      <c r="M259" t="s">
        <v>150</v>
      </c>
      <c r="O259" s="3">
        <f>E259-'315805 - P0824'!F259</f>
        <v>0</v>
      </c>
      <c r="P259" s="30">
        <f>I259-'315805 - P0824'!J259</f>
        <v>0</v>
      </c>
    </row>
    <row r="260" spans="1:16" x14ac:dyDescent="0.25">
      <c r="A260">
        <v>258</v>
      </c>
      <c r="C260" t="s">
        <v>8</v>
      </c>
      <c r="D260" s="4" t="s">
        <v>251</v>
      </c>
      <c r="E260" s="12">
        <v>2.21</v>
      </c>
      <c r="F260" s="5">
        <v>2.21</v>
      </c>
      <c r="G260" s="6">
        <f t="shared" si="70"/>
        <v>0</v>
      </c>
      <c r="H260" s="7">
        <f t="shared" si="71"/>
        <v>0</v>
      </c>
      <c r="I260" s="8">
        <v>4.5939072847682123</v>
      </c>
      <c r="J260" s="12">
        <v>5.32</v>
      </c>
      <c r="K260" s="3">
        <f t="shared" si="73"/>
        <v>0.72609271523178798</v>
      </c>
      <c r="L260" s="7">
        <f t="shared" si="74"/>
        <v>0.15805558759081995</v>
      </c>
      <c r="M260" t="s">
        <v>150</v>
      </c>
      <c r="O260" s="3">
        <f>E260-'315805 - P0824'!F260</f>
        <v>0</v>
      </c>
      <c r="P260" s="30">
        <f>I260-'315805 - P0824'!J260</f>
        <v>0</v>
      </c>
    </row>
    <row r="261" spans="1:16" x14ac:dyDescent="0.25">
      <c r="A261">
        <v>259</v>
      </c>
      <c r="C261" t="s">
        <v>8</v>
      </c>
      <c r="D261" s="4" t="s">
        <v>252</v>
      </c>
      <c r="E261" s="12">
        <v>3.3</v>
      </c>
      <c r="F261" s="5">
        <v>3.3</v>
      </c>
      <c r="G261" s="6">
        <f t="shared" si="70"/>
        <v>0</v>
      </c>
      <c r="H261" s="7">
        <f t="shared" si="71"/>
        <v>0</v>
      </c>
      <c r="I261" s="8">
        <v>7.177170731707319</v>
      </c>
      <c r="J261" s="9">
        <f t="shared" si="72"/>
        <v>7.177170731707319</v>
      </c>
      <c r="K261" s="3">
        <f t="shared" si="73"/>
        <v>0</v>
      </c>
      <c r="L261" s="7">
        <f t="shared" si="74"/>
        <v>0</v>
      </c>
      <c r="M261" t="s">
        <v>150</v>
      </c>
      <c r="O261" s="3">
        <f>E261-'315805 - P0824'!F261</f>
        <v>0</v>
      </c>
      <c r="P261" s="30">
        <f>I261-'315805 - P0824'!J261</f>
        <v>0</v>
      </c>
    </row>
    <row r="262" spans="1:16" x14ac:dyDescent="0.25">
      <c r="A262">
        <v>260</v>
      </c>
      <c r="C262" t="s">
        <v>8</v>
      </c>
      <c r="D262" s="4" t="s">
        <v>253</v>
      </c>
      <c r="E262" s="12">
        <v>123.23</v>
      </c>
      <c r="F262" s="12">
        <v>123.23</v>
      </c>
      <c r="G262" s="6">
        <f t="shared" si="70"/>
        <v>0</v>
      </c>
      <c r="H262" s="7">
        <f t="shared" si="71"/>
        <v>0</v>
      </c>
      <c r="I262" s="8">
        <v>262.95999999999998</v>
      </c>
      <c r="J262" s="9">
        <f t="shared" si="72"/>
        <v>262.95999999999998</v>
      </c>
      <c r="K262" s="3">
        <f t="shared" si="73"/>
        <v>0</v>
      </c>
      <c r="L262" s="7">
        <f t="shared" si="74"/>
        <v>0</v>
      </c>
      <c r="M262" t="s">
        <v>150</v>
      </c>
      <c r="O262" s="3">
        <f>E262-'315805 - P0824'!F262</f>
        <v>0</v>
      </c>
      <c r="P262" s="30">
        <f>I262-'315805 - P0824'!J262</f>
        <v>0</v>
      </c>
    </row>
    <row r="263" spans="1:16" x14ac:dyDescent="0.25">
      <c r="A263">
        <v>261</v>
      </c>
      <c r="C263" t="s">
        <v>8</v>
      </c>
      <c r="D263" s="4" t="s">
        <v>254</v>
      </c>
      <c r="E263" s="12">
        <v>121.84</v>
      </c>
      <c r="F263" s="12">
        <v>121.84</v>
      </c>
      <c r="G263" s="6">
        <f t="shared" si="70"/>
        <v>0</v>
      </c>
      <c r="H263" s="7">
        <f t="shared" si="71"/>
        <v>0</v>
      </c>
      <c r="I263" s="8">
        <v>219.99</v>
      </c>
      <c r="J263" s="9">
        <f t="shared" si="72"/>
        <v>219.99</v>
      </c>
      <c r="K263" s="3">
        <f t="shared" si="73"/>
        <v>0</v>
      </c>
      <c r="L263" s="7">
        <f t="shared" si="74"/>
        <v>0</v>
      </c>
      <c r="M263" t="s">
        <v>150</v>
      </c>
      <c r="O263" s="3">
        <f>E263-'315805 - P0824'!F263</f>
        <v>0</v>
      </c>
      <c r="P263" s="30">
        <f>I263-'315805 - P0824'!J263</f>
        <v>0</v>
      </c>
    </row>
    <row r="264" spans="1:16" x14ac:dyDescent="0.25">
      <c r="A264">
        <v>262</v>
      </c>
      <c r="C264" t="s">
        <v>8</v>
      </c>
      <c r="D264" s="4" t="s">
        <v>255</v>
      </c>
      <c r="E264" s="5">
        <v>10.8</v>
      </c>
      <c r="F264" s="5">
        <v>10.8</v>
      </c>
      <c r="G264" s="6">
        <f t="shared" si="70"/>
        <v>0</v>
      </c>
      <c r="H264" s="7">
        <f t="shared" si="71"/>
        <v>0</v>
      </c>
      <c r="I264" s="8">
        <v>23.043154761904759</v>
      </c>
      <c r="J264" s="9">
        <f t="shared" si="72"/>
        <v>23.043154761904759</v>
      </c>
      <c r="K264" s="3">
        <f t="shared" si="73"/>
        <v>0</v>
      </c>
      <c r="L264" s="7">
        <f t="shared" si="74"/>
        <v>0</v>
      </c>
      <c r="M264" s="7" t="s">
        <v>150</v>
      </c>
      <c r="O264" s="3">
        <f>E264-'315805 - P0824'!F264</f>
        <v>0</v>
      </c>
      <c r="P264" s="30">
        <f>I264-'315805 - P0824'!J264</f>
        <v>0</v>
      </c>
    </row>
    <row r="265" spans="1:16" x14ac:dyDescent="0.25">
      <c r="A265">
        <v>263</v>
      </c>
      <c r="C265" t="s">
        <v>8</v>
      </c>
      <c r="D265" s="4" t="s">
        <v>256</v>
      </c>
      <c r="E265" s="5">
        <v>12.96</v>
      </c>
      <c r="F265" s="5">
        <v>12.96</v>
      </c>
      <c r="G265" s="6">
        <f t="shared" si="70"/>
        <v>0</v>
      </c>
      <c r="H265" s="7">
        <f t="shared" si="71"/>
        <v>0</v>
      </c>
      <c r="I265" s="8">
        <v>30.49</v>
      </c>
      <c r="J265" s="9">
        <f t="shared" si="72"/>
        <v>30.49</v>
      </c>
      <c r="K265" s="3">
        <f t="shared" si="73"/>
        <v>0</v>
      </c>
      <c r="L265" s="7">
        <f t="shared" si="74"/>
        <v>0</v>
      </c>
      <c r="M265" s="7" t="s">
        <v>150</v>
      </c>
      <c r="O265" s="3">
        <f>E265-'315805 - P0824'!F265</f>
        <v>0</v>
      </c>
      <c r="P265" s="30">
        <f>I265-'315805 - P0824'!J265</f>
        <v>0</v>
      </c>
    </row>
    <row r="266" spans="1:16" x14ac:dyDescent="0.25">
      <c r="A266">
        <v>264</v>
      </c>
      <c r="C266" t="s">
        <v>8</v>
      </c>
      <c r="D266" s="4" t="s">
        <v>257</v>
      </c>
      <c r="E266" s="5">
        <v>8.35</v>
      </c>
      <c r="F266" s="5">
        <v>8.35</v>
      </c>
      <c r="G266" s="6">
        <f t="shared" si="70"/>
        <v>0</v>
      </c>
      <c r="H266" s="7">
        <f t="shared" si="71"/>
        <v>0</v>
      </c>
      <c r="I266" s="8">
        <v>17.815772431657845</v>
      </c>
      <c r="J266" s="9">
        <f t="shared" si="72"/>
        <v>17.815772431657845</v>
      </c>
      <c r="K266" s="3">
        <f t="shared" si="73"/>
        <v>0</v>
      </c>
      <c r="L266" s="7">
        <f t="shared" si="74"/>
        <v>0</v>
      </c>
      <c r="M266" t="s">
        <v>150</v>
      </c>
      <c r="O266" s="3">
        <f>E266-'315805 - P0824'!F266</f>
        <v>0</v>
      </c>
      <c r="P266" s="30">
        <f>I266-'315805 - P0824'!J266</f>
        <v>0</v>
      </c>
    </row>
    <row r="267" spans="1:16" x14ac:dyDescent="0.25">
      <c r="A267">
        <v>265</v>
      </c>
      <c r="C267" t="s">
        <v>8</v>
      </c>
      <c r="D267" s="4" t="s">
        <v>258</v>
      </c>
      <c r="E267" s="5">
        <v>3.44</v>
      </c>
      <c r="F267" s="5">
        <v>3.44</v>
      </c>
      <c r="G267" s="6">
        <f t="shared" si="70"/>
        <v>0</v>
      </c>
      <c r="H267" s="7">
        <f t="shared" si="71"/>
        <v>0</v>
      </c>
      <c r="I267" s="8">
        <v>6.5289583333333336</v>
      </c>
      <c r="J267" s="9">
        <f t="shared" si="72"/>
        <v>6.5289583333333336</v>
      </c>
      <c r="K267" s="3">
        <f t="shared" si="73"/>
        <v>0</v>
      </c>
      <c r="L267" s="7">
        <f t="shared" si="74"/>
        <v>0</v>
      </c>
      <c r="M267" t="s">
        <v>150</v>
      </c>
      <c r="O267" s="3">
        <f>E267-'315805 - P0824'!F267</f>
        <v>0</v>
      </c>
      <c r="P267" s="30">
        <f>I267-'315805 - P0824'!J267</f>
        <v>0</v>
      </c>
    </row>
    <row r="268" spans="1:16" x14ac:dyDescent="0.25">
      <c r="A268">
        <v>266</v>
      </c>
      <c r="C268" t="s">
        <v>8</v>
      </c>
      <c r="D268" s="4" t="s">
        <v>259</v>
      </c>
      <c r="E268" s="5">
        <v>2.64</v>
      </c>
      <c r="F268" s="5">
        <v>2.64</v>
      </c>
      <c r="G268" s="6">
        <f t="shared" si="70"/>
        <v>0</v>
      </c>
      <c r="H268" s="7">
        <f t="shared" si="71"/>
        <v>0</v>
      </c>
      <c r="I268" s="8">
        <v>5.9648076923076916</v>
      </c>
      <c r="J268" s="9">
        <f t="shared" si="72"/>
        <v>5.9648076923076916</v>
      </c>
      <c r="K268" s="3">
        <f t="shared" si="73"/>
        <v>0</v>
      </c>
      <c r="L268" s="7">
        <f t="shared" si="74"/>
        <v>0</v>
      </c>
      <c r="M268" t="s">
        <v>150</v>
      </c>
      <c r="O268" s="3">
        <f>E268-'315805 - P0824'!F268</f>
        <v>0</v>
      </c>
      <c r="P268" s="30">
        <f>I268-'315805 - P0824'!J268</f>
        <v>0</v>
      </c>
    </row>
    <row r="269" spans="1:16" x14ac:dyDescent="0.25">
      <c r="A269">
        <v>267</v>
      </c>
      <c r="C269" t="s">
        <v>8</v>
      </c>
      <c r="D269" s="4" t="s">
        <v>260</v>
      </c>
      <c r="E269" s="5">
        <v>2.64</v>
      </c>
      <c r="F269" s="5">
        <v>2.64</v>
      </c>
      <c r="G269" s="6">
        <f t="shared" si="70"/>
        <v>0</v>
      </c>
      <c r="H269" s="7">
        <f t="shared" si="71"/>
        <v>0</v>
      </c>
      <c r="I269" s="8">
        <v>4.9814285714285704</v>
      </c>
      <c r="J269" s="9">
        <f t="shared" si="72"/>
        <v>4.9814285714285704</v>
      </c>
      <c r="K269" s="3">
        <f t="shared" si="73"/>
        <v>0</v>
      </c>
      <c r="L269" s="7">
        <f t="shared" si="74"/>
        <v>0</v>
      </c>
      <c r="M269" t="s">
        <v>150</v>
      </c>
      <c r="O269" s="3">
        <f>E269-'315805 - P0824'!F269</f>
        <v>0</v>
      </c>
      <c r="P269" s="30">
        <f>I269-'315805 - P0824'!J269</f>
        <v>0</v>
      </c>
    </row>
    <row r="270" spans="1:16" x14ac:dyDescent="0.25">
      <c r="A270">
        <v>268</v>
      </c>
      <c r="C270" t="s">
        <v>8</v>
      </c>
      <c r="D270" s="4" t="s">
        <v>261</v>
      </c>
      <c r="E270" s="5">
        <v>1.98</v>
      </c>
      <c r="F270" s="5">
        <v>1.98</v>
      </c>
      <c r="G270" s="6">
        <f t="shared" si="70"/>
        <v>0</v>
      </c>
      <c r="H270" s="7">
        <f t="shared" si="71"/>
        <v>0</v>
      </c>
      <c r="I270" s="8">
        <v>3.5054288194444445</v>
      </c>
      <c r="J270" s="9">
        <f t="shared" si="72"/>
        <v>3.5054288194444445</v>
      </c>
      <c r="K270" s="3">
        <f t="shared" si="73"/>
        <v>0</v>
      </c>
      <c r="L270" s="7">
        <f t="shared" si="74"/>
        <v>0</v>
      </c>
      <c r="M270" t="s">
        <v>150</v>
      </c>
      <c r="O270" s="3">
        <f>E270-'315805 - P0824'!F270</f>
        <v>0</v>
      </c>
      <c r="P270" s="30">
        <f>I270-'315805 - P0824'!J270</f>
        <v>0</v>
      </c>
    </row>
    <row r="271" spans="1:16" x14ac:dyDescent="0.25">
      <c r="A271">
        <v>269</v>
      </c>
      <c r="C271" t="s">
        <v>8</v>
      </c>
      <c r="D271" s="4" t="s">
        <v>262</v>
      </c>
      <c r="E271" s="5">
        <v>3.2</v>
      </c>
      <c r="F271" s="5">
        <v>3.2</v>
      </c>
      <c r="G271" s="6">
        <f t="shared" si="70"/>
        <v>0</v>
      </c>
      <c r="H271" s="7">
        <f t="shared" si="71"/>
        <v>0</v>
      </c>
      <c r="I271" s="8">
        <v>9.5772187500000001</v>
      </c>
      <c r="J271" s="9">
        <f t="shared" si="72"/>
        <v>9.5772187500000001</v>
      </c>
      <c r="K271" s="3">
        <f t="shared" si="73"/>
        <v>0</v>
      </c>
      <c r="L271" s="7">
        <f t="shared" si="74"/>
        <v>0</v>
      </c>
      <c r="M271" t="s">
        <v>150</v>
      </c>
      <c r="O271" s="3">
        <f>E271-'315805 - P0824'!F271</f>
        <v>0</v>
      </c>
      <c r="P271" s="30">
        <f>I271-'315805 - P0824'!J271</f>
        <v>0</v>
      </c>
    </row>
    <row r="272" spans="1:16" x14ac:dyDescent="0.25">
      <c r="A272">
        <v>270</v>
      </c>
      <c r="C272" t="s">
        <v>8</v>
      </c>
      <c r="D272" s="4" t="s">
        <v>263</v>
      </c>
      <c r="E272" s="5">
        <v>2.56</v>
      </c>
      <c r="F272" s="5">
        <v>2.56</v>
      </c>
      <c r="G272" s="6">
        <f t="shared" si="70"/>
        <v>0</v>
      </c>
      <c r="H272" s="7">
        <f t="shared" si="71"/>
        <v>0</v>
      </c>
      <c r="I272" s="8">
        <v>5.0988055555555549</v>
      </c>
      <c r="J272" s="9">
        <f t="shared" si="72"/>
        <v>5.0988055555555549</v>
      </c>
      <c r="K272" s="3">
        <f t="shared" si="73"/>
        <v>0</v>
      </c>
      <c r="L272" s="7">
        <f t="shared" si="74"/>
        <v>0</v>
      </c>
      <c r="M272" t="s">
        <v>150</v>
      </c>
      <c r="O272" s="3">
        <f>E272-'315805 - P0824'!F272</f>
        <v>0</v>
      </c>
      <c r="P272" s="30">
        <f>I272-'315805 - P0824'!J272</f>
        <v>0</v>
      </c>
    </row>
    <row r="273" spans="1:16" x14ac:dyDescent="0.25">
      <c r="A273">
        <v>271</v>
      </c>
      <c r="C273" t="s">
        <v>8</v>
      </c>
      <c r="D273" s="4" t="s">
        <v>264</v>
      </c>
      <c r="E273" s="12">
        <v>34.130000000000003</v>
      </c>
      <c r="F273" s="11">
        <v>34.130000000000003</v>
      </c>
      <c r="G273" s="6">
        <f t="shared" si="70"/>
        <v>0</v>
      </c>
      <c r="H273" s="7">
        <f t="shared" si="71"/>
        <v>0</v>
      </c>
      <c r="I273" s="8">
        <v>83.99904491032467</v>
      </c>
      <c r="J273" s="9">
        <f t="shared" si="72"/>
        <v>83.99904491032467</v>
      </c>
      <c r="K273" s="3">
        <f t="shared" si="73"/>
        <v>0</v>
      </c>
      <c r="L273" s="7">
        <f t="shared" si="74"/>
        <v>0</v>
      </c>
      <c r="M273" t="s">
        <v>150</v>
      </c>
      <c r="O273" s="3">
        <f>E273-'315805 - P0824'!F273</f>
        <v>0</v>
      </c>
      <c r="P273" s="30">
        <f>I273-'315805 - P0824'!J273</f>
        <v>0</v>
      </c>
    </row>
    <row r="274" spans="1:16" x14ac:dyDescent="0.25">
      <c r="A274">
        <v>272</v>
      </c>
      <c r="C274" t="s">
        <v>8</v>
      </c>
      <c r="D274" s="4" t="s">
        <v>265</v>
      </c>
      <c r="E274" s="12">
        <v>40.14</v>
      </c>
      <c r="F274" s="11">
        <v>40.14</v>
      </c>
      <c r="G274" s="6">
        <f t="shared" si="70"/>
        <v>0</v>
      </c>
      <c r="H274" s="7">
        <f t="shared" si="71"/>
        <v>0</v>
      </c>
      <c r="I274" s="8">
        <v>100.73811614890289</v>
      </c>
      <c r="J274" s="9">
        <f t="shared" si="72"/>
        <v>100.73811614890289</v>
      </c>
      <c r="K274" s="3">
        <f t="shared" si="73"/>
        <v>0</v>
      </c>
      <c r="L274" s="7">
        <f t="shared" si="74"/>
        <v>0</v>
      </c>
      <c r="M274" t="s">
        <v>150</v>
      </c>
      <c r="O274" s="3">
        <f>E274-'315805 - P0824'!F274</f>
        <v>0</v>
      </c>
      <c r="P274" s="30">
        <f>I274-'315805 - P0824'!J274</f>
        <v>0</v>
      </c>
    </row>
    <row r="275" spans="1:16" x14ac:dyDescent="0.25">
      <c r="A275">
        <v>273</v>
      </c>
      <c r="C275" t="s">
        <v>8</v>
      </c>
      <c r="D275" s="4" t="s">
        <v>266</v>
      </c>
      <c r="E275" s="12">
        <v>0.71</v>
      </c>
      <c r="F275" s="11">
        <v>0.71</v>
      </c>
      <c r="G275" s="6">
        <f t="shared" si="70"/>
        <v>0</v>
      </c>
      <c r="H275" s="7">
        <f t="shared" si="71"/>
        <v>0</v>
      </c>
      <c r="I275" s="8">
        <v>1.3974603174603173</v>
      </c>
      <c r="J275" s="9">
        <f t="shared" si="72"/>
        <v>1.3974603174603173</v>
      </c>
      <c r="K275" s="3">
        <f t="shared" si="73"/>
        <v>0</v>
      </c>
      <c r="L275" s="7">
        <f t="shared" si="74"/>
        <v>0</v>
      </c>
      <c r="M275" t="s">
        <v>150</v>
      </c>
      <c r="O275" s="3">
        <f>E275-'315805 - P0824'!F275</f>
        <v>0</v>
      </c>
      <c r="P275" s="30">
        <f>I275-'315805 - P0824'!J275</f>
        <v>0</v>
      </c>
    </row>
    <row r="276" spans="1:16" x14ac:dyDescent="0.25">
      <c r="A276">
        <v>274</v>
      </c>
      <c r="C276" t="s">
        <v>8</v>
      </c>
      <c r="D276" s="4" t="s">
        <v>267</v>
      </c>
      <c r="E276" s="12">
        <v>15.02</v>
      </c>
      <c r="F276" s="11">
        <v>15.02</v>
      </c>
      <c r="G276" s="6">
        <f t="shared" si="70"/>
        <v>0</v>
      </c>
      <c r="H276" s="7">
        <f t="shared" si="71"/>
        <v>0</v>
      </c>
      <c r="I276" s="8">
        <v>39.554925957158105</v>
      </c>
      <c r="J276" s="9">
        <f t="shared" si="72"/>
        <v>39.554925957158105</v>
      </c>
      <c r="K276" s="3">
        <f t="shared" si="73"/>
        <v>0</v>
      </c>
      <c r="L276" s="7">
        <f t="shared" si="74"/>
        <v>0</v>
      </c>
      <c r="M276" t="s">
        <v>150</v>
      </c>
      <c r="O276" s="3">
        <f>E276-'315805 - P0824'!F276</f>
        <v>0</v>
      </c>
      <c r="P276" s="30">
        <f>I276-'315805 - P0824'!J276</f>
        <v>0</v>
      </c>
    </row>
    <row r="277" spans="1:16" x14ac:dyDescent="0.25">
      <c r="A277">
        <v>275</v>
      </c>
      <c r="C277" t="s">
        <v>8</v>
      </c>
      <c r="D277" s="4" t="s">
        <v>268</v>
      </c>
      <c r="E277" s="12">
        <v>12.5</v>
      </c>
      <c r="F277" s="11">
        <v>12.5</v>
      </c>
      <c r="G277" s="6">
        <f t="shared" si="70"/>
        <v>0</v>
      </c>
      <c r="H277" s="7">
        <f t="shared" si="71"/>
        <v>0</v>
      </c>
      <c r="I277" s="8">
        <v>21.214819136522753</v>
      </c>
      <c r="J277" s="9">
        <f t="shared" si="72"/>
        <v>21.214819136522753</v>
      </c>
      <c r="K277" s="3">
        <f t="shared" si="73"/>
        <v>0</v>
      </c>
      <c r="L277" s="7">
        <f t="shared" si="74"/>
        <v>0</v>
      </c>
      <c r="M277" t="s">
        <v>187</v>
      </c>
      <c r="O277" s="3">
        <f>E277-'315805 - P0824'!F277</f>
        <v>0</v>
      </c>
      <c r="P277" s="30">
        <f>I277-'315805 - P0824'!J277</f>
        <v>0</v>
      </c>
    </row>
    <row r="278" spans="1:16" x14ac:dyDescent="0.25">
      <c r="A278">
        <v>276</v>
      </c>
      <c r="C278" t="s">
        <v>8</v>
      </c>
      <c r="D278" s="4" t="s">
        <v>269</v>
      </c>
      <c r="E278" s="12">
        <v>12</v>
      </c>
      <c r="F278" s="12">
        <v>12</v>
      </c>
      <c r="G278" s="6">
        <f>+F278-E278</f>
        <v>0</v>
      </c>
      <c r="H278" s="7">
        <f>(F278-E278)/ABS(E278)</f>
        <v>0</v>
      </c>
      <c r="I278" s="8">
        <v>18.47</v>
      </c>
      <c r="J278" s="9">
        <f>(I278*H278)+I278</f>
        <v>18.47</v>
      </c>
      <c r="K278" s="3">
        <f>J278-I278</f>
        <v>0</v>
      </c>
      <c r="L278" s="7">
        <f>(J278-I278)/ABS(I278)</f>
        <v>0</v>
      </c>
      <c r="M278" t="s">
        <v>187</v>
      </c>
      <c r="O278" s="3">
        <f>E278-'315805 - P0824'!F278</f>
        <v>0</v>
      </c>
      <c r="P278" s="30">
        <f>I278-'315805 - P0824'!J278</f>
        <v>0</v>
      </c>
    </row>
    <row r="279" spans="1:16" x14ac:dyDescent="0.25">
      <c r="A279">
        <v>277</v>
      </c>
      <c r="C279" t="s">
        <v>8</v>
      </c>
      <c r="D279" s="4" t="s">
        <v>270</v>
      </c>
      <c r="E279" s="12">
        <v>8.9499999999999993</v>
      </c>
      <c r="F279" s="11">
        <v>8.9499999999999993</v>
      </c>
      <c r="G279" s="6">
        <f t="shared" si="70"/>
        <v>0</v>
      </c>
      <c r="H279" s="7">
        <f t="shared" si="71"/>
        <v>0</v>
      </c>
      <c r="I279" s="8">
        <v>29.456687862360731</v>
      </c>
      <c r="J279" s="9">
        <f t="shared" si="72"/>
        <v>29.456687862360731</v>
      </c>
      <c r="K279" s="3">
        <f t="shared" si="73"/>
        <v>0</v>
      </c>
      <c r="L279" s="7">
        <f t="shared" si="74"/>
        <v>0</v>
      </c>
      <c r="M279" t="s">
        <v>187</v>
      </c>
      <c r="O279" s="3">
        <f>E279-'315805 - P0824'!F279</f>
        <v>0</v>
      </c>
      <c r="P279" s="30">
        <f>I279-'315805 - P0824'!J279</f>
        <v>0</v>
      </c>
    </row>
    <row r="280" spans="1:16" x14ac:dyDescent="0.25">
      <c r="A280">
        <v>278</v>
      </c>
      <c r="C280" t="s">
        <v>8</v>
      </c>
      <c r="D280" s="4" t="s">
        <v>271</v>
      </c>
      <c r="E280" s="16">
        <v>46.13</v>
      </c>
      <c r="F280" s="12">
        <v>46.13</v>
      </c>
      <c r="G280" s="6">
        <f t="shared" si="70"/>
        <v>0</v>
      </c>
      <c r="H280" s="7">
        <f t="shared" si="71"/>
        <v>0</v>
      </c>
      <c r="I280" s="8">
        <v>71.680000000000007</v>
      </c>
      <c r="J280" s="9">
        <f t="shared" si="72"/>
        <v>71.680000000000007</v>
      </c>
      <c r="K280" s="3">
        <f t="shared" si="73"/>
        <v>0</v>
      </c>
      <c r="L280" s="7">
        <f t="shared" si="74"/>
        <v>0</v>
      </c>
      <c r="M280" t="s">
        <v>187</v>
      </c>
      <c r="O280" s="3">
        <f>E280-'315805 - P0824'!F280</f>
        <v>0</v>
      </c>
      <c r="P280" s="30">
        <f>I280-'315805 - P0824'!J280</f>
        <v>0</v>
      </c>
    </row>
    <row r="281" spans="1:16" x14ac:dyDescent="0.25">
      <c r="A281">
        <v>279</v>
      </c>
      <c r="C281" t="s">
        <v>8</v>
      </c>
      <c r="D281" s="4" t="s">
        <v>272</v>
      </c>
      <c r="E281" s="5">
        <v>5.85</v>
      </c>
      <c r="F281" s="5">
        <v>5.85</v>
      </c>
      <c r="G281" s="6">
        <f t="shared" si="70"/>
        <v>0</v>
      </c>
      <c r="H281" s="7">
        <f t="shared" si="71"/>
        <v>0</v>
      </c>
      <c r="I281" s="8">
        <v>6.9</v>
      </c>
      <c r="J281" s="9">
        <f t="shared" si="72"/>
        <v>6.9</v>
      </c>
      <c r="K281" s="3">
        <f t="shared" si="73"/>
        <v>0</v>
      </c>
      <c r="L281" s="7">
        <f t="shared" si="74"/>
        <v>0</v>
      </c>
      <c r="M281" t="s">
        <v>150</v>
      </c>
      <c r="O281" s="3">
        <f>E281-'315805 - P0824'!F281</f>
        <v>0</v>
      </c>
      <c r="P281" s="30">
        <f>I281-'315805 - P0824'!J281</f>
        <v>0</v>
      </c>
    </row>
    <row r="282" spans="1:16" x14ac:dyDescent="0.25">
      <c r="A282">
        <v>280</v>
      </c>
      <c r="C282" t="s">
        <v>8</v>
      </c>
      <c r="D282" s="4" t="s">
        <v>273</v>
      </c>
      <c r="E282" s="5">
        <v>6.93</v>
      </c>
      <c r="F282" s="5">
        <v>6.93</v>
      </c>
      <c r="G282" s="6">
        <f t="shared" si="70"/>
        <v>0</v>
      </c>
      <c r="H282" s="7">
        <f t="shared" si="71"/>
        <v>0</v>
      </c>
      <c r="I282" s="8">
        <v>13.99</v>
      </c>
      <c r="J282" s="9">
        <f t="shared" si="72"/>
        <v>13.99</v>
      </c>
      <c r="K282" s="3">
        <f t="shared" si="73"/>
        <v>0</v>
      </c>
      <c r="L282" s="7">
        <f t="shared" si="74"/>
        <v>0</v>
      </c>
      <c r="M282" t="s">
        <v>150</v>
      </c>
      <c r="O282" s="3">
        <f>E282-'315805 - P0824'!F282</f>
        <v>0</v>
      </c>
      <c r="P282" s="30">
        <f>I282-'315805 - P0824'!J282</f>
        <v>0</v>
      </c>
    </row>
    <row r="283" spans="1:16" x14ac:dyDescent="0.25">
      <c r="A283">
        <v>281</v>
      </c>
      <c r="C283" t="s">
        <v>8</v>
      </c>
      <c r="D283" s="4" t="s">
        <v>274</v>
      </c>
      <c r="E283" s="5">
        <v>6.93</v>
      </c>
      <c r="F283" s="5">
        <v>6.93</v>
      </c>
      <c r="G283" s="6">
        <f t="shared" si="70"/>
        <v>0</v>
      </c>
      <c r="H283" s="7">
        <f t="shared" si="71"/>
        <v>0</v>
      </c>
      <c r="I283" s="8">
        <v>7.9</v>
      </c>
      <c r="J283" s="9">
        <f t="shared" si="72"/>
        <v>7.9</v>
      </c>
      <c r="K283" s="3">
        <f t="shared" si="73"/>
        <v>0</v>
      </c>
      <c r="L283" s="7">
        <f t="shared" si="74"/>
        <v>0</v>
      </c>
      <c r="M283" t="s">
        <v>150</v>
      </c>
      <c r="O283" s="3">
        <f>E283-'315805 - P0824'!F283</f>
        <v>0</v>
      </c>
      <c r="P283" s="30">
        <f>I283-'315805 - P0824'!J283</f>
        <v>0</v>
      </c>
    </row>
    <row r="284" spans="1:16" x14ac:dyDescent="0.25">
      <c r="A284">
        <v>282</v>
      </c>
      <c r="C284" t="s">
        <v>8</v>
      </c>
      <c r="D284" s="4" t="s">
        <v>275</v>
      </c>
      <c r="E284" s="12">
        <v>2.56</v>
      </c>
      <c r="F284" s="11">
        <v>2.56</v>
      </c>
      <c r="G284" s="6">
        <f t="shared" si="70"/>
        <v>0</v>
      </c>
      <c r="H284" s="7">
        <f t="shared" si="71"/>
        <v>0</v>
      </c>
      <c r="I284" s="8">
        <v>8.0228714375055841</v>
      </c>
      <c r="J284" s="9">
        <f t="shared" si="72"/>
        <v>8.0228714375055841</v>
      </c>
      <c r="K284" s="3">
        <f t="shared" si="73"/>
        <v>0</v>
      </c>
      <c r="L284" s="7">
        <f t="shared" si="74"/>
        <v>0</v>
      </c>
      <c r="M284" t="s">
        <v>150</v>
      </c>
      <c r="O284" s="3">
        <f>E284-'315805 - P0824'!F284</f>
        <v>0</v>
      </c>
      <c r="P284" s="30">
        <f>I284-'315805 - P0824'!J284</f>
        <v>0</v>
      </c>
    </row>
    <row r="285" spans="1:16" x14ac:dyDescent="0.25">
      <c r="A285">
        <v>283</v>
      </c>
      <c r="C285" t="s">
        <v>8</v>
      </c>
      <c r="D285" s="4" t="s">
        <v>276</v>
      </c>
      <c r="E285" s="12">
        <v>3.71</v>
      </c>
      <c r="F285" s="11">
        <v>3.71</v>
      </c>
      <c r="G285" s="6">
        <f t="shared" si="70"/>
        <v>0</v>
      </c>
      <c r="H285" s="7">
        <f t="shared" si="71"/>
        <v>0</v>
      </c>
      <c r="I285" s="8">
        <v>9.2527255216693405</v>
      </c>
      <c r="J285" s="9">
        <f t="shared" si="72"/>
        <v>9.2527255216693405</v>
      </c>
      <c r="K285" s="3">
        <f t="shared" si="73"/>
        <v>0</v>
      </c>
      <c r="L285" s="7">
        <f t="shared" si="74"/>
        <v>0</v>
      </c>
      <c r="M285" t="s">
        <v>150</v>
      </c>
      <c r="O285" s="3">
        <f>E285-'315805 - P0824'!F285</f>
        <v>0</v>
      </c>
      <c r="P285" s="30">
        <f>I285-'315805 - P0824'!J285</f>
        <v>0</v>
      </c>
    </row>
    <row r="286" spans="1:16" x14ac:dyDescent="0.25">
      <c r="A286">
        <v>284</v>
      </c>
      <c r="C286" t="s">
        <v>277</v>
      </c>
      <c r="D286" s="4" t="s">
        <v>278</v>
      </c>
      <c r="E286" s="11">
        <v>85.35</v>
      </c>
      <c r="F286" s="11">
        <v>85.35</v>
      </c>
      <c r="G286" s="6">
        <f t="shared" si="70"/>
        <v>0</v>
      </c>
      <c r="H286" s="7">
        <f t="shared" si="71"/>
        <v>0</v>
      </c>
      <c r="I286" s="8">
        <v>129.08106565176024</v>
      </c>
      <c r="J286" s="9">
        <f t="shared" si="72"/>
        <v>129.08106565176024</v>
      </c>
      <c r="K286" s="3">
        <f t="shared" si="73"/>
        <v>0</v>
      </c>
      <c r="L286" s="7">
        <f t="shared" si="74"/>
        <v>0</v>
      </c>
      <c r="M286" t="s">
        <v>150</v>
      </c>
      <c r="O286" s="3">
        <f>E286-'315805 - P0824'!F286</f>
        <v>0</v>
      </c>
      <c r="P286" s="30">
        <f>I286-'315805 - P0824'!J286</f>
        <v>0</v>
      </c>
    </row>
    <row r="287" spans="1:16" x14ac:dyDescent="0.25">
      <c r="A287">
        <v>285</v>
      </c>
      <c r="C287" t="s">
        <v>8</v>
      </c>
      <c r="D287" s="4" t="s">
        <v>279</v>
      </c>
      <c r="E287" s="12">
        <v>3.47</v>
      </c>
      <c r="F287" s="12">
        <v>3.47</v>
      </c>
      <c r="G287" s="6">
        <f t="shared" si="70"/>
        <v>0</v>
      </c>
      <c r="H287" s="7">
        <f t="shared" si="71"/>
        <v>0</v>
      </c>
      <c r="I287" s="8">
        <v>9.272871621621622</v>
      </c>
      <c r="J287" s="9">
        <f t="shared" si="72"/>
        <v>9.272871621621622</v>
      </c>
      <c r="K287" s="3">
        <f t="shared" si="73"/>
        <v>0</v>
      </c>
      <c r="L287" s="7">
        <f t="shared" si="74"/>
        <v>0</v>
      </c>
      <c r="M287" t="s">
        <v>150</v>
      </c>
      <c r="O287" s="3">
        <f>E287-'315805 - P0824'!F287</f>
        <v>0</v>
      </c>
      <c r="P287" s="30">
        <f>I287-'315805 - P0824'!J287</f>
        <v>0</v>
      </c>
    </row>
    <row r="288" spans="1:16" x14ac:dyDescent="0.25">
      <c r="A288">
        <v>286</v>
      </c>
      <c r="C288" t="s">
        <v>8</v>
      </c>
      <c r="D288" s="4" t="s">
        <v>280</v>
      </c>
      <c r="E288" s="12">
        <v>3.03</v>
      </c>
      <c r="F288" s="12">
        <v>3.03</v>
      </c>
      <c r="G288" s="6">
        <f t="shared" si="70"/>
        <v>0</v>
      </c>
      <c r="H288" s="7">
        <f t="shared" si="71"/>
        <v>0</v>
      </c>
      <c r="I288" s="8">
        <v>6.4226640926640925</v>
      </c>
      <c r="J288" s="9">
        <f t="shared" si="72"/>
        <v>6.4226640926640925</v>
      </c>
      <c r="K288" s="3">
        <f t="shared" si="73"/>
        <v>0</v>
      </c>
      <c r="L288" s="7">
        <f t="shared" si="74"/>
        <v>0</v>
      </c>
      <c r="M288" t="s">
        <v>150</v>
      </c>
      <c r="O288" s="3">
        <f>E288-'315805 - P0824'!F288</f>
        <v>0</v>
      </c>
      <c r="P288" s="30">
        <f>I288-'315805 - P0824'!J288</f>
        <v>0</v>
      </c>
    </row>
    <row r="289" spans="1:16" x14ac:dyDescent="0.25">
      <c r="A289">
        <v>287</v>
      </c>
      <c r="C289" t="s">
        <v>8</v>
      </c>
      <c r="D289" s="4" t="s">
        <v>281</v>
      </c>
      <c r="E289" s="12">
        <v>12.95</v>
      </c>
      <c r="F289" s="12">
        <v>12.95</v>
      </c>
      <c r="G289" s="6">
        <f t="shared" si="70"/>
        <v>0</v>
      </c>
      <c r="H289" s="7">
        <f t="shared" si="71"/>
        <v>0</v>
      </c>
      <c r="I289" s="8">
        <v>25.9</v>
      </c>
      <c r="J289" s="9">
        <f t="shared" si="72"/>
        <v>25.9</v>
      </c>
      <c r="K289" s="3">
        <f t="shared" si="73"/>
        <v>0</v>
      </c>
      <c r="L289" s="7">
        <f t="shared" si="74"/>
        <v>0</v>
      </c>
      <c r="M289" t="s">
        <v>150</v>
      </c>
      <c r="O289" s="3">
        <f>E289-'315805 - P0824'!F289</f>
        <v>0</v>
      </c>
      <c r="P289" s="30">
        <f>I289-'315805 - P0824'!J289</f>
        <v>0</v>
      </c>
    </row>
    <row r="290" spans="1:16" x14ac:dyDescent="0.25">
      <c r="A290">
        <v>288</v>
      </c>
      <c r="C290" t="s">
        <v>8</v>
      </c>
      <c r="D290" s="4" t="s">
        <v>282</v>
      </c>
      <c r="E290" s="12">
        <v>9.27</v>
      </c>
      <c r="F290" s="12">
        <v>9.27</v>
      </c>
      <c r="G290" s="6">
        <f t="shared" si="70"/>
        <v>0</v>
      </c>
      <c r="H290" s="7">
        <f t="shared" si="71"/>
        <v>0</v>
      </c>
      <c r="I290" s="8">
        <v>18.54</v>
      </c>
      <c r="J290" s="9">
        <f t="shared" si="72"/>
        <v>18.54</v>
      </c>
      <c r="K290" s="3">
        <f t="shared" si="73"/>
        <v>0</v>
      </c>
      <c r="L290" s="7">
        <f t="shared" si="74"/>
        <v>0</v>
      </c>
      <c r="M290" t="s">
        <v>150</v>
      </c>
      <c r="O290" s="3">
        <f>E290-'315805 - P0824'!F290</f>
        <v>0</v>
      </c>
      <c r="P290" s="30">
        <f>I290-'315805 - P0824'!J290</f>
        <v>0</v>
      </c>
    </row>
    <row r="291" spans="1:16" x14ac:dyDescent="0.25">
      <c r="A291">
        <v>289</v>
      </c>
      <c r="C291" t="s">
        <v>8</v>
      </c>
      <c r="D291" s="4" t="s">
        <v>283</v>
      </c>
      <c r="E291" s="12">
        <v>4.38</v>
      </c>
      <c r="F291" s="12">
        <v>4.38</v>
      </c>
      <c r="G291" s="6">
        <f t="shared" si="70"/>
        <v>0</v>
      </c>
      <c r="H291" s="7">
        <f t="shared" si="71"/>
        <v>0</v>
      </c>
      <c r="I291" s="8">
        <v>19.878299999999999</v>
      </c>
      <c r="J291" s="9">
        <f t="shared" si="72"/>
        <v>19.878299999999999</v>
      </c>
      <c r="K291" s="3">
        <f t="shared" si="73"/>
        <v>0</v>
      </c>
      <c r="L291" s="7">
        <f t="shared" si="74"/>
        <v>0</v>
      </c>
      <c r="M291" t="s">
        <v>150</v>
      </c>
      <c r="O291" s="3">
        <f>E291-'315805 - P0824'!F291</f>
        <v>0</v>
      </c>
      <c r="P291" s="30">
        <f>I291-'315805 - P0824'!J291</f>
        <v>0</v>
      </c>
    </row>
    <row r="292" spans="1:16" x14ac:dyDescent="0.25">
      <c r="A292">
        <v>290</v>
      </c>
      <c r="C292" t="s">
        <v>8</v>
      </c>
      <c r="D292" s="4" t="s">
        <v>284</v>
      </c>
      <c r="E292" s="12">
        <v>7.78</v>
      </c>
      <c r="F292" s="12">
        <v>7.78</v>
      </c>
      <c r="G292" s="6">
        <f t="shared" si="70"/>
        <v>0</v>
      </c>
      <c r="H292" s="7">
        <f t="shared" si="71"/>
        <v>0</v>
      </c>
      <c r="I292" s="8">
        <v>20.218751857355123</v>
      </c>
      <c r="J292" s="9">
        <f t="shared" si="72"/>
        <v>20.218751857355123</v>
      </c>
      <c r="K292" s="3">
        <f t="shared" si="73"/>
        <v>0</v>
      </c>
      <c r="L292" s="7">
        <f t="shared" si="74"/>
        <v>0</v>
      </c>
      <c r="M292" t="s">
        <v>150</v>
      </c>
      <c r="O292" s="3">
        <f>E292-'315805 - P0824'!F292</f>
        <v>0</v>
      </c>
      <c r="P292" s="30">
        <f>I292-'315805 - P0824'!J292</f>
        <v>0</v>
      </c>
    </row>
    <row r="293" spans="1:16" x14ac:dyDescent="0.25">
      <c r="A293">
        <v>291</v>
      </c>
      <c r="C293" t="s">
        <v>8</v>
      </c>
      <c r="D293" s="4" t="s">
        <v>285</v>
      </c>
      <c r="E293" s="12">
        <v>0.98</v>
      </c>
      <c r="F293" s="12">
        <v>0.98</v>
      </c>
      <c r="G293" s="6">
        <f t="shared" si="70"/>
        <v>0</v>
      </c>
      <c r="H293" s="7">
        <f t="shared" si="71"/>
        <v>0</v>
      </c>
      <c r="I293" s="8">
        <v>2.0746808510638299</v>
      </c>
      <c r="J293" s="9">
        <f t="shared" si="72"/>
        <v>2.0746808510638299</v>
      </c>
      <c r="K293" s="3">
        <f t="shared" si="73"/>
        <v>0</v>
      </c>
      <c r="L293" s="7">
        <f t="shared" si="74"/>
        <v>0</v>
      </c>
      <c r="M293" t="s">
        <v>150</v>
      </c>
      <c r="O293" s="3">
        <f>E293-'315805 - P0824'!F293</f>
        <v>0</v>
      </c>
      <c r="P293" s="30">
        <f>I293-'315805 - P0824'!J293</f>
        <v>0</v>
      </c>
    </row>
    <row r="294" spans="1:16" x14ac:dyDescent="0.25">
      <c r="A294">
        <v>292</v>
      </c>
      <c r="C294" t="s">
        <v>8</v>
      </c>
      <c r="D294" s="4" t="s">
        <v>286</v>
      </c>
      <c r="E294" s="12">
        <v>0.56999999999999995</v>
      </c>
      <c r="F294" s="12">
        <v>0.56999999999999995</v>
      </c>
      <c r="G294" s="6">
        <f t="shared" si="70"/>
        <v>0</v>
      </c>
      <c r="H294" s="7">
        <f t="shared" si="71"/>
        <v>0</v>
      </c>
      <c r="I294" s="8">
        <v>1.29</v>
      </c>
      <c r="J294" s="9">
        <f t="shared" si="72"/>
        <v>1.29</v>
      </c>
      <c r="K294" s="3">
        <f t="shared" si="73"/>
        <v>0</v>
      </c>
      <c r="L294" s="7">
        <f t="shared" si="74"/>
        <v>0</v>
      </c>
      <c r="M294" t="s">
        <v>150</v>
      </c>
      <c r="O294" s="3">
        <f>E294-'315805 - P0824'!F294</f>
        <v>0</v>
      </c>
      <c r="P294" s="30">
        <f>I294-'315805 - P0824'!J294</f>
        <v>0</v>
      </c>
    </row>
    <row r="295" spans="1:16" x14ac:dyDescent="0.25">
      <c r="A295">
        <v>293</v>
      </c>
      <c r="C295" t="s">
        <v>8</v>
      </c>
      <c r="D295" s="4" t="s">
        <v>287</v>
      </c>
      <c r="E295" s="12">
        <v>3.2</v>
      </c>
      <c r="F295" s="12">
        <v>3.2</v>
      </c>
      <c r="G295" s="6">
        <f t="shared" si="70"/>
        <v>0</v>
      </c>
      <c r="H295" s="7">
        <f t="shared" si="71"/>
        <v>0</v>
      </c>
      <c r="I295" s="8">
        <v>9.2899999999999991</v>
      </c>
      <c r="J295" s="9">
        <f t="shared" si="72"/>
        <v>9.2899999999999991</v>
      </c>
      <c r="K295" s="3">
        <f t="shared" si="73"/>
        <v>0</v>
      </c>
      <c r="L295" s="7">
        <f t="shared" si="74"/>
        <v>0</v>
      </c>
      <c r="M295" t="s">
        <v>150</v>
      </c>
      <c r="O295" s="3">
        <f>E295-'315805 - P0824'!F295</f>
        <v>0</v>
      </c>
      <c r="P295" s="30">
        <f>I295-'315805 - P0824'!J295</f>
        <v>0</v>
      </c>
    </row>
    <row r="296" spans="1:16" x14ac:dyDescent="0.25">
      <c r="A296">
        <v>294</v>
      </c>
      <c r="D296" s="34" t="s">
        <v>288</v>
      </c>
      <c r="H296" s="10">
        <f>AVERAGE(H251:H290)</f>
        <v>0</v>
      </c>
      <c r="I296"/>
    </row>
    <row r="297" spans="1:16" x14ac:dyDescent="0.25">
      <c r="A297">
        <v>295</v>
      </c>
      <c r="D297" s="34" t="s">
        <v>289</v>
      </c>
      <c r="I297"/>
      <c r="M297" t="s">
        <v>187</v>
      </c>
    </row>
    <row r="298" spans="1:16" x14ac:dyDescent="0.25">
      <c r="A298">
        <v>296</v>
      </c>
      <c r="B298" t="s">
        <v>468</v>
      </c>
      <c r="C298" t="s">
        <v>291</v>
      </c>
      <c r="D298" s="4" t="s">
        <v>292</v>
      </c>
      <c r="E298" s="12">
        <v>83.45</v>
      </c>
      <c r="F298" s="12">
        <v>83.45</v>
      </c>
      <c r="G298" s="6">
        <f t="shared" ref="G298:G331" si="75">+F298-E298</f>
        <v>0</v>
      </c>
      <c r="H298" s="7">
        <f t="shared" ref="H298:H331" si="76">(F298-E298)/ABS(E298)</f>
        <v>0</v>
      </c>
      <c r="I298" s="8">
        <v>116.82130707692306</v>
      </c>
      <c r="J298" s="9">
        <f t="shared" ref="J298:J331" si="77">(I298*H298)+I298</f>
        <v>116.82130707692306</v>
      </c>
      <c r="K298" s="3">
        <f t="shared" ref="K298:K331" si="78">J298-I298</f>
        <v>0</v>
      </c>
      <c r="L298" s="7">
        <f t="shared" ref="L298:L331" si="79">(J298-I298)/ABS(I298)</f>
        <v>0</v>
      </c>
      <c r="M298" t="s">
        <v>187</v>
      </c>
      <c r="O298" s="3">
        <f>E298-'315805 - P0824'!F298</f>
        <v>0</v>
      </c>
      <c r="P298" s="30">
        <f>I298-'315805 - P0824'!J298</f>
        <v>0</v>
      </c>
    </row>
    <row r="299" spans="1:16" x14ac:dyDescent="0.25">
      <c r="A299">
        <v>297</v>
      </c>
      <c r="B299" t="s">
        <v>471</v>
      </c>
      <c r="C299" t="s">
        <v>291</v>
      </c>
      <c r="D299" s="4" t="s">
        <v>293</v>
      </c>
      <c r="E299" s="12">
        <v>17.16</v>
      </c>
      <c r="F299" s="12">
        <v>17.16</v>
      </c>
      <c r="G299" s="6">
        <f t="shared" si="75"/>
        <v>0</v>
      </c>
      <c r="H299" s="7">
        <f t="shared" si="76"/>
        <v>0</v>
      </c>
      <c r="I299" s="8">
        <v>23.58</v>
      </c>
      <c r="J299" s="9">
        <f t="shared" si="77"/>
        <v>23.58</v>
      </c>
      <c r="K299" s="3">
        <f t="shared" si="78"/>
        <v>0</v>
      </c>
      <c r="L299" s="7">
        <f t="shared" si="79"/>
        <v>0</v>
      </c>
      <c r="M299" t="s">
        <v>187</v>
      </c>
      <c r="O299" s="3">
        <f>E299-'315805 - P0824'!F299</f>
        <v>0</v>
      </c>
      <c r="P299" s="30">
        <f>I299-'315805 - P0824'!J299</f>
        <v>0</v>
      </c>
    </row>
    <row r="300" spans="1:16" x14ac:dyDescent="0.25">
      <c r="A300">
        <v>298</v>
      </c>
      <c r="B300" t="s">
        <v>468</v>
      </c>
      <c r="C300" t="s">
        <v>291</v>
      </c>
      <c r="D300" s="4" t="s">
        <v>295</v>
      </c>
      <c r="E300" s="12">
        <v>20.45</v>
      </c>
      <c r="F300" s="12">
        <v>20.45</v>
      </c>
      <c r="G300" s="6">
        <f t="shared" si="75"/>
        <v>0</v>
      </c>
      <c r="H300" s="7">
        <f t="shared" si="76"/>
        <v>0</v>
      </c>
      <c r="I300" s="8">
        <v>28.117117241379304</v>
      </c>
      <c r="J300" s="9">
        <f t="shared" si="77"/>
        <v>28.117117241379304</v>
      </c>
      <c r="K300" s="3">
        <f t="shared" si="78"/>
        <v>0</v>
      </c>
      <c r="L300" s="7">
        <f t="shared" si="79"/>
        <v>0</v>
      </c>
      <c r="M300" t="s">
        <v>187</v>
      </c>
      <c r="O300" s="3">
        <f>E300-'315805 - P0824'!F300</f>
        <v>0</v>
      </c>
      <c r="P300" s="30">
        <f>I300-'315805 - P0824'!J300</f>
        <v>0</v>
      </c>
    </row>
    <row r="301" spans="1:16" x14ac:dyDescent="0.25">
      <c r="A301">
        <v>299</v>
      </c>
      <c r="B301" t="s">
        <v>471</v>
      </c>
      <c r="C301" t="s">
        <v>291</v>
      </c>
      <c r="D301" s="4" t="s">
        <v>296</v>
      </c>
      <c r="E301" s="12">
        <v>35.15</v>
      </c>
      <c r="F301" s="12">
        <v>35.15</v>
      </c>
      <c r="G301" s="6">
        <f t="shared" si="75"/>
        <v>0</v>
      </c>
      <c r="H301" s="7">
        <f t="shared" si="76"/>
        <v>0</v>
      </c>
      <c r="I301" s="8">
        <v>48.263872071910107</v>
      </c>
      <c r="J301" s="9">
        <f t="shared" si="77"/>
        <v>48.263872071910107</v>
      </c>
      <c r="K301" s="3">
        <f t="shared" si="78"/>
        <v>0</v>
      </c>
      <c r="L301" s="7">
        <f t="shared" si="79"/>
        <v>0</v>
      </c>
      <c r="M301" t="s">
        <v>187</v>
      </c>
      <c r="O301" s="3">
        <f>E301-'315805 - P0824'!F301</f>
        <v>0</v>
      </c>
      <c r="P301" s="30">
        <f>I301-'315805 - P0824'!J301</f>
        <v>0</v>
      </c>
    </row>
    <row r="302" spans="1:16" x14ac:dyDescent="0.25">
      <c r="A302">
        <v>300</v>
      </c>
      <c r="B302" t="s">
        <v>472</v>
      </c>
      <c r="C302" t="s">
        <v>291</v>
      </c>
      <c r="D302" s="4" t="s">
        <v>297</v>
      </c>
      <c r="E302" s="12">
        <v>7.16</v>
      </c>
      <c r="F302" s="12">
        <v>7.16</v>
      </c>
      <c r="G302" s="6">
        <f t="shared" si="75"/>
        <v>0</v>
      </c>
      <c r="H302" s="7">
        <f t="shared" si="76"/>
        <v>0</v>
      </c>
      <c r="I302" s="8">
        <v>9.85</v>
      </c>
      <c r="J302" s="9">
        <f t="shared" si="77"/>
        <v>9.85</v>
      </c>
      <c r="K302" s="3">
        <f t="shared" si="78"/>
        <v>0</v>
      </c>
      <c r="L302" s="7">
        <f t="shared" si="79"/>
        <v>0</v>
      </c>
      <c r="M302" t="s">
        <v>187</v>
      </c>
      <c r="O302" s="3">
        <f>E302-'315805 - P0824'!F302</f>
        <v>0</v>
      </c>
      <c r="P302" s="30">
        <f>I302-'315805 - P0824'!J302</f>
        <v>0</v>
      </c>
    </row>
    <row r="303" spans="1:16" x14ac:dyDescent="0.25">
      <c r="A303">
        <v>301</v>
      </c>
      <c r="B303" t="s">
        <v>486</v>
      </c>
      <c r="C303" t="s">
        <v>291</v>
      </c>
      <c r="D303" s="4" t="s">
        <v>298</v>
      </c>
      <c r="E303" s="12">
        <v>0.49</v>
      </c>
      <c r="F303" s="12">
        <v>0.49</v>
      </c>
      <c r="G303" s="6">
        <f t="shared" si="75"/>
        <v>0</v>
      </c>
      <c r="H303" s="7">
        <f t="shared" si="76"/>
        <v>0</v>
      </c>
      <c r="I303" s="8">
        <v>0.69</v>
      </c>
      <c r="J303" s="9">
        <f t="shared" si="77"/>
        <v>0.69</v>
      </c>
      <c r="K303" s="3">
        <f t="shared" si="78"/>
        <v>0</v>
      </c>
      <c r="L303" s="7">
        <f t="shared" si="79"/>
        <v>0</v>
      </c>
      <c r="M303" t="s">
        <v>187</v>
      </c>
      <c r="O303" s="3">
        <f>E303-'315805 - P0824'!F303</f>
        <v>0</v>
      </c>
      <c r="P303" s="30">
        <f>I303-'315805 - P0824'!J303</f>
        <v>0</v>
      </c>
    </row>
    <row r="304" spans="1:16" x14ac:dyDescent="0.25">
      <c r="A304">
        <v>302</v>
      </c>
      <c r="B304" t="s">
        <v>471</v>
      </c>
      <c r="C304" t="s">
        <v>291</v>
      </c>
      <c r="D304" s="4" t="s">
        <v>299</v>
      </c>
      <c r="E304" s="12">
        <v>21.81</v>
      </c>
      <c r="F304" s="12">
        <v>21.81</v>
      </c>
      <c r="G304" s="6">
        <f t="shared" si="75"/>
        <v>0</v>
      </c>
      <c r="H304" s="7">
        <f t="shared" si="76"/>
        <v>0</v>
      </c>
      <c r="I304" s="8">
        <v>29.968966617429842</v>
      </c>
      <c r="J304" s="9">
        <f t="shared" si="77"/>
        <v>29.968966617429842</v>
      </c>
      <c r="K304" s="3">
        <f t="shared" si="78"/>
        <v>0</v>
      </c>
      <c r="L304" s="7">
        <f t="shared" si="79"/>
        <v>0</v>
      </c>
      <c r="M304" t="s">
        <v>187</v>
      </c>
      <c r="O304" s="3">
        <f>E304-'315805 - P0824'!F304</f>
        <v>0</v>
      </c>
      <c r="P304" s="30">
        <f>I304-'315805 - P0824'!J304</f>
        <v>0</v>
      </c>
    </row>
    <row r="305" spans="1:16" x14ac:dyDescent="0.25">
      <c r="A305">
        <v>303</v>
      </c>
      <c r="B305" s="28" t="s">
        <v>471</v>
      </c>
      <c r="C305" t="s">
        <v>291</v>
      </c>
      <c r="D305" s="4" t="s">
        <v>300</v>
      </c>
      <c r="E305" s="12">
        <v>2.2000000000000002</v>
      </c>
      <c r="F305" s="12">
        <v>2.2000000000000002</v>
      </c>
      <c r="G305" s="6">
        <f t="shared" si="75"/>
        <v>0</v>
      </c>
      <c r="H305" s="7">
        <f t="shared" si="76"/>
        <v>0</v>
      </c>
      <c r="I305" s="8">
        <v>3.0480105109489042</v>
      </c>
      <c r="J305" s="9">
        <f t="shared" si="77"/>
        <v>3.0480105109489042</v>
      </c>
      <c r="K305" s="3">
        <f t="shared" si="78"/>
        <v>0</v>
      </c>
      <c r="L305" s="7">
        <f t="shared" si="79"/>
        <v>0</v>
      </c>
      <c r="M305" t="s">
        <v>187</v>
      </c>
      <c r="O305" s="3">
        <f>E305-'315805 - P0824'!F305</f>
        <v>0</v>
      </c>
      <c r="P305" s="30">
        <f>I305-'315805 - P0824'!J305</f>
        <v>0</v>
      </c>
    </row>
    <row r="306" spans="1:16" x14ac:dyDescent="0.25">
      <c r="A306">
        <v>304</v>
      </c>
      <c r="B306" t="s">
        <v>471</v>
      </c>
      <c r="C306" t="s">
        <v>291</v>
      </c>
      <c r="D306" s="4" t="s">
        <v>301</v>
      </c>
      <c r="E306" s="12">
        <v>2.73</v>
      </c>
      <c r="F306" s="12">
        <v>2.73</v>
      </c>
      <c r="G306" s="6">
        <f t="shared" si="75"/>
        <v>0</v>
      </c>
      <c r="H306" s="7">
        <f t="shared" si="76"/>
        <v>0</v>
      </c>
      <c r="I306" s="8">
        <v>3.751827692307693</v>
      </c>
      <c r="J306" s="9">
        <f t="shared" si="77"/>
        <v>3.751827692307693</v>
      </c>
      <c r="K306" s="3">
        <f t="shared" si="78"/>
        <v>0</v>
      </c>
      <c r="L306" s="7">
        <f t="shared" si="79"/>
        <v>0</v>
      </c>
      <c r="M306" t="s">
        <v>187</v>
      </c>
      <c r="O306" s="3">
        <f>E306-'315805 - P0824'!F306</f>
        <v>0</v>
      </c>
      <c r="P306" s="30">
        <f>I306-'315805 - P0824'!J306</f>
        <v>0</v>
      </c>
    </row>
    <row r="307" spans="1:16" x14ac:dyDescent="0.25">
      <c r="A307">
        <v>305</v>
      </c>
      <c r="B307" t="s">
        <v>469</v>
      </c>
      <c r="C307" t="s">
        <v>291</v>
      </c>
      <c r="D307" s="4" t="s">
        <v>302</v>
      </c>
      <c r="E307" s="12">
        <v>0.9</v>
      </c>
      <c r="F307" s="12">
        <v>0.9</v>
      </c>
      <c r="G307" s="6">
        <f t="shared" si="75"/>
        <v>0</v>
      </c>
      <c r="H307" s="7">
        <f t="shared" si="76"/>
        <v>0</v>
      </c>
      <c r="I307" s="8">
        <v>1.7875199999999998</v>
      </c>
      <c r="J307" s="9">
        <f t="shared" si="77"/>
        <v>1.7875199999999998</v>
      </c>
      <c r="K307" s="3">
        <f t="shared" si="78"/>
        <v>0</v>
      </c>
      <c r="L307" s="7">
        <f t="shared" si="79"/>
        <v>0</v>
      </c>
      <c r="M307" t="s">
        <v>187</v>
      </c>
      <c r="O307" s="3">
        <f>E307-'315805 - P0824'!F307</f>
        <v>0</v>
      </c>
      <c r="P307" s="30">
        <f>I307-'315805 - P0824'!J307</f>
        <v>0</v>
      </c>
    </row>
    <row r="308" spans="1:16" x14ac:dyDescent="0.25">
      <c r="A308">
        <v>306</v>
      </c>
      <c r="B308" t="s">
        <v>303</v>
      </c>
      <c r="C308" t="s">
        <v>291</v>
      </c>
      <c r="D308" s="4" t="s">
        <v>304</v>
      </c>
      <c r="E308" s="12">
        <v>66.48</v>
      </c>
      <c r="F308" s="12">
        <v>66.48</v>
      </c>
      <c r="G308" s="6">
        <f t="shared" si="75"/>
        <v>0</v>
      </c>
      <c r="H308" s="7">
        <f t="shared" si="76"/>
        <v>0</v>
      </c>
      <c r="I308" s="8">
        <v>91.32</v>
      </c>
      <c r="J308" s="9">
        <f t="shared" si="77"/>
        <v>91.32</v>
      </c>
      <c r="K308" s="3">
        <f t="shared" si="78"/>
        <v>0</v>
      </c>
      <c r="L308" s="7">
        <f t="shared" si="79"/>
        <v>0</v>
      </c>
      <c r="M308" t="s">
        <v>187</v>
      </c>
      <c r="O308" s="3">
        <f>E308-'315805 - P0824'!F308</f>
        <v>0</v>
      </c>
      <c r="P308" s="30">
        <f>I308-'315805 - P0824'!J308</f>
        <v>0</v>
      </c>
    </row>
    <row r="309" spans="1:16" x14ac:dyDescent="0.25">
      <c r="A309">
        <v>307</v>
      </c>
      <c r="B309" t="s">
        <v>305</v>
      </c>
      <c r="C309" t="s">
        <v>291</v>
      </c>
      <c r="D309" s="4" t="s">
        <v>306</v>
      </c>
      <c r="E309" s="12">
        <v>26.81</v>
      </c>
      <c r="F309" s="12">
        <v>26.81</v>
      </c>
      <c r="G309" s="13">
        <f t="shared" si="75"/>
        <v>0</v>
      </c>
      <c r="H309" s="7">
        <f t="shared" si="76"/>
        <v>0</v>
      </c>
      <c r="I309" s="8">
        <v>41.25</v>
      </c>
      <c r="J309" s="9">
        <f t="shared" si="77"/>
        <v>41.25</v>
      </c>
      <c r="K309" s="3">
        <f t="shared" si="78"/>
        <v>0</v>
      </c>
      <c r="L309" s="7">
        <f t="shared" si="79"/>
        <v>0</v>
      </c>
      <c r="M309" t="s">
        <v>187</v>
      </c>
      <c r="O309" s="3">
        <f>E309-'315805 - P0824'!F309</f>
        <v>0</v>
      </c>
      <c r="P309" s="30">
        <f>I309-'315805 - P0824'!J309</f>
        <v>0</v>
      </c>
    </row>
    <row r="310" spans="1:16" x14ac:dyDescent="0.25">
      <c r="A310">
        <v>308</v>
      </c>
      <c r="B310" t="s">
        <v>303</v>
      </c>
      <c r="C310" t="s">
        <v>291</v>
      </c>
      <c r="D310" s="4" t="s">
        <v>307</v>
      </c>
      <c r="E310" s="12">
        <v>38.020000000000003</v>
      </c>
      <c r="F310" s="12">
        <v>38.020000000000003</v>
      </c>
      <c r="G310" s="6">
        <f t="shared" si="75"/>
        <v>0</v>
      </c>
      <c r="H310" s="7">
        <f t="shared" si="76"/>
        <v>0</v>
      </c>
      <c r="I310" s="8">
        <v>52.23</v>
      </c>
      <c r="J310" s="9">
        <f t="shared" si="77"/>
        <v>52.23</v>
      </c>
      <c r="K310" s="3">
        <f t="shared" si="78"/>
        <v>0</v>
      </c>
      <c r="L310" s="7">
        <f t="shared" si="79"/>
        <v>0</v>
      </c>
      <c r="M310" t="s">
        <v>187</v>
      </c>
      <c r="O310" s="3">
        <f>E310-'315805 - P0824'!F310</f>
        <v>0</v>
      </c>
      <c r="P310" s="30">
        <f>I310-'315805 - P0824'!J310</f>
        <v>0</v>
      </c>
    </row>
    <row r="311" spans="1:16" x14ac:dyDescent="0.25">
      <c r="A311">
        <v>309</v>
      </c>
      <c r="B311" t="s">
        <v>303</v>
      </c>
      <c r="C311" t="s">
        <v>291</v>
      </c>
      <c r="D311" s="4" t="s">
        <v>308</v>
      </c>
      <c r="E311" s="12">
        <v>95.36</v>
      </c>
      <c r="F311" s="12">
        <v>95.36</v>
      </c>
      <c r="G311" s="6">
        <f t="shared" si="75"/>
        <v>0</v>
      </c>
      <c r="H311" s="7">
        <f t="shared" si="76"/>
        <v>0</v>
      </c>
      <c r="I311" s="8">
        <v>130.96011922503726</v>
      </c>
      <c r="J311" s="9">
        <f t="shared" si="77"/>
        <v>130.96011922503726</v>
      </c>
      <c r="K311" s="3">
        <f t="shared" si="78"/>
        <v>0</v>
      </c>
      <c r="L311" s="7">
        <f t="shared" si="79"/>
        <v>0</v>
      </c>
      <c r="M311" t="s">
        <v>187</v>
      </c>
      <c r="O311" s="3">
        <f>E311-'315805 - P0824'!F311</f>
        <v>0</v>
      </c>
      <c r="P311" s="30">
        <f>I311-'315805 - P0824'!J311</f>
        <v>0</v>
      </c>
    </row>
    <row r="312" spans="1:16" x14ac:dyDescent="0.25">
      <c r="A312">
        <v>310</v>
      </c>
      <c r="B312" t="s">
        <v>303</v>
      </c>
      <c r="C312" t="s">
        <v>291</v>
      </c>
      <c r="D312" s="4" t="s">
        <v>309</v>
      </c>
      <c r="E312" s="12">
        <v>15.89</v>
      </c>
      <c r="F312" s="12">
        <v>15.89</v>
      </c>
      <c r="G312" s="6">
        <f t="shared" si="75"/>
        <v>0</v>
      </c>
      <c r="H312" s="7">
        <f t="shared" si="76"/>
        <v>0</v>
      </c>
      <c r="I312" s="8">
        <v>21.821258516129031</v>
      </c>
      <c r="J312" s="9">
        <f t="shared" si="77"/>
        <v>21.821258516129031</v>
      </c>
      <c r="K312" s="3">
        <f t="shared" si="78"/>
        <v>0</v>
      </c>
      <c r="L312" s="7">
        <f t="shared" si="79"/>
        <v>0</v>
      </c>
      <c r="M312" t="s">
        <v>187</v>
      </c>
      <c r="O312" s="3">
        <f>E312-'315805 - P0824'!F312</f>
        <v>0</v>
      </c>
      <c r="P312" s="30">
        <f>I312-'315805 - P0824'!J312</f>
        <v>0</v>
      </c>
    </row>
    <row r="313" spans="1:16" x14ac:dyDescent="0.25">
      <c r="A313">
        <v>311</v>
      </c>
      <c r="B313" t="s">
        <v>303</v>
      </c>
      <c r="C313" t="s">
        <v>291</v>
      </c>
      <c r="D313" s="4" t="s">
        <v>310</v>
      </c>
      <c r="E313" s="12">
        <v>8.59</v>
      </c>
      <c r="F313" s="12">
        <v>8.59</v>
      </c>
      <c r="G313" s="6">
        <f t="shared" si="75"/>
        <v>0</v>
      </c>
      <c r="H313" s="7">
        <f t="shared" si="76"/>
        <v>0</v>
      </c>
      <c r="I313" s="8">
        <v>11.8</v>
      </c>
      <c r="J313" s="9">
        <f t="shared" si="77"/>
        <v>11.8</v>
      </c>
      <c r="K313" s="3">
        <f t="shared" si="78"/>
        <v>0</v>
      </c>
      <c r="L313" s="7">
        <f t="shared" si="79"/>
        <v>0</v>
      </c>
      <c r="M313" t="s">
        <v>187</v>
      </c>
      <c r="O313" s="3">
        <f>E313-'315805 - P0824'!F313</f>
        <v>0</v>
      </c>
      <c r="P313" s="30">
        <f>I313-'315805 - P0824'!J313</f>
        <v>0</v>
      </c>
    </row>
    <row r="314" spans="1:16" x14ac:dyDescent="0.25">
      <c r="A314">
        <v>312</v>
      </c>
      <c r="B314" t="s">
        <v>319</v>
      </c>
      <c r="C314" t="s">
        <v>291</v>
      </c>
      <c r="D314" s="4" t="s">
        <v>311</v>
      </c>
      <c r="E314" s="12">
        <v>11.51</v>
      </c>
      <c r="F314" s="12">
        <v>11.51</v>
      </c>
      <c r="G314" s="6">
        <f t="shared" si="75"/>
        <v>0</v>
      </c>
      <c r="H314" s="7">
        <f t="shared" si="76"/>
        <v>0</v>
      </c>
      <c r="I314" s="8">
        <v>21.72</v>
      </c>
      <c r="J314" s="9">
        <f t="shared" si="77"/>
        <v>21.72</v>
      </c>
      <c r="K314" s="3">
        <f t="shared" si="78"/>
        <v>0</v>
      </c>
      <c r="L314" s="7">
        <f t="shared" si="79"/>
        <v>0</v>
      </c>
      <c r="M314" t="s">
        <v>187</v>
      </c>
      <c r="O314" s="3">
        <f>E314-'315805 - P0824'!F314</f>
        <v>0</v>
      </c>
      <c r="P314" s="30">
        <f>I314-'315805 - P0824'!J314</f>
        <v>0</v>
      </c>
    </row>
    <row r="315" spans="1:16" x14ac:dyDescent="0.25">
      <c r="A315">
        <v>313</v>
      </c>
      <c r="B315" t="s">
        <v>303</v>
      </c>
      <c r="C315" t="s">
        <v>291</v>
      </c>
      <c r="D315" s="4" t="s">
        <v>312</v>
      </c>
      <c r="E315" s="12">
        <v>175</v>
      </c>
      <c r="F315" s="12">
        <v>175</v>
      </c>
      <c r="G315" s="6">
        <f t="shared" si="75"/>
        <v>0</v>
      </c>
      <c r="H315" s="7">
        <f t="shared" si="76"/>
        <v>0</v>
      </c>
      <c r="I315" s="8">
        <v>284.09826122118881</v>
      </c>
      <c r="J315" s="9">
        <f t="shared" si="77"/>
        <v>284.09826122118881</v>
      </c>
      <c r="K315" s="3">
        <f t="shared" si="78"/>
        <v>0</v>
      </c>
      <c r="L315" s="7">
        <f t="shared" si="79"/>
        <v>0</v>
      </c>
      <c r="M315" t="s">
        <v>187</v>
      </c>
      <c r="O315" s="3">
        <f>E315-'315805 - P0824'!F315</f>
        <v>0</v>
      </c>
      <c r="P315" s="30">
        <f>I315-'315805 - P0824'!J315</f>
        <v>0</v>
      </c>
    </row>
    <row r="316" spans="1:16" x14ac:dyDescent="0.25">
      <c r="A316">
        <v>314</v>
      </c>
      <c r="B316" t="s">
        <v>470</v>
      </c>
      <c r="C316" t="s">
        <v>291</v>
      </c>
      <c r="D316" s="4" t="s">
        <v>313</v>
      </c>
      <c r="E316" s="12">
        <v>175</v>
      </c>
      <c r="F316" s="12">
        <v>175</v>
      </c>
      <c r="G316" s="6">
        <f t="shared" si="75"/>
        <v>0</v>
      </c>
      <c r="H316" s="7">
        <f t="shared" si="76"/>
        <v>0</v>
      </c>
      <c r="I316" s="8">
        <v>284.09826122118881</v>
      </c>
      <c r="J316" s="9">
        <f t="shared" si="77"/>
        <v>284.09826122118881</v>
      </c>
      <c r="K316" s="3">
        <f t="shared" si="78"/>
        <v>0</v>
      </c>
      <c r="L316" s="7">
        <f t="shared" si="79"/>
        <v>0</v>
      </c>
      <c r="M316" t="s">
        <v>187</v>
      </c>
      <c r="O316" s="3">
        <f>E316-'315805 - P0824'!F316</f>
        <v>0</v>
      </c>
      <c r="P316" s="30">
        <f>I316-'315805 - P0824'!J316</f>
        <v>0</v>
      </c>
    </row>
    <row r="317" spans="1:16" x14ac:dyDescent="0.25">
      <c r="A317">
        <v>315</v>
      </c>
      <c r="B317" t="s">
        <v>303</v>
      </c>
      <c r="C317" t="s">
        <v>291</v>
      </c>
      <c r="D317" s="4" t="s">
        <v>314</v>
      </c>
      <c r="E317" s="12">
        <v>20.73</v>
      </c>
      <c r="F317" s="12">
        <v>20.73</v>
      </c>
      <c r="G317" s="6">
        <f t="shared" si="75"/>
        <v>0</v>
      </c>
      <c r="H317" s="7">
        <f t="shared" si="76"/>
        <v>0</v>
      </c>
      <c r="I317" s="8">
        <v>33.65</v>
      </c>
      <c r="J317" s="9">
        <f t="shared" si="77"/>
        <v>33.65</v>
      </c>
      <c r="K317" s="3">
        <f t="shared" si="78"/>
        <v>0</v>
      </c>
      <c r="L317" s="7">
        <f t="shared" si="79"/>
        <v>0</v>
      </c>
      <c r="M317" t="s">
        <v>187</v>
      </c>
      <c r="O317" s="3">
        <f>E317-'315805 - P0824'!F317</f>
        <v>0</v>
      </c>
      <c r="P317" s="30">
        <f>I317-'315805 - P0824'!J317</f>
        <v>0</v>
      </c>
    </row>
    <row r="318" spans="1:16" x14ac:dyDescent="0.25">
      <c r="A318">
        <v>316</v>
      </c>
      <c r="B318" t="s">
        <v>470</v>
      </c>
      <c r="C318" t="s">
        <v>291</v>
      </c>
      <c r="D318" s="4" t="s">
        <v>315</v>
      </c>
      <c r="E318" s="12">
        <v>11.34</v>
      </c>
      <c r="F318" s="12">
        <v>11.34</v>
      </c>
      <c r="G318" s="6">
        <f t="shared" si="75"/>
        <v>0</v>
      </c>
      <c r="H318" s="7">
        <f t="shared" si="76"/>
        <v>0</v>
      </c>
      <c r="I318" s="8">
        <v>17.673479758926415</v>
      </c>
      <c r="J318" s="9">
        <f t="shared" si="77"/>
        <v>17.673479758926415</v>
      </c>
      <c r="K318" s="3">
        <f t="shared" si="78"/>
        <v>0</v>
      </c>
      <c r="L318" s="7">
        <f t="shared" si="79"/>
        <v>0</v>
      </c>
      <c r="M318" t="s">
        <v>187</v>
      </c>
      <c r="O318" s="3">
        <f>E318-'315805 - P0824'!F318</f>
        <v>0</v>
      </c>
      <c r="P318" s="30">
        <f>I318-'315805 - P0824'!J318</f>
        <v>0</v>
      </c>
    </row>
    <row r="319" spans="1:16" x14ac:dyDescent="0.25">
      <c r="A319">
        <v>317</v>
      </c>
      <c r="B319" t="s">
        <v>473</v>
      </c>
      <c r="C319" t="s">
        <v>291</v>
      </c>
      <c r="D319" s="4" t="s">
        <v>316</v>
      </c>
      <c r="E319" s="12">
        <v>36.4</v>
      </c>
      <c r="F319" s="12">
        <v>36.4</v>
      </c>
      <c r="G319" s="6">
        <f t="shared" si="75"/>
        <v>0</v>
      </c>
      <c r="H319" s="7">
        <f t="shared" si="76"/>
        <v>0</v>
      </c>
      <c r="I319" s="8">
        <v>56</v>
      </c>
      <c r="J319" s="9">
        <f t="shared" si="77"/>
        <v>56</v>
      </c>
      <c r="K319" s="3">
        <f t="shared" si="78"/>
        <v>0</v>
      </c>
      <c r="L319" s="7">
        <f t="shared" si="79"/>
        <v>0</v>
      </c>
      <c r="M319" t="s">
        <v>187</v>
      </c>
      <c r="O319" s="3">
        <f>E319-'315805 - P0824'!F319</f>
        <v>0</v>
      </c>
      <c r="P319" s="30">
        <f>I319-'315805 - P0824'!J319</f>
        <v>0</v>
      </c>
    </row>
    <row r="320" spans="1:16" x14ac:dyDescent="0.25">
      <c r="A320">
        <v>318</v>
      </c>
      <c r="B320" t="s">
        <v>470</v>
      </c>
      <c r="C320" t="s">
        <v>291</v>
      </c>
      <c r="D320" s="4" t="s">
        <v>317</v>
      </c>
      <c r="E320" s="12">
        <v>32.81</v>
      </c>
      <c r="F320" s="12">
        <v>32.81</v>
      </c>
      <c r="G320" s="6">
        <f t="shared" si="75"/>
        <v>0</v>
      </c>
      <c r="H320" s="7">
        <f t="shared" si="76"/>
        <v>0</v>
      </c>
      <c r="I320" s="8">
        <v>85.12</v>
      </c>
      <c r="J320" s="9">
        <f t="shared" si="77"/>
        <v>85.12</v>
      </c>
      <c r="K320" s="3">
        <f t="shared" si="78"/>
        <v>0</v>
      </c>
      <c r="L320" s="7">
        <f t="shared" si="79"/>
        <v>0</v>
      </c>
      <c r="M320" t="s">
        <v>187</v>
      </c>
      <c r="O320" s="3">
        <f>E320-'315805 - P0824'!F320</f>
        <v>0</v>
      </c>
      <c r="P320" s="30">
        <f>I320-'315805 - P0824'!J320</f>
        <v>0</v>
      </c>
    </row>
    <row r="321" spans="1:16" x14ac:dyDescent="0.25">
      <c r="A321">
        <v>319</v>
      </c>
      <c r="B321" t="s">
        <v>473</v>
      </c>
      <c r="C321" t="s">
        <v>291</v>
      </c>
      <c r="D321" s="4" t="s">
        <v>318</v>
      </c>
      <c r="E321" s="12">
        <v>21.15</v>
      </c>
      <c r="F321" s="12">
        <v>21.15</v>
      </c>
      <c r="G321" s="6">
        <f t="shared" si="75"/>
        <v>0</v>
      </c>
      <c r="H321" s="7">
        <f t="shared" si="76"/>
        <v>0</v>
      </c>
      <c r="I321" s="8">
        <v>32.590000000000003</v>
      </c>
      <c r="J321" s="9">
        <f t="shared" si="77"/>
        <v>32.590000000000003</v>
      </c>
      <c r="K321" s="3">
        <f t="shared" si="78"/>
        <v>0</v>
      </c>
      <c r="L321" s="7">
        <f t="shared" si="79"/>
        <v>0</v>
      </c>
      <c r="M321" t="s">
        <v>187</v>
      </c>
      <c r="O321" s="3">
        <f>E321-'315805 - P0824'!F321</f>
        <v>0</v>
      </c>
      <c r="P321" s="30">
        <f>I321-'315805 - P0824'!J321</f>
        <v>0</v>
      </c>
    </row>
    <row r="322" spans="1:16" x14ac:dyDescent="0.25">
      <c r="A322">
        <v>320</v>
      </c>
      <c r="B322" t="s">
        <v>319</v>
      </c>
      <c r="C322" t="s">
        <v>291</v>
      </c>
      <c r="D322" s="4" t="s">
        <v>320</v>
      </c>
      <c r="E322" s="12">
        <v>1.34</v>
      </c>
      <c r="F322" s="12">
        <v>1.34</v>
      </c>
      <c r="G322" s="6">
        <f t="shared" si="75"/>
        <v>0</v>
      </c>
      <c r="H322" s="7">
        <f t="shared" si="76"/>
        <v>0</v>
      </c>
      <c r="I322" s="8">
        <v>2.5299999999999998</v>
      </c>
      <c r="J322" s="9">
        <f t="shared" si="77"/>
        <v>2.5299999999999998</v>
      </c>
      <c r="K322" s="3">
        <f t="shared" si="78"/>
        <v>0</v>
      </c>
      <c r="L322" s="7">
        <f t="shared" si="79"/>
        <v>0</v>
      </c>
      <c r="M322" t="s">
        <v>187</v>
      </c>
      <c r="O322" s="3">
        <f>E322-'315805 - P0824'!F322</f>
        <v>0</v>
      </c>
      <c r="P322" s="30">
        <f>I322-'315805 - P0824'!J322</f>
        <v>0</v>
      </c>
    </row>
    <row r="323" spans="1:16" x14ac:dyDescent="0.25">
      <c r="A323">
        <v>321</v>
      </c>
      <c r="B323" t="s">
        <v>473</v>
      </c>
      <c r="C323" t="s">
        <v>291</v>
      </c>
      <c r="D323" s="4" t="s">
        <v>321</v>
      </c>
      <c r="E323" s="12">
        <v>1.7</v>
      </c>
      <c r="F323" s="12">
        <v>1.7</v>
      </c>
      <c r="G323" s="6">
        <f t="shared" si="75"/>
        <v>0</v>
      </c>
      <c r="H323" s="7">
        <f t="shared" si="76"/>
        <v>0</v>
      </c>
      <c r="I323" s="8">
        <v>2.62</v>
      </c>
      <c r="J323" s="9">
        <f t="shared" si="77"/>
        <v>2.62</v>
      </c>
      <c r="K323" s="3">
        <f t="shared" si="78"/>
        <v>0</v>
      </c>
      <c r="L323" s="7">
        <f t="shared" si="79"/>
        <v>0</v>
      </c>
      <c r="M323" t="s">
        <v>187</v>
      </c>
      <c r="O323" s="3">
        <f>E323-'315805 - P0824'!F323</f>
        <v>0</v>
      </c>
      <c r="P323" s="30">
        <f>I323-'315805 - P0824'!J323</f>
        <v>0</v>
      </c>
    </row>
    <row r="324" spans="1:16" x14ac:dyDescent="0.25">
      <c r="A324">
        <v>322</v>
      </c>
      <c r="B324" t="s">
        <v>474</v>
      </c>
      <c r="C324" t="s">
        <v>291</v>
      </c>
      <c r="D324" s="4" t="s">
        <v>323</v>
      </c>
      <c r="E324" s="16">
        <v>35.229999999999997</v>
      </c>
      <c r="F324" s="12">
        <v>35.229999999999997</v>
      </c>
      <c r="G324" s="6">
        <f t="shared" si="75"/>
        <v>0</v>
      </c>
      <c r="H324" s="7">
        <f t="shared" si="76"/>
        <v>0</v>
      </c>
      <c r="I324" s="8">
        <v>54.21</v>
      </c>
      <c r="J324" s="9">
        <f t="shared" si="77"/>
        <v>54.21</v>
      </c>
      <c r="K324" s="3">
        <f t="shared" si="78"/>
        <v>0</v>
      </c>
      <c r="L324" s="7">
        <f t="shared" si="79"/>
        <v>0</v>
      </c>
      <c r="M324" t="s">
        <v>187</v>
      </c>
      <c r="O324" s="3">
        <f>E324-'315805 - P0824'!F324</f>
        <v>0</v>
      </c>
      <c r="P324" s="30">
        <f>I324-'315805 - P0824'!J324</f>
        <v>0</v>
      </c>
    </row>
    <row r="325" spans="1:16" x14ac:dyDescent="0.25">
      <c r="A325">
        <v>323</v>
      </c>
      <c r="B325" t="s">
        <v>474</v>
      </c>
      <c r="C325" t="s">
        <v>291</v>
      </c>
      <c r="D325" s="4" t="s">
        <v>324</v>
      </c>
      <c r="E325" s="16">
        <v>19.350000000000001</v>
      </c>
      <c r="F325" s="12">
        <v>19.350000000000001</v>
      </c>
      <c r="G325" s="6">
        <f t="shared" si="75"/>
        <v>0</v>
      </c>
      <c r="H325" s="7">
        <f t="shared" si="76"/>
        <v>0</v>
      </c>
      <c r="I325" s="8">
        <v>34.01</v>
      </c>
      <c r="J325" s="9">
        <f t="shared" si="77"/>
        <v>34.01</v>
      </c>
      <c r="K325" s="3">
        <f t="shared" si="78"/>
        <v>0</v>
      </c>
      <c r="L325" s="7">
        <f t="shared" si="79"/>
        <v>0</v>
      </c>
      <c r="M325" t="s">
        <v>187</v>
      </c>
      <c r="O325" s="3">
        <f>E325-'315805 - P0824'!F325</f>
        <v>0</v>
      </c>
      <c r="P325" s="30">
        <f>I325-'315805 - P0824'!J325</f>
        <v>0</v>
      </c>
    </row>
    <row r="326" spans="1:16" x14ac:dyDescent="0.25">
      <c r="A326">
        <v>324</v>
      </c>
      <c r="B326" t="s">
        <v>474</v>
      </c>
      <c r="C326" t="s">
        <v>291</v>
      </c>
      <c r="D326" s="4" t="s">
        <v>325</v>
      </c>
      <c r="E326" s="16">
        <v>13.97</v>
      </c>
      <c r="F326" s="12">
        <v>13.97</v>
      </c>
      <c r="G326" s="6">
        <f t="shared" si="75"/>
        <v>0</v>
      </c>
      <c r="H326" s="7">
        <f t="shared" si="76"/>
        <v>0</v>
      </c>
      <c r="I326" s="8">
        <v>21.5</v>
      </c>
      <c r="J326" s="9">
        <f t="shared" si="77"/>
        <v>21.5</v>
      </c>
      <c r="K326" s="3">
        <f t="shared" si="78"/>
        <v>0</v>
      </c>
      <c r="L326" s="7">
        <f t="shared" si="79"/>
        <v>0</v>
      </c>
      <c r="M326" t="s">
        <v>187</v>
      </c>
      <c r="O326" s="3">
        <f>E326-'315805 - P0824'!F326</f>
        <v>0</v>
      </c>
      <c r="P326" s="30">
        <f>I326-'315805 - P0824'!J326</f>
        <v>0</v>
      </c>
    </row>
    <row r="327" spans="1:16" x14ac:dyDescent="0.25">
      <c r="A327">
        <v>325</v>
      </c>
      <c r="B327" t="s">
        <v>474</v>
      </c>
      <c r="C327" t="s">
        <v>291</v>
      </c>
      <c r="D327" s="4" t="s">
        <v>326</v>
      </c>
      <c r="E327" s="16">
        <v>4.5599999999999996</v>
      </c>
      <c r="F327" s="12">
        <v>4.5599999999999996</v>
      </c>
      <c r="G327" s="6">
        <f t="shared" si="75"/>
        <v>0</v>
      </c>
      <c r="H327" s="7">
        <f t="shared" si="76"/>
        <v>0</v>
      </c>
      <c r="I327" s="8">
        <v>9.14</v>
      </c>
      <c r="J327" s="9">
        <f t="shared" si="77"/>
        <v>9.14</v>
      </c>
      <c r="K327" s="3">
        <f t="shared" si="78"/>
        <v>0</v>
      </c>
      <c r="L327" s="7">
        <f t="shared" si="79"/>
        <v>0</v>
      </c>
      <c r="M327" t="s">
        <v>187</v>
      </c>
      <c r="O327" s="3">
        <f>E327-'315805 - P0824'!F327</f>
        <v>0</v>
      </c>
      <c r="P327" s="30">
        <f>I327-'315805 - P0824'!J327</f>
        <v>0</v>
      </c>
    </row>
    <row r="328" spans="1:16" x14ac:dyDescent="0.25">
      <c r="A328">
        <v>326</v>
      </c>
      <c r="B328" t="s">
        <v>475</v>
      </c>
      <c r="C328" t="s">
        <v>291</v>
      </c>
      <c r="D328" s="4" t="s">
        <v>327</v>
      </c>
      <c r="E328" s="16">
        <v>3.49</v>
      </c>
      <c r="F328" s="12">
        <v>3.49</v>
      </c>
      <c r="G328" s="6">
        <f t="shared" si="75"/>
        <v>0</v>
      </c>
      <c r="H328" s="7">
        <f t="shared" si="76"/>
        <v>0</v>
      </c>
      <c r="I328" s="8">
        <v>6.59</v>
      </c>
      <c r="J328" s="9">
        <f t="shared" si="77"/>
        <v>6.59</v>
      </c>
      <c r="K328" s="3">
        <f t="shared" si="78"/>
        <v>0</v>
      </c>
      <c r="L328" s="7">
        <f t="shared" si="79"/>
        <v>0</v>
      </c>
      <c r="M328" t="s">
        <v>187</v>
      </c>
      <c r="O328" s="3">
        <f>E328-'315805 - P0824'!F328</f>
        <v>0</v>
      </c>
      <c r="P328" s="30">
        <f>I328-'315805 - P0824'!J328</f>
        <v>0</v>
      </c>
    </row>
    <row r="329" spans="1:16" x14ac:dyDescent="0.25">
      <c r="A329">
        <v>327</v>
      </c>
      <c r="B329" t="s">
        <v>474</v>
      </c>
      <c r="C329" t="s">
        <v>291</v>
      </c>
      <c r="D329" s="4" t="s">
        <v>328</v>
      </c>
      <c r="E329" s="16">
        <v>5.68</v>
      </c>
      <c r="F329" s="12">
        <v>5.68</v>
      </c>
      <c r="G329" s="6">
        <f t="shared" si="75"/>
        <v>0</v>
      </c>
      <c r="H329" s="7">
        <f t="shared" si="76"/>
        <v>0</v>
      </c>
      <c r="I329" s="8">
        <v>8.77</v>
      </c>
      <c r="J329" s="9">
        <f t="shared" si="77"/>
        <v>8.77</v>
      </c>
      <c r="K329" s="3">
        <f t="shared" si="78"/>
        <v>0</v>
      </c>
      <c r="L329" s="7">
        <f t="shared" si="79"/>
        <v>0</v>
      </c>
      <c r="M329" t="s">
        <v>187</v>
      </c>
      <c r="O329" s="3">
        <f>E329-'315805 - P0824'!F329</f>
        <v>0</v>
      </c>
      <c r="P329" s="30">
        <f>I329-'315805 - P0824'!J329</f>
        <v>0</v>
      </c>
    </row>
    <row r="330" spans="1:16" x14ac:dyDescent="0.25">
      <c r="A330">
        <v>328</v>
      </c>
      <c r="B330" t="s">
        <v>473</v>
      </c>
      <c r="C330" t="s">
        <v>291</v>
      </c>
      <c r="D330" s="4" t="s">
        <v>329</v>
      </c>
      <c r="E330" s="16">
        <v>5.22</v>
      </c>
      <c r="F330" s="12">
        <v>5.22</v>
      </c>
      <c r="G330" s="6">
        <f t="shared" si="75"/>
        <v>0</v>
      </c>
      <c r="H330" s="7">
        <f t="shared" si="76"/>
        <v>0</v>
      </c>
      <c r="I330" s="8">
        <v>8.0399999999999991</v>
      </c>
      <c r="J330" s="9">
        <f t="shared" si="77"/>
        <v>8.0399999999999991</v>
      </c>
      <c r="K330" s="3">
        <f t="shared" si="78"/>
        <v>0</v>
      </c>
      <c r="L330" s="7">
        <f t="shared" si="79"/>
        <v>0</v>
      </c>
      <c r="M330" t="s">
        <v>187</v>
      </c>
      <c r="O330" s="3">
        <f>E330-'315805 - P0824'!F330</f>
        <v>0</v>
      </c>
      <c r="P330" s="30">
        <f>I330-'315805 - P0824'!J330</f>
        <v>0</v>
      </c>
    </row>
    <row r="331" spans="1:16" x14ac:dyDescent="0.25">
      <c r="A331">
        <v>329</v>
      </c>
      <c r="B331" t="s">
        <v>474</v>
      </c>
      <c r="C331" t="s">
        <v>291</v>
      </c>
      <c r="D331" s="4" t="s">
        <v>330</v>
      </c>
      <c r="E331" s="16">
        <v>34.32</v>
      </c>
      <c r="F331" s="12">
        <v>34.32</v>
      </c>
      <c r="G331" s="6">
        <f t="shared" si="75"/>
        <v>0</v>
      </c>
      <c r="H331" s="7">
        <f t="shared" si="76"/>
        <v>0</v>
      </c>
      <c r="I331" s="8">
        <v>52.8</v>
      </c>
      <c r="J331" s="9">
        <f t="shared" si="77"/>
        <v>52.8</v>
      </c>
      <c r="K331" s="3">
        <f t="shared" si="78"/>
        <v>0</v>
      </c>
      <c r="L331" s="7">
        <f t="shared" si="79"/>
        <v>0</v>
      </c>
      <c r="M331" t="s">
        <v>187</v>
      </c>
      <c r="O331" s="3">
        <f>E331-'315805 - P0824'!F331</f>
        <v>0</v>
      </c>
      <c r="P331" s="30">
        <f>I331-'315805 - P0824'!J331</f>
        <v>0</v>
      </c>
    </row>
    <row r="332" spans="1:16" x14ac:dyDescent="0.25">
      <c r="A332">
        <v>330</v>
      </c>
      <c r="B332" t="s">
        <v>474</v>
      </c>
      <c r="C332" t="s">
        <v>291</v>
      </c>
      <c r="D332" s="4" t="s">
        <v>331</v>
      </c>
      <c r="E332" s="16">
        <v>2.96</v>
      </c>
      <c r="F332" s="12">
        <v>2.96</v>
      </c>
      <c r="G332" s="6">
        <f>+F332-E332</f>
        <v>0</v>
      </c>
      <c r="H332" s="7">
        <f>(F332-E332)/ABS(E332)</f>
        <v>0</v>
      </c>
      <c r="I332" s="8">
        <v>4.5599999999999996</v>
      </c>
      <c r="J332" s="9">
        <f>(I332*H332)+I332</f>
        <v>4.5599999999999996</v>
      </c>
      <c r="K332" s="3">
        <f>J332-I332</f>
        <v>0</v>
      </c>
      <c r="L332" s="7">
        <f>(J332-I332)/ABS(I332)</f>
        <v>0</v>
      </c>
      <c r="M332" t="s">
        <v>187</v>
      </c>
      <c r="O332" s="3">
        <f>E332-'315805 - P0824'!F332</f>
        <v>0</v>
      </c>
      <c r="P332" s="30">
        <f>I332-'315805 - P0824'!J332</f>
        <v>0</v>
      </c>
    </row>
    <row r="333" spans="1:16" x14ac:dyDescent="0.25">
      <c r="A333">
        <v>331</v>
      </c>
      <c r="B333" t="s">
        <v>473</v>
      </c>
      <c r="C333" t="s">
        <v>291</v>
      </c>
      <c r="D333" s="4" t="s">
        <v>332</v>
      </c>
      <c r="E333" s="12">
        <v>197</v>
      </c>
      <c r="F333" s="12">
        <v>197</v>
      </c>
      <c r="G333" s="6">
        <f t="shared" ref="G333:G345" si="80">+F333-E333</f>
        <v>0</v>
      </c>
      <c r="H333" s="7">
        <f t="shared" ref="H333:H345" si="81">(F333-E333)/ABS(E333)</f>
        <v>0</v>
      </c>
      <c r="I333" s="8">
        <v>303.08</v>
      </c>
      <c r="J333" s="9">
        <f t="shared" ref="J333:J345" si="82">(I333*H333)+I333</f>
        <v>303.08</v>
      </c>
      <c r="K333" s="3">
        <f t="shared" ref="K333:K345" si="83">J333-I333</f>
        <v>0</v>
      </c>
      <c r="L333" s="7">
        <f t="shared" ref="L333:L345" si="84">(J333-I333)/ABS(I333)</f>
        <v>0</v>
      </c>
      <c r="M333" t="s">
        <v>187</v>
      </c>
      <c r="O333" s="3">
        <f>E333-'315805 - P0824'!F333</f>
        <v>0</v>
      </c>
      <c r="P333" s="30">
        <f>I333-'315805 - P0824'!J333</f>
        <v>0</v>
      </c>
    </row>
    <row r="334" spans="1:16" x14ac:dyDescent="0.25">
      <c r="A334">
        <v>332</v>
      </c>
      <c r="B334" t="s">
        <v>319</v>
      </c>
      <c r="C334" t="s">
        <v>291</v>
      </c>
      <c r="D334" s="4" t="s">
        <v>333</v>
      </c>
      <c r="E334" s="12">
        <v>83</v>
      </c>
      <c r="F334" s="12">
        <v>83</v>
      </c>
      <c r="G334" s="6">
        <f t="shared" si="80"/>
        <v>0</v>
      </c>
      <c r="H334" s="7">
        <f t="shared" si="81"/>
        <v>0</v>
      </c>
      <c r="I334" s="8">
        <v>100.7</v>
      </c>
      <c r="J334" s="9">
        <f t="shared" si="82"/>
        <v>100.7</v>
      </c>
      <c r="K334" s="3">
        <f t="shared" si="83"/>
        <v>0</v>
      </c>
      <c r="L334" s="7">
        <f t="shared" si="84"/>
        <v>0</v>
      </c>
      <c r="M334" t="s">
        <v>187</v>
      </c>
      <c r="O334" s="3">
        <f>E334-'315805 - P0824'!F334</f>
        <v>0</v>
      </c>
      <c r="P334" s="30">
        <f>I334-'315805 - P0824'!J334</f>
        <v>0</v>
      </c>
    </row>
    <row r="335" spans="1:16" x14ac:dyDescent="0.25">
      <c r="A335">
        <v>333</v>
      </c>
      <c r="B335" t="s">
        <v>305</v>
      </c>
      <c r="C335" t="s">
        <v>291</v>
      </c>
      <c r="D335" s="4" t="s">
        <v>334</v>
      </c>
      <c r="E335" s="12">
        <v>10</v>
      </c>
      <c r="F335" s="12">
        <v>10</v>
      </c>
      <c r="G335" s="6">
        <f t="shared" si="80"/>
        <v>0</v>
      </c>
      <c r="H335" s="7">
        <f t="shared" si="81"/>
        <v>0</v>
      </c>
      <c r="I335" s="8">
        <v>15.39</v>
      </c>
      <c r="J335" s="9">
        <f t="shared" si="82"/>
        <v>15.39</v>
      </c>
      <c r="K335" s="3">
        <f t="shared" si="83"/>
        <v>0</v>
      </c>
      <c r="L335" s="7">
        <f t="shared" si="84"/>
        <v>0</v>
      </c>
      <c r="M335" t="s">
        <v>187</v>
      </c>
      <c r="O335" s="3">
        <f>E335-'315805 - P0824'!F335</f>
        <v>0</v>
      </c>
      <c r="P335" s="30">
        <f>I335-'315805 - P0824'!J335</f>
        <v>0</v>
      </c>
    </row>
    <row r="336" spans="1:16" x14ac:dyDescent="0.25">
      <c r="A336">
        <v>334</v>
      </c>
      <c r="B336" t="s">
        <v>476</v>
      </c>
      <c r="C336" t="s">
        <v>291</v>
      </c>
      <c r="D336" s="4" t="s">
        <v>335</v>
      </c>
      <c r="E336" s="12">
        <v>2.5099999999999998</v>
      </c>
      <c r="F336" s="12">
        <v>2.5099999999999998</v>
      </c>
      <c r="G336" s="6">
        <f t="shared" si="80"/>
        <v>0</v>
      </c>
      <c r="H336" s="7">
        <f t="shared" si="81"/>
        <v>0</v>
      </c>
      <c r="I336" s="8">
        <v>5.14</v>
      </c>
      <c r="J336" s="9">
        <f t="shared" si="82"/>
        <v>5.14</v>
      </c>
      <c r="K336" s="3">
        <f t="shared" si="83"/>
        <v>0</v>
      </c>
      <c r="L336" s="7">
        <f t="shared" si="84"/>
        <v>0</v>
      </c>
      <c r="M336" t="s">
        <v>187</v>
      </c>
      <c r="O336" s="3">
        <f>E336-'315805 - P0824'!F336</f>
        <v>0</v>
      </c>
      <c r="P336" s="30">
        <f>I336-'315805 - P0824'!J336</f>
        <v>0</v>
      </c>
    </row>
    <row r="337" spans="1:16" x14ac:dyDescent="0.25">
      <c r="A337">
        <v>335</v>
      </c>
      <c r="B337" t="s">
        <v>477</v>
      </c>
      <c r="C337" t="s">
        <v>291</v>
      </c>
      <c r="D337" s="4" t="s">
        <v>336</v>
      </c>
      <c r="E337" s="12">
        <v>5.44</v>
      </c>
      <c r="F337" s="12">
        <v>5.44</v>
      </c>
      <c r="G337" s="6">
        <f t="shared" si="80"/>
        <v>0</v>
      </c>
      <c r="H337" s="7">
        <f t="shared" si="81"/>
        <v>0</v>
      </c>
      <c r="I337" s="8">
        <v>9.49</v>
      </c>
      <c r="J337" s="9">
        <f t="shared" si="82"/>
        <v>9.49</v>
      </c>
      <c r="K337" s="3">
        <f t="shared" si="83"/>
        <v>0</v>
      </c>
      <c r="L337" s="7">
        <f t="shared" si="84"/>
        <v>0</v>
      </c>
      <c r="M337" t="s">
        <v>187</v>
      </c>
      <c r="O337" s="3">
        <f>E337-'315805 - P0824'!F337</f>
        <v>0</v>
      </c>
      <c r="P337" s="30">
        <f>I337-'315805 - P0824'!J337</f>
        <v>0</v>
      </c>
    </row>
    <row r="338" spans="1:16" x14ac:dyDescent="0.25">
      <c r="A338">
        <v>336</v>
      </c>
      <c r="B338" t="s">
        <v>463</v>
      </c>
      <c r="C338" t="s">
        <v>291</v>
      </c>
      <c r="D338" s="4" t="s">
        <v>337</v>
      </c>
      <c r="E338" s="12">
        <v>115.32</v>
      </c>
      <c r="F338" s="12">
        <v>115.32</v>
      </c>
      <c r="G338" s="6">
        <f t="shared" si="80"/>
        <v>0</v>
      </c>
      <c r="H338" s="7">
        <f t="shared" si="81"/>
        <v>0</v>
      </c>
      <c r="I338" s="8">
        <v>177.42</v>
      </c>
      <c r="J338" s="9">
        <f t="shared" si="82"/>
        <v>177.42</v>
      </c>
      <c r="K338" s="3">
        <f t="shared" si="83"/>
        <v>0</v>
      </c>
      <c r="L338" s="7">
        <f t="shared" si="84"/>
        <v>0</v>
      </c>
      <c r="M338" t="s">
        <v>187</v>
      </c>
      <c r="O338" s="3">
        <f>E338-'315805 - P0824'!F338</f>
        <v>0</v>
      </c>
      <c r="P338" s="30">
        <f>I338-'315805 - P0824'!J338</f>
        <v>0</v>
      </c>
    </row>
    <row r="339" spans="1:16" x14ac:dyDescent="0.25">
      <c r="A339">
        <v>337</v>
      </c>
      <c r="B339" t="s">
        <v>463</v>
      </c>
      <c r="C339" t="s">
        <v>291</v>
      </c>
      <c r="D339" s="4" t="s">
        <v>338</v>
      </c>
      <c r="E339" s="12">
        <v>0.89</v>
      </c>
      <c r="F339" s="12">
        <v>0.89</v>
      </c>
      <c r="G339" s="6">
        <f t="shared" si="80"/>
        <v>0</v>
      </c>
      <c r="H339" s="7">
        <f t="shared" si="81"/>
        <v>0</v>
      </c>
      <c r="I339" s="8">
        <v>1.37</v>
      </c>
      <c r="J339" s="9">
        <f t="shared" si="82"/>
        <v>1.37</v>
      </c>
      <c r="K339" s="3">
        <f t="shared" si="83"/>
        <v>0</v>
      </c>
      <c r="L339" s="7">
        <f t="shared" si="84"/>
        <v>0</v>
      </c>
      <c r="M339" t="s">
        <v>187</v>
      </c>
      <c r="O339" s="3">
        <f>E339-'315805 - P0824'!F339</f>
        <v>0</v>
      </c>
      <c r="P339" s="30">
        <f>I339-'315805 - P0824'!J339</f>
        <v>0</v>
      </c>
    </row>
    <row r="340" spans="1:16" x14ac:dyDescent="0.25">
      <c r="A340">
        <v>338</v>
      </c>
      <c r="B340" t="s">
        <v>463</v>
      </c>
      <c r="C340" t="s">
        <v>291</v>
      </c>
      <c r="D340" s="4" t="s">
        <v>339</v>
      </c>
      <c r="E340" s="12">
        <v>33.590000000000003</v>
      </c>
      <c r="F340" s="12">
        <v>33.590000000000003</v>
      </c>
      <c r="G340" s="6">
        <f t="shared" si="80"/>
        <v>0</v>
      </c>
      <c r="H340" s="7">
        <f t="shared" si="81"/>
        <v>0</v>
      </c>
      <c r="I340" s="8">
        <v>51.68</v>
      </c>
      <c r="J340" s="9">
        <f t="shared" si="82"/>
        <v>51.68</v>
      </c>
      <c r="K340" s="3">
        <f t="shared" si="83"/>
        <v>0</v>
      </c>
      <c r="L340" s="7">
        <f t="shared" si="84"/>
        <v>0</v>
      </c>
      <c r="M340" t="s">
        <v>187</v>
      </c>
      <c r="O340" s="3">
        <f>E340-'315805 - P0824'!F340</f>
        <v>0</v>
      </c>
      <c r="P340" s="30">
        <f>I340-'315805 - P0824'!J340</f>
        <v>0</v>
      </c>
    </row>
    <row r="341" spans="1:16" x14ac:dyDescent="0.25">
      <c r="A341">
        <v>339</v>
      </c>
      <c r="B341" t="s">
        <v>463</v>
      </c>
      <c r="C341" t="s">
        <v>291</v>
      </c>
      <c r="D341" s="4" t="s">
        <v>464</v>
      </c>
      <c r="E341" s="12">
        <v>14.78</v>
      </c>
      <c r="F341" s="12">
        <v>14.78</v>
      </c>
      <c r="G341" s="6">
        <f t="shared" si="80"/>
        <v>0</v>
      </c>
      <c r="H341" s="7">
        <f t="shared" si="81"/>
        <v>0</v>
      </c>
      <c r="I341" s="8">
        <v>22.74</v>
      </c>
      <c r="J341" s="9">
        <f t="shared" si="82"/>
        <v>22.74</v>
      </c>
      <c r="K341" s="3">
        <f t="shared" si="83"/>
        <v>0</v>
      </c>
      <c r="L341" s="7">
        <f t="shared" si="84"/>
        <v>0</v>
      </c>
      <c r="M341" t="s">
        <v>187</v>
      </c>
      <c r="O341" s="3">
        <f>E341-'315805 - P0824'!F341</f>
        <v>0</v>
      </c>
      <c r="P341" s="30">
        <f>I341-'315805 - P0824'!J341</f>
        <v>0</v>
      </c>
    </row>
    <row r="342" spans="1:16" x14ac:dyDescent="0.25">
      <c r="A342">
        <v>340</v>
      </c>
      <c r="B342" t="s">
        <v>463</v>
      </c>
      <c r="C342" t="s">
        <v>291</v>
      </c>
      <c r="D342" s="4" t="s">
        <v>466</v>
      </c>
      <c r="E342" s="12">
        <v>2.21</v>
      </c>
      <c r="F342" s="12">
        <v>2.21</v>
      </c>
      <c r="G342" s="6">
        <f t="shared" si="80"/>
        <v>0</v>
      </c>
      <c r="H342" s="7">
        <f t="shared" si="81"/>
        <v>0</v>
      </c>
      <c r="I342" s="8">
        <v>3.8</v>
      </c>
      <c r="J342" s="9">
        <f t="shared" si="82"/>
        <v>3.8</v>
      </c>
      <c r="K342" s="3">
        <f t="shared" si="83"/>
        <v>0</v>
      </c>
      <c r="L342" s="7">
        <f t="shared" si="84"/>
        <v>0</v>
      </c>
      <c r="M342" t="s">
        <v>187</v>
      </c>
      <c r="O342" s="3">
        <f>E342-'315805 - P0824'!F342</f>
        <v>0</v>
      </c>
      <c r="P342" s="30">
        <f>I342-'315805 - P0824'!J342</f>
        <v>0</v>
      </c>
    </row>
    <row r="343" spans="1:16" x14ac:dyDescent="0.25">
      <c r="A343">
        <v>341</v>
      </c>
      <c r="B343" t="s">
        <v>463</v>
      </c>
      <c r="C343" t="s">
        <v>291</v>
      </c>
      <c r="D343" s="4" t="s">
        <v>467</v>
      </c>
      <c r="E343" s="12">
        <v>30.62</v>
      </c>
      <c r="F343" s="12">
        <v>30.62</v>
      </c>
      <c r="G343" s="6">
        <f t="shared" si="80"/>
        <v>0</v>
      </c>
      <c r="H343" s="7">
        <f t="shared" si="81"/>
        <v>0</v>
      </c>
      <c r="I343" s="8">
        <v>52.76</v>
      </c>
      <c r="J343" s="9">
        <f t="shared" si="82"/>
        <v>52.76</v>
      </c>
      <c r="K343" s="3">
        <f t="shared" si="83"/>
        <v>0</v>
      </c>
      <c r="L343" s="7">
        <f t="shared" si="84"/>
        <v>0</v>
      </c>
      <c r="M343" t="s">
        <v>187</v>
      </c>
      <c r="O343" s="3">
        <f>E343-'315805 - P0824'!F343</f>
        <v>0</v>
      </c>
      <c r="P343" s="30">
        <f>I343-'315805 - P0824'!J343</f>
        <v>0</v>
      </c>
    </row>
    <row r="344" spans="1:16" x14ac:dyDescent="0.25">
      <c r="A344">
        <v>342</v>
      </c>
      <c r="B344" t="s">
        <v>485</v>
      </c>
      <c r="C344" t="s">
        <v>291</v>
      </c>
      <c r="D344" s="4" t="s">
        <v>488</v>
      </c>
      <c r="E344" s="12">
        <v>147</v>
      </c>
      <c r="F344" s="12">
        <v>147</v>
      </c>
      <c r="G344" s="6">
        <f t="shared" si="80"/>
        <v>0</v>
      </c>
      <c r="H344" s="7">
        <f t="shared" si="81"/>
        <v>0</v>
      </c>
      <c r="I344" s="8">
        <v>226.16</v>
      </c>
      <c r="J344" s="9">
        <f t="shared" si="82"/>
        <v>226.16</v>
      </c>
      <c r="K344" s="3">
        <f t="shared" si="83"/>
        <v>0</v>
      </c>
      <c r="L344" s="7">
        <f t="shared" si="84"/>
        <v>0</v>
      </c>
      <c r="M344" t="s">
        <v>187</v>
      </c>
      <c r="O344" s="3">
        <f>E344-'315805 - P0824'!F344</f>
        <v>0</v>
      </c>
      <c r="P344" s="30">
        <f>I344-'315805 - P0824'!J344</f>
        <v>0</v>
      </c>
    </row>
    <row r="345" spans="1:16" x14ac:dyDescent="0.25">
      <c r="A345">
        <v>343</v>
      </c>
      <c r="B345" t="s">
        <v>290</v>
      </c>
      <c r="C345" t="s">
        <v>291</v>
      </c>
      <c r="D345" s="4" t="s">
        <v>489</v>
      </c>
      <c r="E345" s="12">
        <v>66.349999999999994</v>
      </c>
      <c r="F345" s="12">
        <v>66.349999999999994</v>
      </c>
      <c r="G345" s="6">
        <f t="shared" si="80"/>
        <v>0</v>
      </c>
      <c r="H345" s="7">
        <f t="shared" si="81"/>
        <v>0</v>
      </c>
      <c r="I345" s="8">
        <v>102.08</v>
      </c>
      <c r="J345" s="9">
        <f t="shared" si="82"/>
        <v>102.08</v>
      </c>
      <c r="K345" s="3">
        <f t="shared" si="83"/>
        <v>0</v>
      </c>
      <c r="L345" s="7">
        <f t="shared" si="84"/>
        <v>0</v>
      </c>
      <c r="M345" t="s">
        <v>187</v>
      </c>
      <c r="O345" s="3">
        <f>E345-'315805 - P0824'!F345</f>
        <v>0</v>
      </c>
      <c r="P345" s="30">
        <f>I345-'315805 - P0824'!J345</f>
        <v>0</v>
      </c>
    </row>
    <row r="346" spans="1:16" x14ac:dyDescent="0.25">
      <c r="A346">
        <v>344</v>
      </c>
      <c r="D346" s="34" t="s">
        <v>340</v>
      </c>
      <c r="H346" s="10">
        <f>AVERAGE(H298:H343)</f>
        <v>0</v>
      </c>
      <c r="I346"/>
    </row>
    <row r="347" spans="1:16" x14ac:dyDescent="0.25">
      <c r="A347">
        <v>345</v>
      </c>
      <c r="D347" s="34" t="s">
        <v>341</v>
      </c>
      <c r="I347"/>
      <c r="M347" t="s">
        <v>7</v>
      </c>
    </row>
    <row r="348" spans="1:16" x14ac:dyDescent="0.25">
      <c r="A348">
        <v>346</v>
      </c>
      <c r="D348" s="34" t="s">
        <v>342</v>
      </c>
      <c r="I348"/>
      <c r="O348" s="3">
        <f>E348-'315805 - P0824'!F348</f>
        <v>0</v>
      </c>
      <c r="P348" s="30">
        <f>I348-'315805 - P0824'!J348</f>
        <v>0</v>
      </c>
    </row>
    <row r="349" spans="1:16" x14ac:dyDescent="0.25">
      <c r="A349">
        <v>347</v>
      </c>
      <c r="B349" t="s">
        <v>470</v>
      </c>
      <c r="C349" s="28" t="s">
        <v>454</v>
      </c>
      <c r="D349" s="4" t="s">
        <v>497</v>
      </c>
      <c r="E349" s="11">
        <v>1450</v>
      </c>
      <c r="F349" s="11">
        <v>1450</v>
      </c>
      <c r="G349" s="6">
        <f t="shared" ref="G349:G356" si="85">+F349-E349</f>
        <v>0</v>
      </c>
      <c r="H349" s="7">
        <f t="shared" ref="H349:H356" si="86">(F349-E349)/ABS(E349)</f>
        <v>0</v>
      </c>
      <c r="I349" s="8">
        <v>118.24570098910753</v>
      </c>
      <c r="J349" s="9">
        <f t="shared" ref="J349:J356" si="87">(I349*H349)+I349</f>
        <v>118.24570098910753</v>
      </c>
      <c r="K349" s="3">
        <f t="shared" ref="K349:K356" si="88">J349-I349</f>
        <v>0</v>
      </c>
      <c r="L349" s="7">
        <f t="shared" ref="L349:L356" si="89">(J349-I349)/ABS(I349)</f>
        <v>0</v>
      </c>
      <c r="M349" t="s">
        <v>7</v>
      </c>
      <c r="O349" s="3">
        <f>E349-'315805 - P0824'!F349</f>
        <v>0</v>
      </c>
      <c r="P349" s="30">
        <f>I349-'315805 - P0824'!J349</f>
        <v>0</v>
      </c>
    </row>
    <row r="350" spans="1:16" x14ac:dyDescent="0.25">
      <c r="A350">
        <v>348</v>
      </c>
      <c r="B350" t="s">
        <v>290</v>
      </c>
      <c r="C350" s="28" t="s">
        <v>344</v>
      </c>
      <c r="D350" s="4" t="s">
        <v>345</v>
      </c>
      <c r="E350" s="11">
        <v>4.93</v>
      </c>
      <c r="F350" s="11">
        <v>4.93</v>
      </c>
      <c r="G350" s="6">
        <f t="shared" si="85"/>
        <v>0</v>
      </c>
      <c r="H350" s="7">
        <f t="shared" si="86"/>
        <v>0</v>
      </c>
      <c r="I350" s="8">
        <v>10.18301417057406</v>
      </c>
      <c r="J350" s="9">
        <f t="shared" si="87"/>
        <v>10.18301417057406</v>
      </c>
      <c r="K350" s="3">
        <f t="shared" si="88"/>
        <v>0</v>
      </c>
      <c r="L350" s="7">
        <f t="shared" si="89"/>
        <v>0</v>
      </c>
      <c r="M350" t="s">
        <v>7</v>
      </c>
      <c r="O350" s="3">
        <f>E350-'315805 - P0824'!F350</f>
        <v>0</v>
      </c>
      <c r="P350" s="30">
        <f>I350-'315805 - P0824'!J350</f>
        <v>0</v>
      </c>
    </row>
    <row r="351" spans="1:16" x14ac:dyDescent="0.25">
      <c r="A351">
        <v>349</v>
      </c>
      <c r="B351" t="s">
        <v>463</v>
      </c>
      <c r="C351" s="28" t="s">
        <v>344</v>
      </c>
      <c r="D351" s="4" t="s">
        <v>346</v>
      </c>
      <c r="E351" s="11">
        <v>6.5</v>
      </c>
      <c r="F351" s="11">
        <v>6.5</v>
      </c>
      <c r="G351" s="6">
        <f t="shared" si="85"/>
        <v>0</v>
      </c>
      <c r="H351" s="7">
        <f t="shared" si="86"/>
        <v>0</v>
      </c>
      <c r="I351" s="8">
        <v>11.46</v>
      </c>
      <c r="J351" s="9">
        <f t="shared" si="87"/>
        <v>11.46</v>
      </c>
      <c r="K351" s="3">
        <f t="shared" si="88"/>
        <v>0</v>
      </c>
      <c r="L351" s="7">
        <f t="shared" si="89"/>
        <v>0</v>
      </c>
      <c r="M351" t="s">
        <v>7</v>
      </c>
      <c r="O351" s="3">
        <f>E351-'315805 - P0824'!F351</f>
        <v>0</v>
      </c>
      <c r="P351" s="30">
        <f>I351-'315805 - P0824'!J351</f>
        <v>0</v>
      </c>
    </row>
    <row r="352" spans="1:16" x14ac:dyDescent="0.25">
      <c r="A352">
        <v>350</v>
      </c>
      <c r="B352" t="s">
        <v>463</v>
      </c>
      <c r="C352" s="28" t="s">
        <v>347</v>
      </c>
      <c r="D352" s="4" t="s">
        <v>348</v>
      </c>
      <c r="E352" s="11">
        <v>4.7699999999999996</v>
      </c>
      <c r="F352" s="11">
        <v>4.7699999999999996</v>
      </c>
      <c r="G352" s="6">
        <f t="shared" si="85"/>
        <v>0</v>
      </c>
      <c r="H352" s="7">
        <f t="shared" si="86"/>
        <v>0</v>
      </c>
      <c r="I352" s="8">
        <v>6.82</v>
      </c>
      <c r="J352" s="9">
        <f t="shared" si="87"/>
        <v>6.82</v>
      </c>
      <c r="K352" s="3">
        <f t="shared" si="88"/>
        <v>0</v>
      </c>
      <c r="L352" s="7">
        <f t="shared" si="89"/>
        <v>0</v>
      </c>
      <c r="M352" t="s">
        <v>7</v>
      </c>
      <c r="O352" s="3">
        <f>E352-'315805 - P0824'!F352</f>
        <v>0</v>
      </c>
      <c r="P352" s="30">
        <f>I352-'315805 - P0824'!J352</f>
        <v>0</v>
      </c>
    </row>
    <row r="353" spans="1:16" x14ac:dyDescent="0.25">
      <c r="A353">
        <v>351</v>
      </c>
      <c r="B353" t="s">
        <v>463</v>
      </c>
      <c r="C353" s="28" t="s">
        <v>347</v>
      </c>
      <c r="D353" s="4" t="s">
        <v>349</v>
      </c>
      <c r="E353" s="11">
        <v>104</v>
      </c>
      <c r="F353" s="11">
        <v>104</v>
      </c>
      <c r="G353" s="6">
        <f t="shared" si="85"/>
        <v>0</v>
      </c>
      <c r="H353" s="7">
        <f t="shared" si="86"/>
        <v>0</v>
      </c>
      <c r="I353" s="8">
        <v>159.78</v>
      </c>
      <c r="J353" s="9">
        <f t="shared" si="87"/>
        <v>159.78</v>
      </c>
      <c r="K353" s="3">
        <f t="shared" si="88"/>
        <v>0</v>
      </c>
      <c r="L353" s="7">
        <f t="shared" si="89"/>
        <v>0</v>
      </c>
      <c r="M353" t="s">
        <v>7</v>
      </c>
      <c r="O353" s="3">
        <f>E353-'315805 - P0824'!F353</f>
        <v>0</v>
      </c>
      <c r="P353" s="30">
        <f>I353-'315805 - P0824'!J353</f>
        <v>0</v>
      </c>
    </row>
    <row r="354" spans="1:16" x14ac:dyDescent="0.25">
      <c r="A354">
        <v>352</v>
      </c>
      <c r="B354" t="s">
        <v>445</v>
      </c>
      <c r="C354" s="28" t="s">
        <v>343</v>
      </c>
      <c r="D354" s="4" t="s">
        <v>446</v>
      </c>
      <c r="E354" s="11">
        <v>49.89</v>
      </c>
      <c r="F354" s="11">
        <v>49.89</v>
      </c>
      <c r="G354" s="6">
        <f t="shared" si="85"/>
        <v>0</v>
      </c>
      <c r="H354" s="7">
        <f t="shared" si="86"/>
        <v>0</v>
      </c>
      <c r="I354" s="8">
        <v>66.30376269809021</v>
      </c>
      <c r="J354" s="9">
        <f t="shared" si="87"/>
        <v>66.30376269809021</v>
      </c>
      <c r="K354" s="3">
        <f t="shared" si="88"/>
        <v>0</v>
      </c>
      <c r="L354" s="7">
        <f t="shared" si="89"/>
        <v>0</v>
      </c>
      <c r="M354" t="s">
        <v>7</v>
      </c>
      <c r="O354" s="3">
        <f>E354-'315805 - P0824'!F354</f>
        <v>0</v>
      </c>
      <c r="P354" s="30">
        <f>I354-'315805 - P0824'!J354</f>
        <v>0</v>
      </c>
    </row>
    <row r="355" spans="1:16" x14ac:dyDescent="0.25">
      <c r="A355">
        <v>353</v>
      </c>
      <c r="B355" t="s">
        <v>303</v>
      </c>
      <c r="C355" s="28" t="s">
        <v>343</v>
      </c>
      <c r="D355" s="4" t="s">
        <v>350</v>
      </c>
      <c r="E355" s="11">
        <v>28.21</v>
      </c>
      <c r="F355" s="11">
        <v>28.21</v>
      </c>
      <c r="G355" s="6">
        <f t="shared" si="85"/>
        <v>0</v>
      </c>
      <c r="H355" s="7">
        <f t="shared" si="86"/>
        <v>0</v>
      </c>
      <c r="I355" s="8">
        <v>60.400819101768519</v>
      </c>
      <c r="J355" s="9">
        <f t="shared" si="87"/>
        <v>60.400819101768519</v>
      </c>
      <c r="K355" s="3">
        <f t="shared" si="88"/>
        <v>0</v>
      </c>
      <c r="L355" s="7">
        <f t="shared" si="89"/>
        <v>0</v>
      </c>
      <c r="M355" t="s">
        <v>7</v>
      </c>
      <c r="O355" s="3">
        <f>E355-'315805 - P0824'!F355</f>
        <v>0</v>
      </c>
      <c r="P355" s="30">
        <f>I355-'315805 - P0824'!J355</f>
        <v>0</v>
      </c>
    </row>
    <row r="356" spans="1:16" x14ac:dyDescent="0.25">
      <c r="A356">
        <v>354</v>
      </c>
      <c r="B356" t="s">
        <v>303</v>
      </c>
      <c r="C356" s="28" t="s">
        <v>351</v>
      </c>
      <c r="D356" s="4" t="s">
        <v>352</v>
      </c>
      <c r="E356" s="11">
        <v>20.36</v>
      </c>
      <c r="F356" s="11">
        <v>20.36</v>
      </c>
      <c r="G356" s="6">
        <f t="shared" si="85"/>
        <v>0</v>
      </c>
      <c r="H356" s="7">
        <f t="shared" si="86"/>
        <v>0</v>
      </c>
      <c r="I356" s="8">
        <v>33.75</v>
      </c>
      <c r="J356" s="9">
        <f t="shared" si="87"/>
        <v>33.75</v>
      </c>
      <c r="K356" s="3">
        <f t="shared" si="88"/>
        <v>0</v>
      </c>
      <c r="L356" s="7">
        <f t="shared" si="89"/>
        <v>0</v>
      </c>
      <c r="M356" t="s">
        <v>7</v>
      </c>
      <c r="O356" s="3">
        <f>E356-'315805 - P0824'!F356</f>
        <v>0</v>
      </c>
      <c r="P356" s="30">
        <f>I356-'315805 - P0824'!J356</f>
        <v>0</v>
      </c>
    </row>
    <row r="357" spans="1:16" x14ac:dyDescent="0.25">
      <c r="A357">
        <v>355</v>
      </c>
      <c r="C357" s="28"/>
      <c r="D357" s="34" t="s">
        <v>353</v>
      </c>
      <c r="I357"/>
    </row>
    <row r="358" spans="1:16" x14ac:dyDescent="0.25">
      <c r="A358">
        <v>356</v>
      </c>
      <c r="B358" t="s">
        <v>294</v>
      </c>
      <c r="C358" s="28" t="s">
        <v>354</v>
      </c>
      <c r="D358" s="4" t="s">
        <v>355</v>
      </c>
      <c r="E358" s="12">
        <v>5.98</v>
      </c>
      <c r="F358" s="12">
        <v>5.98</v>
      </c>
      <c r="G358" s="6">
        <f>+F358-E358</f>
        <v>0</v>
      </c>
      <c r="H358" s="7">
        <f>(F358-E358)/ABS(E358)</f>
        <v>0</v>
      </c>
      <c r="I358" s="12">
        <v>10.64931506849315</v>
      </c>
      <c r="J358" s="12">
        <f>(I358*H358)+I358</f>
        <v>10.64931506849315</v>
      </c>
      <c r="K358" s="3">
        <f>J358-I358</f>
        <v>0</v>
      </c>
      <c r="L358" s="7">
        <f>(J358-I358)/ABS(I358)</f>
        <v>0</v>
      </c>
      <c r="M358" t="s">
        <v>150</v>
      </c>
      <c r="O358" s="3">
        <f>E358-'315805 - P0824'!F358</f>
        <v>0</v>
      </c>
      <c r="P358" s="30">
        <f>I358-'315805 - P0824'!J358</f>
        <v>0</v>
      </c>
    </row>
    <row r="359" spans="1:16" x14ac:dyDescent="0.25">
      <c r="A359">
        <v>357</v>
      </c>
      <c r="C359" s="28"/>
      <c r="D359" s="34" t="s">
        <v>356</v>
      </c>
      <c r="I359"/>
    </row>
    <row r="360" spans="1:16" x14ac:dyDescent="0.25">
      <c r="A360">
        <v>358</v>
      </c>
      <c r="B360" t="s">
        <v>502</v>
      </c>
      <c r="C360" s="28" t="s">
        <v>454</v>
      </c>
      <c r="D360" s="4" t="s">
        <v>503</v>
      </c>
      <c r="E360" s="11">
        <v>1517</v>
      </c>
      <c r="F360" s="11">
        <v>1517</v>
      </c>
      <c r="G360" s="13">
        <f t="shared" ref="G360:G394" si="90">+F360-E360</f>
        <v>0</v>
      </c>
      <c r="H360" s="7">
        <f t="shared" ref="H360:H394" si="91">(F360-E360)/ABS(E360)</f>
        <v>0</v>
      </c>
      <c r="I360" s="8">
        <v>83.5202093596059</v>
      </c>
      <c r="J360" s="9">
        <f t="shared" ref="J360:J394" si="92">(I360*H360)+I360</f>
        <v>83.5202093596059</v>
      </c>
      <c r="K360" s="3">
        <f t="shared" ref="K360:K394" si="93">J360-I360</f>
        <v>0</v>
      </c>
      <c r="L360" s="7">
        <f t="shared" ref="L360:L394" si="94">(J360-I360)/ABS(I360)</f>
        <v>0</v>
      </c>
      <c r="M360" t="s">
        <v>7</v>
      </c>
      <c r="O360" s="3">
        <f>E360-'315805 - P0824'!F360</f>
        <v>0</v>
      </c>
      <c r="P360" s="30">
        <f>I360-'315805 - P0824'!J360</f>
        <v>0</v>
      </c>
    </row>
    <row r="361" spans="1:16" x14ac:dyDescent="0.25">
      <c r="A361">
        <v>359</v>
      </c>
      <c r="B361" t="s">
        <v>290</v>
      </c>
      <c r="C361" s="28" t="s">
        <v>454</v>
      </c>
      <c r="D361" s="4" t="s">
        <v>498</v>
      </c>
      <c r="E361" s="11">
        <v>1710</v>
      </c>
      <c r="F361" s="11">
        <v>1710</v>
      </c>
      <c r="G361" s="13">
        <f t="shared" si="90"/>
        <v>0</v>
      </c>
      <c r="H361" s="7">
        <f t="shared" si="91"/>
        <v>0</v>
      </c>
      <c r="I361" s="8">
        <v>41.429553882394785</v>
      </c>
      <c r="J361" s="9">
        <f t="shared" si="92"/>
        <v>41.429553882394785</v>
      </c>
      <c r="K361" s="3">
        <f t="shared" si="93"/>
        <v>0</v>
      </c>
      <c r="L361" s="7">
        <f t="shared" si="94"/>
        <v>0</v>
      </c>
      <c r="M361" t="s">
        <v>7</v>
      </c>
      <c r="O361" s="3">
        <f>E361-'315805 - P0824'!F361</f>
        <v>0</v>
      </c>
      <c r="P361" s="30">
        <f>I361-'315805 - P0824'!J361</f>
        <v>0</v>
      </c>
    </row>
    <row r="362" spans="1:16" x14ac:dyDescent="0.25">
      <c r="A362">
        <v>360</v>
      </c>
      <c r="B362" t="s">
        <v>290</v>
      </c>
      <c r="C362" s="28" t="s">
        <v>454</v>
      </c>
      <c r="D362" s="4" t="s">
        <v>495</v>
      </c>
      <c r="E362" s="11">
        <v>76.16</v>
      </c>
      <c r="F362" s="11">
        <v>76.16</v>
      </c>
      <c r="G362" s="13">
        <f t="shared" si="90"/>
        <v>0</v>
      </c>
      <c r="H362" s="7">
        <f t="shared" si="91"/>
        <v>0</v>
      </c>
      <c r="I362" s="8">
        <v>118.41812494751909</v>
      </c>
      <c r="J362" s="9">
        <f t="shared" si="92"/>
        <v>118.41812494751909</v>
      </c>
      <c r="K362" s="3">
        <f t="shared" si="93"/>
        <v>0</v>
      </c>
      <c r="L362" s="7">
        <f t="shared" si="94"/>
        <v>0</v>
      </c>
      <c r="M362" t="s">
        <v>7</v>
      </c>
      <c r="O362" s="3">
        <f>E362-'315805 - P0824'!F362</f>
        <v>0</v>
      </c>
      <c r="P362" s="30">
        <f>I362-'315805 - P0824'!J362</f>
        <v>0</v>
      </c>
    </row>
    <row r="363" spans="1:16" x14ac:dyDescent="0.25">
      <c r="A363">
        <v>361</v>
      </c>
      <c r="B363" t="s">
        <v>290</v>
      </c>
      <c r="C363" s="28" t="s">
        <v>454</v>
      </c>
      <c r="D363" s="4" t="s">
        <v>496</v>
      </c>
      <c r="E363" s="11">
        <v>1860</v>
      </c>
      <c r="F363" s="11">
        <v>1860</v>
      </c>
      <c r="G363" s="13">
        <f t="shared" si="90"/>
        <v>0</v>
      </c>
      <c r="H363" s="7">
        <f t="shared" si="91"/>
        <v>0</v>
      </c>
      <c r="I363" s="8">
        <v>249.52645395508233</v>
      </c>
      <c r="J363" s="9">
        <f t="shared" si="92"/>
        <v>249.52645395508233</v>
      </c>
      <c r="K363" s="3">
        <f t="shared" si="93"/>
        <v>0</v>
      </c>
      <c r="L363" s="7">
        <f t="shared" si="94"/>
        <v>0</v>
      </c>
      <c r="M363" t="s">
        <v>7</v>
      </c>
      <c r="O363" s="3">
        <f>E363-'315805 - P0824'!F363</f>
        <v>0</v>
      </c>
      <c r="P363" s="30">
        <f>I363-'315805 - P0824'!J363</f>
        <v>0</v>
      </c>
    </row>
    <row r="364" spans="1:16" x14ac:dyDescent="0.25">
      <c r="A364">
        <v>362</v>
      </c>
      <c r="B364" t="s">
        <v>483</v>
      </c>
      <c r="C364" s="28" t="s">
        <v>351</v>
      </c>
      <c r="D364" s="4" t="s">
        <v>357</v>
      </c>
      <c r="E364" s="11">
        <v>2709</v>
      </c>
      <c r="F364" s="11">
        <v>2709</v>
      </c>
      <c r="G364" s="13">
        <f t="shared" si="90"/>
        <v>0</v>
      </c>
      <c r="H364" s="7">
        <f t="shared" si="91"/>
        <v>0</v>
      </c>
      <c r="I364" s="8">
        <v>5.1687034714890512</v>
      </c>
      <c r="J364" s="9">
        <f t="shared" si="92"/>
        <v>5.1687034714890512</v>
      </c>
      <c r="K364" s="3">
        <f t="shared" si="93"/>
        <v>0</v>
      </c>
      <c r="L364" s="7">
        <f t="shared" si="94"/>
        <v>0</v>
      </c>
      <c r="M364" t="s">
        <v>7</v>
      </c>
      <c r="O364" s="3">
        <f>E364-'315805 - P0824'!F364</f>
        <v>0</v>
      </c>
      <c r="P364" s="30">
        <f>I364-'315805 - P0824'!J364</f>
        <v>0</v>
      </c>
    </row>
    <row r="365" spans="1:16" x14ac:dyDescent="0.25">
      <c r="A365">
        <v>363</v>
      </c>
      <c r="B365" t="s">
        <v>484</v>
      </c>
      <c r="C365" s="28" t="s">
        <v>351</v>
      </c>
      <c r="D365" s="4" t="s">
        <v>358</v>
      </c>
      <c r="E365" s="11">
        <v>2709</v>
      </c>
      <c r="F365" s="11">
        <v>2709</v>
      </c>
      <c r="G365" s="13">
        <f t="shared" si="90"/>
        <v>0</v>
      </c>
      <c r="H365" s="7">
        <f t="shared" si="91"/>
        <v>0</v>
      </c>
      <c r="I365" s="8">
        <v>8.0702736339232413</v>
      </c>
      <c r="J365" s="9">
        <f t="shared" si="92"/>
        <v>8.0702736339232413</v>
      </c>
      <c r="K365" s="3">
        <f t="shared" si="93"/>
        <v>0</v>
      </c>
      <c r="L365" s="7">
        <f t="shared" si="94"/>
        <v>0</v>
      </c>
      <c r="M365" t="s">
        <v>7</v>
      </c>
      <c r="O365" s="3">
        <f>E365-'315805 - P0824'!F365</f>
        <v>0</v>
      </c>
      <c r="P365" s="30">
        <f>I365-'315805 - P0824'!J365</f>
        <v>0</v>
      </c>
    </row>
    <row r="366" spans="1:16" x14ac:dyDescent="0.25">
      <c r="A366">
        <v>364</v>
      </c>
      <c r="B366" t="s">
        <v>290</v>
      </c>
      <c r="C366" s="28" t="s">
        <v>351</v>
      </c>
      <c r="D366" s="4" t="s">
        <v>359</v>
      </c>
      <c r="E366" s="11">
        <v>2709</v>
      </c>
      <c r="F366" s="11">
        <v>2709</v>
      </c>
      <c r="G366" s="13">
        <f t="shared" si="90"/>
        <v>0</v>
      </c>
      <c r="H366" s="7">
        <f t="shared" si="91"/>
        <v>0</v>
      </c>
      <c r="I366" s="8">
        <v>11.040593760943526</v>
      </c>
      <c r="J366" s="9">
        <f t="shared" si="92"/>
        <v>11.040593760943526</v>
      </c>
      <c r="K366" s="3">
        <f t="shared" si="93"/>
        <v>0</v>
      </c>
      <c r="L366" s="7">
        <f t="shared" si="94"/>
        <v>0</v>
      </c>
      <c r="M366" t="s">
        <v>7</v>
      </c>
      <c r="O366" s="3">
        <f>E366-'315805 - P0824'!F366</f>
        <v>0</v>
      </c>
      <c r="P366" s="30">
        <f>I366-'315805 - P0824'!J366</f>
        <v>0</v>
      </c>
    </row>
    <row r="367" spans="1:16" x14ac:dyDescent="0.25">
      <c r="A367">
        <v>365</v>
      </c>
      <c r="B367" t="s">
        <v>476</v>
      </c>
      <c r="C367" s="28" t="s">
        <v>351</v>
      </c>
      <c r="D367" s="4" t="s">
        <v>360</v>
      </c>
      <c r="E367" s="11">
        <v>3148</v>
      </c>
      <c r="F367" s="11">
        <v>3148</v>
      </c>
      <c r="G367" s="13">
        <f t="shared" si="90"/>
        <v>0</v>
      </c>
      <c r="H367" s="7">
        <f t="shared" si="91"/>
        <v>0</v>
      </c>
      <c r="I367" s="8">
        <v>14.3</v>
      </c>
      <c r="J367" s="9">
        <f t="shared" si="92"/>
        <v>14.3</v>
      </c>
      <c r="K367" s="3">
        <f t="shared" si="93"/>
        <v>0</v>
      </c>
      <c r="L367" s="7">
        <f t="shared" si="94"/>
        <v>0</v>
      </c>
      <c r="M367" t="s">
        <v>7</v>
      </c>
      <c r="O367" s="3">
        <f>E367-'315805 - P0824'!F367</f>
        <v>0</v>
      </c>
      <c r="P367" s="30">
        <f>I367-'315805 - P0824'!J367</f>
        <v>0</v>
      </c>
    </row>
    <row r="368" spans="1:16" x14ac:dyDescent="0.25">
      <c r="A368">
        <v>366</v>
      </c>
      <c r="B368" t="s">
        <v>478</v>
      </c>
      <c r="C368" s="28" t="s">
        <v>351</v>
      </c>
      <c r="D368" s="4" t="s">
        <v>361</v>
      </c>
      <c r="E368" s="11">
        <v>3065</v>
      </c>
      <c r="F368" s="11">
        <v>3065</v>
      </c>
      <c r="G368" s="13">
        <f t="shared" si="90"/>
        <v>0</v>
      </c>
      <c r="H368" s="7">
        <f t="shared" si="91"/>
        <v>0</v>
      </c>
      <c r="I368" s="8">
        <v>19.904756025519848</v>
      </c>
      <c r="J368" s="9">
        <f t="shared" si="92"/>
        <v>19.904756025519848</v>
      </c>
      <c r="K368" s="3">
        <f t="shared" si="93"/>
        <v>0</v>
      </c>
      <c r="L368" s="7">
        <f t="shared" si="94"/>
        <v>0</v>
      </c>
      <c r="M368" t="s">
        <v>7</v>
      </c>
      <c r="O368" s="3">
        <f>E368-'315805 - P0824'!F368</f>
        <v>0</v>
      </c>
      <c r="P368" s="30">
        <f>I368-'315805 - P0824'!J368</f>
        <v>0</v>
      </c>
    </row>
    <row r="369" spans="1:16" x14ac:dyDescent="0.25">
      <c r="A369">
        <v>367</v>
      </c>
      <c r="B369" t="s">
        <v>445</v>
      </c>
      <c r="C369" s="28" t="s">
        <v>351</v>
      </c>
      <c r="D369" s="4" t="s">
        <v>362</v>
      </c>
      <c r="E369" s="11">
        <v>3065</v>
      </c>
      <c r="F369" s="11">
        <v>3065</v>
      </c>
      <c r="G369" s="13">
        <f t="shared" si="90"/>
        <v>0</v>
      </c>
      <c r="H369" s="7">
        <f t="shared" si="91"/>
        <v>0</v>
      </c>
      <c r="I369" s="8">
        <v>23.00692071335494</v>
      </c>
      <c r="J369" s="9">
        <f t="shared" si="92"/>
        <v>23.00692071335494</v>
      </c>
      <c r="K369" s="3">
        <f t="shared" si="93"/>
        <v>0</v>
      </c>
      <c r="L369" s="7">
        <f t="shared" si="94"/>
        <v>0</v>
      </c>
      <c r="M369" t="s">
        <v>7</v>
      </c>
      <c r="O369" s="3">
        <f>E369-'315805 - P0824'!F369</f>
        <v>0</v>
      </c>
      <c r="P369" s="30">
        <f>I369-'315805 - P0824'!J369</f>
        <v>0</v>
      </c>
    </row>
    <row r="370" spans="1:16" x14ac:dyDescent="0.25">
      <c r="A370">
        <v>368</v>
      </c>
      <c r="B370" t="s">
        <v>478</v>
      </c>
      <c r="C370" s="28" t="s">
        <v>351</v>
      </c>
      <c r="D370" s="4" t="s">
        <v>363</v>
      </c>
      <c r="E370" s="11">
        <v>3135</v>
      </c>
      <c r="F370" s="11">
        <v>3135</v>
      </c>
      <c r="G370" s="13">
        <f t="shared" si="90"/>
        <v>0</v>
      </c>
      <c r="H370" s="7">
        <f t="shared" si="91"/>
        <v>0</v>
      </c>
      <c r="I370" s="8">
        <v>26.876311326468805</v>
      </c>
      <c r="J370" s="9">
        <f t="shared" si="92"/>
        <v>26.876311326468805</v>
      </c>
      <c r="K370" s="3">
        <f t="shared" si="93"/>
        <v>0</v>
      </c>
      <c r="L370" s="7">
        <f t="shared" si="94"/>
        <v>0</v>
      </c>
      <c r="M370" t="s">
        <v>7</v>
      </c>
      <c r="O370" s="3">
        <f>E370-'315805 - P0824'!F370</f>
        <v>0</v>
      </c>
      <c r="P370" s="30">
        <f>I370-'315805 - P0824'!J370</f>
        <v>0</v>
      </c>
    </row>
    <row r="371" spans="1:16" x14ac:dyDescent="0.25">
      <c r="A371">
        <v>369</v>
      </c>
      <c r="B371" t="s">
        <v>481</v>
      </c>
      <c r="C371" s="28" t="s">
        <v>351</v>
      </c>
      <c r="D371" s="4" t="s">
        <v>364</v>
      </c>
      <c r="E371" s="11">
        <v>2931</v>
      </c>
      <c r="F371" s="11">
        <v>2931</v>
      </c>
      <c r="G371" s="13">
        <f t="shared" si="90"/>
        <v>0</v>
      </c>
      <c r="H371" s="7">
        <f t="shared" si="91"/>
        <v>0</v>
      </c>
      <c r="I371" s="8">
        <v>5.5842827924987404</v>
      </c>
      <c r="J371" s="9">
        <f t="shared" si="92"/>
        <v>5.5842827924987404</v>
      </c>
      <c r="K371" s="3">
        <f t="shared" si="93"/>
        <v>0</v>
      </c>
      <c r="L371" s="7">
        <f t="shared" si="94"/>
        <v>0</v>
      </c>
      <c r="M371" t="s">
        <v>7</v>
      </c>
      <c r="O371" s="3">
        <f>E371-'315805 - P0824'!F371</f>
        <v>0</v>
      </c>
      <c r="P371" s="30">
        <f>I371-'315805 - P0824'!J371</f>
        <v>0</v>
      </c>
    </row>
    <row r="372" spans="1:16" x14ac:dyDescent="0.25">
      <c r="A372">
        <v>370</v>
      </c>
      <c r="B372" t="s">
        <v>479</v>
      </c>
      <c r="C372" t="s">
        <v>365</v>
      </c>
      <c r="D372" s="4" t="s">
        <v>366</v>
      </c>
      <c r="E372" s="11">
        <v>3205</v>
      </c>
      <c r="F372" s="11">
        <v>3205</v>
      </c>
      <c r="G372" s="13">
        <f t="shared" si="90"/>
        <v>0</v>
      </c>
      <c r="H372" s="7">
        <f t="shared" si="91"/>
        <v>0</v>
      </c>
      <c r="I372" s="8">
        <v>12.576720322698609</v>
      </c>
      <c r="J372" s="9">
        <f t="shared" si="92"/>
        <v>12.576720322698609</v>
      </c>
      <c r="K372" s="3">
        <f t="shared" si="93"/>
        <v>0</v>
      </c>
      <c r="L372" s="7">
        <f t="shared" si="94"/>
        <v>0</v>
      </c>
      <c r="M372" t="s">
        <v>7</v>
      </c>
      <c r="O372" s="3">
        <f>E372-'315805 - P0824'!F372</f>
        <v>0</v>
      </c>
      <c r="P372" s="30">
        <f>I372-'315805 - P0824'!J372</f>
        <v>0</v>
      </c>
    </row>
    <row r="373" spans="1:16" x14ac:dyDescent="0.25">
      <c r="A373">
        <v>371</v>
      </c>
      <c r="B373" t="s">
        <v>470</v>
      </c>
      <c r="C373" t="s">
        <v>365</v>
      </c>
      <c r="D373" s="4" t="s">
        <v>367</v>
      </c>
      <c r="E373" s="11">
        <v>2952</v>
      </c>
      <c r="F373" s="11">
        <v>2952</v>
      </c>
      <c r="G373" s="13">
        <f t="shared" si="90"/>
        <v>0</v>
      </c>
      <c r="H373" s="7">
        <f t="shared" si="91"/>
        <v>0</v>
      </c>
      <c r="I373" s="8">
        <v>24.324911704207679</v>
      </c>
      <c r="J373" s="9">
        <f t="shared" si="92"/>
        <v>24.324911704207679</v>
      </c>
      <c r="K373" s="3">
        <f t="shared" si="93"/>
        <v>0</v>
      </c>
      <c r="L373" s="7">
        <f t="shared" si="94"/>
        <v>0</v>
      </c>
      <c r="M373" t="s">
        <v>7</v>
      </c>
      <c r="O373" s="3">
        <f>E373-'315805 - P0824'!F373</f>
        <v>0</v>
      </c>
      <c r="P373" s="30">
        <f>I373-'315805 - P0824'!J373</f>
        <v>0</v>
      </c>
    </row>
    <row r="374" spans="1:16" x14ac:dyDescent="0.25">
      <c r="A374">
        <v>372</v>
      </c>
      <c r="B374" t="s">
        <v>303</v>
      </c>
      <c r="C374" t="s">
        <v>365</v>
      </c>
      <c r="D374" s="4" t="s">
        <v>368</v>
      </c>
      <c r="E374" s="11">
        <v>2702</v>
      </c>
      <c r="F374" s="11">
        <v>2702</v>
      </c>
      <c r="G374" s="13">
        <f t="shared" si="90"/>
        <v>0</v>
      </c>
      <c r="H374" s="7">
        <f t="shared" si="91"/>
        <v>0</v>
      </c>
      <c r="I374" s="8">
        <v>40.51093209547124</v>
      </c>
      <c r="J374" s="9">
        <f>(I374*H374)+I374</f>
        <v>40.51093209547124</v>
      </c>
      <c r="K374" s="3">
        <f t="shared" si="93"/>
        <v>0</v>
      </c>
      <c r="L374" s="7">
        <f t="shared" si="94"/>
        <v>0</v>
      </c>
      <c r="M374" t="s">
        <v>7</v>
      </c>
      <c r="O374" s="3">
        <f>E374-'315805 - P0824'!F374</f>
        <v>0</v>
      </c>
      <c r="P374" s="30">
        <f>I374-'315805 - P0824'!J374</f>
        <v>0</v>
      </c>
    </row>
    <row r="375" spans="1:16" x14ac:dyDescent="0.25">
      <c r="A375">
        <v>373</v>
      </c>
      <c r="B375" t="s">
        <v>290</v>
      </c>
      <c r="C375" t="s">
        <v>365</v>
      </c>
      <c r="D375" s="4" t="s">
        <v>369</v>
      </c>
      <c r="E375" s="11">
        <v>2702</v>
      </c>
      <c r="F375" s="11">
        <v>2702</v>
      </c>
      <c r="G375" s="13">
        <f t="shared" si="90"/>
        <v>0</v>
      </c>
      <c r="H375" s="7">
        <f t="shared" si="91"/>
        <v>0</v>
      </c>
      <c r="I375" s="8">
        <v>50.641879791355422</v>
      </c>
      <c r="J375" s="9">
        <f t="shared" si="92"/>
        <v>50.641879791355422</v>
      </c>
      <c r="K375" s="3">
        <f t="shared" si="93"/>
        <v>0</v>
      </c>
      <c r="L375" s="7">
        <f t="shared" si="94"/>
        <v>0</v>
      </c>
      <c r="M375" t="s">
        <v>7</v>
      </c>
      <c r="O375" s="3">
        <f>E375-'315805 - P0824'!F375</f>
        <v>0</v>
      </c>
      <c r="P375" s="30">
        <f>I375-'315805 - P0824'!J375</f>
        <v>0</v>
      </c>
    </row>
    <row r="376" spans="1:16" x14ac:dyDescent="0.25">
      <c r="A376">
        <v>374</v>
      </c>
      <c r="B376" t="s">
        <v>470</v>
      </c>
      <c r="C376" t="s">
        <v>365</v>
      </c>
      <c r="D376" s="4" t="s">
        <v>370</v>
      </c>
      <c r="E376" s="11">
        <v>2702</v>
      </c>
      <c r="F376" s="11">
        <v>2702</v>
      </c>
      <c r="G376" s="13">
        <f t="shared" si="90"/>
        <v>0</v>
      </c>
      <c r="H376" s="7">
        <f t="shared" si="91"/>
        <v>0</v>
      </c>
      <c r="I376" s="8">
        <v>60.769079441442358</v>
      </c>
      <c r="J376" s="9">
        <f t="shared" si="92"/>
        <v>60.769079441442358</v>
      </c>
      <c r="K376" s="3">
        <f t="shared" si="93"/>
        <v>0</v>
      </c>
      <c r="L376" s="7">
        <f t="shared" si="94"/>
        <v>0</v>
      </c>
      <c r="M376" t="s">
        <v>7</v>
      </c>
      <c r="O376" s="3">
        <f>E376-'315805 - P0824'!F376</f>
        <v>0</v>
      </c>
      <c r="P376" s="30">
        <f>I376-'315805 - P0824'!J376</f>
        <v>0</v>
      </c>
    </row>
    <row r="377" spans="1:16" x14ac:dyDescent="0.25">
      <c r="A377">
        <v>375</v>
      </c>
      <c r="B377" t="s">
        <v>479</v>
      </c>
      <c r="C377" t="s">
        <v>365</v>
      </c>
      <c r="D377" s="4" t="s">
        <v>371</v>
      </c>
      <c r="E377" s="11">
        <v>3868</v>
      </c>
      <c r="F377" s="11">
        <v>3868</v>
      </c>
      <c r="G377" s="13">
        <f t="shared" si="90"/>
        <v>0</v>
      </c>
      <c r="H377" s="7">
        <f t="shared" si="91"/>
        <v>0</v>
      </c>
      <c r="I377" s="8">
        <v>63.401973632327376</v>
      </c>
      <c r="J377" s="9">
        <f t="shared" si="92"/>
        <v>63.401973632327376</v>
      </c>
      <c r="K377" s="3">
        <f t="shared" si="93"/>
        <v>0</v>
      </c>
      <c r="L377" s="7">
        <f t="shared" si="94"/>
        <v>0</v>
      </c>
      <c r="M377" t="s">
        <v>7</v>
      </c>
      <c r="O377" s="3">
        <f>E377-'315805 - P0824'!F377</f>
        <v>0</v>
      </c>
      <c r="P377" s="30">
        <f>I377-'315805 - P0824'!J377</f>
        <v>0</v>
      </c>
    </row>
    <row r="378" spans="1:16" x14ac:dyDescent="0.25">
      <c r="A378">
        <v>376</v>
      </c>
      <c r="B378" t="s">
        <v>479</v>
      </c>
      <c r="C378" t="s">
        <v>365</v>
      </c>
      <c r="D378" s="4" t="s">
        <v>372</v>
      </c>
      <c r="E378" s="11">
        <v>3928</v>
      </c>
      <c r="F378" s="11">
        <v>3928</v>
      </c>
      <c r="G378" s="13">
        <f t="shared" si="90"/>
        <v>0</v>
      </c>
      <c r="H378" s="7">
        <f t="shared" si="91"/>
        <v>0</v>
      </c>
      <c r="I378" s="8">
        <v>80.721941958125299</v>
      </c>
      <c r="J378" s="9">
        <f t="shared" si="92"/>
        <v>80.721941958125299</v>
      </c>
      <c r="K378" s="3">
        <f t="shared" si="93"/>
        <v>0</v>
      </c>
      <c r="L378" s="7">
        <f t="shared" si="94"/>
        <v>0</v>
      </c>
      <c r="M378" t="s">
        <v>7</v>
      </c>
      <c r="O378" s="3">
        <f>E378-'315805 - P0824'!F378</f>
        <v>0</v>
      </c>
      <c r="P378" s="30">
        <f>I378-'315805 - P0824'!J378</f>
        <v>0</v>
      </c>
    </row>
    <row r="379" spans="1:16" x14ac:dyDescent="0.25">
      <c r="A379">
        <v>377</v>
      </c>
      <c r="B379" t="s">
        <v>473</v>
      </c>
      <c r="C379" t="s">
        <v>365</v>
      </c>
      <c r="D379" s="4" t="s">
        <v>373</v>
      </c>
      <c r="E379" s="11">
        <v>3928</v>
      </c>
      <c r="F379" s="11">
        <v>3928</v>
      </c>
      <c r="G379" s="13">
        <f t="shared" si="90"/>
        <v>0</v>
      </c>
      <c r="H379" s="7">
        <f t="shared" si="91"/>
        <v>0</v>
      </c>
      <c r="I379" s="8">
        <v>100.90409723646053</v>
      </c>
      <c r="J379" s="9">
        <f t="shared" si="92"/>
        <v>100.90409723646053</v>
      </c>
      <c r="K379" s="3">
        <f t="shared" si="93"/>
        <v>0</v>
      </c>
      <c r="L379" s="7">
        <f t="shared" si="94"/>
        <v>0</v>
      </c>
      <c r="M379" t="s">
        <v>7</v>
      </c>
      <c r="O379" s="3">
        <f>E379-'315805 - P0824'!F379</f>
        <v>0</v>
      </c>
      <c r="P379" s="30">
        <f>I379-'315805 - P0824'!J379</f>
        <v>0</v>
      </c>
    </row>
    <row r="380" spans="1:16" x14ac:dyDescent="0.25">
      <c r="A380">
        <v>378</v>
      </c>
      <c r="B380" t="s">
        <v>470</v>
      </c>
      <c r="C380" t="s">
        <v>365</v>
      </c>
      <c r="D380" s="4" t="s">
        <v>374</v>
      </c>
      <c r="E380" s="11">
        <v>3928</v>
      </c>
      <c r="F380" s="11">
        <v>3928</v>
      </c>
      <c r="G380" s="13">
        <f t="shared" si="90"/>
        <v>0</v>
      </c>
      <c r="H380" s="7">
        <f t="shared" si="91"/>
        <v>0</v>
      </c>
      <c r="I380" s="8">
        <v>121.08871182445142</v>
      </c>
      <c r="J380" s="9">
        <f t="shared" si="92"/>
        <v>121.08871182445142</v>
      </c>
      <c r="K380" s="3">
        <f t="shared" si="93"/>
        <v>0</v>
      </c>
      <c r="L380" s="7">
        <f t="shared" si="94"/>
        <v>0</v>
      </c>
      <c r="M380" t="s">
        <v>7</v>
      </c>
      <c r="O380" s="3">
        <f>E380-'315805 - P0824'!F380</f>
        <v>0</v>
      </c>
      <c r="P380" s="30">
        <f>I380-'315805 - P0824'!J380</f>
        <v>0</v>
      </c>
    </row>
    <row r="381" spans="1:16" x14ac:dyDescent="0.25">
      <c r="A381">
        <v>379</v>
      </c>
      <c r="B381" t="s">
        <v>470</v>
      </c>
      <c r="C381" t="s">
        <v>365</v>
      </c>
      <c r="D381" s="4" t="s">
        <v>375</v>
      </c>
      <c r="E381" s="11">
        <v>3700</v>
      </c>
      <c r="F381" s="11">
        <v>3700</v>
      </c>
      <c r="G381" s="13">
        <f t="shared" si="90"/>
        <v>0</v>
      </c>
      <c r="H381" s="7">
        <f t="shared" si="91"/>
        <v>0</v>
      </c>
      <c r="I381" s="8">
        <v>119.12776534176258</v>
      </c>
      <c r="J381" s="9">
        <f t="shared" si="92"/>
        <v>119.12776534176258</v>
      </c>
      <c r="K381" s="3">
        <f t="shared" si="93"/>
        <v>0</v>
      </c>
      <c r="L381" s="7">
        <f t="shared" si="94"/>
        <v>0</v>
      </c>
      <c r="M381" t="s">
        <v>7</v>
      </c>
      <c r="O381" s="3">
        <f>E381-'315805 - P0824'!F381</f>
        <v>0</v>
      </c>
      <c r="P381" s="30">
        <f>I381-'315805 - P0824'!J381</f>
        <v>0</v>
      </c>
    </row>
    <row r="382" spans="1:16" x14ac:dyDescent="0.25">
      <c r="A382">
        <v>380</v>
      </c>
      <c r="B382" t="s">
        <v>290</v>
      </c>
      <c r="C382" t="s">
        <v>365</v>
      </c>
      <c r="D382" s="4" t="s">
        <v>376</v>
      </c>
      <c r="E382" s="11">
        <v>3700</v>
      </c>
      <c r="F382" s="11">
        <v>3700</v>
      </c>
      <c r="G382" s="13">
        <f t="shared" si="90"/>
        <v>0</v>
      </c>
      <c r="H382" s="7">
        <f t="shared" si="91"/>
        <v>0</v>
      </c>
      <c r="I382" s="8">
        <v>208.45869530604656</v>
      </c>
      <c r="J382" s="9">
        <f t="shared" si="92"/>
        <v>208.45869530604656</v>
      </c>
      <c r="K382" s="3">
        <f t="shared" si="93"/>
        <v>0</v>
      </c>
      <c r="L382" s="7">
        <f t="shared" si="94"/>
        <v>0</v>
      </c>
      <c r="M382" t="s">
        <v>7</v>
      </c>
      <c r="O382" s="3">
        <f>E382-'315805 - P0824'!F382</f>
        <v>0</v>
      </c>
      <c r="P382" s="30">
        <f>I382-'315805 - P0824'!J382</f>
        <v>0</v>
      </c>
    </row>
    <row r="383" spans="1:16" x14ac:dyDescent="0.25">
      <c r="A383">
        <v>381</v>
      </c>
      <c r="B383" t="s">
        <v>303</v>
      </c>
      <c r="C383" t="s">
        <v>365</v>
      </c>
      <c r="D383" s="4" t="s">
        <v>377</v>
      </c>
      <c r="E383" s="11">
        <v>5269</v>
      </c>
      <c r="F383" s="11">
        <v>5269</v>
      </c>
      <c r="G383" s="13">
        <f t="shared" si="90"/>
        <v>0</v>
      </c>
      <c r="H383" s="7">
        <f t="shared" si="91"/>
        <v>0</v>
      </c>
      <c r="I383" s="8">
        <v>195.32781627941307</v>
      </c>
      <c r="J383" s="9">
        <f t="shared" si="92"/>
        <v>195.32781627941307</v>
      </c>
      <c r="K383" s="3">
        <f t="shared" si="93"/>
        <v>0</v>
      </c>
      <c r="L383" s="7">
        <f t="shared" si="94"/>
        <v>0</v>
      </c>
      <c r="M383" t="s">
        <v>7</v>
      </c>
      <c r="O383" s="3">
        <f>E383-'315805 - P0824'!F383</f>
        <v>0</v>
      </c>
      <c r="P383" s="30">
        <f>I383-'315805 - P0824'!J383</f>
        <v>0</v>
      </c>
    </row>
    <row r="384" spans="1:16" x14ac:dyDescent="0.25">
      <c r="A384">
        <v>382</v>
      </c>
      <c r="B384" t="s">
        <v>303</v>
      </c>
      <c r="C384" t="s">
        <v>365</v>
      </c>
      <c r="D384" s="4" t="s">
        <v>378</v>
      </c>
      <c r="E384" s="11">
        <v>5395</v>
      </c>
      <c r="F384" s="11">
        <v>5395</v>
      </c>
      <c r="G384" s="13">
        <f t="shared" si="90"/>
        <v>0</v>
      </c>
      <c r="H384" s="7">
        <f t="shared" si="91"/>
        <v>0</v>
      </c>
      <c r="I384" s="8">
        <v>519.78770475648537</v>
      </c>
      <c r="J384" s="9">
        <f t="shared" si="92"/>
        <v>519.78770475648537</v>
      </c>
      <c r="K384" s="3">
        <f t="shared" si="93"/>
        <v>0</v>
      </c>
      <c r="L384" s="7">
        <f t="shared" si="94"/>
        <v>0</v>
      </c>
      <c r="M384" t="s">
        <v>7</v>
      </c>
      <c r="O384" s="3">
        <f>E384-'315805 - P0824'!F384</f>
        <v>0</v>
      </c>
      <c r="P384" s="30">
        <f>I384-'315805 - P0824'!J384</f>
        <v>0</v>
      </c>
    </row>
    <row r="385" spans="1:16" x14ac:dyDescent="0.25">
      <c r="A385">
        <v>383</v>
      </c>
      <c r="B385" t="s">
        <v>290</v>
      </c>
      <c r="C385" t="s">
        <v>365</v>
      </c>
      <c r="D385" s="4" t="s">
        <v>379</v>
      </c>
      <c r="E385" s="11">
        <v>5200</v>
      </c>
      <c r="F385" s="11">
        <v>5200</v>
      </c>
      <c r="G385" s="13">
        <f t="shared" si="90"/>
        <v>0</v>
      </c>
      <c r="H385" s="7">
        <f t="shared" si="91"/>
        <v>0</v>
      </c>
      <c r="I385" s="8">
        <v>341.80468131321027</v>
      </c>
      <c r="J385" s="9">
        <f t="shared" si="92"/>
        <v>341.80468131321027</v>
      </c>
      <c r="K385" s="3">
        <f t="shared" si="93"/>
        <v>0</v>
      </c>
      <c r="L385" s="7">
        <f t="shared" si="94"/>
        <v>0</v>
      </c>
      <c r="M385" t="s">
        <v>7</v>
      </c>
      <c r="O385" s="3">
        <f>E385-'315805 - P0824'!F385</f>
        <v>0</v>
      </c>
      <c r="P385" s="30">
        <f>I385-'315805 - P0824'!J385</f>
        <v>0</v>
      </c>
    </row>
    <row r="386" spans="1:16" x14ac:dyDescent="0.25">
      <c r="A386">
        <v>384</v>
      </c>
      <c r="B386" t="s">
        <v>485</v>
      </c>
      <c r="C386" t="s">
        <v>343</v>
      </c>
      <c r="D386" s="4" t="s">
        <v>380</v>
      </c>
      <c r="E386" s="12">
        <v>9.0500000000000007</v>
      </c>
      <c r="F386" s="12">
        <v>9.0500000000000007</v>
      </c>
      <c r="G386" s="13">
        <f t="shared" si="90"/>
        <v>0</v>
      </c>
      <c r="H386" s="7">
        <f t="shared" si="91"/>
        <v>0</v>
      </c>
      <c r="I386" s="8">
        <v>9.4511903255813987</v>
      </c>
      <c r="J386" s="9">
        <f t="shared" si="92"/>
        <v>9.4511903255813987</v>
      </c>
      <c r="K386" s="3">
        <f t="shared" si="93"/>
        <v>0</v>
      </c>
      <c r="L386" s="7">
        <f t="shared" si="94"/>
        <v>0</v>
      </c>
      <c r="M386" t="s">
        <v>121</v>
      </c>
      <c r="O386" s="3">
        <f>E386-'315805 - P0824'!F386</f>
        <v>0</v>
      </c>
      <c r="P386" s="30">
        <f>I386-'315805 - P0824'!J386</f>
        <v>0</v>
      </c>
    </row>
    <row r="387" spans="1:16" x14ac:dyDescent="0.25">
      <c r="A387">
        <v>385</v>
      </c>
      <c r="B387" t="s">
        <v>290</v>
      </c>
      <c r="C387" t="s">
        <v>343</v>
      </c>
      <c r="D387" s="4" t="s">
        <v>381</v>
      </c>
      <c r="E387" s="12">
        <v>17.38</v>
      </c>
      <c r="F387" s="12">
        <v>17.38</v>
      </c>
      <c r="G387" s="13">
        <f t="shared" si="90"/>
        <v>0</v>
      </c>
      <c r="H387" s="7">
        <f t="shared" si="91"/>
        <v>0</v>
      </c>
      <c r="I387" s="8">
        <v>18.138687748031494</v>
      </c>
      <c r="J387" s="9">
        <f t="shared" si="92"/>
        <v>18.138687748031494</v>
      </c>
      <c r="K387" s="3">
        <f t="shared" si="93"/>
        <v>0</v>
      </c>
      <c r="L387" s="7">
        <f t="shared" si="94"/>
        <v>0</v>
      </c>
      <c r="M387" t="s">
        <v>121</v>
      </c>
      <c r="O387" s="3">
        <f>E387-'315805 - P0824'!F387</f>
        <v>0</v>
      </c>
      <c r="P387" s="30">
        <f>I387-'315805 - P0824'!J387</f>
        <v>0</v>
      </c>
    </row>
    <row r="388" spans="1:16" x14ac:dyDescent="0.25">
      <c r="A388">
        <v>386</v>
      </c>
      <c r="B388" t="s">
        <v>481</v>
      </c>
      <c r="C388" s="28" t="s">
        <v>382</v>
      </c>
      <c r="D388" s="4" t="s">
        <v>383</v>
      </c>
      <c r="E388" s="14">
        <v>112.02</v>
      </c>
      <c r="F388" s="14">
        <v>112.02</v>
      </c>
      <c r="G388" s="6">
        <f t="shared" si="90"/>
        <v>0</v>
      </c>
      <c r="H388" s="7">
        <f t="shared" si="91"/>
        <v>0</v>
      </c>
      <c r="I388" s="8">
        <v>334.74445542845763</v>
      </c>
      <c r="J388" s="9">
        <f t="shared" si="92"/>
        <v>334.74445542845763</v>
      </c>
      <c r="K388" s="3">
        <f t="shared" si="93"/>
        <v>0</v>
      </c>
      <c r="L388" s="7">
        <f t="shared" si="94"/>
        <v>0</v>
      </c>
      <c r="M388" t="s">
        <v>121</v>
      </c>
      <c r="O388" s="3">
        <f>E388-'315805 - P0824'!F388</f>
        <v>0</v>
      </c>
      <c r="P388" s="30">
        <f>I388-'315805 - P0824'!J388</f>
        <v>0</v>
      </c>
    </row>
    <row r="389" spans="1:16" x14ac:dyDescent="0.25">
      <c r="A389">
        <v>387</v>
      </c>
      <c r="B389" t="s">
        <v>482</v>
      </c>
      <c r="C389" s="28" t="s">
        <v>343</v>
      </c>
      <c r="D389" s="4" t="s">
        <v>384</v>
      </c>
      <c r="E389" s="11">
        <v>35.4</v>
      </c>
      <c r="F389" s="11">
        <v>35.4</v>
      </c>
      <c r="G389" s="6">
        <f t="shared" si="90"/>
        <v>0</v>
      </c>
      <c r="H389" s="7">
        <f t="shared" si="91"/>
        <v>0</v>
      </c>
      <c r="I389" s="8">
        <v>53.73333333333332</v>
      </c>
      <c r="J389" s="9">
        <f t="shared" si="92"/>
        <v>53.73333333333332</v>
      </c>
      <c r="K389" s="3">
        <f t="shared" si="93"/>
        <v>0</v>
      </c>
      <c r="L389" s="7">
        <f t="shared" si="94"/>
        <v>0</v>
      </c>
      <c r="M389" t="s">
        <v>150</v>
      </c>
      <c r="O389" s="3">
        <f>E389-'315805 - P0824'!F389</f>
        <v>0</v>
      </c>
      <c r="P389" s="30">
        <f>I389-'315805 - P0824'!J389</f>
        <v>0</v>
      </c>
    </row>
    <row r="390" spans="1:16" x14ac:dyDescent="0.25">
      <c r="A390">
        <v>388</v>
      </c>
      <c r="B390" t="s">
        <v>476</v>
      </c>
      <c r="C390" s="28" t="s">
        <v>385</v>
      </c>
      <c r="D390" s="4" t="s">
        <v>386</v>
      </c>
      <c r="E390" s="11">
        <v>70.2</v>
      </c>
      <c r="F390" s="11">
        <v>70.2</v>
      </c>
      <c r="G390" s="6">
        <f t="shared" si="90"/>
        <v>0</v>
      </c>
      <c r="H390" s="7">
        <f t="shared" si="91"/>
        <v>0</v>
      </c>
      <c r="I390" s="8">
        <v>114.84819573542534</v>
      </c>
      <c r="J390" s="9">
        <f t="shared" si="92"/>
        <v>114.84819573542534</v>
      </c>
      <c r="K390" s="3">
        <f t="shared" si="93"/>
        <v>0</v>
      </c>
      <c r="L390" s="7">
        <f t="shared" si="94"/>
        <v>0</v>
      </c>
      <c r="M390" t="s">
        <v>150</v>
      </c>
      <c r="O390" s="3">
        <f>E390-'315805 - P0824'!F390</f>
        <v>0</v>
      </c>
      <c r="P390" s="30">
        <f>I390-'315805 - P0824'!J390</f>
        <v>0</v>
      </c>
    </row>
    <row r="391" spans="1:16" x14ac:dyDescent="0.25">
      <c r="A391">
        <v>389</v>
      </c>
      <c r="B391" t="s">
        <v>445</v>
      </c>
      <c r="C391" s="28" t="s">
        <v>351</v>
      </c>
      <c r="D391" s="4" t="s">
        <v>500</v>
      </c>
      <c r="E391" s="11">
        <v>208</v>
      </c>
      <c r="F391" s="11">
        <v>208</v>
      </c>
      <c r="G391" s="6">
        <f t="shared" si="90"/>
        <v>0</v>
      </c>
      <c r="H391" s="7">
        <f t="shared" si="91"/>
        <v>0</v>
      </c>
      <c r="I391" s="8">
        <v>297.15636363636361</v>
      </c>
      <c r="J391" s="9">
        <f t="shared" si="92"/>
        <v>297.15636363636361</v>
      </c>
      <c r="K391" s="3">
        <f t="shared" si="93"/>
        <v>0</v>
      </c>
      <c r="L391" s="7">
        <f t="shared" si="94"/>
        <v>0</v>
      </c>
      <c r="M391" t="s">
        <v>150</v>
      </c>
      <c r="O391" s="3">
        <f>E391-'315805 - P0824'!F391</f>
        <v>0</v>
      </c>
      <c r="P391" s="30">
        <f>I391-'315805 - P0824'!J391</f>
        <v>0</v>
      </c>
    </row>
    <row r="392" spans="1:16" x14ac:dyDescent="0.25">
      <c r="A392">
        <v>390</v>
      </c>
      <c r="B392" t="s">
        <v>387</v>
      </c>
      <c r="C392" s="28" t="s">
        <v>351</v>
      </c>
      <c r="D392" s="4" t="s">
        <v>388</v>
      </c>
      <c r="E392" s="12">
        <v>13.11</v>
      </c>
      <c r="F392" s="12">
        <v>13.11</v>
      </c>
      <c r="G392" s="6">
        <f t="shared" si="90"/>
        <v>0</v>
      </c>
      <c r="H392" s="7">
        <f t="shared" si="91"/>
        <v>0</v>
      </c>
      <c r="I392" s="8">
        <v>15.06</v>
      </c>
      <c r="J392" s="9">
        <f t="shared" si="92"/>
        <v>15.06</v>
      </c>
      <c r="K392" s="3">
        <f t="shared" si="93"/>
        <v>0</v>
      </c>
      <c r="L392" s="7">
        <f t="shared" si="94"/>
        <v>0</v>
      </c>
      <c r="M392" t="s">
        <v>150</v>
      </c>
      <c r="O392" s="3">
        <f>E392-'315805 - P0824'!F392</f>
        <v>0</v>
      </c>
      <c r="P392" s="30">
        <f>I392-'315805 - P0824'!J392</f>
        <v>0</v>
      </c>
    </row>
    <row r="393" spans="1:16" x14ac:dyDescent="0.25">
      <c r="A393">
        <v>391</v>
      </c>
      <c r="B393" t="s">
        <v>387</v>
      </c>
      <c r="C393" s="28" t="s">
        <v>351</v>
      </c>
      <c r="D393" s="4" t="s">
        <v>389</v>
      </c>
      <c r="E393" s="12">
        <v>27.99</v>
      </c>
      <c r="F393" s="12">
        <v>27.99</v>
      </c>
      <c r="G393" s="6">
        <f t="shared" si="90"/>
        <v>0</v>
      </c>
      <c r="H393" s="7">
        <f t="shared" si="91"/>
        <v>0</v>
      </c>
      <c r="I393" s="8">
        <v>32.15</v>
      </c>
      <c r="J393" s="9">
        <f t="shared" si="92"/>
        <v>32.15</v>
      </c>
      <c r="K393" s="3">
        <f t="shared" si="93"/>
        <v>0</v>
      </c>
      <c r="L393" s="7">
        <f t="shared" si="94"/>
        <v>0</v>
      </c>
      <c r="M393" t="s">
        <v>150</v>
      </c>
      <c r="O393" s="3">
        <f>E393-'315805 - P0824'!F393</f>
        <v>0</v>
      </c>
      <c r="P393" s="30">
        <f>I393-'315805 - P0824'!J393</f>
        <v>0</v>
      </c>
    </row>
    <row r="394" spans="1:16" x14ac:dyDescent="0.25">
      <c r="A394">
        <v>392</v>
      </c>
      <c r="B394" t="s">
        <v>387</v>
      </c>
      <c r="C394" s="28" t="s">
        <v>351</v>
      </c>
      <c r="D394" s="4" t="s">
        <v>390</v>
      </c>
      <c r="E394" s="12">
        <v>24.27</v>
      </c>
      <c r="F394" s="12">
        <v>24.27</v>
      </c>
      <c r="G394" s="6">
        <f t="shared" si="90"/>
        <v>0</v>
      </c>
      <c r="H394" s="7">
        <f t="shared" si="91"/>
        <v>0</v>
      </c>
      <c r="I394" s="8">
        <v>27.88</v>
      </c>
      <c r="J394" s="9">
        <f t="shared" si="92"/>
        <v>27.88</v>
      </c>
      <c r="K394" s="3">
        <f t="shared" si="93"/>
        <v>0</v>
      </c>
      <c r="L394" s="7">
        <f t="shared" si="94"/>
        <v>0</v>
      </c>
      <c r="M394" t="s">
        <v>150</v>
      </c>
      <c r="O394" s="3">
        <f>E394-'315805 - P0824'!F394</f>
        <v>0</v>
      </c>
      <c r="P394" s="30">
        <f>I394-'315805 - P0824'!J394</f>
        <v>0</v>
      </c>
    </row>
    <row r="395" spans="1:16" x14ac:dyDescent="0.25">
      <c r="A395">
        <v>393</v>
      </c>
      <c r="C395" s="28"/>
      <c r="D395" s="34" t="s">
        <v>391</v>
      </c>
      <c r="M395" t="s">
        <v>150</v>
      </c>
    </row>
    <row r="396" spans="1:16" x14ac:dyDescent="0.25">
      <c r="A396">
        <v>394</v>
      </c>
      <c r="B396" t="s">
        <v>322</v>
      </c>
      <c r="C396" s="28" t="s">
        <v>354</v>
      </c>
      <c r="D396" s="4" t="s">
        <v>392</v>
      </c>
      <c r="E396" s="12">
        <v>3.7791000000000001</v>
      </c>
      <c r="F396" s="12">
        <v>3.7791000000000001</v>
      </c>
      <c r="G396" s="6">
        <f t="shared" ref="G396:G413" si="95">+F396-E396</f>
        <v>0</v>
      </c>
      <c r="H396" s="7">
        <f t="shared" ref="H396:H413" si="96">(F396-E396)/ABS(E396)</f>
        <v>0</v>
      </c>
      <c r="I396" s="8">
        <v>7.5582000000000003</v>
      </c>
      <c r="J396" s="9">
        <f t="shared" ref="J396:J413" si="97">(I396*H396)+I396</f>
        <v>7.5582000000000003</v>
      </c>
      <c r="K396" s="3">
        <f t="shared" ref="K396:K413" si="98">J396-I396</f>
        <v>0</v>
      </c>
      <c r="L396" s="7">
        <f t="shared" ref="L396:L413" si="99">(J396-I396)/ABS(I396)</f>
        <v>0</v>
      </c>
      <c r="M396" t="s">
        <v>150</v>
      </c>
      <c r="O396" s="3">
        <f>E396-'315805 - P0824'!F396</f>
        <v>0</v>
      </c>
      <c r="P396" s="30">
        <f>I396-'315805 - P0824'!J396</f>
        <v>0</v>
      </c>
    </row>
    <row r="397" spans="1:16" x14ac:dyDescent="0.25">
      <c r="A397">
        <v>395</v>
      </c>
      <c r="B397" t="s">
        <v>476</v>
      </c>
      <c r="C397" s="28" t="s">
        <v>354</v>
      </c>
      <c r="D397" s="4" t="s">
        <v>393</v>
      </c>
      <c r="E397" s="12">
        <v>1.81</v>
      </c>
      <c r="F397" s="12">
        <v>1.81</v>
      </c>
      <c r="G397" s="6">
        <f t="shared" si="95"/>
        <v>0</v>
      </c>
      <c r="H397" s="7">
        <f t="shared" si="96"/>
        <v>0</v>
      </c>
      <c r="I397" s="8">
        <v>3.62</v>
      </c>
      <c r="J397" s="9">
        <f t="shared" si="97"/>
        <v>3.62</v>
      </c>
      <c r="K397" s="3">
        <f t="shared" si="98"/>
        <v>0</v>
      </c>
      <c r="L397" s="7">
        <f t="shared" si="99"/>
        <v>0</v>
      </c>
      <c r="M397" t="s">
        <v>150</v>
      </c>
      <c r="O397" s="3">
        <f>E397-'315805 - P0824'!F397</f>
        <v>0</v>
      </c>
      <c r="P397" s="30">
        <f>I397-'315805 - P0824'!J397</f>
        <v>0</v>
      </c>
    </row>
    <row r="398" spans="1:16" x14ac:dyDescent="0.25">
      <c r="A398">
        <v>396</v>
      </c>
      <c r="B398" t="s">
        <v>480</v>
      </c>
      <c r="C398" s="28" t="s">
        <v>354</v>
      </c>
      <c r="D398" s="4" t="s">
        <v>394</v>
      </c>
      <c r="E398" s="12">
        <v>3.01</v>
      </c>
      <c r="F398" s="12">
        <v>3.01</v>
      </c>
      <c r="G398" s="6">
        <f t="shared" si="95"/>
        <v>0</v>
      </c>
      <c r="H398" s="7">
        <f t="shared" si="96"/>
        <v>0</v>
      </c>
      <c r="I398" s="8">
        <v>6.02</v>
      </c>
      <c r="J398" s="9">
        <f t="shared" si="97"/>
        <v>6.02</v>
      </c>
      <c r="K398" s="3">
        <f t="shared" si="98"/>
        <v>0</v>
      </c>
      <c r="L398" s="7">
        <f t="shared" si="99"/>
        <v>0</v>
      </c>
      <c r="M398" t="s">
        <v>150</v>
      </c>
      <c r="O398" s="3">
        <f>E398-'315805 - P0824'!F398</f>
        <v>0</v>
      </c>
      <c r="P398" s="30">
        <f>I398-'315805 - P0824'!J398</f>
        <v>0</v>
      </c>
    </row>
    <row r="399" spans="1:16" x14ac:dyDescent="0.25">
      <c r="A399">
        <v>397</v>
      </c>
      <c r="B399" t="s">
        <v>470</v>
      </c>
      <c r="C399" s="28" t="s">
        <v>354</v>
      </c>
      <c r="D399" s="4" t="s">
        <v>395</v>
      </c>
      <c r="E399" s="12">
        <v>27.08</v>
      </c>
      <c r="F399" s="12">
        <v>27.08</v>
      </c>
      <c r="G399" s="6">
        <f t="shared" si="95"/>
        <v>0</v>
      </c>
      <c r="H399" s="7">
        <f t="shared" si="96"/>
        <v>0</v>
      </c>
      <c r="I399" s="8">
        <v>54.16</v>
      </c>
      <c r="J399" s="9">
        <f t="shared" si="97"/>
        <v>54.16</v>
      </c>
      <c r="K399" s="3">
        <f t="shared" si="98"/>
        <v>0</v>
      </c>
      <c r="L399" s="7">
        <f t="shared" si="99"/>
        <v>0</v>
      </c>
      <c r="M399" t="s">
        <v>150</v>
      </c>
      <c r="O399" s="3">
        <f>E399-'315805 - P0824'!F399</f>
        <v>0</v>
      </c>
      <c r="P399" s="30">
        <f>I399-'315805 - P0824'!J399</f>
        <v>0</v>
      </c>
    </row>
    <row r="400" spans="1:16" x14ac:dyDescent="0.25">
      <c r="A400">
        <v>398</v>
      </c>
      <c r="B400" t="s">
        <v>303</v>
      </c>
      <c r="C400" s="28" t="s">
        <v>354</v>
      </c>
      <c r="D400" s="4" t="s">
        <v>396</v>
      </c>
      <c r="E400" s="12">
        <v>18.07</v>
      </c>
      <c r="F400" s="12">
        <v>18.07</v>
      </c>
      <c r="G400" s="6">
        <f t="shared" si="95"/>
        <v>0</v>
      </c>
      <c r="H400" s="7">
        <f t="shared" si="96"/>
        <v>0</v>
      </c>
      <c r="I400" s="8">
        <v>32.273257621040045</v>
      </c>
      <c r="J400" s="9">
        <f t="shared" si="97"/>
        <v>32.273257621040045</v>
      </c>
      <c r="K400" s="3">
        <f t="shared" si="98"/>
        <v>0</v>
      </c>
      <c r="L400" s="7">
        <f t="shared" si="99"/>
        <v>0</v>
      </c>
      <c r="M400" t="s">
        <v>150</v>
      </c>
      <c r="O400" s="3">
        <f>E400-'315805 - P0824'!F400</f>
        <v>0</v>
      </c>
      <c r="P400" s="30">
        <f>I400-'315805 - P0824'!J400</f>
        <v>0</v>
      </c>
    </row>
    <row r="401" spans="1:16" x14ac:dyDescent="0.25">
      <c r="A401">
        <v>399</v>
      </c>
      <c r="B401" t="s">
        <v>303</v>
      </c>
      <c r="C401" s="28" t="s">
        <v>354</v>
      </c>
      <c r="D401" s="4" t="s">
        <v>397</v>
      </c>
      <c r="E401" s="12">
        <v>11.92</v>
      </c>
      <c r="F401" s="12">
        <v>11.92</v>
      </c>
      <c r="G401" s="6">
        <f t="shared" si="95"/>
        <v>0</v>
      </c>
      <c r="H401" s="7">
        <f t="shared" si="96"/>
        <v>0</v>
      </c>
      <c r="I401" s="8">
        <v>23.863213242453746</v>
      </c>
      <c r="J401" s="9">
        <f t="shared" si="97"/>
        <v>23.863213242453746</v>
      </c>
      <c r="K401" s="3">
        <f t="shared" si="98"/>
        <v>0</v>
      </c>
      <c r="L401" s="7">
        <f t="shared" si="99"/>
        <v>0</v>
      </c>
      <c r="M401" t="s">
        <v>150</v>
      </c>
      <c r="O401" s="3">
        <f>E401-'315805 - P0824'!F401</f>
        <v>0</v>
      </c>
      <c r="P401" s="30">
        <f>I401-'315805 - P0824'!J401</f>
        <v>0</v>
      </c>
    </row>
    <row r="402" spans="1:16" x14ac:dyDescent="0.25">
      <c r="A402">
        <v>400</v>
      </c>
      <c r="B402" t="s">
        <v>303</v>
      </c>
      <c r="C402" s="28" t="s">
        <v>354</v>
      </c>
      <c r="D402" s="4" t="s">
        <v>398</v>
      </c>
      <c r="E402" s="12">
        <v>12.97</v>
      </c>
      <c r="F402" s="12">
        <v>12.97</v>
      </c>
      <c r="G402" s="6">
        <f t="shared" si="95"/>
        <v>0</v>
      </c>
      <c r="H402" s="7">
        <f t="shared" si="96"/>
        <v>0</v>
      </c>
      <c r="I402" s="8">
        <v>25.96322291853178</v>
      </c>
      <c r="J402" s="9">
        <f t="shared" si="97"/>
        <v>25.96322291853178</v>
      </c>
      <c r="K402" s="3">
        <f t="shared" si="98"/>
        <v>0</v>
      </c>
      <c r="L402" s="7">
        <f t="shared" si="99"/>
        <v>0</v>
      </c>
      <c r="M402" t="s">
        <v>150</v>
      </c>
      <c r="O402" s="3">
        <f>E402-'315805 - P0824'!F402</f>
        <v>0</v>
      </c>
      <c r="P402" s="30">
        <f>I402-'315805 - P0824'!J402</f>
        <v>0</v>
      </c>
    </row>
    <row r="403" spans="1:16" x14ac:dyDescent="0.25">
      <c r="A403">
        <v>401</v>
      </c>
      <c r="B403" t="s">
        <v>475</v>
      </c>
      <c r="C403" s="28" t="s">
        <v>354</v>
      </c>
      <c r="D403" s="4" t="s">
        <v>399</v>
      </c>
      <c r="E403" s="12">
        <v>51.3</v>
      </c>
      <c r="F403" s="12">
        <v>51.3</v>
      </c>
      <c r="G403" s="6">
        <f t="shared" si="95"/>
        <v>0</v>
      </c>
      <c r="H403" s="7">
        <f t="shared" si="96"/>
        <v>0</v>
      </c>
      <c r="I403" s="8">
        <v>102.6</v>
      </c>
      <c r="J403" s="9">
        <f t="shared" si="97"/>
        <v>102.6</v>
      </c>
      <c r="K403" s="3">
        <f t="shared" si="98"/>
        <v>0</v>
      </c>
      <c r="L403" s="7">
        <f t="shared" si="99"/>
        <v>0</v>
      </c>
      <c r="M403" t="s">
        <v>150</v>
      </c>
      <c r="O403" s="3">
        <f>E403-'315805 - P0824'!F403</f>
        <v>0</v>
      </c>
      <c r="P403" s="30">
        <f>I403-'315805 - P0824'!J403</f>
        <v>0</v>
      </c>
    </row>
    <row r="404" spans="1:16" x14ac:dyDescent="0.25">
      <c r="A404">
        <v>402</v>
      </c>
      <c r="B404" t="s">
        <v>479</v>
      </c>
      <c r="C404" s="28" t="s">
        <v>354</v>
      </c>
      <c r="D404" s="4" t="s">
        <v>400</v>
      </c>
      <c r="E404" s="12">
        <v>21.37</v>
      </c>
      <c r="F404" s="12">
        <v>21.37</v>
      </c>
      <c r="G404" s="6">
        <f t="shared" si="95"/>
        <v>0</v>
      </c>
      <c r="H404" s="7">
        <f t="shared" si="96"/>
        <v>0</v>
      </c>
      <c r="I404" s="8">
        <v>42.74</v>
      </c>
      <c r="J404" s="9">
        <f t="shared" si="97"/>
        <v>42.74</v>
      </c>
      <c r="K404" s="3">
        <f t="shared" si="98"/>
        <v>0</v>
      </c>
      <c r="L404" s="7">
        <f t="shared" si="99"/>
        <v>0</v>
      </c>
      <c r="M404" t="s">
        <v>150</v>
      </c>
      <c r="O404" s="3">
        <f>E404-'315805 - P0824'!F404</f>
        <v>0</v>
      </c>
      <c r="P404" s="30">
        <f>I404-'315805 - P0824'!J404</f>
        <v>0</v>
      </c>
    </row>
    <row r="405" spans="1:16" x14ac:dyDescent="0.25">
      <c r="A405">
        <v>403</v>
      </c>
      <c r="B405" t="s">
        <v>476</v>
      </c>
      <c r="C405" s="28" t="s">
        <v>354</v>
      </c>
      <c r="D405" s="4" t="s">
        <v>401</v>
      </c>
      <c r="E405" s="12">
        <v>37.51</v>
      </c>
      <c r="F405" s="12">
        <v>37.51</v>
      </c>
      <c r="G405" s="6">
        <f t="shared" si="95"/>
        <v>0</v>
      </c>
      <c r="H405" s="7">
        <f t="shared" si="96"/>
        <v>0</v>
      </c>
      <c r="I405" s="8">
        <v>75.02</v>
      </c>
      <c r="J405" s="9">
        <f t="shared" si="97"/>
        <v>75.02</v>
      </c>
      <c r="K405" s="3">
        <f t="shared" si="98"/>
        <v>0</v>
      </c>
      <c r="L405" s="7">
        <f t="shared" si="99"/>
        <v>0</v>
      </c>
      <c r="M405" t="s">
        <v>150</v>
      </c>
      <c r="O405" s="3">
        <f>E405-'315805 - P0824'!F405</f>
        <v>0</v>
      </c>
      <c r="P405" s="30">
        <f>I405-'315805 - P0824'!J405</f>
        <v>0</v>
      </c>
    </row>
    <row r="406" spans="1:16" x14ac:dyDescent="0.25">
      <c r="A406">
        <v>404</v>
      </c>
      <c r="B406" t="s">
        <v>476</v>
      </c>
      <c r="C406" s="28" t="s">
        <v>354</v>
      </c>
      <c r="D406" s="4" t="s">
        <v>402</v>
      </c>
      <c r="E406" s="12">
        <v>1.79</v>
      </c>
      <c r="F406" s="12">
        <v>1.79</v>
      </c>
      <c r="G406" s="6">
        <f t="shared" si="95"/>
        <v>0</v>
      </c>
      <c r="H406" s="7">
        <f t="shared" si="96"/>
        <v>0</v>
      </c>
      <c r="I406" s="8">
        <v>4</v>
      </c>
      <c r="J406" s="9">
        <f t="shared" si="97"/>
        <v>4</v>
      </c>
      <c r="K406" s="3">
        <f t="shared" si="98"/>
        <v>0</v>
      </c>
      <c r="L406" s="7">
        <f t="shared" si="99"/>
        <v>0</v>
      </c>
      <c r="M406" t="s">
        <v>150</v>
      </c>
      <c r="O406" s="3">
        <f>E406-'315805 - P0824'!F406</f>
        <v>0</v>
      </c>
      <c r="P406" s="30">
        <f>I406-'315805 - P0824'!J406</f>
        <v>0</v>
      </c>
    </row>
    <row r="407" spans="1:16" x14ac:dyDescent="0.25">
      <c r="A407">
        <v>405</v>
      </c>
      <c r="B407" t="s">
        <v>476</v>
      </c>
      <c r="C407" s="28" t="s">
        <v>354</v>
      </c>
      <c r="D407" s="4" t="s">
        <v>403</v>
      </c>
      <c r="E407" s="12">
        <v>2.4700000000000002</v>
      </c>
      <c r="F407" s="12">
        <v>2.4700000000000002</v>
      </c>
      <c r="G407" s="6">
        <f t="shared" si="95"/>
        <v>0</v>
      </c>
      <c r="H407" s="7">
        <f t="shared" si="96"/>
        <v>0</v>
      </c>
      <c r="I407" s="8">
        <v>5</v>
      </c>
      <c r="J407" s="9">
        <f t="shared" si="97"/>
        <v>5</v>
      </c>
      <c r="K407" s="3">
        <f t="shared" si="98"/>
        <v>0</v>
      </c>
      <c r="L407" s="7">
        <f t="shared" si="99"/>
        <v>0</v>
      </c>
      <c r="M407" t="s">
        <v>150</v>
      </c>
      <c r="O407" s="3">
        <f>E407-'315805 - P0824'!F407</f>
        <v>0</v>
      </c>
      <c r="P407" s="30">
        <f>I407-'315805 - P0824'!J407</f>
        <v>0</v>
      </c>
    </row>
    <row r="408" spans="1:16" x14ac:dyDescent="0.25">
      <c r="A408">
        <v>406</v>
      </c>
      <c r="B408" t="s">
        <v>474</v>
      </c>
      <c r="C408" s="28" t="s">
        <v>354</v>
      </c>
      <c r="D408" s="4" t="s">
        <v>404</v>
      </c>
      <c r="E408" s="12">
        <v>6.48</v>
      </c>
      <c r="F408" s="12">
        <v>6.48</v>
      </c>
      <c r="G408" s="6">
        <f t="shared" si="95"/>
        <v>0</v>
      </c>
      <c r="H408" s="7">
        <f t="shared" si="96"/>
        <v>0</v>
      </c>
      <c r="I408" s="8">
        <v>12.96</v>
      </c>
      <c r="J408" s="9">
        <f t="shared" si="97"/>
        <v>12.96</v>
      </c>
      <c r="K408" s="3">
        <f t="shared" si="98"/>
        <v>0</v>
      </c>
      <c r="L408" s="7">
        <f t="shared" si="99"/>
        <v>0</v>
      </c>
      <c r="M408" t="s">
        <v>150</v>
      </c>
      <c r="O408" s="3">
        <f>E408-'315805 - P0824'!F408</f>
        <v>0</v>
      </c>
      <c r="P408" s="30">
        <f>I408-'315805 - P0824'!J408</f>
        <v>0</v>
      </c>
    </row>
    <row r="409" spans="1:16" x14ac:dyDescent="0.25">
      <c r="A409">
        <v>407</v>
      </c>
      <c r="B409" t="s">
        <v>474</v>
      </c>
      <c r="C409" s="28" t="s">
        <v>354</v>
      </c>
      <c r="D409" s="4" t="s">
        <v>405</v>
      </c>
      <c r="E409" s="12">
        <v>10.78</v>
      </c>
      <c r="F409" s="12">
        <v>10.78</v>
      </c>
      <c r="G409" s="6">
        <f t="shared" si="95"/>
        <v>0</v>
      </c>
      <c r="H409" s="7">
        <f t="shared" si="96"/>
        <v>0</v>
      </c>
      <c r="I409" s="8">
        <v>21.56</v>
      </c>
      <c r="J409" s="9">
        <f t="shared" si="97"/>
        <v>21.56</v>
      </c>
      <c r="K409" s="3">
        <f t="shared" si="98"/>
        <v>0</v>
      </c>
      <c r="L409" s="7">
        <f t="shared" si="99"/>
        <v>0</v>
      </c>
      <c r="M409" t="s">
        <v>150</v>
      </c>
      <c r="O409" s="3">
        <f>E409-'315805 - P0824'!F409</f>
        <v>0</v>
      </c>
      <c r="P409" s="30">
        <f>I409-'315805 - P0824'!J409</f>
        <v>0</v>
      </c>
    </row>
    <row r="410" spans="1:16" x14ac:dyDescent="0.25">
      <c r="A410">
        <v>408</v>
      </c>
      <c r="B410" t="s">
        <v>474</v>
      </c>
      <c r="C410" s="28" t="s">
        <v>354</v>
      </c>
      <c r="D410" s="4" t="s">
        <v>406</v>
      </c>
      <c r="E410" s="12">
        <v>13.22</v>
      </c>
      <c r="F410" s="12">
        <v>13.22</v>
      </c>
      <c r="G410" s="6">
        <f t="shared" si="95"/>
        <v>0</v>
      </c>
      <c r="H410" s="7">
        <f t="shared" si="96"/>
        <v>0</v>
      </c>
      <c r="I410" s="8">
        <v>26.44</v>
      </c>
      <c r="J410" s="9">
        <f t="shared" si="97"/>
        <v>26.44</v>
      </c>
      <c r="K410" s="3">
        <f t="shared" si="98"/>
        <v>0</v>
      </c>
      <c r="L410" s="7">
        <f t="shared" si="99"/>
        <v>0</v>
      </c>
      <c r="M410" t="s">
        <v>150</v>
      </c>
      <c r="O410" s="3">
        <f>E410-'315805 - P0824'!F410</f>
        <v>0</v>
      </c>
      <c r="P410" s="30">
        <f>I410-'315805 - P0824'!J410</f>
        <v>0</v>
      </c>
    </row>
    <row r="411" spans="1:16" x14ac:dyDescent="0.25">
      <c r="A411">
        <v>409</v>
      </c>
      <c r="B411" t="s">
        <v>476</v>
      </c>
      <c r="C411" s="28" t="s">
        <v>354</v>
      </c>
      <c r="D411" s="4" t="s">
        <v>407</v>
      </c>
      <c r="E411" s="12">
        <v>14.72</v>
      </c>
      <c r="F411" s="12">
        <v>14.72</v>
      </c>
      <c r="G411" s="6">
        <f t="shared" si="95"/>
        <v>0</v>
      </c>
      <c r="H411" s="7">
        <f t="shared" si="96"/>
        <v>0</v>
      </c>
      <c r="I411" s="8">
        <v>29.44</v>
      </c>
      <c r="J411" s="9">
        <f t="shared" si="97"/>
        <v>29.44</v>
      </c>
      <c r="K411" s="3">
        <f t="shared" si="98"/>
        <v>0</v>
      </c>
      <c r="L411" s="7">
        <f t="shared" si="99"/>
        <v>0</v>
      </c>
      <c r="M411" t="s">
        <v>150</v>
      </c>
      <c r="O411" s="3">
        <f>E411-'315805 - P0824'!F411</f>
        <v>0</v>
      </c>
      <c r="P411" s="30">
        <f>I411-'315805 - P0824'!J411</f>
        <v>0</v>
      </c>
    </row>
    <row r="412" spans="1:16" x14ac:dyDescent="0.25">
      <c r="A412">
        <v>410</v>
      </c>
      <c r="B412" t="s">
        <v>476</v>
      </c>
      <c r="C412" s="28" t="s">
        <v>354</v>
      </c>
      <c r="D412" s="4" t="s">
        <v>408</v>
      </c>
      <c r="E412" s="12">
        <v>3.74</v>
      </c>
      <c r="F412" s="12">
        <v>3.74</v>
      </c>
      <c r="G412" s="6">
        <f t="shared" si="95"/>
        <v>0</v>
      </c>
      <c r="H412" s="7">
        <f t="shared" si="96"/>
        <v>0</v>
      </c>
      <c r="I412" s="8">
        <v>7.48</v>
      </c>
      <c r="J412" s="9">
        <f t="shared" si="97"/>
        <v>7.48</v>
      </c>
      <c r="K412" s="3">
        <f t="shared" si="98"/>
        <v>0</v>
      </c>
      <c r="L412" s="7">
        <f t="shared" si="99"/>
        <v>0</v>
      </c>
      <c r="M412" t="s">
        <v>150</v>
      </c>
      <c r="O412" s="3">
        <f>E412-'315805 - P0824'!F412</f>
        <v>0</v>
      </c>
      <c r="P412" s="30">
        <f>I412-'315805 - P0824'!J412</f>
        <v>0</v>
      </c>
    </row>
    <row r="413" spans="1:16" x14ac:dyDescent="0.25">
      <c r="A413">
        <v>411</v>
      </c>
      <c r="B413" t="s">
        <v>476</v>
      </c>
      <c r="C413" s="28" t="s">
        <v>354</v>
      </c>
      <c r="D413" s="4" t="s">
        <v>409</v>
      </c>
      <c r="E413" s="12">
        <v>5.12</v>
      </c>
      <c r="F413" s="12">
        <v>5.12</v>
      </c>
      <c r="G413" s="6">
        <f t="shared" si="95"/>
        <v>0</v>
      </c>
      <c r="H413" s="7">
        <f t="shared" si="96"/>
        <v>0</v>
      </c>
      <c r="I413" s="8">
        <v>10.24</v>
      </c>
      <c r="J413" s="9">
        <f t="shared" si="97"/>
        <v>10.24</v>
      </c>
      <c r="K413" s="3">
        <f t="shared" si="98"/>
        <v>0</v>
      </c>
      <c r="L413" s="7">
        <f t="shared" si="99"/>
        <v>0</v>
      </c>
      <c r="M413" t="s">
        <v>150</v>
      </c>
      <c r="O413" s="3">
        <f>E413-'315805 - P0824'!F413</f>
        <v>0</v>
      </c>
      <c r="P413" s="30">
        <f>I413-'315805 - P0824'!J413</f>
        <v>0</v>
      </c>
    </row>
    <row r="414" spans="1:16" x14ac:dyDescent="0.25">
      <c r="A414">
        <v>412</v>
      </c>
      <c r="D414" s="34" t="s">
        <v>410</v>
      </c>
      <c r="H414" s="10">
        <f>AVERAGE(H349:H410)</f>
        <v>0</v>
      </c>
    </row>
    <row r="415" spans="1:16" x14ac:dyDescent="0.25">
      <c r="D415" s="34" t="s">
        <v>411</v>
      </c>
    </row>
    <row r="416" spans="1:16" x14ac:dyDescent="0.25">
      <c r="D416" s="17" t="s">
        <v>412</v>
      </c>
      <c r="E416" s="5">
        <v>480</v>
      </c>
      <c r="F416" s="5">
        <v>507</v>
      </c>
      <c r="G416" s="6">
        <f t="shared" ref="G416:G425" si="100">+F416-E416</f>
        <v>27</v>
      </c>
      <c r="H416" s="7">
        <f t="shared" ref="H416:H425" si="101">(F416-E416)/ABS(E416)</f>
        <v>5.6250000000000001E-2</v>
      </c>
      <c r="J416" s="3"/>
      <c r="K416" s="3"/>
      <c r="L416" s="7"/>
    </row>
    <row r="417" spans="1:16" x14ac:dyDescent="0.25">
      <c r="D417" s="17" t="s">
        <v>413</v>
      </c>
      <c r="E417" s="5">
        <v>530</v>
      </c>
      <c r="F417" s="5">
        <v>587</v>
      </c>
      <c r="G417" s="6">
        <f t="shared" si="100"/>
        <v>57</v>
      </c>
      <c r="H417" s="7">
        <f t="shared" si="101"/>
        <v>0.10754716981132076</v>
      </c>
      <c r="J417" s="3"/>
      <c r="K417" s="3"/>
      <c r="L417" s="7"/>
    </row>
    <row r="418" spans="1:16" x14ac:dyDescent="0.25">
      <c r="D418" s="17" t="s">
        <v>414</v>
      </c>
      <c r="E418" s="5">
        <v>763</v>
      </c>
      <c r="F418" s="5">
        <v>788</v>
      </c>
      <c r="G418" s="6">
        <f t="shared" si="100"/>
        <v>25</v>
      </c>
      <c r="H418" s="7">
        <f t="shared" si="101"/>
        <v>3.2765399737876802E-2</v>
      </c>
      <c r="J418" s="3"/>
      <c r="K418" s="3"/>
      <c r="L418" s="7"/>
    </row>
    <row r="419" spans="1:16" x14ac:dyDescent="0.25">
      <c r="D419" s="4" t="s">
        <v>415</v>
      </c>
      <c r="E419" s="5">
        <v>569</v>
      </c>
      <c r="F419" s="5">
        <v>619</v>
      </c>
      <c r="G419" s="6">
        <f t="shared" si="100"/>
        <v>50</v>
      </c>
      <c r="H419" s="7">
        <f t="shared" si="101"/>
        <v>8.7873462214411252E-2</v>
      </c>
      <c r="J419" s="3"/>
      <c r="K419" s="3"/>
      <c r="L419" s="7"/>
    </row>
    <row r="420" spans="1:16" x14ac:dyDescent="0.25">
      <c r="D420" s="4" t="s">
        <v>416</v>
      </c>
      <c r="E420" s="5">
        <v>579</v>
      </c>
      <c r="F420" s="5">
        <v>654</v>
      </c>
      <c r="G420" s="6">
        <f t="shared" si="100"/>
        <v>75</v>
      </c>
      <c r="H420" s="7">
        <f t="shared" si="101"/>
        <v>0.12953367875647667</v>
      </c>
      <c r="J420" s="3"/>
      <c r="K420" s="3"/>
      <c r="L420" s="7"/>
    </row>
    <row r="421" spans="1:16" x14ac:dyDescent="0.25">
      <c r="D421" s="4" t="s">
        <v>417</v>
      </c>
      <c r="E421" s="5">
        <v>1380</v>
      </c>
      <c r="F421" s="5">
        <v>1410</v>
      </c>
      <c r="G421" s="6">
        <f t="shared" si="100"/>
        <v>30</v>
      </c>
      <c r="H421" s="7">
        <f t="shared" si="101"/>
        <v>2.1739130434782608E-2</v>
      </c>
      <c r="J421" s="3"/>
      <c r="K421" s="3"/>
      <c r="L421" s="7"/>
    </row>
    <row r="422" spans="1:16" x14ac:dyDescent="0.25">
      <c r="D422" s="4" t="s">
        <v>418</v>
      </c>
      <c r="E422" s="5">
        <v>1365</v>
      </c>
      <c r="F422" s="5">
        <v>1435</v>
      </c>
      <c r="G422" s="6">
        <f t="shared" si="100"/>
        <v>70</v>
      </c>
      <c r="H422" s="7">
        <f t="shared" si="101"/>
        <v>5.128205128205128E-2</v>
      </c>
      <c r="J422" s="3"/>
      <c r="K422" s="3"/>
      <c r="L422" s="7"/>
    </row>
    <row r="423" spans="1:16" x14ac:dyDescent="0.25">
      <c r="D423" s="4" t="s">
        <v>419</v>
      </c>
      <c r="E423" s="5">
        <v>644</v>
      </c>
      <c r="F423" s="5">
        <v>674</v>
      </c>
      <c r="G423" s="6">
        <f t="shared" si="100"/>
        <v>30</v>
      </c>
      <c r="H423" s="7">
        <f t="shared" si="101"/>
        <v>4.6583850931677016E-2</v>
      </c>
      <c r="J423" s="3"/>
      <c r="K423" s="3"/>
      <c r="L423" s="7"/>
    </row>
    <row r="424" spans="1:16" x14ac:dyDescent="0.25">
      <c r="D424" s="4" t="s">
        <v>420</v>
      </c>
      <c r="E424" s="5">
        <v>664</v>
      </c>
      <c r="F424" s="5">
        <v>734</v>
      </c>
      <c r="G424" s="6">
        <f t="shared" si="100"/>
        <v>70</v>
      </c>
      <c r="H424" s="7">
        <f t="shared" si="101"/>
        <v>0.10542168674698796</v>
      </c>
      <c r="J424" s="3"/>
      <c r="K424" s="3"/>
      <c r="L424" s="7"/>
    </row>
    <row r="425" spans="1:16" x14ac:dyDescent="0.25">
      <c r="D425" s="4" t="s">
        <v>421</v>
      </c>
      <c r="E425" s="5">
        <v>817</v>
      </c>
      <c r="F425" s="5">
        <v>847</v>
      </c>
      <c r="G425" s="6">
        <f t="shared" si="100"/>
        <v>30</v>
      </c>
      <c r="H425" s="7">
        <f t="shared" si="101"/>
        <v>3.6719706242350061E-2</v>
      </c>
      <c r="J425" s="3"/>
      <c r="K425" s="3"/>
      <c r="L425" s="7"/>
    </row>
    <row r="426" spans="1:16" s="3" customFormat="1" x14ac:dyDescent="0.25">
      <c r="A426"/>
      <c r="B426"/>
      <c r="C426"/>
      <c r="D426" s="2" t="s">
        <v>422</v>
      </c>
      <c r="H426" s="10">
        <f>AVERAGE(H416:H425)</f>
        <v>6.7571613615793433E-2</v>
      </c>
      <c r="J426"/>
      <c r="K426"/>
      <c r="L426"/>
      <c r="M426"/>
      <c r="N426"/>
      <c r="P426" s="30"/>
    </row>
  </sheetData>
  <autoFilter ref="A1:M426" xr:uid="{00000000-0009-0000-0000-000001000000}"/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69E3-34D2-4F2F-81A0-03A47970C508}">
  <dimension ref="A1:P426"/>
  <sheetViews>
    <sheetView workbookViewId="0">
      <pane ySplit="2" topLeftCell="A3" activePane="bottomLeft" state="frozen"/>
      <selection pane="bottomLeft" activeCell="J6" sqref="J6"/>
    </sheetView>
  </sheetViews>
  <sheetFormatPr defaultColWidth="9.140625" defaultRowHeight="15" x14ac:dyDescent="0.25"/>
  <cols>
    <col min="1" max="1" width="4" bestFit="1" customWidth="1"/>
    <col min="2" max="2" width="17.28515625" customWidth="1"/>
    <col min="3" max="3" width="11.7109375" customWidth="1"/>
    <col min="4" max="4" width="76.7109375" customWidth="1"/>
    <col min="5" max="5" width="28.42578125" style="3" customWidth="1"/>
    <col min="6" max="6" width="29.5703125" style="3" customWidth="1"/>
    <col min="7" max="7" width="8.28515625" style="3" customWidth="1"/>
    <col min="8" max="8" width="7.7109375" style="3" customWidth="1"/>
    <col min="9" max="9" width="28.42578125" style="3" customWidth="1"/>
    <col min="10" max="10" width="29.5703125" customWidth="1"/>
    <col min="16" max="16" width="9.140625" style="30"/>
  </cols>
  <sheetData>
    <row r="1" spans="1:16" x14ac:dyDescent="0.25">
      <c r="E1" s="1" t="s">
        <v>0</v>
      </c>
      <c r="F1" s="1" t="s">
        <v>0</v>
      </c>
      <c r="G1" s="1"/>
      <c r="H1" s="1"/>
      <c r="I1" s="1" t="s">
        <v>1</v>
      </c>
      <c r="J1" s="1" t="s">
        <v>1</v>
      </c>
      <c r="M1" t="s">
        <v>2</v>
      </c>
    </row>
    <row r="2" spans="1:16" x14ac:dyDescent="0.25">
      <c r="B2" t="s">
        <v>3</v>
      </c>
      <c r="C2" t="s">
        <v>4</v>
      </c>
      <c r="D2" t="s">
        <v>5</v>
      </c>
      <c r="E2" s="1" t="s">
        <v>528</v>
      </c>
      <c r="F2" s="1" t="s">
        <v>530</v>
      </c>
      <c r="G2" s="1"/>
      <c r="H2" s="1"/>
      <c r="I2" s="1" t="s">
        <v>528</v>
      </c>
      <c r="J2" s="1" t="s">
        <v>530</v>
      </c>
    </row>
    <row r="3" spans="1:16" x14ac:dyDescent="0.25">
      <c r="A3">
        <v>1</v>
      </c>
      <c r="D3" s="34" t="s">
        <v>6</v>
      </c>
      <c r="M3" t="s">
        <v>7</v>
      </c>
    </row>
    <row r="4" spans="1:16" x14ac:dyDescent="0.25">
      <c r="A4">
        <v>2</v>
      </c>
      <c r="C4" t="s">
        <v>8</v>
      </c>
      <c r="D4" s="4" t="s">
        <v>9</v>
      </c>
      <c r="E4" s="5">
        <v>706</v>
      </c>
      <c r="F4" s="5">
        <v>706</v>
      </c>
      <c r="G4" s="6">
        <f t="shared" ref="G4:G23" si="0">+F4-E4</f>
        <v>0</v>
      </c>
      <c r="H4" s="7">
        <f t="shared" ref="H4:H23" si="1">(F4-E4)/ABS(E4)</f>
        <v>0</v>
      </c>
      <c r="I4" s="8">
        <v>851.61761297798387</v>
      </c>
      <c r="J4" s="9">
        <v>852</v>
      </c>
      <c r="K4" s="3">
        <f t="shared" ref="K4:K23" si="2">J4-I4</f>
        <v>0.38238702201613251</v>
      </c>
      <c r="L4" s="7">
        <f t="shared" ref="L4:L23" si="3">(J4-I4)/ABS(I4)</f>
        <v>4.4901258051601383E-4</v>
      </c>
      <c r="M4" t="s">
        <v>7</v>
      </c>
      <c r="O4" s="3">
        <f>E4-'315805 - P0824'!F4</f>
        <v>35</v>
      </c>
      <c r="P4" s="30">
        <f>I4-'315805 - P0824'!J4</f>
        <v>42.219003476245689</v>
      </c>
    </row>
    <row r="5" spans="1:16" x14ac:dyDescent="0.25">
      <c r="A5">
        <v>3</v>
      </c>
      <c r="D5" s="4" t="s">
        <v>10</v>
      </c>
      <c r="E5" s="8">
        <v>706</v>
      </c>
      <c r="F5" s="8">
        <f>F4</f>
        <v>706</v>
      </c>
      <c r="G5" s="6">
        <f t="shared" si="0"/>
        <v>0</v>
      </c>
      <c r="H5" s="7">
        <f t="shared" si="1"/>
        <v>0</v>
      </c>
      <c r="I5" s="8">
        <v>851.61761297798387</v>
      </c>
      <c r="J5" s="9">
        <v>852</v>
      </c>
      <c r="K5" s="3">
        <f t="shared" si="2"/>
        <v>0.38238702201613251</v>
      </c>
      <c r="L5" s="7">
        <f t="shared" si="3"/>
        <v>4.4901258051601383E-4</v>
      </c>
      <c r="M5" t="s">
        <v>7</v>
      </c>
      <c r="O5" s="3">
        <f>E5-'315805 - P0824'!F5</f>
        <v>35</v>
      </c>
      <c r="P5" s="30">
        <f>I5-'315805 - P0824'!J5</f>
        <v>42.219003476245689</v>
      </c>
    </row>
    <row r="6" spans="1:16" x14ac:dyDescent="0.25">
      <c r="A6">
        <v>4</v>
      </c>
      <c r="D6" s="4" t="s">
        <v>11</v>
      </c>
      <c r="E6" s="8">
        <v>706</v>
      </c>
      <c r="F6" s="8">
        <f>F4</f>
        <v>706</v>
      </c>
      <c r="G6" s="6">
        <f t="shared" si="0"/>
        <v>0</v>
      </c>
      <c r="H6" s="7">
        <f t="shared" si="1"/>
        <v>0</v>
      </c>
      <c r="I6" s="8">
        <v>851.61761297798387</v>
      </c>
      <c r="J6" s="9">
        <v>852</v>
      </c>
      <c r="K6" s="3">
        <f t="shared" si="2"/>
        <v>0.38238702201613251</v>
      </c>
      <c r="L6" s="7">
        <f t="shared" si="3"/>
        <v>4.4901258051601383E-4</v>
      </c>
      <c r="M6" t="s">
        <v>7</v>
      </c>
      <c r="O6" s="3">
        <f>E6-'315805 - P0824'!F6</f>
        <v>35</v>
      </c>
      <c r="P6" s="30">
        <f>I6-'315805 - P0824'!J6</f>
        <v>42.219003476245689</v>
      </c>
    </row>
    <row r="7" spans="1:16" x14ac:dyDescent="0.25">
      <c r="A7">
        <v>5</v>
      </c>
      <c r="C7" t="s">
        <v>8</v>
      </c>
      <c r="D7" s="4" t="s">
        <v>12</v>
      </c>
      <c r="E7" s="5">
        <v>636</v>
      </c>
      <c r="F7" s="5">
        <v>606</v>
      </c>
      <c r="G7" s="6">
        <f t="shared" si="0"/>
        <v>-30</v>
      </c>
      <c r="H7" s="7">
        <f t="shared" si="1"/>
        <v>-4.716981132075472E-2</v>
      </c>
      <c r="I7" s="8">
        <v>820.97524752475238</v>
      </c>
      <c r="J7" s="9">
        <v>821</v>
      </c>
      <c r="K7" s="3">
        <f t="shared" si="2"/>
        <v>2.4752475247623806E-2</v>
      </c>
      <c r="L7" s="7">
        <f t="shared" si="3"/>
        <v>3.0150087133872475E-5</v>
      </c>
      <c r="M7" t="s">
        <v>7</v>
      </c>
      <c r="N7" s="27"/>
      <c r="O7" s="3">
        <f>E7-'315805 - P0824'!F7</f>
        <v>30</v>
      </c>
      <c r="P7" s="30">
        <f>I7-'315805 - P0824'!J7</f>
        <v>38.72524752475249</v>
      </c>
    </row>
    <row r="8" spans="1:16" x14ac:dyDescent="0.25">
      <c r="A8">
        <v>6</v>
      </c>
      <c r="D8" s="4" t="s">
        <v>13</v>
      </c>
      <c r="E8" s="8">
        <v>636</v>
      </c>
      <c r="F8" s="8">
        <f>F7</f>
        <v>606</v>
      </c>
      <c r="G8" s="6">
        <f t="shared" si="0"/>
        <v>-30</v>
      </c>
      <c r="H8" s="7">
        <f t="shared" si="1"/>
        <v>-4.716981132075472E-2</v>
      </c>
      <c r="I8" s="8">
        <v>820.97524752475238</v>
      </c>
      <c r="J8" s="9">
        <v>821</v>
      </c>
      <c r="K8" s="3">
        <f t="shared" si="2"/>
        <v>2.4752475247623806E-2</v>
      </c>
      <c r="L8" s="7">
        <f t="shared" si="3"/>
        <v>3.0150087133872475E-5</v>
      </c>
      <c r="M8" t="s">
        <v>7</v>
      </c>
      <c r="N8" s="27"/>
      <c r="O8" s="3">
        <f>E8-'315805 - P0824'!F8</f>
        <v>30</v>
      </c>
      <c r="P8" s="30">
        <f>I8-'315805 - P0824'!J8</f>
        <v>38.72524752475249</v>
      </c>
    </row>
    <row r="9" spans="1:16" x14ac:dyDescent="0.25">
      <c r="A9">
        <v>7</v>
      </c>
      <c r="D9" s="4" t="s">
        <v>14</v>
      </c>
      <c r="E9" s="8">
        <v>636</v>
      </c>
      <c r="F9" s="8">
        <f>F7</f>
        <v>606</v>
      </c>
      <c r="G9" s="6">
        <f t="shared" si="0"/>
        <v>-30</v>
      </c>
      <c r="H9" s="7">
        <f t="shared" si="1"/>
        <v>-4.716981132075472E-2</v>
      </c>
      <c r="I9" s="8">
        <v>820.97524752475238</v>
      </c>
      <c r="J9" s="9">
        <v>821</v>
      </c>
      <c r="K9" s="3">
        <f t="shared" si="2"/>
        <v>2.4752475247623806E-2</v>
      </c>
      <c r="L9" s="7">
        <f t="shared" si="3"/>
        <v>3.0150087133872475E-5</v>
      </c>
      <c r="M9" t="s">
        <v>7</v>
      </c>
      <c r="N9" s="27"/>
      <c r="O9" s="3">
        <f>E9-'315805 - P0824'!F9</f>
        <v>30</v>
      </c>
      <c r="P9" s="30">
        <f>I9-'315805 - P0824'!J9</f>
        <v>38.72524752475249</v>
      </c>
    </row>
    <row r="10" spans="1:16" x14ac:dyDescent="0.25">
      <c r="A10">
        <v>8</v>
      </c>
      <c r="C10" t="s">
        <v>8</v>
      </c>
      <c r="D10" s="4" t="s">
        <v>15</v>
      </c>
      <c r="E10" s="5">
        <v>825</v>
      </c>
      <c r="F10" s="5">
        <v>825</v>
      </c>
      <c r="G10" s="6">
        <f t="shared" si="0"/>
        <v>0</v>
      </c>
      <c r="H10" s="7">
        <f t="shared" si="1"/>
        <v>0</v>
      </c>
      <c r="I10" s="8">
        <v>1095.682187330807</v>
      </c>
      <c r="J10" s="9">
        <v>1096</v>
      </c>
      <c r="K10" s="3">
        <f t="shared" si="2"/>
        <v>0.31781266919301743</v>
      </c>
      <c r="L10" s="7">
        <f t="shared" si="3"/>
        <v>2.9005917305933515E-4</v>
      </c>
      <c r="M10" t="s">
        <v>7</v>
      </c>
      <c r="N10" s="27"/>
      <c r="O10" s="3">
        <f>E10-'315805 - P0824'!F10</f>
        <v>115</v>
      </c>
      <c r="P10" s="30">
        <f>I10-'315805 - P0824'!J10</f>
        <v>152.73145641580948</v>
      </c>
    </row>
    <row r="11" spans="1:16" x14ac:dyDescent="0.25">
      <c r="A11">
        <v>9</v>
      </c>
      <c r="D11" s="4" t="s">
        <v>16</v>
      </c>
      <c r="E11" s="8">
        <v>825</v>
      </c>
      <c r="F11" s="8">
        <f>F10</f>
        <v>825</v>
      </c>
      <c r="G11" s="6">
        <f t="shared" si="0"/>
        <v>0</v>
      </c>
      <c r="H11" s="7">
        <f t="shared" si="1"/>
        <v>0</v>
      </c>
      <c r="I11" s="8">
        <v>1095.682187330807</v>
      </c>
      <c r="J11" s="9">
        <v>1096</v>
      </c>
      <c r="K11" s="3">
        <f t="shared" si="2"/>
        <v>0.31781266919301743</v>
      </c>
      <c r="L11" s="7">
        <f t="shared" si="3"/>
        <v>2.9005917305933515E-4</v>
      </c>
      <c r="M11" t="s">
        <v>7</v>
      </c>
      <c r="N11" s="27"/>
      <c r="O11" s="3">
        <f>E11-'315805 - P0824'!F11</f>
        <v>115</v>
      </c>
      <c r="P11" s="30">
        <f>I11-'315805 - P0824'!J11</f>
        <v>152.73145641580948</v>
      </c>
    </row>
    <row r="12" spans="1:16" x14ac:dyDescent="0.25">
      <c r="A12">
        <v>10</v>
      </c>
      <c r="C12" t="s">
        <v>8</v>
      </c>
      <c r="D12" s="4" t="s">
        <v>17</v>
      </c>
      <c r="E12" s="5">
        <v>710</v>
      </c>
      <c r="F12" s="5">
        <v>685</v>
      </c>
      <c r="G12" s="6">
        <f t="shared" si="0"/>
        <v>-25</v>
      </c>
      <c r="H12" s="7">
        <f t="shared" si="1"/>
        <v>-3.5211267605633804E-2</v>
      </c>
      <c r="I12" s="8">
        <v>846.92307692307725</v>
      </c>
      <c r="J12" s="9">
        <v>847</v>
      </c>
      <c r="K12" s="3">
        <f t="shared" si="2"/>
        <v>7.6923076922753353E-2</v>
      </c>
      <c r="L12" s="7">
        <f t="shared" si="3"/>
        <v>9.0826521343850429E-5</v>
      </c>
      <c r="M12" t="s">
        <v>7</v>
      </c>
      <c r="N12" s="27"/>
      <c r="O12" s="3">
        <f>E12-'315805 - P0824'!F12</f>
        <v>25</v>
      </c>
      <c r="P12" s="30">
        <f>I12-'315805 - P0824'!J12</f>
        <v>29.821235102925243</v>
      </c>
    </row>
    <row r="13" spans="1:16" x14ac:dyDescent="0.25">
      <c r="A13">
        <v>11</v>
      </c>
      <c r="D13" s="4" t="s">
        <v>18</v>
      </c>
      <c r="E13" s="8">
        <v>710</v>
      </c>
      <c r="F13" s="8">
        <f>F12</f>
        <v>685</v>
      </c>
      <c r="G13" s="6">
        <f t="shared" si="0"/>
        <v>-25</v>
      </c>
      <c r="H13" s="7">
        <f t="shared" si="1"/>
        <v>-3.5211267605633804E-2</v>
      </c>
      <c r="I13" s="8">
        <v>846.92307692307725</v>
      </c>
      <c r="J13" s="9">
        <v>847</v>
      </c>
      <c r="K13" s="3">
        <f t="shared" si="2"/>
        <v>7.6923076922753353E-2</v>
      </c>
      <c r="L13" s="7">
        <f t="shared" si="3"/>
        <v>9.0826521343850429E-5</v>
      </c>
      <c r="M13" t="s">
        <v>7</v>
      </c>
      <c r="N13" s="27"/>
      <c r="O13" s="3">
        <f>E13-'315805 - P0824'!F13</f>
        <v>25</v>
      </c>
      <c r="P13" s="30">
        <f>I13-'315805 - P0824'!J13</f>
        <v>29.821235102925243</v>
      </c>
    </row>
    <row r="14" spans="1:16" x14ac:dyDescent="0.25">
      <c r="A14">
        <v>12</v>
      </c>
      <c r="D14" s="4" t="s">
        <v>19</v>
      </c>
      <c r="E14" s="5">
        <v>680</v>
      </c>
      <c r="F14" s="5">
        <v>650</v>
      </c>
      <c r="G14" s="6">
        <f t="shared" si="0"/>
        <v>-30</v>
      </c>
      <c r="H14" s="7">
        <f t="shared" si="1"/>
        <v>-4.4117647058823532E-2</v>
      </c>
      <c r="I14" s="8">
        <v>874.08999328408322</v>
      </c>
      <c r="J14" s="9">
        <v>875</v>
      </c>
      <c r="K14" s="3">
        <f t="shared" si="2"/>
        <v>0.91000671591677929</v>
      </c>
      <c r="L14" s="7">
        <f t="shared" si="3"/>
        <v>1.0410904173582308E-3</v>
      </c>
      <c r="M14" t="s">
        <v>7</v>
      </c>
      <c r="N14" s="27"/>
      <c r="O14" s="3">
        <f>E14-'315805 - P0824'!F14</f>
        <v>20</v>
      </c>
      <c r="P14" s="30">
        <f>I14-'315805 - P0824'!J14</f>
        <v>25.708529214237728</v>
      </c>
    </row>
    <row r="15" spans="1:16" x14ac:dyDescent="0.25">
      <c r="A15">
        <v>13</v>
      </c>
      <c r="D15" s="4" t="s">
        <v>20</v>
      </c>
      <c r="E15" s="8">
        <v>680</v>
      </c>
      <c r="F15" s="8">
        <f>F14</f>
        <v>650</v>
      </c>
      <c r="G15" s="6">
        <f t="shared" si="0"/>
        <v>-30</v>
      </c>
      <c r="H15" s="7">
        <f t="shared" si="1"/>
        <v>-4.4117647058823532E-2</v>
      </c>
      <c r="I15" s="8">
        <v>874.08999328408322</v>
      </c>
      <c r="J15" s="9">
        <v>875</v>
      </c>
      <c r="K15" s="3">
        <f t="shared" si="2"/>
        <v>0.91000671591677929</v>
      </c>
      <c r="L15" s="7">
        <f t="shared" si="3"/>
        <v>1.0410904173582308E-3</v>
      </c>
      <c r="M15" t="s">
        <v>7</v>
      </c>
      <c r="N15" s="27"/>
      <c r="O15" s="3">
        <f>E15-'315805 - P0824'!F15</f>
        <v>20</v>
      </c>
      <c r="P15" s="30">
        <f>I15-'315805 - P0824'!J15</f>
        <v>25.708529214237728</v>
      </c>
    </row>
    <row r="16" spans="1:16" x14ac:dyDescent="0.25">
      <c r="A16">
        <v>14</v>
      </c>
      <c r="C16" t="s">
        <v>8</v>
      </c>
      <c r="D16" s="4" t="s">
        <v>21</v>
      </c>
      <c r="E16" s="5">
        <v>795</v>
      </c>
      <c r="F16" s="5">
        <v>750</v>
      </c>
      <c r="G16" s="6">
        <f t="shared" si="0"/>
        <v>-45</v>
      </c>
      <c r="H16" s="7">
        <f t="shared" si="1"/>
        <v>-5.6603773584905662E-2</v>
      </c>
      <c r="I16" s="8">
        <v>1119.8387096774197</v>
      </c>
      <c r="J16" s="9">
        <v>1120</v>
      </c>
      <c r="K16" s="3">
        <f t="shared" si="2"/>
        <v>0.16129032258027109</v>
      </c>
      <c r="L16" s="7">
        <f t="shared" si="3"/>
        <v>1.4402995823097802E-4</v>
      </c>
      <c r="M16" t="s">
        <v>7</v>
      </c>
      <c r="N16" s="27"/>
      <c r="O16" s="3">
        <f>E16-'315805 - P0824'!F16</f>
        <v>15</v>
      </c>
      <c r="P16" s="30">
        <f>I16-'315805 - P0824'!J16</f>
        <v>21.129032258064626</v>
      </c>
    </row>
    <row r="17" spans="1:16" x14ac:dyDescent="0.25">
      <c r="A17">
        <v>15</v>
      </c>
      <c r="D17" s="4" t="s">
        <v>22</v>
      </c>
      <c r="E17" s="8">
        <v>795</v>
      </c>
      <c r="F17" s="8">
        <f>F16</f>
        <v>750</v>
      </c>
      <c r="G17" s="6">
        <f t="shared" si="0"/>
        <v>-45</v>
      </c>
      <c r="H17" s="7">
        <f t="shared" si="1"/>
        <v>-5.6603773584905662E-2</v>
      </c>
      <c r="I17" s="8">
        <v>1119.8387096774197</v>
      </c>
      <c r="J17" s="9">
        <v>1120</v>
      </c>
      <c r="K17" s="3">
        <f t="shared" si="2"/>
        <v>0.16129032258027109</v>
      </c>
      <c r="L17" s="7">
        <f t="shared" si="3"/>
        <v>1.4402995823097802E-4</v>
      </c>
      <c r="M17" t="s">
        <v>7</v>
      </c>
      <c r="N17" s="27"/>
      <c r="O17" s="3">
        <f>E17-'315805 - P0824'!F17</f>
        <v>15</v>
      </c>
      <c r="P17" s="30">
        <f>I17-'315805 - P0824'!J17</f>
        <v>21.129032258064626</v>
      </c>
    </row>
    <row r="18" spans="1:16" x14ac:dyDescent="0.25">
      <c r="A18">
        <v>16</v>
      </c>
      <c r="C18" t="s">
        <v>8</v>
      </c>
      <c r="D18" s="4" t="s">
        <v>23</v>
      </c>
      <c r="E18" s="5">
        <v>880</v>
      </c>
      <c r="F18" s="5">
        <v>920</v>
      </c>
      <c r="G18" s="6">
        <f t="shared" si="0"/>
        <v>40</v>
      </c>
      <c r="H18" s="7">
        <f t="shared" si="1"/>
        <v>4.5454545454545456E-2</v>
      </c>
      <c r="I18" s="8">
        <v>1222.995780590717</v>
      </c>
      <c r="J18" s="9">
        <v>1224</v>
      </c>
      <c r="K18" s="3">
        <f t="shared" si="2"/>
        <v>1.0042194092829959</v>
      </c>
      <c r="L18" s="7">
        <f t="shared" si="3"/>
        <v>8.2111436950170805E-4</v>
      </c>
      <c r="M18" t="s">
        <v>7</v>
      </c>
      <c r="N18" s="27"/>
      <c r="O18" s="3">
        <f>E18-'315805 - P0824'!F18</f>
        <v>35</v>
      </c>
      <c r="P18" s="30">
        <f>I18-'315805 - P0824'!J18</f>
        <v>48.641877637130847</v>
      </c>
    </row>
    <row r="19" spans="1:16" x14ac:dyDescent="0.25">
      <c r="A19">
        <v>17</v>
      </c>
      <c r="D19" s="4" t="s">
        <v>24</v>
      </c>
      <c r="E19" s="8">
        <v>880</v>
      </c>
      <c r="F19" s="8">
        <f>F18</f>
        <v>920</v>
      </c>
      <c r="G19" s="6">
        <f t="shared" si="0"/>
        <v>40</v>
      </c>
      <c r="H19" s="7">
        <f t="shared" si="1"/>
        <v>4.5454545454545456E-2</v>
      </c>
      <c r="I19" s="8">
        <v>1222.995780590717</v>
      </c>
      <c r="J19" s="9">
        <v>1224</v>
      </c>
      <c r="K19" s="3">
        <f t="shared" si="2"/>
        <v>1.0042194092829959</v>
      </c>
      <c r="L19" s="7">
        <f t="shared" si="3"/>
        <v>8.2111436950170805E-4</v>
      </c>
      <c r="M19" t="s">
        <v>7</v>
      </c>
      <c r="N19" s="27"/>
      <c r="O19" s="3">
        <f>E19-'315805 - P0824'!F19</f>
        <v>35</v>
      </c>
      <c r="P19" s="30">
        <f>I19-'315805 - P0824'!J19</f>
        <v>48.641877637130847</v>
      </c>
    </row>
    <row r="20" spans="1:16" x14ac:dyDescent="0.25">
      <c r="A20">
        <v>18</v>
      </c>
      <c r="C20" t="s">
        <v>8</v>
      </c>
      <c r="D20" s="4" t="s">
        <v>25</v>
      </c>
      <c r="E20" s="5">
        <v>1070</v>
      </c>
      <c r="F20" s="5">
        <v>1120</v>
      </c>
      <c r="G20" s="6">
        <f t="shared" si="0"/>
        <v>50</v>
      </c>
      <c r="H20" s="7">
        <f t="shared" si="1"/>
        <v>4.6728971962616821E-2</v>
      </c>
      <c r="I20" s="8">
        <v>2159.8757414212118</v>
      </c>
      <c r="J20" s="9">
        <v>2160</v>
      </c>
      <c r="K20" s="3">
        <f t="shared" si="2"/>
        <v>0.12425857878815805</v>
      </c>
      <c r="L20" s="7">
        <f t="shared" si="3"/>
        <v>5.7530429369235438E-5</v>
      </c>
      <c r="M20" t="s">
        <v>7</v>
      </c>
      <c r="N20" s="27"/>
      <c r="O20" s="3">
        <f>E20-'315805 - P0824'!F20</f>
        <v>30</v>
      </c>
      <c r="P20" s="30">
        <f>I20-'315805 - P0824'!J20</f>
        <v>60.557263778164724</v>
      </c>
    </row>
    <row r="21" spans="1:16" x14ac:dyDescent="0.25">
      <c r="A21">
        <v>19</v>
      </c>
      <c r="C21" t="s">
        <v>8</v>
      </c>
      <c r="D21" s="4" t="s">
        <v>26</v>
      </c>
      <c r="E21" s="5">
        <v>16.07</v>
      </c>
      <c r="F21" s="5">
        <v>16.07</v>
      </c>
      <c r="G21" s="6">
        <f t="shared" si="0"/>
        <v>0</v>
      </c>
      <c r="H21" s="7">
        <f t="shared" si="1"/>
        <v>0</v>
      </c>
      <c r="I21" s="8">
        <v>36.488665130799234</v>
      </c>
      <c r="J21" s="9">
        <v>37</v>
      </c>
      <c r="K21" s="3">
        <f t="shared" si="2"/>
        <v>0.51133486920076621</v>
      </c>
      <c r="L21" s="7">
        <f t="shared" si="3"/>
        <v>1.401352632023692E-2</v>
      </c>
      <c r="M21" t="s">
        <v>7</v>
      </c>
      <c r="O21" s="3">
        <f>E21-'315805 - P0824'!F21</f>
        <v>0</v>
      </c>
      <c r="P21" s="30">
        <f>I21-'315805 - P0824'!J21</f>
        <v>0</v>
      </c>
    </row>
    <row r="22" spans="1:16" x14ac:dyDescent="0.25">
      <c r="A22">
        <v>20</v>
      </c>
      <c r="C22" t="s">
        <v>8</v>
      </c>
      <c r="D22" s="4" t="s">
        <v>27</v>
      </c>
      <c r="E22" s="5">
        <v>1430</v>
      </c>
      <c r="F22" s="5">
        <v>1430</v>
      </c>
      <c r="G22" s="6">
        <f t="shared" si="0"/>
        <v>0</v>
      </c>
      <c r="H22" s="7">
        <f t="shared" si="1"/>
        <v>0</v>
      </c>
      <c r="I22" s="8">
        <v>2041.9221967963392</v>
      </c>
      <c r="J22" s="9">
        <v>2042</v>
      </c>
      <c r="K22" s="3">
        <f t="shared" si="2"/>
        <v>7.7803203660778308E-2</v>
      </c>
      <c r="L22" s="7">
        <f t="shared" si="3"/>
        <v>3.8102922718038494E-5</v>
      </c>
      <c r="M22" t="s">
        <v>7</v>
      </c>
      <c r="N22" s="27"/>
      <c r="O22" s="3">
        <f>E22-'315805 - P0824'!F22</f>
        <v>0</v>
      </c>
      <c r="P22" s="30">
        <f>I22-'315805 - P0824'!J22</f>
        <v>0</v>
      </c>
    </row>
    <row r="23" spans="1:16" x14ac:dyDescent="0.25">
      <c r="A23">
        <v>21</v>
      </c>
      <c r="D23" s="4" t="s">
        <v>28</v>
      </c>
      <c r="E23" s="8">
        <v>1430</v>
      </c>
      <c r="F23" s="8">
        <f>F22</f>
        <v>1430</v>
      </c>
      <c r="G23" s="6">
        <f t="shared" si="0"/>
        <v>0</v>
      </c>
      <c r="H23" s="7">
        <f t="shared" si="1"/>
        <v>0</v>
      </c>
      <c r="I23" s="8">
        <v>2041.9221967963392</v>
      </c>
      <c r="J23" s="9">
        <v>2042</v>
      </c>
      <c r="K23" s="3">
        <f t="shared" si="2"/>
        <v>7.7803203660778308E-2</v>
      </c>
      <c r="L23" s="7">
        <f t="shared" si="3"/>
        <v>3.8102922718038494E-5</v>
      </c>
      <c r="M23" t="s">
        <v>7</v>
      </c>
      <c r="N23" s="27"/>
      <c r="O23" s="3">
        <f>E23-'315805 - P0824'!F23</f>
        <v>0</v>
      </c>
      <c r="P23" s="30">
        <f>I23-'315805 - P0824'!J23</f>
        <v>0</v>
      </c>
    </row>
    <row r="24" spans="1:16" x14ac:dyDescent="0.25">
      <c r="A24">
        <v>22</v>
      </c>
      <c r="D24" s="34" t="s">
        <v>29</v>
      </c>
      <c r="H24" s="10">
        <f>AVERAGE(H4:H23)</f>
        <v>-1.378683737946412E-2</v>
      </c>
      <c r="L24" s="10">
        <f>AVERAGE(L4:L23)</f>
        <v>1.017949573849005E-3</v>
      </c>
    </row>
    <row r="25" spans="1:16" x14ac:dyDescent="0.25">
      <c r="A25">
        <v>23</v>
      </c>
      <c r="D25" s="34" t="s">
        <v>30</v>
      </c>
      <c r="M25" t="s">
        <v>7</v>
      </c>
    </row>
    <row r="26" spans="1:16" x14ac:dyDescent="0.25">
      <c r="A26">
        <v>24</v>
      </c>
      <c r="D26" s="4" t="s">
        <v>31</v>
      </c>
      <c r="E26" s="5">
        <v>441</v>
      </c>
      <c r="F26" s="5">
        <v>475</v>
      </c>
      <c r="G26" s="6">
        <f t="shared" ref="G26:G31" si="4">+F26-E26</f>
        <v>34</v>
      </c>
      <c r="H26" s="7">
        <f t="shared" ref="H26:H31" si="5">(F26-E26)/ABS(E26)</f>
        <v>7.7097505668934238E-2</v>
      </c>
      <c r="I26" s="8">
        <v>654.29675354366714</v>
      </c>
      <c r="J26" s="9">
        <v>655</v>
      </c>
      <c r="K26" s="3">
        <f t="shared" ref="K26:K31" si="6">J26-I26</f>
        <v>0.70324645633286309</v>
      </c>
      <c r="L26" s="7">
        <f t="shared" ref="L26:L31" si="7">(J26-I26)/ABS(I26)</f>
        <v>1.0748126939711755E-3</v>
      </c>
      <c r="M26" t="s">
        <v>7</v>
      </c>
      <c r="O26" s="3">
        <f>E26-'315805 - P0824'!F26</f>
        <v>0</v>
      </c>
      <c r="P26" s="30">
        <f>I26-'315805 - P0824'!J26</f>
        <v>0</v>
      </c>
    </row>
    <row r="27" spans="1:16" x14ac:dyDescent="0.25">
      <c r="A27">
        <v>25</v>
      </c>
      <c r="D27" s="4" t="s">
        <v>32</v>
      </c>
      <c r="E27" s="5">
        <v>476</v>
      </c>
      <c r="F27" s="5">
        <v>513</v>
      </c>
      <c r="G27" s="6">
        <f t="shared" si="4"/>
        <v>37</v>
      </c>
      <c r="H27" s="7">
        <f t="shared" si="5"/>
        <v>7.7731092436974791E-2</v>
      </c>
      <c r="I27" s="8">
        <v>627.9453357100416</v>
      </c>
      <c r="J27" s="9">
        <v>628</v>
      </c>
      <c r="K27" s="3">
        <f t="shared" si="6"/>
        <v>5.4664289958395784E-2</v>
      </c>
      <c r="L27" s="7">
        <f t="shared" si="7"/>
        <v>8.7052625204365593E-5</v>
      </c>
      <c r="M27" t="s">
        <v>7</v>
      </c>
      <c r="O27" s="3">
        <f>E27-'315805 - P0824'!F27</f>
        <v>5</v>
      </c>
      <c r="P27" s="30">
        <f>I27-'315805 - P0824'!J27</f>
        <v>6.5960644507357529</v>
      </c>
    </row>
    <row r="28" spans="1:16" x14ac:dyDescent="0.25">
      <c r="A28">
        <v>26</v>
      </c>
      <c r="D28" s="4" t="s">
        <v>33</v>
      </c>
      <c r="E28" s="5">
        <v>476</v>
      </c>
      <c r="F28" s="5">
        <v>513</v>
      </c>
      <c r="G28" s="6">
        <f t="shared" si="4"/>
        <v>37</v>
      </c>
      <c r="H28" s="7">
        <f t="shared" si="5"/>
        <v>7.7731092436974791E-2</v>
      </c>
      <c r="I28" s="8">
        <v>589.74688057040999</v>
      </c>
      <c r="J28" s="9">
        <v>590</v>
      </c>
      <c r="K28" s="3">
        <f t="shared" si="6"/>
        <v>0.25311942959001499</v>
      </c>
      <c r="L28" s="7">
        <f t="shared" si="7"/>
        <v>4.2920011606537869E-4</v>
      </c>
      <c r="M28" t="s">
        <v>7</v>
      </c>
      <c r="O28" s="3">
        <f>E28-'315805 - P0824'!F28</f>
        <v>5</v>
      </c>
      <c r="P28" s="30">
        <f>I28-'315805 - P0824'!J28</f>
        <v>6.1948201740589184</v>
      </c>
    </row>
    <row r="29" spans="1:16" x14ac:dyDescent="0.25">
      <c r="A29">
        <v>27</v>
      </c>
      <c r="D29" s="4" t="s">
        <v>34</v>
      </c>
      <c r="E29" s="5">
        <v>436</v>
      </c>
      <c r="F29" s="5">
        <v>476</v>
      </c>
      <c r="G29" s="6">
        <f t="shared" si="4"/>
        <v>40</v>
      </c>
      <c r="H29" s="7">
        <f t="shared" si="5"/>
        <v>9.1743119266055051E-2</v>
      </c>
      <c r="I29" s="8">
        <v>560.47437673130196</v>
      </c>
      <c r="J29" s="9">
        <v>561</v>
      </c>
      <c r="K29" s="3">
        <f t="shared" si="6"/>
        <v>0.5256232686980411</v>
      </c>
      <c r="L29" s="7">
        <f t="shared" si="7"/>
        <v>9.3781855249741618E-4</v>
      </c>
      <c r="M29" t="s">
        <v>7</v>
      </c>
      <c r="O29" s="3">
        <f>E29-'315805 - P0824'!F29</f>
        <v>5</v>
      </c>
      <c r="P29" s="30">
        <f>I29-'315805 - P0824'!J29</f>
        <v>6.4274584487534412</v>
      </c>
    </row>
    <row r="30" spans="1:16" x14ac:dyDescent="0.25">
      <c r="A30">
        <v>28</v>
      </c>
      <c r="D30" s="4" t="s">
        <v>35</v>
      </c>
      <c r="E30" s="5">
        <v>541</v>
      </c>
      <c r="F30" s="5">
        <v>609</v>
      </c>
      <c r="G30" s="6">
        <f t="shared" si="4"/>
        <v>68</v>
      </c>
      <c r="H30" s="7">
        <f t="shared" si="5"/>
        <v>0.1256931608133087</v>
      </c>
      <c r="I30" s="8">
        <v>684.6413802145114</v>
      </c>
      <c r="J30" s="9">
        <v>685</v>
      </c>
      <c r="K30" s="3">
        <f t="shared" si="6"/>
        <v>0.35861978548859952</v>
      </c>
      <c r="L30" s="7">
        <f t="shared" si="7"/>
        <v>5.2380676344195997E-4</v>
      </c>
      <c r="M30" t="s">
        <v>7</v>
      </c>
      <c r="O30" s="3">
        <f>E30-'315805 - P0824'!F30</f>
        <v>15</v>
      </c>
      <c r="P30" s="30">
        <f>I30-'315805 - P0824'!J30</f>
        <v>18.982663037370912</v>
      </c>
    </row>
    <row r="31" spans="1:16" x14ac:dyDescent="0.25">
      <c r="A31">
        <v>29</v>
      </c>
      <c r="D31" s="4" t="s">
        <v>36</v>
      </c>
      <c r="E31" s="5">
        <v>541</v>
      </c>
      <c r="F31" s="5">
        <v>609</v>
      </c>
      <c r="G31" s="6">
        <f t="shared" si="4"/>
        <v>68</v>
      </c>
      <c r="H31" s="7">
        <f t="shared" si="5"/>
        <v>0.1256931608133087</v>
      </c>
      <c r="I31" s="8">
        <v>646.77631135361901</v>
      </c>
      <c r="J31" s="9">
        <v>647</v>
      </c>
      <c r="K31" s="3">
        <f t="shared" si="6"/>
        <v>0.2236886463809924</v>
      </c>
      <c r="L31" s="7">
        <f t="shared" si="7"/>
        <v>3.458516375048447E-4</v>
      </c>
      <c r="M31" t="s">
        <v>7</v>
      </c>
      <c r="O31" s="3">
        <f>E31-'315805 - P0824'!F31</f>
        <v>15</v>
      </c>
      <c r="P31" s="30">
        <f>I31-'315805 - P0824'!J31</f>
        <v>17.932799760266676</v>
      </c>
    </row>
    <row r="32" spans="1:16" x14ac:dyDescent="0.25">
      <c r="A32">
        <v>30</v>
      </c>
      <c r="D32" s="34" t="s">
        <v>37</v>
      </c>
      <c r="H32" s="10">
        <f>AVERAGE(H26:H31)</f>
        <v>9.5948188572592727E-2</v>
      </c>
      <c r="L32" s="10">
        <f>AVERAGE(L26:L31)</f>
        <v>5.6642373144752346E-4</v>
      </c>
    </row>
    <row r="33" spans="1:16" x14ac:dyDescent="0.25">
      <c r="A33">
        <v>31</v>
      </c>
      <c r="D33" s="34" t="s">
        <v>38</v>
      </c>
      <c r="M33" t="s">
        <v>7</v>
      </c>
    </row>
    <row r="34" spans="1:16" x14ac:dyDescent="0.25">
      <c r="A34">
        <v>32</v>
      </c>
      <c r="D34" s="4" t="s">
        <v>39</v>
      </c>
      <c r="E34" s="5">
        <v>555</v>
      </c>
      <c r="F34" s="5">
        <v>590</v>
      </c>
      <c r="G34" s="6">
        <f t="shared" ref="G34:G62" si="8">+F34-E34</f>
        <v>35</v>
      </c>
      <c r="H34" s="7">
        <f t="shared" ref="H34:H62" si="9">(F34-E34)/ABS(E34)</f>
        <v>6.3063063063063057E-2</v>
      </c>
      <c r="I34" s="8">
        <v>631.07327586206873</v>
      </c>
      <c r="J34" s="9">
        <v>632</v>
      </c>
      <c r="K34" s="3">
        <f t="shared" ref="K34:K62" si="10">J34-I34</f>
        <v>0.92672413793127362</v>
      </c>
      <c r="L34" s="7">
        <f t="shared" ref="L34:L62" si="11">(J34-I34)/ABS(I34)</f>
        <v>1.4684889590124621E-3</v>
      </c>
      <c r="M34" t="s">
        <v>7</v>
      </c>
      <c r="O34" s="3">
        <f>E34-'315805 - P0824'!F34</f>
        <v>15</v>
      </c>
      <c r="P34" s="30">
        <f>I34-'315805 - P0824'!J34</f>
        <v>17.056034482758605</v>
      </c>
    </row>
    <row r="35" spans="1:16" x14ac:dyDescent="0.25">
      <c r="A35">
        <v>33</v>
      </c>
      <c r="D35" s="4" t="s">
        <v>40</v>
      </c>
      <c r="E35" s="8">
        <v>555</v>
      </c>
      <c r="F35" s="8">
        <f>F34</f>
        <v>590</v>
      </c>
      <c r="G35" s="6">
        <f t="shared" si="8"/>
        <v>35</v>
      </c>
      <c r="H35" s="7">
        <f t="shared" si="9"/>
        <v>6.3063063063063057E-2</v>
      </c>
      <c r="I35" s="8">
        <v>631.07327586206907</v>
      </c>
      <c r="J35" s="9">
        <v>632</v>
      </c>
      <c r="K35" s="3">
        <f t="shared" si="10"/>
        <v>0.92672413793093256</v>
      </c>
      <c r="L35" s="7">
        <f t="shared" si="11"/>
        <v>1.4684889590119209E-3</v>
      </c>
      <c r="M35" t="s">
        <v>7</v>
      </c>
      <c r="O35" s="3">
        <f>E35-'315805 - P0824'!F35</f>
        <v>15</v>
      </c>
      <c r="P35" s="30">
        <f>I35-'315805 - P0824'!J35</f>
        <v>17.056034482758605</v>
      </c>
    </row>
    <row r="36" spans="1:16" x14ac:dyDescent="0.25">
      <c r="A36">
        <v>34</v>
      </c>
      <c r="D36" s="4" t="s">
        <v>41</v>
      </c>
      <c r="E36" s="8">
        <v>555</v>
      </c>
      <c r="F36" s="8">
        <f>F34</f>
        <v>590</v>
      </c>
      <c r="G36" s="6">
        <f t="shared" si="8"/>
        <v>35</v>
      </c>
      <c r="H36" s="7">
        <f t="shared" si="9"/>
        <v>6.3063063063063057E-2</v>
      </c>
      <c r="I36" s="8">
        <v>631.07327586206907</v>
      </c>
      <c r="J36" s="9">
        <v>632</v>
      </c>
      <c r="K36" s="3">
        <f t="shared" si="10"/>
        <v>0.92672413793093256</v>
      </c>
      <c r="L36" s="7">
        <f t="shared" si="11"/>
        <v>1.4684889590119209E-3</v>
      </c>
      <c r="M36" t="s">
        <v>7</v>
      </c>
      <c r="O36" s="3">
        <f>E36-'315805 - P0824'!F36</f>
        <v>15</v>
      </c>
      <c r="P36" s="30">
        <f>I36-'315805 - P0824'!J36</f>
        <v>17.056034482758605</v>
      </c>
    </row>
    <row r="37" spans="1:16" x14ac:dyDescent="0.25">
      <c r="A37">
        <v>35</v>
      </c>
      <c r="D37" s="4" t="s">
        <v>42</v>
      </c>
      <c r="E37" s="8">
        <v>555</v>
      </c>
      <c r="F37" s="8">
        <f>F34</f>
        <v>590</v>
      </c>
      <c r="G37" s="6">
        <f t="shared" si="8"/>
        <v>35</v>
      </c>
      <c r="H37" s="7">
        <f t="shared" si="9"/>
        <v>6.3063063063063057E-2</v>
      </c>
      <c r="I37" s="8">
        <v>631.07327586206907</v>
      </c>
      <c r="J37" s="9">
        <v>632</v>
      </c>
      <c r="K37" s="3">
        <f t="shared" si="10"/>
        <v>0.92672413793093256</v>
      </c>
      <c r="L37" s="7">
        <f t="shared" si="11"/>
        <v>1.4684889590119209E-3</v>
      </c>
      <c r="M37" t="s">
        <v>7</v>
      </c>
      <c r="O37" s="3">
        <f>E37-'315805 - P0824'!F37</f>
        <v>15</v>
      </c>
      <c r="P37" s="30">
        <f>I37-'315805 - P0824'!J37</f>
        <v>17.056034482758605</v>
      </c>
    </row>
    <row r="38" spans="1:16" x14ac:dyDescent="0.25">
      <c r="A38">
        <v>36</v>
      </c>
      <c r="D38" s="4" t="s">
        <v>43</v>
      </c>
      <c r="E38" s="8">
        <v>555</v>
      </c>
      <c r="F38" s="8">
        <f>F34</f>
        <v>590</v>
      </c>
      <c r="G38" s="6">
        <f t="shared" si="8"/>
        <v>35</v>
      </c>
      <c r="H38" s="7">
        <f t="shared" si="9"/>
        <v>6.3063063063063057E-2</v>
      </c>
      <c r="I38" s="8">
        <v>631.07327586206907</v>
      </c>
      <c r="J38" s="9">
        <v>632</v>
      </c>
      <c r="K38" s="3">
        <f t="shared" si="10"/>
        <v>0.92672413793093256</v>
      </c>
      <c r="L38" s="7">
        <f t="shared" si="11"/>
        <v>1.4684889590119209E-3</v>
      </c>
      <c r="M38" t="s">
        <v>7</v>
      </c>
      <c r="O38" s="3">
        <f>E38-'315805 - P0824'!F38</f>
        <v>15</v>
      </c>
      <c r="P38" s="30">
        <f>I38-'315805 - P0824'!J38</f>
        <v>17.056034482758605</v>
      </c>
    </row>
    <row r="39" spans="1:16" x14ac:dyDescent="0.25">
      <c r="A39">
        <v>37</v>
      </c>
      <c r="D39" s="4" t="s">
        <v>44</v>
      </c>
      <c r="E39" s="8">
        <v>555</v>
      </c>
      <c r="F39" s="8">
        <f>F34</f>
        <v>590</v>
      </c>
      <c r="G39" s="6">
        <f t="shared" si="8"/>
        <v>35</v>
      </c>
      <c r="H39" s="7">
        <f t="shared" si="9"/>
        <v>6.3063063063063057E-2</v>
      </c>
      <c r="I39" s="8">
        <v>631.07327586206907</v>
      </c>
      <c r="J39" s="9">
        <v>632</v>
      </c>
      <c r="K39" s="3">
        <f t="shared" si="10"/>
        <v>0.92672413793093256</v>
      </c>
      <c r="L39" s="7">
        <f t="shared" si="11"/>
        <v>1.4684889590119209E-3</v>
      </c>
      <c r="M39" t="s">
        <v>7</v>
      </c>
      <c r="O39" s="3">
        <f>E39-'315805 - P0824'!F39</f>
        <v>15</v>
      </c>
      <c r="P39" s="30">
        <f>I39-'315805 - P0824'!J39</f>
        <v>17.056034482758605</v>
      </c>
    </row>
    <row r="40" spans="1:16" x14ac:dyDescent="0.25">
      <c r="A40">
        <v>38</v>
      </c>
      <c r="D40" s="4" t="s">
        <v>45</v>
      </c>
      <c r="E40" s="8">
        <v>555</v>
      </c>
      <c r="F40" s="8">
        <f>F34</f>
        <v>590</v>
      </c>
      <c r="G40" s="6">
        <f t="shared" si="8"/>
        <v>35</v>
      </c>
      <c r="H40" s="7">
        <f t="shared" si="9"/>
        <v>6.3063063063063057E-2</v>
      </c>
      <c r="I40" s="8">
        <v>631.07327586206907</v>
      </c>
      <c r="J40" s="9">
        <v>632</v>
      </c>
      <c r="K40" s="3">
        <f t="shared" si="10"/>
        <v>0.92672413793093256</v>
      </c>
      <c r="L40" s="7">
        <f t="shared" si="11"/>
        <v>1.4684889590119209E-3</v>
      </c>
      <c r="M40" t="s">
        <v>7</v>
      </c>
      <c r="O40" s="3">
        <f>E40-'315805 - P0824'!F40</f>
        <v>15</v>
      </c>
      <c r="P40" s="30">
        <f>I40-'315805 - P0824'!J40</f>
        <v>17.056034482758605</v>
      </c>
    </row>
    <row r="41" spans="1:16" x14ac:dyDescent="0.25">
      <c r="A41">
        <v>39</v>
      </c>
      <c r="D41" s="4" t="s">
        <v>46</v>
      </c>
      <c r="E41" s="8">
        <v>555</v>
      </c>
      <c r="F41" s="8">
        <f>F35</f>
        <v>590</v>
      </c>
      <c r="G41" s="6">
        <f t="shared" si="8"/>
        <v>35</v>
      </c>
      <c r="H41" s="7">
        <f t="shared" si="9"/>
        <v>6.3063063063063057E-2</v>
      </c>
      <c r="I41" s="8">
        <v>631.07327586206907</v>
      </c>
      <c r="J41" s="9">
        <v>632</v>
      </c>
      <c r="K41" s="3">
        <f t="shared" si="10"/>
        <v>0.92672413793093256</v>
      </c>
      <c r="L41" s="7">
        <f t="shared" si="11"/>
        <v>1.4684889590119209E-3</v>
      </c>
      <c r="M41" t="s">
        <v>7</v>
      </c>
      <c r="O41" s="3">
        <f>E41-'315805 - P0824'!F41</f>
        <v>15</v>
      </c>
      <c r="P41" s="30">
        <f>I41-'315805 - P0824'!J41</f>
        <v>17.056034482758605</v>
      </c>
    </row>
    <row r="42" spans="1:16" x14ac:dyDescent="0.25">
      <c r="A42">
        <v>40</v>
      </c>
      <c r="D42" s="4" t="s">
        <v>47</v>
      </c>
      <c r="E42" s="5">
        <v>585</v>
      </c>
      <c r="F42" s="5">
        <v>600</v>
      </c>
      <c r="G42" s="6">
        <f t="shared" si="8"/>
        <v>15</v>
      </c>
      <c r="H42" s="7">
        <f t="shared" si="9"/>
        <v>2.564102564102564E-2</v>
      </c>
      <c r="I42" s="8">
        <v>667.12500000000023</v>
      </c>
      <c r="J42" s="9">
        <v>668</v>
      </c>
      <c r="K42" s="3">
        <f t="shared" si="10"/>
        <v>0.87499999999977263</v>
      </c>
      <c r="L42" s="7">
        <f t="shared" si="11"/>
        <v>1.3115982761847814E-3</v>
      </c>
      <c r="M42" t="s">
        <v>7</v>
      </c>
      <c r="O42" s="3">
        <f>E42-'315805 - P0824'!F42</f>
        <v>60</v>
      </c>
      <c r="P42" s="30">
        <f>I42-'315805 - P0824'!J42</f>
        <v>68.423076923076906</v>
      </c>
    </row>
    <row r="43" spans="1:16" x14ac:dyDescent="0.25">
      <c r="A43">
        <v>41</v>
      </c>
      <c r="D43" s="4" t="s">
        <v>48</v>
      </c>
      <c r="E43" s="8">
        <v>585</v>
      </c>
      <c r="F43" s="8">
        <f>F42</f>
        <v>600</v>
      </c>
      <c r="G43" s="6">
        <f t="shared" si="8"/>
        <v>15</v>
      </c>
      <c r="H43" s="7">
        <f t="shared" si="9"/>
        <v>2.564102564102564E-2</v>
      </c>
      <c r="I43" s="8">
        <v>667.12500000000023</v>
      </c>
      <c r="J43" s="9">
        <v>668</v>
      </c>
      <c r="K43" s="3">
        <f t="shared" si="10"/>
        <v>0.87499999999977263</v>
      </c>
      <c r="L43" s="7">
        <f t="shared" si="11"/>
        <v>1.3115982761847814E-3</v>
      </c>
      <c r="M43" t="s">
        <v>7</v>
      </c>
      <c r="O43" s="3">
        <f>E43-'315805 - P0824'!F43</f>
        <v>60</v>
      </c>
      <c r="P43" s="30">
        <f>I43-'315805 - P0824'!J43</f>
        <v>68.423076923076906</v>
      </c>
    </row>
    <row r="44" spans="1:16" x14ac:dyDescent="0.25">
      <c r="A44">
        <v>42</v>
      </c>
      <c r="D44" s="4" t="s">
        <v>49</v>
      </c>
      <c r="E44" s="8">
        <v>585</v>
      </c>
      <c r="F44" s="8">
        <f>F42</f>
        <v>600</v>
      </c>
      <c r="G44" s="6">
        <f t="shared" si="8"/>
        <v>15</v>
      </c>
      <c r="H44" s="7">
        <f t="shared" si="9"/>
        <v>2.564102564102564E-2</v>
      </c>
      <c r="I44" s="8">
        <v>667.12500000000023</v>
      </c>
      <c r="J44" s="9">
        <v>668</v>
      </c>
      <c r="K44" s="3">
        <f t="shared" si="10"/>
        <v>0.87499999999977263</v>
      </c>
      <c r="L44" s="7">
        <f t="shared" si="11"/>
        <v>1.3115982761847814E-3</v>
      </c>
      <c r="M44" t="s">
        <v>7</v>
      </c>
      <c r="O44" s="3">
        <f>E44-'315805 - P0824'!F44</f>
        <v>60</v>
      </c>
      <c r="P44" s="30">
        <f>I44-'315805 - P0824'!J44</f>
        <v>68.423076923076906</v>
      </c>
    </row>
    <row r="45" spans="1:16" x14ac:dyDescent="0.25">
      <c r="A45">
        <v>43</v>
      </c>
      <c r="D45" s="4" t="s">
        <v>50</v>
      </c>
      <c r="E45" s="8">
        <v>585</v>
      </c>
      <c r="F45" s="8">
        <f>F42</f>
        <v>600</v>
      </c>
      <c r="G45" s="6">
        <f t="shared" si="8"/>
        <v>15</v>
      </c>
      <c r="H45" s="7">
        <f t="shared" si="9"/>
        <v>2.564102564102564E-2</v>
      </c>
      <c r="I45" s="8">
        <v>667.12500000000023</v>
      </c>
      <c r="J45" s="9">
        <v>668</v>
      </c>
      <c r="K45" s="3">
        <f t="shared" si="10"/>
        <v>0.87499999999977263</v>
      </c>
      <c r="L45" s="7">
        <f t="shared" si="11"/>
        <v>1.3115982761847814E-3</v>
      </c>
      <c r="M45" t="s">
        <v>7</v>
      </c>
      <c r="O45" s="3">
        <f>E45-'315805 - P0824'!F45</f>
        <v>60</v>
      </c>
      <c r="P45" s="30">
        <f>I45-'315805 - P0824'!J45</f>
        <v>68.423076923076906</v>
      </c>
    </row>
    <row r="46" spans="1:16" x14ac:dyDescent="0.25">
      <c r="A46">
        <v>44</v>
      </c>
      <c r="D46" s="4" t="s">
        <v>51</v>
      </c>
      <c r="E46" s="8">
        <v>585</v>
      </c>
      <c r="F46" s="8">
        <f>F42</f>
        <v>600</v>
      </c>
      <c r="G46" s="6">
        <f t="shared" si="8"/>
        <v>15</v>
      </c>
      <c r="H46" s="7">
        <f t="shared" si="9"/>
        <v>2.564102564102564E-2</v>
      </c>
      <c r="I46" s="8">
        <v>667.12500000000023</v>
      </c>
      <c r="J46" s="9">
        <v>668</v>
      </c>
      <c r="K46" s="3">
        <f t="shared" si="10"/>
        <v>0.87499999999977263</v>
      </c>
      <c r="L46" s="7">
        <f t="shared" si="11"/>
        <v>1.3115982761847814E-3</v>
      </c>
      <c r="M46" t="s">
        <v>7</v>
      </c>
      <c r="O46" s="3">
        <f>E46-'315805 - P0824'!F46</f>
        <v>60</v>
      </c>
      <c r="P46" s="30">
        <f>I46-'315805 - P0824'!J46</f>
        <v>68.423076923076906</v>
      </c>
    </row>
    <row r="47" spans="1:16" x14ac:dyDescent="0.25">
      <c r="A47">
        <v>45</v>
      </c>
      <c r="D47" s="4" t="s">
        <v>52</v>
      </c>
      <c r="E47" s="8">
        <v>585</v>
      </c>
      <c r="F47" s="8">
        <f>F42</f>
        <v>600</v>
      </c>
      <c r="G47" s="6">
        <f t="shared" si="8"/>
        <v>15</v>
      </c>
      <c r="H47" s="7">
        <f t="shared" si="9"/>
        <v>2.564102564102564E-2</v>
      </c>
      <c r="I47" s="8">
        <v>667.12500000000023</v>
      </c>
      <c r="J47" s="9">
        <v>668</v>
      </c>
      <c r="K47" s="3">
        <f t="shared" si="10"/>
        <v>0.87499999999977263</v>
      </c>
      <c r="L47" s="7">
        <f t="shared" si="11"/>
        <v>1.3115982761847814E-3</v>
      </c>
      <c r="M47" t="s">
        <v>7</v>
      </c>
      <c r="O47" s="3">
        <f>E47-'315805 - P0824'!F47</f>
        <v>60</v>
      </c>
      <c r="P47" s="30">
        <f>I47-'315805 - P0824'!J47</f>
        <v>68.423076923076906</v>
      </c>
    </row>
    <row r="48" spans="1:16" x14ac:dyDescent="0.25">
      <c r="A48">
        <v>46</v>
      </c>
      <c r="D48" s="4" t="s">
        <v>53</v>
      </c>
      <c r="E48" s="8">
        <v>585</v>
      </c>
      <c r="F48" s="8">
        <f>F42</f>
        <v>600</v>
      </c>
      <c r="G48" s="6">
        <f t="shared" si="8"/>
        <v>15</v>
      </c>
      <c r="H48" s="7">
        <f t="shared" si="9"/>
        <v>2.564102564102564E-2</v>
      </c>
      <c r="I48" s="8">
        <v>667.12500000000023</v>
      </c>
      <c r="J48" s="9">
        <v>668</v>
      </c>
      <c r="K48" s="3">
        <f t="shared" si="10"/>
        <v>0.87499999999977263</v>
      </c>
      <c r="L48" s="7">
        <f t="shared" si="11"/>
        <v>1.3115982761847814E-3</v>
      </c>
      <c r="M48" t="s">
        <v>7</v>
      </c>
      <c r="O48" s="3">
        <f>E48-'315805 - P0824'!F48</f>
        <v>60</v>
      </c>
      <c r="P48" s="30">
        <f>I48-'315805 - P0824'!J48</f>
        <v>68.423076923076906</v>
      </c>
    </row>
    <row r="49" spans="1:16" x14ac:dyDescent="0.25">
      <c r="A49">
        <v>47</v>
      </c>
      <c r="D49" s="4" t="s">
        <v>54</v>
      </c>
      <c r="E49" s="8">
        <v>585</v>
      </c>
      <c r="F49" s="8">
        <f>F43</f>
        <v>600</v>
      </c>
      <c r="G49" s="6">
        <f t="shared" si="8"/>
        <v>15</v>
      </c>
      <c r="H49" s="7">
        <f t="shared" si="9"/>
        <v>2.564102564102564E-2</v>
      </c>
      <c r="I49" s="8">
        <v>667.12500000000023</v>
      </c>
      <c r="J49" s="9">
        <v>668</v>
      </c>
      <c r="K49" s="3">
        <f t="shared" si="10"/>
        <v>0.87499999999977263</v>
      </c>
      <c r="L49" s="7">
        <f t="shared" si="11"/>
        <v>1.3115982761847814E-3</v>
      </c>
      <c r="M49" t="s">
        <v>7</v>
      </c>
      <c r="O49" s="3">
        <f>E49-'315805 - P0824'!F49</f>
        <v>60</v>
      </c>
      <c r="P49" s="30">
        <f>I49-'315805 - P0824'!J49</f>
        <v>68.423076923076906</v>
      </c>
    </row>
    <row r="50" spans="1:16" x14ac:dyDescent="0.25">
      <c r="A50">
        <v>48</v>
      </c>
      <c r="D50" s="4" t="s">
        <v>55</v>
      </c>
      <c r="E50" s="5">
        <v>520</v>
      </c>
      <c r="F50" s="5">
        <v>758</v>
      </c>
      <c r="G50" s="6">
        <f t="shared" si="8"/>
        <v>238</v>
      </c>
      <c r="H50" s="7">
        <f t="shared" si="9"/>
        <v>0.45769230769230768</v>
      </c>
      <c r="I50" s="8">
        <v>643.71865443425077</v>
      </c>
      <c r="J50" s="9">
        <v>644</v>
      </c>
      <c r="K50" s="3">
        <f t="shared" si="10"/>
        <v>0.28134556574923408</v>
      </c>
      <c r="L50" s="7">
        <f t="shared" si="11"/>
        <v>4.3706293706293489E-4</v>
      </c>
      <c r="M50" t="s">
        <v>7</v>
      </c>
      <c r="O50" s="3">
        <f>E50-'315805 - P0824'!F50</f>
        <v>40</v>
      </c>
      <c r="P50" s="30">
        <f>I50-'315805 - P0824'!J50</f>
        <v>49.516819571865426</v>
      </c>
    </row>
    <row r="51" spans="1:16" x14ac:dyDescent="0.25">
      <c r="A51">
        <v>49</v>
      </c>
      <c r="D51" s="4" t="s">
        <v>56</v>
      </c>
      <c r="E51" s="8">
        <v>520</v>
      </c>
      <c r="F51" s="8">
        <f>F50</f>
        <v>758</v>
      </c>
      <c r="G51" s="6">
        <f t="shared" si="8"/>
        <v>238</v>
      </c>
      <c r="H51" s="7">
        <f t="shared" si="9"/>
        <v>0.45769230769230768</v>
      </c>
      <c r="I51" s="8">
        <v>643.71865443425077</v>
      </c>
      <c r="J51" s="9">
        <v>644</v>
      </c>
      <c r="K51" s="3">
        <f t="shared" si="10"/>
        <v>0.28134556574923408</v>
      </c>
      <c r="L51" s="7">
        <f t="shared" si="11"/>
        <v>4.3706293706293489E-4</v>
      </c>
      <c r="M51" t="s">
        <v>7</v>
      </c>
      <c r="O51" s="3">
        <f>E51-'315805 - P0824'!F51</f>
        <v>40</v>
      </c>
      <c r="P51" s="30">
        <f>I51-'315805 - P0824'!J51</f>
        <v>49.516819571865426</v>
      </c>
    </row>
    <row r="52" spans="1:16" x14ac:dyDescent="0.25">
      <c r="A52">
        <v>50</v>
      </c>
      <c r="D52" s="4" t="s">
        <v>57</v>
      </c>
      <c r="E52" s="8">
        <v>520</v>
      </c>
      <c r="F52" s="8">
        <f>F50</f>
        <v>758</v>
      </c>
      <c r="G52" s="6">
        <f t="shared" si="8"/>
        <v>238</v>
      </c>
      <c r="H52" s="7">
        <f t="shared" si="9"/>
        <v>0.45769230769230768</v>
      </c>
      <c r="I52" s="8">
        <v>643.71865443425077</v>
      </c>
      <c r="J52" s="9">
        <v>644</v>
      </c>
      <c r="K52" s="3">
        <f t="shared" si="10"/>
        <v>0.28134556574923408</v>
      </c>
      <c r="L52" s="7">
        <f t="shared" si="11"/>
        <v>4.3706293706293489E-4</v>
      </c>
      <c r="M52" t="s">
        <v>7</v>
      </c>
      <c r="O52" s="3">
        <f>E52-'315805 - P0824'!F52</f>
        <v>40</v>
      </c>
      <c r="P52" s="30">
        <f>I52-'315805 - P0824'!J52</f>
        <v>49.516819571865426</v>
      </c>
    </row>
    <row r="53" spans="1:16" x14ac:dyDescent="0.25">
      <c r="A53">
        <v>51</v>
      </c>
      <c r="D53" s="4" t="s">
        <v>58</v>
      </c>
      <c r="E53" s="8">
        <v>520</v>
      </c>
      <c r="F53" s="8">
        <f>F50</f>
        <v>758</v>
      </c>
      <c r="G53" s="6">
        <f t="shared" si="8"/>
        <v>238</v>
      </c>
      <c r="H53" s="7">
        <f t="shared" si="9"/>
        <v>0.45769230769230768</v>
      </c>
      <c r="I53" s="8">
        <v>643.71865443425077</v>
      </c>
      <c r="J53" s="9">
        <v>644</v>
      </c>
      <c r="K53" s="3">
        <f t="shared" si="10"/>
        <v>0.28134556574923408</v>
      </c>
      <c r="L53" s="7">
        <f t="shared" si="11"/>
        <v>4.3706293706293489E-4</v>
      </c>
      <c r="M53" t="s">
        <v>7</v>
      </c>
      <c r="O53" s="3">
        <f>E53-'315805 - P0824'!F53</f>
        <v>40</v>
      </c>
      <c r="P53" s="30">
        <f>I53-'315805 - P0824'!J53</f>
        <v>49.516819571865426</v>
      </c>
    </row>
    <row r="54" spans="1:16" x14ac:dyDescent="0.25">
      <c r="A54">
        <v>52</v>
      </c>
      <c r="D54" s="4" t="s">
        <v>59</v>
      </c>
      <c r="E54" s="5">
        <v>558</v>
      </c>
      <c r="F54" s="5">
        <v>768</v>
      </c>
      <c r="G54" s="6">
        <f t="shared" si="8"/>
        <v>210</v>
      </c>
      <c r="H54" s="7">
        <f t="shared" si="9"/>
        <v>0.37634408602150538</v>
      </c>
      <c r="I54" s="8">
        <v>890.53273137697511</v>
      </c>
      <c r="J54" s="9">
        <v>891</v>
      </c>
      <c r="K54" s="3">
        <f t="shared" si="10"/>
        <v>0.4672686230248928</v>
      </c>
      <c r="L54" s="7">
        <f t="shared" si="11"/>
        <v>5.2470684856511065E-4</v>
      </c>
      <c r="M54" t="s">
        <v>7</v>
      </c>
      <c r="O54" s="3">
        <f>E54-'315805 - P0824'!F54</f>
        <v>45</v>
      </c>
      <c r="P54" s="30">
        <f>I54-'315805 - P0824'!J54</f>
        <v>71.817155756207626</v>
      </c>
    </row>
    <row r="55" spans="1:16" x14ac:dyDescent="0.25">
      <c r="A55">
        <v>53</v>
      </c>
      <c r="D55" s="4" t="s">
        <v>60</v>
      </c>
      <c r="E55" s="8">
        <v>558</v>
      </c>
      <c r="F55" s="8">
        <f>F54</f>
        <v>768</v>
      </c>
      <c r="G55" s="6">
        <f t="shared" si="8"/>
        <v>210</v>
      </c>
      <c r="H55" s="7">
        <f t="shared" si="9"/>
        <v>0.37634408602150538</v>
      </c>
      <c r="I55" s="8">
        <v>890.53273137697511</v>
      </c>
      <c r="J55" s="9">
        <v>891</v>
      </c>
      <c r="K55" s="3">
        <f t="shared" si="10"/>
        <v>0.4672686230248928</v>
      </c>
      <c r="L55" s="7">
        <f t="shared" si="11"/>
        <v>5.2470684856511065E-4</v>
      </c>
      <c r="M55" t="s">
        <v>7</v>
      </c>
      <c r="O55" s="3">
        <f>E55-'315805 - P0824'!F55</f>
        <v>45</v>
      </c>
      <c r="P55" s="30">
        <f>I55-'315805 - P0824'!J55</f>
        <v>71.817155756207626</v>
      </c>
    </row>
    <row r="56" spans="1:16" x14ac:dyDescent="0.25">
      <c r="A56">
        <v>54</v>
      </c>
      <c r="D56" s="4" t="s">
        <v>61</v>
      </c>
      <c r="E56" s="8">
        <v>558</v>
      </c>
      <c r="F56" s="8">
        <f>F54</f>
        <v>768</v>
      </c>
      <c r="G56" s="6">
        <f t="shared" si="8"/>
        <v>210</v>
      </c>
      <c r="H56" s="7">
        <f t="shared" si="9"/>
        <v>0.37634408602150538</v>
      </c>
      <c r="I56" s="8">
        <v>890.53273137697511</v>
      </c>
      <c r="J56" s="9">
        <v>891</v>
      </c>
      <c r="K56" s="3">
        <f t="shared" si="10"/>
        <v>0.4672686230248928</v>
      </c>
      <c r="L56" s="7">
        <f t="shared" si="11"/>
        <v>5.2470684856511065E-4</v>
      </c>
      <c r="M56" t="s">
        <v>7</v>
      </c>
      <c r="O56" s="3">
        <f>E56-'315805 - P0824'!F56</f>
        <v>45</v>
      </c>
      <c r="P56" s="30">
        <f>I56-'315805 - P0824'!J56</f>
        <v>71.817155756207626</v>
      </c>
    </row>
    <row r="57" spans="1:16" x14ac:dyDescent="0.25">
      <c r="A57">
        <v>55</v>
      </c>
      <c r="D57" s="4" t="s">
        <v>62</v>
      </c>
      <c r="E57" s="8">
        <v>558</v>
      </c>
      <c r="F57" s="8">
        <f>F54</f>
        <v>768</v>
      </c>
      <c r="G57" s="6">
        <f t="shared" si="8"/>
        <v>210</v>
      </c>
      <c r="H57" s="7">
        <f t="shared" si="9"/>
        <v>0.37634408602150538</v>
      </c>
      <c r="I57" s="8">
        <v>890.53273137697511</v>
      </c>
      <c r="J57" s="9">
        <v>891</v>
      </c>
      <c r="K57" s="3">
        <f t="shared" si="10"/>
        <v>0.4672686230248928</v>
      </c>
      <c r="L57" s="7">
        <f t="shared" si="11"/>
        <v>5.2470684856511065E-4</v>
      </c>
      <c r="M57" t="s">
        <v>7</v>
      </c>
      <c r="O57" s="3">
        <f>E57-'315805 - P0824'!F57</f>
        <v>45</v>
      </c>
      <c r="P57" s="30">
        <f>I57-'315805 - P0824'!J57</f>
        <v>71.817155756207626</v>
      </c>
    </row>
    <row r="58" spans="1:16" x14ac:dyDescent="0.25">
      <c r="A58">
        <v>56</v>
      </c>
      <c r="D58" s="4" t="s">
        <v>63</v>
      </c>
      <c r="E58" s="8">
        <v>558</v>
      </c>
      <c r="F58" s="8">
        <f>F54</f>
        <v>768</v>
      </c>
      <c r="G58" s="6">
        <f t="shared" si="8"/>
        <v>210</v>
      </c>
      <c r="H58" s="7">
        <f t="shared" si="9"/>
        <v>0.37634408602150538</v>
      </c>
      <c r="I58" s="8">
        <v>890.53273137697511</v>
      </c>
      <c r="J58" s="9">
        <v>891</v>
      </c>
      <c r="K58" s="3">
        <f t="shared" si="10"/>
        <v>0.4672686230248928</v>
      </c>
      <c r="L58" s="7">
        <f t="shared" si="11"/>
        <v>5.2470684856511065E-4</v>
      </c>
      <c r="M58" t="s">
        <v>7</v>
      </c>
      <c r="O58" s="3">
        <f>E58-'315805 - P0824'!F58</f>
        <v>45</v>
      </c>
      <c r="P58" s="30">
        <f>I58-'315805 - P0824'!J58</f>
        <v>71.817155756207626</v>
      </c>
    </row>
    <row r="59" spans="1:16" x14ac:dyDescent="0.25">
      <c r="A59">
        <v>57</v>
      </c>
      <c r="D59" s="4" t="s">
        <v>64</v>
      </c>
      <c r="E59" s="5">
        <v>628</v>
      </c>
      <c r="F59" s="5">
        <v>933</v>
      </c>
      <c r="G59" s="6">
        <f t="shared" si="8"/>
        <v>305</v>
      </c>
      <c r="H59" s="7">
        <f t="shared" si="9"/>
        <v>0.4856687898089172</v>
      </c>
      <c r="I59" s="8">
        <v>902.31226765799249</v>
      </c>
      <c r="J59" s="9">
        <v>903</v>
      </c>
      <c r="K59" s="3">
        <f t="shared" si="10"/>
        <v>0.68773234200750721</v>
      </c>
      <c r="L59" s="7">
        <f t="shared" si="11"/>
        <v>7.6218884155543982E-4</v>
      </c>
      <c r="M59" t="s">
        <v>7</v>
      </c>
      <c r="O59" s="3">
        <f>E59-'315805 - P0824'!F59</f>
        <v>115</v>
      </c>
      <c r="P59" s="30">
        <f>I59-'315805 - P0824'!J59</f>
        <v>165.23234200743491</v>
      </c>
    </row>
    <row r="60" spans="1:16" x14ac:dyDescent="0.25">
      <c r="A60">
        <v>58</v>
      </c>
      <c r="D60" s="4" t="s">
        <v>65</v>
      </c>
      <c r="E60" s="8">
        <v>628</v>
      </c>
      <c r="F60" s="8">
        <f>F59</f>
        <v>933</v>
      </c>
      <c r="G60" s="6">
        <f t="shared" si="8"/>
        <v>305</v>
      </c>
      <c r="H60" s="7">
        <f t="shared" si="9"/>
        <v>0.4856687898089172</v>
      </c>
      <c r="I60" s="8">
        <v>902.31226765799249</v>
      </c>
      <c r="J60" s="9">
        <v>903</v>
      </c>
      <c r="K60" s="3">
        <f t="shared" si="10"/>
        <v>0.68773234200750721</v>
      </c>
      <c r="L60" s="7">
        <f t="shared" si="11"/>
        <v>7.6218884155543982E-4</v>
      </c>
      <c r="M60" t="s">
        <v>7</v>
      </c>
      <c r="O60" s="3">
        <f>E60-'315805 - P0824'!F60</f>
        <v>115</v>
      </c>
      <c r="P60" s="30">
        <f>I60-'315805 - P0824'!J60</f>
        <v>165.23234200743491</v>
      </c>
    </row>
    <row r="61" spans="1:16" x14ac:dyDescent="0.25">
      <c r="A61">
        <v>59</v>
      </c>
      <c r="D61" s="4" t="s">
        <v>66</v>
      </c>
      <c r="E61" s="8">
        <v>628</v>
      </c>
      <c r="F61" s="8">
        <f>F59</f>
        <v>933</v>
      </c>
      <c r="G61" s="6">
        <f t="shared" si="8"/>
        <v>305</v>
      </c>
      <c r="H61" s="7">
        <f t="shared" si="9"/>
        <v>0.4856687898089172</v>
      </c>
      <c r="I61" s="8">
        <v>902.31226765799249</v>
      </c>
      <c r="J61" s="9">
        <v>903</v>
      </c>
      <c r="K61" s="3">
        <f t="shared" si="10"/>
        <v>0.68773234200750721</v>
      </c>
      <c r="L61" s="7">
        <f t="shared" si="11"/>
        <v>7.6218884155543982E-4</v>
      </c>
      <c r="M61" t="s">
        <v>7</v>
      </c>
      <c r="O61" s="3">
        <f>E61-'315805 - P0824'!F61</f>
        <v>115</v>
      </c>
      <c r="P61" s="30">
        <f>I61-'315805 - P0824'!J61</f>
        <v>165.23234200743491</v>
      </c>
    </row>
    <row r="62" spans="1:16" x14ac:dyDescent="0.25">
      <c r="A62">
        <v>60</v>
      </c>
      <c r="D62" s="4" t="s">
        <v>67</v>
      </c>
      <c r="E62" s="8">
        <v>628</v>
      </c>
      <c r="F62" s="8">
        <f>F59</f>
        <v>933</v>
      </c>
      <c r="G62" s="6">
        <f t="shared" si="8"/>
        <v>305</v>
      </c>
      <c r="H62" s="7">
        <f t="shared" si="9"/>
        <v>0.4856687898089172</v>
      </c>
      <c r="I62" s="8">
        <v>902.31226765799249</v>
      </c>
      <c r="J62" s="9">
        <v>903</v>
      </c>
      <c r="K62" s="3">
        <f t="shared" si="10"/>
        <v>0.68773234200750721</v>
      </c>
      <c r="L62" s="7">
        <f t="shared" si="11"/>
        <v>7.6218884155543982E-4</v>
      </c>
      <c r="M62" t="s">
        <v>7</v>
      </c>
      <c r="O62" s="3">
        <f>E62-'315805 - P0824'!F62</f>
        <v>115</v>
      </c>
      <c r="P62" s="30">
        <f>I62-'315805 - P0824'!J62</f>
        <v>165.23234200743491</v>
      </c>
    </row>
    <row r="63" spans="1:16" x14ac:dyDescent="0.25">
      <c r="A63">
        <v>61</v>
      </c>
      <c r="D63" s="2"/>
      <c r="G63" s="6"/>
      <c r="H63" s="10">
        <f>AVERAGE(H34:H62)</f>
        <v>0.21947577688776335</v>
      </c>
      <c r="J63" s="3"/>
      <c r="K63" s="3"/>
      <c r="L63" s="10">
        <f>AVERAGE(L34:L62)</f>
        <v>1.0228013530645935E-3</v>
      </c>
    </row>
    <row r="64" spans="1:16" x14ac:dyDescent="0.25">
      <c r="A64">
        <v>62</v>
      </c>
      <c r="D64" s="34" t="s">
        <v>68</v>
      </c>
      <c r="G64" s="6"/>
      <c r="H64" s="7"/>
      <c r="J64" s="3"/>
      <c r="K64" s="3"/>
      <c r="L64" s="7"/>
    </row>
    <row r="65" spans="1:16" x14ac:dyDescent="0.25">
      <c r="A65">
        <v>63</v>
      </c>
      <c r="D65" s="4" t="s">
        <v>69</v>
      </c>
      <c r="E65" s="5">
        <v>550</v>
      </c>
      <c r="F65" s="5">
        <v>600</v>
      </c>
      <c r="G65" s="6">
        <f t="shared" ref="G65:G71" si="12">+F65-E65</f>
        <v>50</v>
      </c>
      <c r="H65" s="7">
        <f t="shared" ref="H65:H71" si="13">(F65-E65)/ABS(E65)</f>
        <v>9.0909090909090912E-2</v>
      </c>
      <c r="I65" s="8">
        <v>670.81967213114763</v>
      </c>
      <c r="J65" s="9">
        <v>671</v>
      </c>
      <c r="K65" s="3">
        <f t="shared" ref="K65:K71" si="14">J65-I65</f>
        <v>0.18032786885237329</v>
      </c>
      <c r="L65" s="7">
        <f t="shared" ref="L65:L71" si="15">(J65-I65)/ABS(I65)</f>
        <v>2.6881720430094744E-4</v>
      </c>
      <c r="M65" t="s">
        <v>7</v>
      </c>
      <c r="O65" s="3">
        <f>E65-'315805 - P0824'!F65</f>
        <v>30</v>
      </c>
      <c r="P65" s="30">
        <f>I65-'315805 - P0824'!J65</f>
        <v>36.590163934426187</v>
      </c>
    </row>
    <row r="66" spans="1:16" x14ac:dyDescent="0.25">
      <c r="A66">
        <v>64</v>
      </c>
      <c r="D66" s="4" t="s">
        <v>70</v>
      </c>
      <c r="E66" s="8">
        <v>550</v>
      </c>
      <c r="F66" s="8">
        <f>F65</f>
        <v>600</v>
      </c>
      <c r="G66" s="6">
        <f t="shared" si="12"/>
        <v>50</v>
      </c>
      <c r="H66" s="7">
        <f t="shared" si="13"/>
        <v>9.0909090909090912E-2</v>
      </c>
      <c r="I66" s="8">
        <v>670.81967213114763</v>
      </c>
      <c r="J66" s="9">
        <v>671</v>
      </c>
      <c r="K66" s="3">
        <f t="shared" si="14"/>
        <v>0.18032786885237329</v>
      </c>
      <c r="L66" s="7">
        <f t="shared" si="15"/>
        <v>2.6881720430094744E-4</v>
      </c>
      <c r="M66" t="s">
        <v>7</v>
      </c>
      <c r="O66" s="3">
        <f>E66-'315805 - P0824'!F66</f>
        <v>30</v>
      </c>
      <c r="P66" s="30">
        <f>I66-'315805 - P0824'!J66</f>
        <v>36.590163934426187</v>
      </c>
    </row>
    <row r="67" spans="1:16" x14ac:dyDescent="0.25">
      <c r="A67">
        <v>65</v>
      </c>
      <c r="D67" s="4" t="s">
        <v>71</v>
      </c>
      <c r="E67" s="8">
        <v>550</v>
      </c>
      <c r="F67" s="8">
        <f>F65</f>
        <v>600</v>
      </c>
      <c r="G67" s="6">
        <f t="shared" si="12"/>
        <v>50</v>
      </c>
      <c r="H67" s="7">
        <f t="shared" si="13"/>
        <v>9.0909090909090912E-2</v>
      </c>
      <c r="I67" s="8">
        <v>670.81967213114763</v>
      </c>
      <c r="J67" s="9">
        <v>671</v>
      </c>
      <c r="K67" s="3">
        <f t="shared" si="14"/>
        <v>0.18032786885237329</v>
      </c>
      <c r="L67" s="7">
        <f t="shared" si="15"/>
        <v>2.6881720430094744E-4</v>
      </c>
      <c r="M67" t="s">
        <v>7</v>
      </c>
      <c r="O67" s="3">
        <f>E67-'315805 - P0824'!F67</f>
        <v>30</v>
      </c>
      <c r="P67" s="30">
        <f>I67-'315805 - P0824'!J67</f>
        <v>36.590163934426187</v>
      </c>
    </row>
    <row r="68" spans="1:16" x14ac:dyDescent="0.25">
      <c r="A68">
        <v>66</v>
      </c>
      <c r="D68" s="4" t="s">
        <v>72</v>
      </c>
      <c r="E68" s="8">
        <v>550</v>
      </c>
      <c r="F68" s="8">
        <f>F65</f>
        <v>600</v>
      </c>
      <c r="G68" s="6">
        <f t="shared" si="12"/>
        <v>50</v>
      </c>
      <c r="H68" s="7">
        <f t="shared" si="13"/>
        <v>9.0909090909090912E-2</v>
      </c>
      <c r="I68" s="8">
        <v>670.81967213114763</v>
      </c>
      <c r="J68" s="9">
        <v>671</v>
      </c>
      <c r="K68" s="3">
        <f t="shared" si="14"/>
        <v>0.18032786885237329</v>
      </c>
      <c r="L68" s="7">
        <f t="shared" si="15"/>
        <v>2.6881720430094744E-4</v>
      </c>
      <c r="M68" t="s">
        <v>7</v>
      </c>
      <c r="O68" s="3">
        <f>E68-'315805 - P0824'!F68</f>
        <v>30</v>
      </c>
      <c r="P68" s="30">
        <f>I68-'315805 - P0824'!J68</f>
        <v>36.590163934426187</v>
      </c>
    </row>
    <row r="69" spans="1:16" x14ac:dyDescent="0.25">
      <c r="A69">
        <v>67</v>
      </c>
      <c r="D69" s="4" t="s">
        <v>73</v>
      </c>
      <c r="E69" s="8">
        <v>550</v>
      </c>
      <c r="F69" s="8">
        <f>F65</f>
        <v>600</v>
      </c>
      <c r="G69" s="6">
        <f t="shared" si="12"/>
        <v>50</v>
      </c>
      <c r="H69" s="7">
        <f t="shared" si="13"/>
        <v>9.0909090909090912E-2</v>
      </c>
      <c r="I69" s="8">
        <v>670.81967213114763</v>
      </c>
      <c r="J69" s="9">
        <v>671</v>
      </c>
      <c r="K69" s="3">
        <f t="shared" si="14"/>
        <v>0.18032786885237329</v>
      </c>
      <c r="L69" s="7">
        <f t="shared" si="15"/>
        <v>2.6881720430094744E-4</v>
      </c>
      <c r="M69" t="s">
        <v>7</v>
      </c>
      <c r="O69" s="3">
        <f>E69-'315805 - P0824'!F69</f>
        <v>30</v>
      </c>
      <c r="P69" s="30">
        <f>I69-'315805 - P0824'!J69</f>
        <v>36.590163934426187</v>
      </c>
    </row>
    <row r="70" spans="1:16" x14ac:dyDescent="0.25">
      <c r="A70">
        <v>68</v>
      </c>
      <c r="D70" s="4" t="s">
        <v>74</v>
      </c>
      <c r="E70" s="8">
        <v>550</v>
      </c>
      <c r="F70" s="8">
        <f>F65</f>
        <v>600</v>
      </c>
      <c r="G70" s="6">
        <f t="shared" si="12"/>
        <v>50</v>
      </c>
      <c r="H70" s="7">
        <f t="shared" si="13"/>
        <v>9.0909090909090912E-2</v>
      </c>
      <c r="I70" s="8">
        <v>670.81967213114763</v>
      </c>
      <c r="J70" s="9">
        <v>671</v>
      </c>
      <c r="K70" s="3">
        <f t="shared" si="14"/>
        <v>0.18032786885237329</v>
      </c>
      <c r="L70" s="7">
        <f t="shared" si="15"/>
        <v>2.6881720430094744E-4</v>
      </c>
      <c r="M70" t="s">
        <v>7</v>
      </c>
      <c r="O70" s="3">
        <f>E70-'315805 - P0824'!F70</f>
        <v>30</v>
      </c>
      <c r="P70" s="30">
        <f>I70-'315805 - P0824'!J70</f>
        <v>36.590163934426187</v>
      </c>
    </row>
    <row r="71" spans="1:16" x14ac:dyDescent="0.25">
      <c r="A71">
        <v>69</v>
      </c>
      <c r="D71" s="4" t="s">
        <v>75</v>
      </c>
      <c r="E71" s="8">
        <v>550</v>
      </c>
      <c r="F71" s="8">
        <f>F67</f>
        <v>600</v>
      </c>
      <c r="G71" s="6">
        <f t="shared" si="12"/>
        <v>50</v>
      </c>
      <c r="H71" s="7">
        <f t="shared" si="13"/>
        <v>9.0909090909090912E-2</v>
      </c>
      <c r="I71" s="8">
        <v>670.81967213114763</v>
      </c>
      <c r="J71" s="9">
        <v>671</v>
      </c>
      <c r="K71" s="3">
        <f t="shared" si="14"/>
        <v>0.18032786885237329</v>
      </c>
      <c r="L71" s="7">
        <f t="shared" si="15"/>
        <v>2.6881720430094744E-4</v>
      </c>
      <c r="M71" t="s">
        <v>7</v>
      </c>
      <c r="O71" s="3">
        <f>E71-'315805 - P0824'!F71</f>
        <v>30</v>
      </c>
      <c r="P71" s="30">
        <f>I71-'315805 - P0824'!J71</f>
        <v>36.590163934426187</v>
      </c>
    </row>
    <row r="72" spans="1:16" x14ac:dyDescent="0.25">
      <c r="A72">
        <v>70</v>
      </c>
      <c r="D72" s="4" t="s">
        <v>76</v>
      </c>
      <c r="E72" s="5">
        <v>550</v>
      </c>
      <c r="F72" s="5">
        <v>758</v>
      </c>
      <c r="G72" s="6">
        <f>+F72-E72</f>
        <v>208</v>
      </c>
      <c r="H72" s="7">
        <f>(F72-E72)/ABS(E72)</f>
        <v>0.37818181818181817</v>
      </c>
      <c r="I72" s="8">
        <v>771.44837144837129</v>
      </c>
      <c r="J72" s="9">
        <v>772</v>
      </c>
      <c r="K72" s="3">
        <f>J72-I72</f>
        <v>0.55162855162870983</v>
      </c>
      <c r="L72" s="7">
        <f>(J72-I72)/ABS(I72)</f>
        <v>7.1505569529305461E-4</v>
      </c>
      <c r="M72" t="s">
        <v>7</v>
      </c>
      <c r="O72" s="3">
        <f>E72-'315805 - P0824'!F72</f>
        <v>-113</v>
      </c>
      <c r="P72" s="30">
        <f>I72-'315805 - P0824'!J72</f>
        <v>-158.49757449757453</v>
      </c>
    </row>
    <row r="73" spans="1:16" x14ac:dyDescent="0.25">
      <c r="A73">
        <v>71</v>
      </c>
      <c r="D73" s="4" t="s">
        <v>77</v>
      </c>
      <c r="E73" s="8">
        <v>550</v>
      </c>
      <c r="F73" s="8">
        <f>F72</f>
        <v>758</v>
      </c>
      <c r="G73" s="6">
        <f>+F73-E73</f>
        <v>208</v>
      </c>
      <c r="H73" s="7">
        <f>(F73-E73)/ABS(E73)</f>
        <v>0.37818181818181817</v>
      </c>
      <c r="I73" s="8">
        <v>771.44837144837129</v>
      </c>
      <c r="J73" s="9">
        <v>772</v>
      </c>
      <c r="K73" s="3">
        <f>J73-I73</f>
        <v>0.55162855162870983</v>
      </c>
      <c r="L73" s="7">
        <f>(J73-I73)/ABS(I73)</f>
        <v>7.1505569529305461E-4</v>
      </c>
      <c r="M73" t="s">
        <v>7</v>
      </c>
      <c r="O73" s="3">
        <f>E73-'315805 - P0824'!F73</f>
        <v>-113</v>
      </c>
      <c r="P73" s="30">
        <f>I73-'315805 - P0824'!J73</f>
        <v>-158.49757449757453</v>
      </c>
    </row>
    <row r="74" spans="1:16" x14ac:dyDescent="0.25">
      <c r="A74">
        <v>72</v>
      </c>
      <c r="D74" s="4" t="s">
        <v>78</v>
      </c>
      <c r="E74" s="8">
        <v>550</v>
      </c>
      <c r="F74" s="8">
        <f>F72</f>
        <v>758</v>
      </c>
      <c r="G74" s="6">
        <f>+F74-E74</f>
        <v>208</v>
      </c>
      <c r="H74" s="7">
        <f>(F74-E74)/ABS(E74)</f>
        <v>0.37818181818181817</v>
      </c>
      <c r="I74" s="8">
        <v>771.44837144837129</v>
      </c>
      <c r="J74" s="9">
        <v>772</v>
      </c>
      <c r="K74" s="3">
        <f>J74-I74</f>
        <v>0.55162855162870983</v>
      </c>
      <c r="L74" s="7">
        <f>(J74-I74)/ABS(I74)</f>
        <v>7.1505569529305461E-4</v>
      </c>
      <c r="M74" t="s">
        <v>7</v>
      </c>
      <c r="O74" s="3">
        <f>E74-'315805 - P0824'!F74</f>
        <v>-113</v>
      </c>
      <c r="P74" s="30">
        <f>I74-'315805 - P0824'!J74</f>
        <v>-158.49757449757453</v>
      </c>
    </row>
    <row r="75" spans="1:16" x14ac:dyDescent="0.25">
      <c r="A75">
        <v>73</v>
      </c>
      <c r="D75" s="4" t="s">
        <v>79</v>
      </c>
      <c r="E75" s="8">
        <v>550</v>
      </c>
      <c r="F75" s="8">
        <f>F72</f>
        <v>758</v>
      </c>
      <c r="G75" s="6">
        <f>+F75-E75</f>
        <v>208</v>
      </c>
      <c r="H75" s="7">
        <f>(F75-E75)/ABS(E75)</f>
        <v>0.37818181818181817</v>
      </c>
      <c r="I75" s="8">
        <v>771.44837144837129</v>
      </c>
      <c r="J75" s="9">
        <v>772</v>
      </c>
      <c r="K75" s="3">
        <f>J75-I75</f>
        <v>0.55162855162870983</v>
      </c>
      <c r="L75" s="7">
        <f>(J75-I75)/ABS(I75)</f>
        <v>7.1505569529305461E-4</v>
      </c>
      <c r="M75" t="s">
        <v>7</v>
      </c>
      <c r="O75" s="3">
        <f>E75-'315805 - P0824'!F75</f>
        <v>-113</v>
      </c>
      <c r="P75" s="30">
        <f>I75-'315805 - P0824'!J75</f>
        <v>-158.49757449757453</v>
      </c>
    </row>
    <row r="76" spans="1:16" x14ac:dyDescent="0.25">
      <c r="A76">
        <v>74</v>
      </c>
      <c r="D76" s="4" t="s">
        <v>80</v>
      </c>
      <c r="E76" s="8">
        <v>550</v>
      </c>
      <c r="F76" s="8">
        <f>F72</f>
        <v>758</v>
      </c>
      <c r="G76" s="6">
        <f>+F76-E76</f>
        <v>208</v>
      </c>
      <c r="H76" s="7">
        <f>(F76-E76)/ABS(E76)</f>
        <v>0.37818181818181817</v>
      </c>
      <c r="I76" s="8">
        <v>771.44837144837129</v>
      </c>
      <c r="J76" s="9">
        <v>772</v>
      </c>
      <c r="K76" s="3">
        <f>J76-I76</f>
        <v>0.55162855162870983</v>
      </c>
      <c r="L76" s="7">
        <f>(J76-I76)/ABS(I76)</f>
        <v>7.1505569529305461E-4</v>
      </c>
      <c r="M76" t="s">
        <v>7</v>
      </c>
      <c r="O76" s="3">
        <f>E76-'315805 - P0824'!F76</f>
        <v>-113</v>
      </c>
      <c r="P76" s="30">
        <f>I76-'315805 - P0824'!J76</f>
        <v>-158.49757449757453</v>
      </c>
    </row>
    <row r="77" spans="1:16" x14ac:dyDescent="0.25">
      <c r="A77">
        <v>75</v>
      </c>
      <c r="D77" s="4" t="s">
        <v>81</v>
      </c>
      <c r="E77" s="8">
        <v>550</v>
      </c>
      <c r="F77" s="8">
        <f t="shared" ref="F77" si="16">F74</f>
        <v>758</v>
      </c>
      <c r="G77" s="6">
        <f t="shared" ref="G77" si="17">+F77-E77</f>
        <v>208</v>
      </c>
      <c r="H77" s="7">
        <f t="shared" ref="H77" si="18">(F77-E77)/ABS(E77)</f>
        <v>0.37818181818181817</v>
      </c>
      <c r="I77" s="8">
        <v>771.44837144837129</v>
      </c>
      <c r="J77" s="9">
        <v>772</v>
      </c>
      <c r="K77" s="3">
        <f t="shared" ref="K77" si="19">J77-I77</f>
        <v>0.55162855162870983</v>
      </c>
      <c r="L77" s="7">
        <f t="shared" ref="L77" si="20">(J77-I77)/ABS(I77)</f>
        <v>7.1505569529305461E-4</v>
      </c>
      <c r="M77" t="s">
        <v>7</v>
      </c>
      <c r="O77" s="3">
        <f>E77-'315805 - P0824'!F77</f>
        <v>-113</v>
      </c>
      <c r="P77" s="30">
        <f>I77-'315805 - P0824'!J77</f>
        <v>-158.49757449757453</v>
      </c>
    </row>
    <row r="78" spans="1:16" x14ac:dyDescent="0.25">
      <c r="A78">
        <v>76</v>
      </c>
      <c r="D78" s="4" t="s">
        <v>82</v>
      </c>
      <c r="E78" s="5">
        <v>738</v>
      </c>
      <c r="F78" s="5">
        <v>768</v>
      </c>
      <c r="G78" s="6">
        <f>+F78-E78</f>
        <v>30</v>
      </c>
      <c r="H78" s="7">
        <f>(F78-E78)/ABS(E78)</f>
        <v>4.065040650406504E-2</v>
      </c>
      <c r="I78" s="8">
        <v>934.28481675392686</v>
      </c>
      <c r="J78" s="9">
        <v>935</v>
      </c>
      <c r="K78" s="3">
        <f>J78-I78</f>
        <v>0.71518324607313843</v>
      </c>
      <c r="L78" s="7">
        <f>(J78-I78)/ABS(I78)</f>
        <v>7.6548739019217558E-4</v>
      </c>
      <c r="M78" t="s">
        <v>7</v>
      </c>
      <c r="O78" s="3">
        <f>E78-'315805 - P0824'!F78</f>
        <v>18</v>
      </c>
      <c r="P78" s="30">
        <f>I78-'315805 - P0824'!J78</f>
        <v>22.787434554973856</v>
      </c>
    </row>
    <row r="79" spans="1:16" x14ac:dyDescent="0.25">
      <c r="A79">
        <v>77</v>
      </c>
      <c r="D79" s="4" t="s">
        <v>83</v>
      </c>
      <c r="E79" s="8">
        <v>738</v>
      </c>
      <c r="F79" s="8">
        <f>F78</f>
        <v>768</v>
      </c>
      <c r="G79" s="6">
        <f>+F79-E79</f>
        <v>30</v>
      </c>
      <c r="H79" s="7">
        <f>(F79-E79)/ABS(E79)</f>
        <v>4.065040650406504E-2</v>
      </c>
      <c r="I79" s="8">
        <v>934.28481675392686</v>
      </c>
      <c r="J79" s="9">
        <v>935</v>
      </c>
      <c r="K79" s="3">
        <f>J79-I79</f>
        <v>0.71518324607313843</v>
      </c>
      <c r="L79" s="7">
        <f>(J79-I79)/ABS(I79)</f>
        <v>7.6548739019217558E-4</v>
      </c>
      <c r="M79" t="s">
        <v>7</v>
      </c>
      <c r="O79" s="3">
        <f>E79-'315805 - P0824'!F79</f>
        <v>18</v>
      </c>
      <c r="P79" s="30">
        <f>I79-'315805 - P0824'!J79</f>
        <v>22.787434554973856</v>
      </c>
    </row>
    <row r="80" spans="1:16" x14ac:dyDescent="0.25">
      <c r="A80">
        <v>78</v>
      </c>
      <c r="D80" s="4" t="s">
        <v>84</v>
      </c>
      <c r="E80" s="8">
        <v>738</v>
      </c>
      <c r="F80" s="8">
        <f>F78</f>
        <v>768</v>
      </c>
      <c r="G80" s="6">
        <f>+F80-E80</f>
        <v>30</v>
      </c>
      <c r="H80" s="7">
        <f>(F80-E80)/ABS(E80)</f>
        <v>4.065040650406504E-2</v>
      </c>
      <c r="I80" s="8">
        <v>934.28481675392686</v>
      </c>
      <c r="J80" s="9">
        <v>935</v>
      </c>
      <c r="K80" s="3">
        <f>J80-I80</f>
        <v>0.71518324607313843</v>
      </c>
      <c r="L80" s="7">
        <f>(J80-I80)/ABS(I80)</f>
        <v>7.6548739019217558E-4</v>
      </c>
      <c r="M80" t="s">
        <v>7</v>
      </c>
      <c r="O80" s="3">
        <f>E80-'315805 - P0824'!F80</f>
        <v>18</v>
      </c>
      <c r="P80" s="30">
        <f>I80-'315805 - P0824'!J80</f>
        <v>22.787434554973856</v>
      </c>
    </row>
    <row r="81" spans="1:16" x14ac:dyDescent="0.25">
      <c r="A81">
        <v>79</v>
      </c>
      <c r="D81" s="4" t="s">
        <v>85</v>
      </c>
      <c r="E81" s="8">
        <v>738</v>
      </c>
      <c r="F81" s="8">
        <f>F78</f>
        <v>768</v>
      </c>
      <c r="G81" s="6">
        <f>+F81-E81</f>
        <v>30</v>
      </c>
      <c r="H81" s="7">
        <f>(F81-E81)/ABS(E81)</f>
        <v>4.065040650406504E-2</v>
      </c>
      <c r="I81" s="8">
        <v>934.28481675392686</v>
      </c>
      <c r="J81" s="9">
        <v>935</v>
      </c>
      <c r="K81" s="3">
        <f>J81-I81</f>
        <v>0.71518324607313843</v>
      </c>
      <c r="L81" s="7">
        <f>(J81-I81)/ABS(I81)</f>
        <v>7.6548739019217558E-4</v>
      </c>
      <c r="M81" t="s">
        <v>7</v>
      </c>
      <c r="O81" s="3">
        <f>E81-'315805 - P0824'!F81</f>
        <v>18</v>
      </c>
      <c r="P81" s="30">
        <f>I81-'315805 - P0824'!J81</f>
        <v>22.787434554973856</v>
      </c>
    </row>
    <row r="82" spans="1:16" x14ac:dyDescent="0.25">
      <c r="A82">
        <v>80</v>
      </c>
      <c r="D82" s="4" t="s">
        <v>86</v>
      </c>
      <c r="E82" s="8">
        <v>738</v>
      </c>
      <c r="F82" s="8">
        <f>F78</f>
        <v>768</v>
      </c>
      <c r="G82" s="6">
        <f>+F82-E82</f>
        <v>30</v>
      </c>
      <c r="H82" s="7">
        <f>(F82-E82)/ABS(E82)</f>
        <v>4.065040650406504E-2</v>
      </c>
      <c r="I82" s="8">
        <v>934.28481675392686</v>
      </c>
      <c r="J82" s="9">
        <v>935</v>
      </c>
      <c r="K82" s="3">
        <f>J82-I82</f>
        <v>0.71518324607313843</v>
      </c>
      <c r="L82" s="7">
        <f>(J82-I82)/ABS(I82)</f>
        <v>7.6548739019217558E-4</v>
      </c>
      <c r="M82" t="s">
        <v>7</v>
      </c>
      <c r="O82" s="3">
        <f>E82-'315805 - P0824'!F82</f>
        <v>18</v>
      </c>
      <c r="P82" s="30">
        <f>I82-'315805 - P0824'!J82</f>
        <v>22.787434554973856</v>
      </c>
    </row>
    <row r="83" spans="1:16" x14ac:dyDescent="0.25">
      <c r="A83">
        <v>81</v>
      </c>
      <c r="D83" s="4" t="s">
        <v>87</v>
      </c>
      <c r="E83" s="8">
        <v>738</v>
      </c>
      <c r="F83" s="8">
        <f>F80</f>
        <v>768</v>
      </c>
      <c r="G83" s="6">
        <f t="shared" ref="G83" si="21">+F83-E83</f>
        <v>30</v>
      </c>
      <c r="H83" s="7">
        <f t="shared" ref="H83" si="22">(F83-E83)/ABS(E83)</f>
        <v>4.065040650406504E-2</v>
      </c>
      <c r="I83" s="8">
        <v>934.28481675392686</v>
      </c>
      <c r="J83" s="9">
        <v>935</v>
      </c>
      <c r="K83" s="3">
        <f t="shared" ref="K83" si="23">J83-I83</f>
        <v>0.71518324607313843</v>
      </c>
      <c r="L83" s="7">
        <f t="shared" ref="L83" si="24">(J83-I83)/ABS(I83)</f>
        <v>7.6548739019217558E-4</v>
      </c>
      <c r="M83" t="s">
        <v>7</v>
      </c>
      <c r="O83" s="3">
        <f>E83-'315805 - P0824'!F83</f>
        <v>18</v>
      </c>
      <c r="P83" s="30">
        <f>I83-'315805 - P0824'!J83</f>
        <v>22.787434554973856</v>
      </c>
    </row>
    <row r="84" spans="1:16" x14ac:dyDescent="0.25">
      <c r="A84">
        <v>82</v>
      </c>
      <c r="D84" s="4" t="s">
        <v>493</v>
      </c>
      <c r="E84" s="5">
        <v>823</v>
      </c>
      <c r="F84" s="5">
        <v>933</v>
      </c>
      <c r="G84" s="6">
        <f>+F84-E84</f>
        <v>110</v>
      </c>
      <c r="H84" s="7">
        <f>(F84-E84)/ABS(E84)</f>
        <v>0.13365735115431349</v>
      </c>
      <c r="I84" s="8">
        <v>1054.2450495703899</v>
      </c>
      <c r="J84" s="9">
        <v>1055</v>
      </c>
      <c r="K84" s="3">
        <f>J84-I84</f>
        <v>0.7549504296100622</v>
      </c>
      <c r="L84" s="7">
        <f>(J84-I84)/ABS(I84)</f>
        <v>7.1610526406332966E-4</v>
      </c>
      <c r="M84" t="s">
        <v>7</v>
      </c>
      <c r="O84" s="3">
        <f>E84-'315805 - P0824'!F84</f>
        <v>70</v>
      </c>
      <c r="P84" s="30">
        <f>I84-'315805 - P0824'!J84</f>
        <v>89.668473231989424</v>
      </c>
    </row>
    <row r="85" spans="1:16" x14ac:dyDescent="0.25">
      <c r="A85">
        <v>83</v>
      </c>
      <c r="D85" s="4" t="s">
        <v>88</v>
      </c>
      <c r="E85" s="8">
        <v>823</v>
      </c>
      <c r="F85" s="8">
        <f>F84</f>
        <v>933</v>
      </c>
      <c r="G85" s="6">
        <f>+F85-E85</f>
        <v>110</v>
      </c>
      <c r="H85" s="7">
        <f>(F85-E85)/ABS(E85)</f>
        <v>0.13365735115431349</v>
      </c>
      <c r="I85" s="8">
        <v>1054.2450495703899</v>
      </c>
      <c r="J85" s="9">
        <v>1055</v>
      </c>
      <c r="K85" s="3">
        <f>J85-I85</f>
        <v>0.7549504296100622</v>
      </c>
      <c r="L85" s="7">
        <f>(J85-I85)/ABS(I85)</f>
        <v>7.1610526406332966E-4</v>
      </c>
      <c r="M85" t="s">
        <v>7</v>
      </c>
      <c r="O85" s="3">
        <f>E85-'315805 - P0824'!F85</f>
        <v>70</v>
      </c>
      <c r="P85" s="30">
        <f>I85-'315805 - P0824'!J85</f>
        <v>89.668473231989424</v>
      </c>
    </row>
    <row r="86" spans="1:16" x14ac:dyDescent="0.25">
      <c r="A86">
        <v>84</v>
      </c>
      <c r="D86" s="4" t="s">
        <v>89</v>
      </c>
      <c r="E86" s="8">
        <v>823</v>
      </c>
      <c r="F86" s="8">
        <f>F84</f>
        <v>933</v>
      </c>
      <c r="G86" s="6">
        <f>+F86-E86</f>
        <v>110</v>
      </c>
      <c r="H86" s="7">
        <f>(F86-E86)/ABS(E86)</f>
        <v>0.13365735115431349</v>
      </c>
      <c r="I86" s="8">
        <v>1054.2450495703899</v>
      </c>
      <c r="J86" s="9">
        <v>1055</v>
      </c>
      <c r="K86" s="3">
        <f>J86-I86</f>
        <v>0.7549504296100622</v>
      </c>
      <c r="L86" s="7">
        <f>(J86-I86)/ABS(I86)</f>
        <v>7.1610526406332966E-4</v>
      </c>
      <c r="M86" t="s">
        <v>7</v>
      </c>
      <c r="O86" s="3">
        <f>E86-'315805 - P0824'!F86</f>
        <v>70</v>
      </c>
      <c r="P86" s="30">
        <f>I86-'315805 - P0824'!J86</f>
        <v>89.668473231989424</v>
      </c>
    </row>
    <row r="87" spans="1:16" x14ac:dyDescent="0.25">
      <c r="A87">
        <v>85</v>
      </c>
      <c r="D87" s="4" t="s">
        <v>90</v>
      </c>
      <c r="E87" s="8">
        <v>823</v>
      </c>
      <c r="F87" s="8">
        <f>F84</f>
        <v>933</v>
      </c>
      <c r="G87" s="6">
        <f>+F87-E87</f>
        <v>110</v>
      </c>
      <c r="H87" s="7">
        <f>(F87-E87)/ABS(E87)</f>
        <v>0.13365735115431349</v>
      </c>
      <c r="I87" s="8">
        <v>1054.2450495703899</v>
      </c>
      <c r="J87" s="9">
        <v>1055</v>
      </c>
      <c r="K87" s="3">
        <f>J87-I87</f>
        <v>0.7549504296100622</v>
      </c>
      <c r="L87" s="7">
        <f>(J87-I87)/ABS(I87)</f>
        <v>7.1610526406332966E-4</v>
      </c>
      <c r="M87" t="s">
        <v>7</v>
      </c>
      <c r="O87" s="3">
        <f>E87-'315805 - P0824'!F87</f>
        <v>70</v>
      </c>
      <c r="P87" s="30">
        <f>I87-'315805 - P0824'!J87</f>
        <v>89.668473231989424</v>
      </c>
    </row>
    <row r="88" spans="1:16" x14ac:dyDescent="0.25">
      <c r="A88">
        <v>86</v>
      </c>
      <c r="D88" s="4" t="s">
        <v>91</v>
      </c>
      <c r="E88" s="8">
        <v>823</v>
      </c>
      <c r="F88" s="8">
        <f>F84</f>
        <v>933</v>
      </c>
      <c r="G88" s="6">
        <f>+F88-E88</f>
        <v>110</v>
      </c>
      <c r="H88" s="7">
        <f>(F88-E88)/ABS(E88)</f>
        <v>0.13365735115431349</v>
      </c>
      <c r="I88" s="8">
        <v>1054.2450495703899</v>
      </c>
      <c r="J88" s="9">
        <v>1055</v>
      </c>
      <c r="K88" s="3">
        <f>J88-I88</f>
        <v>0.7549504296100622</v>
      </c>
      <c r="L88" s="7">
        <f>(J88-I88)/ABS(I88)</f>
        <v>7.1610526406332966E-4</v>
      </c>
      <c r="M88" t="s">
        <v>7</v>
      </c>
      <c r="O88" s="3">
        <f>E88-'315805 - P0824'!F88</f>
        <v>70</v>
      </c>
      <c r="P88" s="30">
        <f>I88-'315805 - P0824'!J88</f>
        <v>89.668473231989424</v>
      </c>
    </row>
    <row r="89" spans="1:16" x14ac:dyDescent="0.25">
      <c r="A89">
        <v>87</v>
      </c>
      <c r="D89" s="4" t="s">
        <v>92</v>
      </c>
      <c r="E89" s="8">
        <v>823</v>
      </c>
      <c r="F89" s="8">
        <f t="shared" ref="F89" si="25">F86</f>
        <v>933</v>
      </c>
      <c r="G89" s="6">
        <f t="shared" ref="G89:G90" si="26">+F89-E89</f>
        <v>110</v>
      </c>
      <c r="H89" s="7">
        <f t="shared" ref="H89:H90" si="27">(F89-E89)/ABS(E89)</f>
        <v>0.13365735115431349</v>
      </c>
      <c r="I89" s="8">
        <v>1054.2450495703899</v>
      </c>
      <c r="J89" s="9">
        <v>1055</v>
      </c>
      <c r="K89" s="3">
        <f t="shared" ref="K89:K90" si="28">J89-I89</f>
        <v>0.7549504296100622</v>
      </c>
      <c r="L89" s="7">
        <f t="shared" ref="L89:L90" si="29">(J89-I89)/ABS(I89)</f>
        <v>7.1610526406332966E-4</v>
      </c>
      <c r="M89" t="s">
        <v>7</v>
      </c>
      <c r="O89" s="3">
        <f>E89-'315805 - P0824'!F89</f>
        <v>70</v>
      </c>
      <c r="P89" s="30">
        <f>I89-'315805 - P0824'!J89</f>
        <v>89.668473231989424</v>
      </c>
    </row>
    <row r="90" spans="1:16" x14ac:dyDescent="0.25">
      <c r="A90">
        <v>88</v>
      </c>
      <c r="C90" t="s">
        <v>8</v>
      </c>
      <c r="D90" s="4" t="s">
        <v>93</v>
      </c>
      <c r="E90" s="5">
        <v>12.85</v>
      </c>
      <c r="F90" s="5">
        <v>12.85</v>
      </c>
      <c r="G90" s="6">
        <f t="shared" si="26"/>
        <v>0</v>
      </c>
      <c r="H90" s="7">
        <f t="shared" si="27"/>
        <v>0</v>
      </c>
      <c r="I90" s="8">
        <v>2580.3146038322125</v>
      </c>
      <c r="J90" s="9">
        <v>2581</v>
      </c>
      <c r="K90" s="3">
        <f t="shared" si="28"/>
        <v>0.68539616778753043</v>
      </c>
      <c r="L90" s="7">
        <f t="shared" si="29"/>
        <v>2.6562503919855311E-4</v>
      </c>
      <c r="M90" t="s">
        <v>7</v>
      </c>
      <c r="O90" s="3">
        <f>E90-'315805 - P0824'!F90</f>
        <v>0</v>
      </c>
      <c r="P90" s="30">
        <f>I90-'315805 - P0824'!J90</f>
        <v>0</v>
      </c>
    </row>
    <row r="91" spans="1:16" x14ac:dyDescent="0.25">
      <c r="A91">
        <v>89</v>
      </c>
      <c r="D91" s="34" t="s">
        <v>94</v>
      </c>
      <c r="H91" s="10">
        <f>AVERAGE(H65:H90)</f>
        <v>0.15197311890018522</v>
      </c>
      <c r="I91"/>
      <c r="L91" s="10">
        <f>AVERAGE(L65:L89)</f>
        <v>6.0246442109591989E-4</v>
      </c>
    </row>
    <row r="92" spans="1:16" x14ac:dyDescent="0.25">
      <c r="A92">
        <v>90</v>
      </c>
      <c r="D92" s="34" t="s">
        <v>95</v>
      </c>
      <c r="I92"/>
      <c r="M92" t="s">
        <v>7</v>
      </c>
      <c r="O92" s="3">
        <f>E92-'315805 - P0824'!F92</f>
        <v>0</v>
      </c>
      <c r="P92" s="30">
        <f>I92-'315805 - P0824'!J92</f>
        <v>0</v>
      </c>
    </row>
    <row r="93" spans="1:16" x14ac:dyDescent="0.25">
      <c r="A93">
        <v>91</v>
      </c>
      <c r="D93" s="4" t="s">
        <v>96</v>
      </c>
      <c r="E93" s="5">
        <v>381</v>
      </c>
      <c r="F93" s="5">
        <v>375</v>
      </c>
      <c r="G93" s="6">
        <f t="shared" ref="G93:G101" si="30">+F93-E93</f>
        <v>-6</v>
      </c>
      <c r="H93" s="7">
        <f t="shared" ref="H93:H101" si="31">(F93-E93)/ABS(E93)</f>
        <v>-1.5748031496062992E-2</v>
      </c>
      <c r="I93" s="8">
        <v>432.08379888268161</v>
      </c>
      <c r="J93" s="9">
        <v>433</v>
      </c>
      <c r="K93" s="3">
        <f t="shared" ref="K93:K101" si="32">J93-I93</f>
        <v>0.91620111731839415</v>
      </c>
      <c r="L93" s="7">
        <f t="shared" ref="L93:L101" si="33">(J93-I93)/ABS(I93)</f>
        <v>2.120424602097055E-3</v>
      </c>
      <c r="M93" t="s">
        <v>7</v>
      </c>
      <c r="O93" s="3">
        <f>E93-'315805 - P0824'!F93</f>
        <v>-14</v>
      </c>
      <c r="P93" s="30">
        <f>I93-'315805 - P0824'!J93</f>
        <v>-15.877094972067027</v>
      </c>
    </row>
    <row r="94" spans="1:16" x14ac:dyDescent="0.25">
      <c r="A94">
        <v>92</v>
      </c>
      <c r="D94" s="4" t="s">
        <v>97</v>
      </c>
      <c r="E94" s="5">
        <v>401</v>
      </c>
      <c r="F94" s="5">
        <v>395</v>
      </c>
      <c r="G94" s="6">
        <f t="shared" si="30"/>
        <v>-6</v>
      </c>
      <c r="H94" s="7">
        <f t="shared" si="31"/>
        <v>-1.4962593516209476E-2</v>
      </c>
      <c r="I94" s="8">
        <v>461.48191293684857</v>
      </c>
      <c r="J94" s="9">
        <v>462</v>
      </c>
      <c r="K94" s="3">
        <f t="shared" si="32"/>
        <v>0.51808706315142672</v>
      </c>
      <c r="L94" s="7">
        <f t="shared" si="33"/>
        <v>1.1226595206177111E-3</v>
      </c>
      <c r="M94" t="s">
        <v>7</v>
      </c>
      <c r="O94" s="3">
        <f>E94-'315805 - P0824'!F94</f>
        <v>-14</v>
      </c>
      <c r="P94" s="30">
        <f>I94-'315805 - P0824'!J94</f>
        <v>-16.111587982832646</v>
      </c>
    </row>
    <row r="95" spans="1:16" x14ac:dyDescent="0.25">
      <c r="A95">
        <v>93</v>
      </c>
      <c r="D95" s="4" t="s">
        <v>98</v>
      </c>
      <c r="E95" s="5">
        <v>401</v>
      </c>
      <c r="F95" s="5">
        <v>395</v>
      </c>
      <c r="G95" s="6">
        <f t="shared" si="30"/>
        <v>-6</v>
      </c>
      <c r="H95" s="7">
        <f t="shared" si="31"/>
        <v>-1.4962593516209476E-2</v>
      </c>
      <c r="I95" s="8">
        <v>458.77743715511934</v>
      </c>
      <c r="J95" s="9">
        <v>459</v>
      </c>
      <c r="K95" s="3">
        <f t="shared" si="32"/>
        <v>0.22256284488065603</v>
      </c>
      <c r="L95" s="7">
        <f t="shared" si="33"/>
        <v>4.8512160114230789E-4</v>
      </c>
      <c r="M95" t="s">
        <v>7</v>
      </c>
      <c r="O95" s="3">
        <f>E95-'315805 - P0824'!F95</f>
        <v>-14</v>
      </c>
      <c r="P95" s="30">
        <f>I95-'315805 - P0824'!J95</f>
        <v>-16.017167381974218</v>
      </c>
    </row>
    <row r="96" spans="1:16" x14ac:dyDescent="0.25">
      <c r="A96">
        <v>94</v>
      </c>
      <c r="D96" s="4" t="s">
        <v>99</v>
      </c>
      <c r="E96" s="5">
        <v>406</v>
      </c>
      <c r="F96" s="5">
        <v>406</v>
      </c>
      <c r="G96" s="6">
        <f t="shared" si="30"/>
        <v>0</v>
      </c>
      <c r="H96" s="7">
        <f t="shared" si="31"/>
        <v>0</v>
      </c>
      <c r="I96" s="8">
        <v>478.56170212765954</v>
      </c>
      <c r="J96" s="9">
        <v>479</v>
      </c>
      <c r="K96" s="3">
        <f t="shared" si="32"/>
        <v>0.43829787234045625</v>
      </c>
      <c r="L96" s="7">
        <f t="shared" si="33"/>
        <v>9.1586491437114072E-4</v>
      </c>
      <c r="M96" t="s">
        <v>7</v>
      </c>
      <c r="O96" s="3">
        <f>E96-'315805 - P0824'!F96</f>
        <v>-9</v>
      </c>
      <c r="P96" s="30">
        <f>I96-'315805 - P0824'!J96</f>
        <v>-10.608510638297844</v>
      </c>
    </row>
    <row r="97" spans="1:16" x14ac:dyDescent="0.25">
      <c r="A97">
        <v>95</v>
      </c>
      <c r="D97" s="4" t="s">
        <v>100</v>
      </c>
      <c r="E97" s="5">
        <v>633</v>
      </c>
      <c r="F97" s="5">
        <v>633</v>
      </c>
      <c r="G97" s="6">
        <f t="shared" si="30"/>
        <v>0</v>
      </c>
      <c r="H97" s="7">
        <f t="shared" si="31"/>
        <v>0</v>
      </c>
      <c r="I97" s="8">
        <v>744.59270516717322</v>
      </c>
      <c r="J97" s="9">
        <v>745</v>
      </c>
      <c r="K97" s="3">
        <f t="shared" si="32"/>
        <v>0.40729483282677847</v>
      </c>
      <c r="L97" s="7">
        <f>(J97-I97)/ABS(I97)</f>
        <v>5.4700352286601319E-4</v>
      </c>
      <c r="M97" t="s">
        <v>7</v>
      </c>
      <c r="O97" s="3">
        <f>E97-'315805 - P0824'!F97</f>
        <v>0</v>
      </c>
      <c r="P97" s="30">
        <f>I97-'315805 - P0824'!J97</f>
        <v>0</v>
      </c>
    </row>
    <row r="98" spans="1:16" x14ac:dyDescent="0.25">
      <c r="A98">
        <v>96</v>
      </c>
      <c r="C98" t="s">
        <v>8</v>
      </c>
      <c r="D98" s="4" t="s">
        <v>101</v>
      </c>
      <c r="E98" s="5">
        <v>930</v>
      </c>
      <c r="F98" s="5">
        <v>930</v>
      </c>
      <c r="G98" s="6">
        <f t="shared" si="30"/>
        <v>0</v>
      </c>
      <c r="H98" s="7">
        <f t="shared" si="31"/>
        <v>0</v>
      </c>
      <c r="I98" s="8">
        <v>1108.2901554404145</v>
      </c>
      <c r="J98" s="9">
        <v>1109</v>
      </c>
      <c r="K98" s="3">
        <f t="shared" si="32"/>
        <v>0.70984455958546278</v>
      </c>
      <c r="L98" s="7">
        <f t="shared" si="33"/>
        <v>6.4048620850862227E-4</v>
      </c>
      <c r="M98" t="s">
        <v>7</v>
      </c>
      <c r="O98" s="3">
        <f>E98-'315805 - P0824'!F98</f>
        <v>0</v>
      </c>
      <c r="P98" s="30">
        <f>I98-'315805 - P0824'!J98</f>
        <v>0</v>
      </c>
    </row>
    <row r="99" spans="1:16" x14ac:dyDescent="0.25">
      <c r="A99">
        <v>97</v>
      </c>
      <c r="C99" t="s">
        <v>8</v>
      </c>
      <c r="D99" s="4" t="s">
        <v>102</v>
      </c>
      <c r="E99" s="5">
        <v>1127</v>
      </c>
      <c r="F99" s="5">
        <v>1127</v>
      </c>
      <c r="G99" s="6">
        <f t="shared" si="30"/>
        <v>0</v>
      </c>
      <c r="H99" s="7">
        <f t="shared" si="31"/>
        <v>0</v>
      </c>
      <c r="I99" s="8">
        <v>1480.3326598207814</v>
      </c>
      <c r="J99" s="9">
        <v>1481</v>
      </c>
      <c r="K99" s="3">
        <f t="shared" si="32"/>
        <v>0.66734017921862687</v>
      </c>
      <c r="L99" s="7">
        <f t="shared" si="33"/>
        <v>4.5080419917197488E-4</v>
      </c>
      <c r="M99" t="s">
        <v>7</v>
      </c>
      <c r="O99" s="3">
        <f>E99-'315805 - P0824'!F99</f>
        <v>0</v>
      </c>
      <c r="P99" s="30">
        <f>I99-'315805 - P0824'!J99</f>
        <v>0</v>
      </c>
    </row>
    <row r="100" spans="1:16" x14ac:dyDescent="0.25">
      <c r="A100">
        <v>98</v>
      </c>
      <c r="D100" s="4" t="s">
        <v>103</v>
      </c>
      <c r="E100" s="5">
        <v>17.600000000000001</v>
      </c>
      <c r="F100" s="5">
        <v>17.600000000000001</v>
      </c>
      <c r="G100" s="6">
        <f t="shared" si="30"/>
        <v>0</v>
      </c>
      <c r="H100" s="7">
        <f t="shared" si="31"/>
        <v>0</v>
      </c>
      <c r="I100" s="8">
        <v>47.120192307692307</v>
      </c>
      <c r="J100" s="9">
        <f t="shared" ref="J100" si="34">(I100*H100)+I100</f>
        <v>47.120192307692307</v>
      </c>
      <c r="K100" s="3">
        <f t="shared" si="32"/>
        <v>0</v>
      </c>
      <c r="L100" s="7">
        <f t="shared" si="33"/>
        <v>0</v>
      </c>
      <c r="M100" t="s">
        <v>7</v>
      </c>
      <c r="O100" s="3">
        <f>E100-'315805 - P0824'!F100</f>
        <v>0</v>
      </c>
      <c r="P100" s="30">
        <f>I100-'315805 - P0824'!J100</f>
        <v>0</v>
      </c>
    </row>
    <row r="101" spans="1:16" x14ac:dyDescent="0.25">
      <c r="A101">
        <v>99</v>
      </c>
      <c r="C101" t="s">
        <v>8</v>
      </c>
      <c r="D101" s="4" t="s">
        <v>104</v>
      </c>
      <c r="E101" s="5">
        <v>1606</v>
      </c>
      <c r="F101" s="5">
        <v>1606</v>
      </c>
      <c r="G101" s="6">
        <f t="shared" si="30"/>
        <v>0</v>
      </c>
      <c r="H101" s="7">
        <f t="shared" si="31"/>
        <v>0</v>
      </c>
      <c r="I101" s="8">
        <v>2655.2076759061838</v>
      </c>
      <c r="J101" s="9">
        <v>2656</v>
      </c>
      <c r="K101" s="3">
        <f t="shared" si="32"/>
        <v>0.79232409381620528</v>
      </c>
      <c r="L101" s="7">
        <f t="shared" si="33"/>
        <v>2.9840381263051169E-4</v>
      </c>
      <c r="M101" t="s">
        <v>7</v>
      </c>
      <c r="O101" s="3">
        <f>E101-'315805 - P0824'!F101</f>
        <v>-14</v>
      </c>
      <c r="P101" s="30">
        <f>I101-'315805 - P0824'!J101</f>
        <v>-23.146268656716529</v>
      </c>
    </row>
    <row r="102" spans="1:16" x14ac:dyDescent="0.25">
      <c r="A102">
        <v>100</v>
      </c>
      <c r="D102" s="34" t="s">
        <v>105</v>
      </c>
      <c r="H102" s="10">
        <f>AVERAGE(H93:H101)</f>
        <v>-5.074802058720216E-3</v>
      </c>
      <c r="I102"/>
      <c r="L102" s="10">
        <f>AVERAGE(L93:L101)</f>
        <v>7.3119648682281528E-4</v>
      </c>
    </row>
    <row r="103" spans="1:16" x14ac:dyDescent="0.25">
      <c r="A103">
        <v>101</v>
      </c>
      <c r="D103" s="34" t="s">
        <v>106</v>
      </c>
      <c r="G103" s="6"/>
      <c r="H103" s="7"/>
      <c r="I103"/>
      <c r="M103" t="s">
        <v>106</v>
      </c>
    </row>
    <row r="104" spans="1:16" x14ac:dyDescent="0.25">
      <c r="A104">
        <v>102</v>
      </c>
      <c r="C104" t="s">
        <v>8</v>
      </c>
      <c r="D104" s="4" t="s">
        <v>107</v>
      </c>
      <c r="E104" s="5">
        <v>36</v>
      </c>
      <c r="F104" s="5">
        <v>36</v>
      </c>
      <c r="G104" s="6">
        <f t="shared" ref="G104:G115" si="35">+F104-E104</f>
        <v>0</v>
      </c>
      <c r="H104" s="7">
        <f t="shared" ref="H104:H115" si="36">(F104-E104)/ABS(E104)</f>
        <v>0</v>
      </c>
      <c r="I104" s="8">
        <v>85.406538115384606</v>
      </c>
      <c r="J104" s="9">
        <f t="shared" ref="J104:J115" si="37">(I104*H104)+I104</f>
        <v>85.406538115384606</v>
      </c>
      <c r="K104" s="3">
        <f t="shared" ref="K104:K115" si="38">J104-I104</f>
        <v>0</v>
      </c>
      <c r="L104" s="7">
        <f t="shared" ref="L104:L115" si="39">(J104-I104)/ABS(I104)</f>
        <v>0</v>
      </c>
      <c r="M104" t="s">
        <v>106</v>
      </c>
      <c r="O104" s="3">
        <f>E104-'315805 - P0824'!F104</f>
        <v>0</v>
      </c>
      <c r="P104" s="30">
        <f>I104-'315805 - P0824'!J104</f>
        <v>0</v>
      </c>
    </row>
    <row r="105" spans="1:16" x14ac:dyDescent="0.25">
      <c r="A105">
        <v>103</v>
      </c>
      <c r="C105" t="s">
        <v>8</v>
      </c>
      <c r="D105" s="4" t="s">
        <v>108</v>
      </c>
      <c r="E105" s="5">
        <v>42</v>
      </c>
      <c r="F105" s="5">
        <v>42</v>
      </c>
      <c r="G105" s="6">
        <f t="shared" si="35"/>
        <v>0</v>
      </c>
      <c r="H105" s="7">
        <f t="shared" si="36"/>
        <v>0</v>
      </c>
      <c r="I105" s="8">
        <v>80.176901208617949</v>
      </c>
      <c r="J105" s="9">
        <f t="shared" si="37"/>
        <v>80.176901208617949</v>
      </c>
      <c r="K105" s="3">
        <f>J105-I105</f>
        <v>0</v>
      </c>
      <c r="L105" s="7">
        <f>(J105-I105)/ABS(I105)</f>
        <v>0</v>
      </c>
      <c r="M105" t="s">
        <v>106</v>
      </c>
      <c r="O105" s="3">
        <f>E105-'315805 - P0824'!F105</f>
        <v>0</v>
      </c>
      <c r="P105" s="30">
        <f>I105-'315805 - P0824'!J105</f>
        <v>0</v>
      </c>
    </row>
    <row r="106" spans="1:16" x14ac:dyDescent="0.25">
      <c r="A106">
        <v>104</v>
      </c>
      <c r="C106" t="s">
        <v>8</v>
      </c>
      <c r="D106" s="4" t="s">
        <v>109</v>
      </c>
      <c r="E106" s="12">
        <v>3.19</v>
      </c>
      <c r="F106" s="12">
        <v>3.19</v>
      </c>
      <c r="G106" s="6">
        <f t="shared" si="35"/>
        <v>0</v>
      </c>
      <c r="H106" s="7">
        <f t="shared" si="36"/>
        <v>0</v>
      </c>
      <c r="I106" s="8">
        <v>3.8745328209552197</v>
      </c>
      <c r="J106" s="9">
        <f t="shared" si="37"/>
        <v>3.8745328209552197</v>
      </c>
      <c r="K106" s="3">
        <f t="shared" si="38"/>
        <v>0</v>
      </c>
      <c r="L106" s="7">
        <f t="shared" si="39"/>
        <v>0</v>
      </c>
      <c r="M106" t="s">
        <v>106</v>
      </c>
      <c r="O106" s="3">
        <f>E106-'315805 - P0824'!F106</f>
        <v>0</v>
      </c>
      <c r="P106" s="30">
        <f>I106-'315805 - P0824'!J106</f>
        <v>0</v>
      </c>
    </row>
    <row r="107" spans="1:16" x14ac:dyDescent="0.25">
      <c r="A107">
        <v>105</v>
      </c>
      <c r="C107" t="s">
        <v>8</v>
      </c>
      <c r="D107" s="4" t="s">
        <v>110</v>
      </c>
      <c r="E107" s="12">
        <v>3.48</v>
      </c>
      <c r="F107" s="12">
        <v>3.48</v>
      </c>
      <c r="G107" s="6">
        <f t="shared" si="35"/>
        <v>0</v>
      </c>
      <c r="H107" s="7">
        <f t="shared" si="36"/>
        <v>0</v>
      </c>
      <c r="I107" s="8">
        <v>4.0655928193903108</v>
      </c>
      <c r="J107" s="9">
        <f t="shared" si="37"/>
        <v>4.0655928193903108</v>
      </c>
      <c r="K107" s="3">
        <f t="shared" si="38"/>
        <v>0</v>
      </c>
      <c r="L107" s="7">
        <f t="shared" si="39"/>
        <v>0</v>
      </c>
      <c r="M107" t="s">
        <v>106</v>
      </c>
      <c r="O107" s="3">
        <f>E107-'315805 - P0824'!F107</f>
        <v>0</v>
      </c>
      <c r="P107" s="30">
        <f>I107-'315805 - P0824'!J107</f>
        <v>0</v>
      </c>
    </row>
    <row r="108" spans="1:16" x14ac:dyDescent="0.25">
      <c r="A108">
        <v>106</v>
      </c>
      <c r="C108" t="s">
        <v>8</v>
      </c>
      <c r="D108" s="4" t="s">
        <v>111</v>
      </c>
      <c r="E108" s="12">
        <v>7.89</v>
      </c>
      <c r="F108" s="12">
        <v>7.89</v>
      </c>
      <c r="G108" s="6">
        <f t="shared" si="35"/>
        <v>0</v>
      </c>
      <c r="H108" s="7">
        <f t="shared" si="36"/>
        <v>0</v>
      </c>
      <c r="I108" s="8">
        <v>8.9203191080353719</v>
      </c>
      <c r="J108" s="9">
        <f t="shared" si="37"/>
        <v>8.9203191080353719</v>
      </c>
      <c r="K108" s="3">
        <f t="shared" si="38"/>
        <v>0</v>
      </c>
      <c r="L108" s="7">
        <f t="shared" si="39"/>
        <v>0</v>
      </c>
      <c r="M108" t="s">
        <v>106</v>
      </c>
      <c r="O108" s="3">
        <f>E108-'315805 - P0824'!F108</f>
        <v>0</v>
      </c>
      <c r="P108" s="30">
        <f>I108-'315805 - P0824'!J108</f>
        <v>0</v>
      </c>
    </row>
    <row r="109" spans="1:16" x14ac:dyDescent="0.25">
      <c r="A109">
        <v>107</v>
      </c>
      <c r="C109" t="s">
        <v>8</v>
      </c>
      <c r="D109" s="4" t="s">
        <v>112</v>
      </c>
      <c r="E109" s="12">
        <v>9.34</v>
      </c>
      <c r="F109" s="12">
        <v>9.34</v>
      </c>
      <c r="G109" s="6">
        <f t="shared" si="35"/>
        <v>0</v>
      </c>
      <c r="H109" s="7">
        <f t="shared" si="36"/>
        <v>0</v>
      </c>
      <c r="I109" s="8">
        <v>10.432893234927514</v>
      </c>
      <c r="J109" s="9">
        <f t="shared" si="37"/>
        <v>10.432893234927514</v>
      </c>
      <c r="K109" s="3">
        <f t="shared" si="38"/>
        <v>0</v>
      </c>
      <c r="L109" s="7">
        <f t="shared" si="39"/>
        <v>0</v>
      </c>
      <c r="M109" t="s">
        <v>106</v>
      </c>
      <c r="O109" s="3">
        <f>E109-'315805 - P0824'!F109</f>
        <v>0</v>
      </c>
      <c r="P109" s="30">
        <f>I109-'315805 - P0824'!J109</f>
        <v>0</v>
      </c>
    </row>
    <row r="110" spans="1:16" x14ac:dyDescent="0.25">
      <c r="A110">
        <v>108</v>
      </c>
      <c r="C110" t="s">
        <v>8</v>
      </c>
      <c r="D110" s="4" t="s">
        <v>113</v>
      </c>
      <c r="E110" s="12">
        <v>3.79</v>
      </c>
      <c r="F110" s="12">
        <v>3.79</v>
      </c>
      <c r="G110" s="6">
        <f t="shared" si="35"/>
        <v>0</v>
      </c>
      <c r="H110" s="7">
        <f t="shared" si="36"/>
        <v>0</v>
      </c>
      <c r="I110" s="8">
        <v>5.2944973572314407</v>
      </c>
      <c r="J110" s="9">
        <f t="shared" si="37"/>
        <v>5.2944973572314407</v>
      </c>
      <c r="K110" s="3">
        <f>J110-I110</f>
        <v>0</v>
      </c>
      <c r="L110" s="7">
        <f>(J110-I110)/ABS(I110)</f>
        <v>0</v>
      </c>
      <c r="M110" t="s">
        <v>106</v>
      </c>
      <c r="O110" s="3">
        <f>E110-'315805 - P0824'!F110</f>
        <v>0</v>
      </c>
      <c r="P110" s="30">
        <f>I110-'315805 - P0824'!J110</f>
        <v>0</v>
      </c>
    </row>
    <row r="111" spans="1:16" x14ac:dyDescent="0.25">
      <c r="A111">
        <v>109</v>
      </c>
      <c r="C111" t="s">
        <v>8</v>
      </c>
      <c r="D111" s="4" t="s">
        <v>114</v>
      </c>
      <c r="E111" s="12">
        <v>4.95</v>
      </c>
      <c r="F111" s="12">
        <v>4.95</v>
      </c>
      <c r="G111" s="6">
        <f t="shared" si="35"/>
        <v>0</v>
      </c>
      <c r="H111" s="7">
        <f t="shared" si="36"/>
        <v>0</v>
      </c>
      <c r="I111" s="8">
        <v>6.6523403553892901</v>
      </c>
      <c r="J111" s="9">
        <f t="shared" si="37"/>
        <v>6.6523403553892901</v>
      </c>
      <c r="K111" s="3">
        <f t="shared" si="38"/>
        <v>0</v>
      </c>
      <c r="L111" s="7">
        <f t="shared" si="39"/>
        <v>0</v>
      </c>
      <c r="M111" t="s">
        <v>106</v>
      </c>
      <c r="O111" s="3">
        <f>E111-'315805 - P0824'!F111</f>
        <v>0</v>
      </c>
      <c r="P111" s="30">
        <f>I111-'315805 - P0824'!J111</f>
        <v>0</v>
      </c>
    </row>
    <row r="112" spans="1:16" x14ac:dyDescent="0.25">
      <c r="A112">
        <v>110</v>
      </c>
      <c r="C112" t="s">
        <v>8</v>
      </c>
      <c r="D112" s="4" t="s">
        <v>115</v>
      </c>
      <c r="E112" s="12">
        <v>6.16</v>
      </c>
      <c r="F112" s="12">
        <v>6.16</v>
      </c>
      <c r="G112" s="6">
        <f t="shared" si="35"/>
        <v>0</v>
      </c>
      <c r="H112" s="7">
        <f t="shared" si="36"/>
        <v>0</v>
      </c>
      <c r="I112" s="8">
        <v>7.8767696532032376</v>
      </c>
      <c r="J112" s="9">
        <f t="shared" si="37"/>
        <v>7.8767696532032376</v>
      </c>
      <c r="K112" s="3">
        <f t="shared" si="38"/>
        <v>0</v>
      </c>
      <c r="L112" s="7">
        <f t="shared" si="39"/>
        <v>0</v>
      </c>
      <c r="M112" t="s">
        <v>106</v>
      </c>
      <c r="O112" s="3">
        <f>E112-'315805 - P0824'!F112</f>
        <v>0</v>
      </c>
      <c r="P112" s="30">
        <f>I112-'315805 - P0824'!J112</f>
        <v>0</v>
      </c>
    </row>
    <row r="113" spans="1:16" x14ac:dyDescent="0.25">
      <c r="A113">
        <v>111</v>
      </c>
      <c r="C113" t="s">
        <v>8</v>
      </c>
      <c r="D113" s="4" t="s">
        <v>116</v>
      </c>
      <c r="E113" s="12">
        <v>7.33</v>
      </c>
      <c r="F113" s="12">
        <v>7.33</v>
      </c>
      <c r="G113" s="6">
        <f t="shared" si="35"/>
        <v>0</v>
      </c>
      <c r="H113" s="7">
        <f t="shared" si="36"/>
        <v>0</v>
      </c>
      <c r="I113" s="8">
        <v>9.6975016766020872</v>
      </c>
      <c r="J113" s="9">
        <f t="shared" si="37"/>
        <v>9.6975016766020872</v>
      </c>
      <c r="K113" s="3">
        <f t="shared" si="38"/>
        <v>0</v>
      </c>
      <c r="L113" s="7">
        <f t="shared" si="39"/>
        <v>0</v>
      </c>
      <c r="M113" t="s">
        <v>106</v>
      </c>
      <c r="O113" s="3">
        <f>E113-'315805 - P0824'!F113</f>
        <v>0</v>
      </c>
      <c r="P113" s="30">
        <f>I113-'315805 - P0824'!J113</f>
        <v>0</v>
      </c>
    </row>
    <row r="114" spans="1:16" x14ac:dyDescent="0.25">
      <c r="A114">
        <v>112</v>
      </c>
      <c r="C114" t="s">
        <v>8</v>
      </c>
      <c r="D114" s="4" t="s">
        <v>117</v>
      </c>
      <c r="E114" s="12">
        <v>8.39</v>
      </c>
      <c r="F114" s="12">
        <v>8.39</v>
      </c>
      <c r="G114" s="6">
        <f t="shared" si="35"/>
        <v>0</v>
      </c>
      <c r="H114" s="7">
        <f t="shared" si="36"/>
        <v>0</v>
      </c>
      <c r="I114" s="8">
        <v>9.9493819659061415</v>
      </c>
      <c r="J114" s="9">
        <f t="shared" si="37"/>
        <v>9.9493819659061415</v>
      </c>
      <c r="K114" s="3">
        <f t="shared" si="38"/>
        <v>0</v>
      </c>
      <c r="L114" s="7">
        <f t="shared" si="39"/>
        <v>0</v>
      </c>
      <c r="M114" t="s">
        <v>106</v>
      </c>
      <c r="O114" s="3">
        <f>E114-'315805 - P0824'!F114</f>
        <v>0</v>
      </c>
      <c r="P114" s="30">
        <f>I114-'315805 - P0824'!J114</f>
        <v>0</v>
      </c>
    </row>
    <row r="115" spans="1:16" x14ac:dyDescent="0.25">
      <c r="A115">
        <v>113</v>
      </c>
      <c r="C115" t="s">
        <v>8</v>
      </c>
      <c r="D115" s="4" t="s">
        <v>118</v>
      </c>
      <c r="E115" s="12">
        <v>9.39</v>
      </c>
      <c r="F115" s="12">
        <v>9.39</v>
      </c>
      <c r="G115" s="6">
        <f t="shared" si="35"/>
        <v>0</v>
      </c>
      <c r="H115" s="7">
        <f t="shared" si="36"/>
        <v>0</v>
      </c>
      <c r="I115" s="8">
        <v>11.783981312354875</v>
      </c>
      <c r="J115" s="9">
        <f t="shared" si="37"/>
        <v>11.783981312354875</v>
      </c>
      <c r="K115" s="3">
        <f t="shared" si="38"/>
        <v>0</v>
      </c>
      <c r="L115" s="7">
        <f t="shared" si="39"/>
        <v>0</v>
      </c>
      <c r="M115" t="s">
        <v>106</v>
      </c>
      <c r="O115" s="3">
        <f>E115-'315805 - P0824'!F115</f>
        <v>0</v>
      </c>
      <c r="P115" s="30">
        <f>I115-'315805 - P0824'!J115</f>
        <v>0</v>
      </c>
    </row>
    <row r="116" spans="1:16" x14ac:dyDescent="0.25">
      <c r="A116">
        <v>114</v>
      </c>
      <c r="D116" s="34" t="s">
        <v>119</v>
      </c>
      <c r="H116" s="10">
        <f>AVERAGE(H104:H115)</f>
        <v>0</v>
      </c>
      <c r="I116"/>
      <c r="L116" s="10">
        <f>AVERAGE(L104:L115)</f>
        <v>0</v>
      </c>
    </row>
    <row r="117" spans="1:16" x14ac:dyDescent="0.25">
      <c r="A117">
        <v>115</v>
      </c>
      <c r="D117" s="34" t="s">
        <v>120</v>
      </c>
      <c r="I117"/>
      <c r="M117" t="s">
        <v>121</v>
      </c>
    </row>
    <row r="118" spans="1:16" x14ac:dyDescent="0.25">
      <c r="A118">
        <v>116</v>
      </c>
      <c r="C118" t="s">
        <v>8</v>
      </c>
      <c r="D118" s="4" t="s">
        <v>456</v>
      </c>
      <c r="E118" s="12">
        <v>6.3</v>
      </c>
      <c r="F118" s="12">
        <v>6.3</v>
      </c>
      <c r="G118" s="13">
        <f t="shared" ref="G118:G153" si="40">+F118-E118</f>
        <v>0</v>
      </c>
      <c r="H118" s="7">
        <f t="shared" ref="H118:H155" si="41">(F118-E118)/ABS(E118)</f>
        <v>0</v>
      </c>
      <c r="I118" s="8">
        <v>8.2214999999999989</v>
      </c>
      <c r="J118" s="9">
        <f t="shared" ref="J118:J155" si="42">(I118*H118)+I118</f>
        <v>8.2214999999999989</v>
      </c>
      <c r="K118" s="3">
        <f t="shared" ref="K118:K155" si="43">J118-I118</f>
        <v>0</v>
      </c>
      <c r="L118" s="7">
        <f t="shared" ref="L118:L155" si="44">(J118-I118)/ABS(I118)</f>
        <v>0</v>
      </c>
      <c r="M118" t="s">
        <v>121</v>
      </c>
      <c r="O118" s="3">
        <f>E118-'315805 - P0824'!F118</f>
        <v>0</v>
      </c>
      <c r="P118" s="30">
        <f>I118-'315805 - P0824'!J118</f>
        <v>0</v>
      </c>
    </row>
    <row r="119" spans="1:16" x14ac:dyDescent="0.25">
      <c r="A119">
        <v>117</v>
      </c>
      <c r="C119" t="s">
        <v>8</v>
      </c>
      <c r="D119" s="4" t="s">
        <v>457</v>
      </c>
      <c r="E119" s="12">
        <v>6.93</v>
      </c>
      <c r="F119" s="12">
        <v>6.93</v>
      </c>
      <c r="G119" s="13">
        <f t="shared" si="40"/>
        <v>0</v>
      </c>
      <c r="H119" s="7">
        <f t="shared" si="41"/>
        <v>0</v>
      </c>
      <c r="I119" s="8">
        <v>8.9245000000000001</v>
      </c>
      <c r="J119" s="9">
        <f t="shared" si="42"/>
        <v>8.9245000000000001</v>
      </c>
      <c r="K119" s="3">
        <f t="shared" si="43"/>
        <v>0</v>
      </c>
      <c r="L119" s="7">
        <f t="shared" si="44"/>
        <v>0</v>
      </c>
      <c r="M119" t="s">
        <v>121</v>
      </c>
      <c r="O119" s="3">
        <f>E119-'315805 - P0824'!F119</f>
        <v>0</v>
      </c>
      <c r="P119" s="30">
        <f>I119-'315805 - P0824'!J119</f>
        <v>0</v>
      </c>
    </row>
    <row r="120" spans="1:16" x14ac:dyDescent="0.25">
      <c r="A120">
        <v>118</v>
      </c>
      <c r="C120" t="s">
        <v>8</v>
      </c>
      <c r="D120" s="4" t="s">
        <v>458</v>
      </c>
      <c r="E120" s="12">
        <v>7.98</v>
      </c>
      <c r="F120" s="12">
        <v>7.98</v>
      </c>
      <c r="G120" s="13">
        <f t="shared" si="40"/>
        <v>0</v>
      </c>
      <c r="H120" s="7">
        <f t="shared" si="41"/>
        <v>0</v>
      </c>
      <c r="I120" s="8">
        <v>10.762500000000001</v>
      </c>
      <c r="J120" s="9">
        <f t="shared" si="42"/>
        <v>10.762500000000001</v>
      </c>
      <c r="K120" s="3">
        <f t="shared" si="43"/>
        <v>0</v>
      </c>
      <c r="L120" s="7">
        <f t="shared" si="44"/>
        <v>0</v>
      </c>
      <c r="M120" t="s">
        <v>121</v>
      </c>
      <c r="O120" s="3">
        <f>E120-'315805 - P0824'!F120</f>
        <v>0</v>
      </c>
      <c r="P120" s="30">
        <f>I120-'315805 - P0824'!J120</f>
        <v>0</v>
      </c>
    </row>
    <row r="121" spans="1:16" x14ac:dyDescent="0.25">
      <c r="A121">
        <v>119</v>
      </c>
      <c r="C121" t="s">
        <v>8</v>
      </c>
      <c r="D121" s="4" t="s">
        <v>460</v>
      </c>
      <c r="E121" s="12">
        <v>10.08</v>
      </c>
      <c r="F121" s="12">
        <v>10.08</v>
      </c>
      <c r="G121" s="6">
        <f t="shared" si="40"/>
        <v>0</v>
      </c>
      <c r="H121" s="7">
        <f t="shared" si="41"/>
        <v>0</v>
      </c>
      <c r="I121" s="8">
        <v>14.563499999999999</v>
      </c>
      <c r="J121" s="9">
        <f t="shared" si="42"/>
        <v>14.563499999999999</v>
      </c>
      <c r="K121" s="3">
        <f t="shared" si="43"/>
        <v>0</v>
      </c>
      <c r="L121" s="7">
        <f t="shared" si="44"/>
        <v>0</v>
      </c>
      <c r="M121" t="s">
        <v>121</v>
      </c>
      <c r="O121" s="3">
        <f>E121-'315805 - P0824'!F121</f>
        <v>0</v>
      </c>
      <c r="P121" s="30">
        <f>I121-'315805 - P0824'!J121</f>
        <v>0</v>
      </c>
    </row>
    <row r="122" spans="1:16" x14ac:dyDescent="0.25">
      <c r="A122">
        <v>120</v>
      </c>
      <c r="C122" t="s">
        <v>8</v>
      </c>
      <c r="D122" s="4" t="s">
        <v>459</v>
      </c>
      <c r="E122" s="14">
        <v>26.88</v>
      </c>
      <c r="F122" s="14">
        <v>26.88</v>
      </c>
      <c r="G122" s="6">
        <f t="shared" si="40"/>
        <v>0</v>
      </c>
      <c r="H122" s="7">
        <f t="shared" si="41"/>
        <v>0</v>
      </c>
      <c r="I122" s="8">
        <v>39.973499999999994</v>
      </c>
      <c r="J122" s="9">
        <f t="shared" si="42"/>
        <v>39.973499999999994</v>
      </c>
      <c r="K122" s="3">
        <f t="shared" si="43"/>
        <v>0</v>
      </c>
      <c r="L122" s="7">
        <f t="shared" si="44"/>
        <v>0</v>
      </c>
      <c r="M122" t="s">
        <v>121</v>
      </c>
      <c r="O122" s="3">
        <f>E122-'315805 - P0824'!F122</f>
        <v>0</v>
      </c>
      <c r="P122" s="30">
        <f>I122-'315805 - P0824'!J122</f>
        <v>0</v>
      </c>
    </row>
    <row r="123" spans="1:16" x14ac:dyDescent="0.25">
      <c r="A123">
        <v>121</v>
      </c>
      <c r="C123" t="s">
        <v>8</v>
      </c>
      <c r="D123" s="4" t="s">
        <v>122</v>
      </c>
      <c r="E123" s="12">
        <v>6.25</v>
      </c>
      <c r="F123" s="12">
        <v>6.25</v>
      </c>
      <c r="G123" s="6">
        <f t="shared" si="40"/>
        <v>0</v>
      </c>
      <c r="H123" s="7">
        <f t="shared" si="41"/>
        <v>0</v>
      </c>
      <c r="I123" s="8">
        <v>6.930903510039002</v>
      </c>
      <c r="J123" s="9">
        <f t="shared" si="42"/>
        <v>6.930903510039002</v>
      </c>
      <c r="K123" s="3">
        <f t="shared" si="43"/>
        <v>0</v>
      </c>
      <c r="L123" s="7">
        <f t="shared" si="44"/>
        <v>0</v>
      </c>
      <c r="M123" t="s">
        <v>121</v>
      </c>
      <c r="O123" s="3">
        <f>E123-'315805 - P0824'!F123</f>
        <v>0</v>
      </c>
      <c r="P123" s="30">
        <f>I123-'315805 - P0824'!J123</f>
        <v>0</v>
      </c>
    </row>
    <row r="124" spans="1:16" x14ac:dyDescent="0.25">
      <c r="A124">
        <v>122</v>
      </c>
      <c r="C124" t="s">
        <v>8</v>
      </c>
      <c r="D124" s="4" t="s">
        <v>123</v>
      </c>
      <c r="E124" s="12">
        <v>8.6300000000000008</v>
      </c>
      <c r="F124" s="12">
        <v>8.6300000000000008</v>
      </c>
      <c r="G124" s="13">
        <f t="shared" si="40"/>
        <v>0</v>
      </c>
      <c r="H124" s="7">
        <f t="shared" si="41"/>
        <v>0</v>
      </c>
      <c r="I124" s="8">
        <v>8.7073886883273168</v>
      </c>
      <c r="J124" s="9">
        <f t="shared" si="42"/>
        <v>8.7073886883273168</v>
      </c>
      <c r="K124" s="3">
        <f t="shared" si="43"/>
        <v>0</v>
      </c>
      <c r="L124" s="7">
        <f t="shared" si="44"/>
        <v>0</v>
      </c>
      <c r="M124" t="s">
        <v>121</v>
      </c>
      <c r="O124" s="3">
        <f>E124-'315805 - P0824'!F124</f>
        <v>0</v>
      </c>
      <c r="P124" s="30">
        <f>I124-'315805 - P0824'!J124</f>
        <v>0</v>
      </c>
    </row>
    <row r="125" spans="1:16" x14ac:dyDescent="0.25">
      <c r="A125">
        <v>123</v>
      </c>
      <c r="C125" t="s">
        <v>8</v>
      </c>
      <c r="D125" s="4" t="s">
        <v>124</v>
      </c>
      <c r="E125" s="12">
        <v>9.82</v>
      </c>
      <c r="F125" s="12">
        <v>9.82</v>
      </c>
      <c r="G125" s="13">
        <f t="shared" si="40"/>
        <v>0</v>
      </c>
      <c r="H125" s="7">
        <f t="shared" si="41"/>
        <v>0</v>
      </c>
      <c r="I125" s="8">
        <v>10.822370370370372</v>
      </c>
      <c r="J125" s="9">
        <f t="shared" si="42"/>
        <v>10.822370370370372</v>
      </c>
      <c r="K125" s="3">
        <f t="shared" si="43"/>
        <v>0</v>
      </c>
      <c r="L125" s="7">
        <f t="shared" si="44"/>
        <v>0</v>
      </c>
      <c r="M125" t="s">
        <v>121</v>
      </c>
      <c r="O125" s="3">
        <f>E125-'315805 - P0824'!F125</f>
        <v>0</v>
      </c>
      <c r="P125" s="30">
        <f>I125-'315805 - P0824'!J125</f>
        <v>0</v>
      </c>
    </row>
    <row r="126" spans="1:16" x14ac:dyDescent="0.25">
      <c r="A126">
        <v>124</v>
      </c>
      <c r="C126" t="s">
        <v>8</v>
      </c>
      <c r="D126" s="4" t="s">
        <v>125</v>
      </c>
      <c r="E126" s="12">
        <v>11.01</v>
      </c>
      <c r="F126" s="12">
        <v>11.01</v>
      </c>
      <c r="G126" s="13">
        <f t="shared" si="40"/>
        <v>0</v>
      </c>
      <c r="H126" s="7">
        <f t="shared" si="41"/>
        <v>0</v>
      </c>
      <c r="I126" s="8">
        <v>12.518858490566037</v>
      </c>
      <c r="J126" s="9">
        <f t="shared" si="42"/>
        <v>12.518858490566037</v>
      </c>
      <c r="K126" s="3">
        <f t="shared" si="43"/>
        <v>0</v>
      </c>
      <c r="L126" s="7">
        <f t="shared" si="44"/>
        <v>0</v>
      </c>
      <c r="M126" t="s">
        <v>121</v>
      </c>
      <c r="O126" s="3">
        <f>E126-'315805 - P0824'!F126</f>
        <v>0</v>
      </c>
      <c r="P126" s="30">
        <f>I126-'315805 - P0824'!J126</f>
        <v>0</v>
      </c>
    </row>
    <row r="127" spans="1:16" x14ac:dyDescent="0.25">
      <c r="A127">
        <v>125</v>
      </c>
      <c r="C127" t="s">
        <v>8</v>
      </c>
      <c r="D127" s="4" t="s">
        <v>126</v>
      </c>
      <c r="E127" s="12">
        <v>12.13</v>
      </c>
      <c r="F127" s="12">
        <v>12.13</v>
      </c>
      <c r="G127" s="6">
        <f t="shared" si="40"/>
        <v>0</v>
      </c>
      <c r="H127" s="7">
        <f t="shared" si="41"/>
        <v>0</v>
      </c>
      <c r="I127" s="8">
        <v>13.092551369863015</v>
      </c>
      <c r="J127" s="9">
        <f t="shared" si="42"/>
        <v>13.092551369863015</v>
      </c>
      <c r="K127" s="3">
        <f t="shared" si="43"/>
        <v>0</v>
      </c>
      <c r="L127" s="7">
        <f t="shared" si="44"/>
        <v>0</v>
      </c>
      <c r="M127" t="s">
        <v>121</v>
      </c>
      <c r="O127" s="3">
        <f>E127-'315805 - P0824'!F127</f>
        <v>0</v>
      </c>
      <c r="P127" s="30">
        <f>I127-'315805 - P0824'!J127</f>
        <v>0</v>
      </c>
    </row>
    <row r="128" spans="1:16" x14ac:dyDescent="0.25">
      <c r="A128">
        <v>126</v>
      </c>
      <c r="C128" t="s">
        <v>8</v>
      </c>
      <c r="D128" s="4" t="s">
        <v>127</v>
      </c>
      <c r="E128" s="12">
        <v>16.18</v>
      </c>
      <c r="F128" s="12">
        <v>16.18</v>
      </c>
      <c r="G128" s="6">
        <f t="shared" si="40"/>
        <v>0</v>
      </c>
      <c r="H128" s="7">
        <f t="shared" si="41"/>
        <v>0</v>
      </c>
      <c r="I128" s="8">
        <v>18.131712053429638</v>
      </c>
      <c r="J128" s="9">
        <f t="shared" si="42"/>
        <v>18.131712053429638</v>
      </c>
      <c r="K128" s="3">
        <f t="shared" si="43"/>
        <v>0</v>
      </c>
      <c r="L128" s="7">
        <f t="shared" si="44"/>
        <v>0</v>
      </c>
      <c r="M128" t="s">
        <v>121</v>
      </c>
      <c r="O128" s="3">
        <f>E128-'315805 - P0824'!F128</f>
        <v>0</v>
      </c>
      <c r="P128" s="30">
        <f>I128-'315805 - P0824'!J128</f>
        <v>0</v>
      </c>
    </row>
    <row r="129" spans="1:16" x14ac:dyDescent="0.25">
      <c r="A129">
        <v>127</v>
      </c>
      <c r="C129" t="s">
        <v>8</v>
      </c>
      <c r="D129" s="4" t="s">
        <v>128</v>
      </c>
      <c r="E129" s="12">
        <v>7.18</v>
      </c>
      <c r="F129" s="12">
        <v>7.18</v>
      </c>
      <c r="G129" s="6">
        <f t="shared" si="40"/>
        <v>0</v>
      </c>
      <c r="H129" s="7">
        <f t="shared" si="41"/>
        <v>0</v>
      </c>
      <c r="I129" s="8">
        <v>8.8881221902017273</v>
      </c>
      <c r="J129" s="9">
        <f t="shared" si="42"/>
        <v>8.8881221902017273</v>
      </c>
      <c r="K129" s="3">
        <f t="shared" si="43"/>
        <v>0</v>
      </c>
      <c r="L129" s="7">
        <f t="shared" si="44"/>
        <v>0</v>
      </c>
      <c r="M129" t="s">
        <v>121</v>
      </c>
      <c r="O129" s="3">
        <f>E129-'315805 - P0824'!F129</f>
        <v>0</v>
      </c>
      <c r="P129" s="30">
        <f>I129-'315805 - P0824'!J129</f>
        <v>0</v>
      </c>
    </row>
    <row r="130" spans="1:16" x14ac:dyDescent="0.25">
      <c r="A130">
        <v>128</v>
      </c>
      <c r="C130" t="s">
        <v>8</v>
      </c>
      <c r="D130" s="22" t="s">
        <v>504</v>
      </c>
      <c r="E130" s="12">
        <v>7.18</v>
      </c>
      <c r="F130" s="12">
        <v>7.18</v>
      </c>
      <c r="G130" s="6">
        <f t="shared" si="40"/>
        <v>0</v>
      </c>
      <c r="H130" s="7">
        <f t="shared" si="41"/>
        <v>0</v>
      </c>
      <c r="I130" s="8">
        <v>8.8881221902017273</v>
      </c>
      <c r="J130" s="9">
        <f t="shared" si="42"/>
        <v>8.8881221902017273</v>
      </c>
      <c r="K130" s="3">
        <f t="shared" si="43"/>
        <v>0</v>
      </c>
      <c r="L130" s="7">
        <f t="shared" si="44"/>
        <v>0</v>
      </c>
      <c r="M130" t="s">
        <v>121</v>
      </c>
      <c r="O130" s="3">
        <f>E130-'315805 - P0824'!F130</f>
        <v>0</v>
      </c>
      <c r="P130" s="30">
        <f>I130-'315805 - P0824'!J130</f>
        <v>0</v>
      </c>
    </row>
    <row r="131" spans="1:16" x14ac:dyDescent="0.25">
      <c r="A131">
        <v>129</v>
      </c>
      <c r="C131" t="s">
        <v>8</v>
      </c>
      <c r="D131" s="4" t="s">
        <v>129</v>
      </c>
      <c r="E131" s="12">
        <v>31.782399999999999</v>
      </c>
      <c r="F131" s="12">
        <v>31.782399999999999</v>
      </c>
      <c r="G131" s="6">
        <f t="shared" si="40"/>
        <v>0</v>
      </c>
      <c r="H131" s="7">
        <f t="shared" si="41"/>
        <v>0</v>
      </c>
      <c r="I131" s="8">
        <v>42.795999999999999</v>
      </c>
      <c r="J131" s="9">
        <f t="shared" si="42"/>
        <v>42.795999999999999</v>
      </c>
      <c r="K131" s="3">
        <f t="shared" si="43"/>
        <v>0</v>
      </c>
      <c r="L131" s="7">
        <f t="shared" si="44"/>
        <v>0</v>
      </c>
      <c r="M131" t="s">
        <v>121</v>
      </c>
      <c r="O131" s="3">
        <f>E131-'315805 - P0824'!F131</f>
        <v>0</v>
      </c>
      <c r="P131" s="30">
        <f>I131-'315805 - P0824'!J131</f>
        <v>0</v>
      </c>
    </row>
    <row r="132" spans="1:16" x14ac:dyDescent="0.25">
      <c r="A132">
        <v>130</v>
      </c>
      <c r="C132" t="s">
        <v>8</v>
      </c>
      <c r="D132" s="4" t="s">
        <v>130</v>
      </c>
      <c r="E132" s="14">
        <v>38.08</v>
      </c>
      <c r="F132" s="14">
        <v>38.08</v>
      </c>
      <c r="G132" s="6">
        <f t="shared" si="40"/>
        <v>0</v>
      </c>
      <c r="H132" s="7">
        <f t="shared" si="41"/>
        <v>0</v>
      </c>
      <c r="I132" s="8">
        <v>43.505252249795468</v>
      </c>
      <c r="J132" s="9">
        <f t="shared" si="42"/>
        <v>43.505252249795468</v>
      </c>
      <c r="K132" s="3">
        <f t="shared" si="43"/>
        <v>0</v>
      </c>
      <c r="L132" s="7">
        <f t="shared" si="44"/>
        <v>0</v>
      </c>
      <c r="M132" t="s">
        <v>121</v>
      </c>
      <c r="O132" s="3">
        <f>E132-'315805 - P0824'!F132</f>
        <v>0</v>
      </c>
      <c r="P132" s="30">
        <f>I132-'315805 - P0824'!J132</f>
        <v>0</v>
      </c>
    </row>
    <row r="133" spans="1:16" x14ac:dyDescent="0.25">
      <c r="A133">
        <v>131</v>
      </c>
      <c r="C133" t="s">
        <v>8</v>
      </c>
      <c r="D133" s="4" t="s">
        <v>131</v>
      </c>
      <c r="E133" s="14">
        <v>38.08</v>
      </c>
      <c r="F133" s="14">
        <v>38.08</v>
      </c>
      <c r="G133" s="6">
        <f t="shared" si="40"/>
        <v>0</v>
      </c>
      <c r="H133" s="7">
        <f t="shared" si="41"/>
        <v>0</v>
      </c>
      <c r="I133" s="8">
        <v>57.541818816471228</v>
      </c>
      <c r="J133" s="9">
        <f t="shared" si="42"/>
        <v>57.541818816471228</v>
      </c>
      <c r="K133" s="3">
        <f t="shared" si="43"/>
        <v>0</v>
      </c>
      <c r="L133" s="7">
        <f t="shared" si="44"/>
        <v>0</v>
      </c>
      <c r="M133" t="s">
        <v>121</v>
      </c>
      <c r="O133" s="3">
        <f>E133-'315805 - P0824'!F133</f>
        <v>0</v>
      </c>
      <c r="P133" s="30">
        <f>I133-'315805 - P0824'!J133</f>
        <v>0</v>
      </c>
    </row>
    <row r="134" spans="1:16" x14ac:dyDescent="0.25">
      <c r="A134">
        <v>132</v>
      </c>
      <c r="C134" t="s">
        <v>8</v>
      </c>
      <c r="D134" s="4" t="s">
        <v>132</v>
      </c>
      <c r="E134" s="12">
        <v>15.8436</v>
      </c>
      <c r="F134" s="12">
        <v>15.8436</v>
      </c>
      <c r="G134" s="6">
        <f t="shared" si="40"/>
        <v>0</v>
      </c>
      <c r="H134" s="7">
        <f t="shared" si="41"/>
        <v>0</v>
      </c>
      <c r="I134" s="8">
        <v>19.584000000000003</v>
      </c>
      <c r="J134" s="9">
        <f t="shared" si="42"/>
        <v>19.584000000000003</v>
      </c>
      <c r="K134" s="3">
        <f t="shared" si="43"/>
        <v>0</v>
      </c>
      <c r="L134" s="7">
        <f t="shared" si="44"/>
        <v>0</v>
      </c>
      <c r="M134" t="s">
        <v>121</v>
      </c>
      <c r="O134" s="3">
        <f>E134-'315805 - P0824'!F134</f>
        <v>0</v>
      </c>
      <c r="P134" s="30">
        <f>I134-'315805 - P0824'!J134</f>
        <v>0</v>
      </c>
    </row>
    <row r="135" spans="1:16" x14ac:dyDescent="0.25">
      <c r="A135">
        <v>133</v>
      </c>
      <c r="C135" t="s">
        <v>8</v>
      </c>
      <c r="D135" s="4" t="s">
        <v>133</v>
      </c>
      <c r="E135" s="12">
        <v>36.493200000000002</v>
      </c>
      <c r="F135" s="12">
        <v>36.493200000000002</v>
      </c>
      <c r="G135" s="6">
        <f t="shared" si="40"/>
        <v>0</v>
      </c>
      <c r="H135" s="7">
        <f t="shared" si="41"/>
        <v>0</v>
      </c>
      <c r="I135" s="8">
        <v>43.51</v>
      </c>
      <c r="J135" s="9">
        <f t="shared" si="42"/>
        <v>43.51</v>
      </c>
      <c r="K135" s="3">
        <f t="shared" si="43"/>
        <v>0</v>
      </c>
      <c r="L135" s="7">
        <f t="shared" si="44"/>
        <v>0</v>
      </c>
      <c r="M135" t="s">
        <v>121</v>
      </c>
      <c r="O135" s="3">
        <f>E135-'315805 - P0824'!F135</f>
        <v>0</v>
      </c>
      <c r="P135" s="30">
        <f>I135-'315805 - P0824'!J135</f>
        <v>0</v>
      </c>
    </row>
    <row r="136" spans="1:16" x14ac:dyDescent="0.25">
      <c r="A136">
        <v>134</v>
      </c>
      <c r="C136" t="s">
        <v>8</v>
      </c>
      <c r="D136" s="4" t="s">
        <v>134</v>
      </c>
      <c r="E136" s="12">
        <v>54.151200000000003</v>
      </c>
      <c r="F136" s="12">
        <v>54.151200000000003</v>
      </c>
      <c r="G136" s="6">
        <f t="shared" si="40"/>
        <v>0</v>
      </c>
      <c r="H136" s="7">
        <f t="shared" si="41"/>
        <v>0</v>
      </c>
      <c r="I136" s="8">
        <v>92.212972774869115</v>
      </c>
      <c r="J136" s="9">
        <f t="shared" si="42"/>
        <v>92.212972774869115</v>
      </c>
      <c r="K136" s="3">
        <f t="shared" si="43"/>
        <v>0</v>
      </c>
      <c r="L136" s="7">
        <f t="shared" si="44"/>
        <v>0</v>
      </c>
      <c r="M136" t="s">
        <v>121</v>
      </c>
      <c r="O136" s="3">
        <f>E136-'315805 - P0824'!F136</f>
        <v>0</v>
      </c>
      <c r="P136" s="30">
        <f>I136-'315805 - P0824'!J136</f>
        <v>0</v>
      </c>
    </row>
    <row r="137" spans="1:16" x14ac:dyDescent="0.25">
      <c r="A137">
        <v>135</v>
      </c>
      <c r="C137" t="s">
        <v>8</v>
      </c>
      <c r="D137" s="4" t="s">
        <v>135</v>
      </c>
      <c r="E137" s="12">
        <v>6.0588000000000006</v>
      </c>
      <c r="F137" s="12">
        <v>6.0588000000000006</v>
      </c>
      <c r="G137" s="6">
        <f t="shared" si="40"/>
        <v>0</v>
      </c>
      <c r="H137" s="7">
        <f t="shared" si="41"/>
        <v>0</v>
      </c>
      <c r="I137" s="8">
        <v>9.417600000000002</v>
      </c>
      <c r="J137" s="9">
        <f t="shared" si="42"/>
        <v>9.417600000000002</v>
      </c>
      <c r="K137" s="3">
        <f t="shared" si="43"/>
        <v>0</v>
      </c>
      <c r="L137" s="7">
        <f t="shared" si="44"/>
        <v>0</v>
      </c>
      <c r="M137" t="s">
        <v>121</v>
      </c>
      <c r="O137" s="3">
        <f>E137-'315805 - P0824'!F137</f>
        <v>0</v>
      </c>
      <c r="P137" s="30">
        <f>I137-'315805 - P0824'!J137</f>
        <v>0</v>
      </c>
    </row>
    <row r="138" spans="1:16" x14ac:dyDescent="0.25">
      <c r="A138">
        <v>136</v>
      </c>
      <c r="C138" t="s">
        <v>8</v>
      </c>
      <c r="D138" s="4" t="s">
        <v>136</v>
      </c>
      <c r="E138" s="12">
        <v>10.7028</v>
      </c>
      <c r="F138" s="12">
        <v>10.7028</v>
      </c>
      <c r="G138" s="6">
        <f t="shared" si="40"/>
        <v>0</v>
      </c>
      <c r="H138" s="7">
        <f t="shared" si="41"/>
        <v>0</v>
      </c>
      <c r="I138" s="8">
        <v>14.990400000000001</v>
      </c>
      <c r="J138" s="9">
        <f t="shared" si="42"/>
        <v>14.990400000000001</v>
      </c>
      <c r="K138" s="3">
        <f t="shared" si="43"/>
        <v>0</v>
      </c>
      <c r="L138" s="7">
        <f t="shared" si="44"/>
        <v>0</v>
      </c>
      <c r="M138" t="s">
        <v>121</v>
      </c>
      <c r="O138" s="3">
        <f>E138-'315805 - P0824'!F138</f>
        <v>0</v>
      </c>
      <c r="P138" s="30">
        <f>I138-'315805 - P0824'!J138</f>
        <v>0</v>
      </c>
    </row>
    <row r="139" spans="1:16" x14ac:dyDescent="0.25">
      <c r="A139">
        <v>137</v>
      </c>
      <c r="C139" t="s">
        <v>8</v>
      </c>
      <c r="D139" s="4" t="s">
        <v>137</v>
      </c>
      <c r="E139" s="12">
        <v>16.0488</v>
      </c>
      <c r="F139" s="12">
        <v>16.0488</v>
      </c>
      <c r="G139" s="6">
        <f t="shared" si="40"/>
        <v>0</v>
      </c>
      <c r="H139" s="7">
        <f t="shared" si="41"/>
        <v>0</v>
      </c>
      <c r="I139" s="8">
        <v>22.485600000000002</v>
      </c>
      <c r="J139" s="9">
        <f t="shared" si="42"/>
        <v>22.485600000000002</v>
      </c>
      <c r="K139" s="3">
        <f t="shared" si="43"/>
        <v>0</v>
      </c>
      <c r="L139" s="7">
        <f t="shared" si="44"/>
        <v>0</v>
      </c>
      <c r="M139" t="s">
        <v>121</v>
      </c>
      <c r="O139" s="3">
        <f>E139-'315805 - P0824'!F139</f>
        <v>0</v>
      </c>
      <c r="P139" s="30">
        <f>I139-'315805 - P0824'!J139</f>
        <v>0</v>
      </c>
    </row>
    <row r="140" spans="1:16" x14ac:dyDescent="0.25">
      <c r="A140">
        <v>138</v>
      </c>
      <c r="C140" t="s">
        <v>8</v>
      </c>
      <c r="D140" s="4" t="s">
        <v>138</v>
      </c>
      <c r="E140" s="12">
        <v>21.4056</v>
      </c>
      <c r="F140" s="12">
        <v>21.4056</v>
      </c>
      <c r="G140" s="6">
        <f t="shared" si="40"/>
        <v>0</v>
      </c>
      <c r="H140" s="7">
        <f t="shared" si="41"/>
        <v>0</v>
      </c>
      <c r="I140" s="8">
        <v>31.557599999999997</v>
      </c>
      <c r="J140" s="9">
        <f t="shared" si="42"/>
        <v>31.557599999999997</v>
      </c>
      <c r="K140" s="3">
        <f t="shared" si="43"/>
        <v>0</v>
      </c>
      <c r="L140" s="7">
        <f t="shared" si="44"/>
        <v>0</v>
      </c>
      <c r="M140" t="s">
        <v>121</v>
      </c>
      <c r="O140" s="3">
        <f>E140-'315805 - P0824'!F140</f>
        <v>0</v>
      </c>
      <c r="P140" s="30">
        <f>I140-'315805 - P0824'!J140</f>
        <v>0</v>
      </c>
    </row>
    <row r="141" spans="1:16" x14ac:dyDescent="0.25">
      <c r="A141">
        <v>139</v>
      </c>
      <c r="C141" t="s">
        <v>8</v>
      </c>
      <c r="D141" s="4" t="s">
        <v>139</v>
      </c>
      <c r="E141" s="12">
        <v>29.019600000000001</v>
      </c>
      <c r="F141" s="12">
        <v>29.019600000000001</v>
      </c>
      <c r="G141" s="6">
        <f>+F141-E141</f>
        <v>0</v>
      </c>
      <c r="H141" s="7">
        <f t="shared" si="41"/>
        <v>0</v>
      </c>
      <c r="I141" s="8">
        <v>45.165599999999998</v>
      </c>
      <c r="J141" s="9">
        <f t="shared" si="42"/>
        <v>45.165599999999998</v>
      </c>
      <c r="K141" s="3">
        <f t="shared" si="43"/>
        <v>0</v>
      </c>
      <c r="L141" s="7">
        <f t="shared" si="44"/>
        <v>0</v>
      </c>
      <c r="M141" t="s">
        <v>121</v>
      </c>
      <c r="O141" s="3">
        <f>E141-'315805 - P0824'!F141</f>
        <v>0</v>
      </c>
      <c r="P141" s="30">
        <f>I141-'315805 - P0824'!J141</f>
        <v>0</v>
      </c>
    </row>
    <row r="142" spans="1:16" x14ac:dyDescent="0.25">
      <c r="A142">
        <v>140</v>
      </c>
      <c r="C142" t="s">
        <v>8</v>
      </c>
      <c r="D142" s="4" t="s">
        <v>140</v>
      </c>
      <c r="E142" s="12">
        <v>34.819200000000002</v>
      </c>
      <c r="F142" s="12">
        <v>34.819200000000002</v>
      </c>
      <c r="G142" s="6">
        <f t="shared" si="40"/>
        <v>0</v>
      </c>
      <c r="H142" s="7">
        <f t="shared" si="41"/>
        <v>0</v>
      </c>
      <c r="I142" s="8">
        <v>54.205199999999998</v>
      </c>
      <c r="J142" s="9">
        <f t="shared" si="42"/>
        <v>54.205199999999998</v>
      </c>
      <c r="K142" s="3">
        <f t="shared" si="43"/>
        <v>0</v>
      </c>
      <c r="L142" s="7">
        <f t="shared" si="44"/>
        <v>0</v>
      </c>
      <c r="M142" t="s">
        <v>121</v>
      </c>
      <c r="O142" s="3">
        <f>E142-'315805 - P0824'!F142</f>
        <v>0</v>
      </c>
      <c r="P142" s="30">
        <f>I142-'315805 - P0824'!J142</f>
        <v>0</v>
      </c>
    </row>
    <row r="143" spans="1:16" x14ac:dyDescent="0.25">
      <c r="A143">
        <v>141</v>
      </c>
      <c r="C143" t="s">
        <v>8</v>
      </c>
      <c r="D143" s="4" t="s">
        <v>141</v>
      </c>
      <c r="E143" s="12">
        <v>7.7867999999999995</v>
      </c>
      <c r="F143" s="12">
        <v>7.7867999999999995</v>
      </c>
      <c r="G143" s="6">
        <f t="shared" si="40"/>
        <v>0</v>
      </c>
      <c r="H143" s="7">
        <f t="shared" si="41"/>
        <v>0</v>
      </c>
      <c r="I143" s="8">
        <v>11.102399999999999</v>
      </c>
      <c r="J143" s="9">
        <f t="shared" si="42"/>
        <v>11.102399999999999</v>
      </c>
      <c r="K143" s="3">
        <f t="shared" si="43"/>
        <v>0</v>
      </c>
      <c r="L143" s="7">
        <f t="shared" si="44"/>
        <v>0</v>
      </c>
      <c r="M143" t="s">
        <v>121</v>
      </c>
      <c r="O143" s="3">
        <f>E143-'315805 - P0824'!F143</f>
        <v>0</v>
      </c>
      <c r="P143" s="30">
        <f>I143-'315805 - P0824'!J143</f>
        <v>0</v>
      </c>
    </row>
    <row r="144" spans="1:16" x14ac:dyDescent="0.25">
      <c r="A144">
        <v>142</v>
      </c>
      <c r="C144" t="s">
        <v>8</v>
      </c>
      <c r="D144" s="4" t="s">
        <v>142</v>
      </c>
      <c r="E144" s="12">
        <v>12.0528</v>
      </c>
      <c r="F144" s="12">
        <v>12.0528</v>
      </c>
      <c r="G144" s="6">
        <f t="shared" si="40"/>
        <v>0</v>
      </c>
      <c r="H144" s="7">
        <f t="shared" si="41"/>
        <v>0</v>
      </c>
      <c r="I144" s="8">
        <v>16.880400000000002</v>
      </c>
      <c r="J144" s="9">
        <f t="shared" si="42"/>
        <v>16.880400000000002</v>
      </c>
      <c r="K144" s="3">
        <f t="shared" si="43"/>
        <v>0</v>
      </c>
      <c r="L144" s="7">
        <f t="shared" si="44"/>
        <v>0</v>
      </c>
      <c r="M144" t="s">
        <v>121</v>
      </c>
      <c r="O144" s="3">
        <f>E144-'315805 - P0824'!F144</f>
        <v>0</v>
      </c>
      <c r="P144" s="30">
        <f>I144-'315805 - P0824'!J144</f>
        <v>0</v>
      </c>
    </row>
    <row r="145" spans="1:16" x14ac:dyDescent="0.25">
      <c r="A145">
        <v>143</v>
      </c>
      <c r="C145" t="s">
        <v>8</v>
      </c>
      <c r="D145" s="4" t="s">
        <v>143</v>
      </c>
      <c r="E145" s="12">
        <v>18.0792</v>
      </c>
      <c r="F145" s="12">
        <v>18.0792</v>
      </c>
      <c r="G145" s="6">
        <f t="shared" si="40"/>
        <v>0</v>
      </c>
      <c r="H145" s="7">
        <f t="shared" si="41"/>
        <v>0</v>
      </c>
      <c r="I145" s="8">
        <v>25.315200000000004</v>
      </c>
      <c r="J145" s="9">
        <f t="shared" si="42"/>
        <v>25.315200000000004</v>
      </c>
      <c r="K145" s="3">
        <f t="shared" si="43"/>
        <v>0</v>
      </c>
      <c r="L145" s="7">
        <f t="shared" si="44"/>
        <v>0</v>
      </c>
      <c r="M145" t="s">
        <v>121</v>
      </c>
      <c r="O145" s="3">
        <f>E145-'315805 - P0824'!F145</f>
        <v>0</v>
      </c>
      <c r="P145" s="30">
        <f>I145-'315805 - P0824'!J145</f>
        <v>0</v>
      </c>
    </row>
    <row r="146" spans="1:16" x14ac:dyDescent="0.25">
      <c r="A146">
        <v>144</v>
      </c>
      <c r="C146" t="s">
        <v>8</v>
      </c>
      <c r="D146" s="4" t="s">
        <v>144</v>
      </c>
      <c r="E146" s="12">
        <v>24.094799999999999</v>
      </c>
      <c r="F146" s="12">
        <v>24.094799999999999</v>
      </c>
      <c r="G146" s="6">
        <f t="shared" si="40"/>
        <v>0</v>
      </c>
      <c r="H146" s="7">
        <f t="shared" si="41"/>
        <v>0</v>
      </c>
      <c r="I146" s="8">
        <v>35.531999999999996</v>
      </c>
      <c r="J146" s="9">
        <f t="shared" si="42"/>
        <v>35.531999999999996</v>
      </c>
      <c r="K146" s="3">
        <f t="shared" si="43"/>
        <v>0</v>
      </c>
      <c r="L146" s="7">
        <f t="shared" si="44"/>
        <v>0</v>
      </c>
      <c r="M146" t="s">
        <v>121</v>
      </c>
      <c r="O146" s="3">
        <f>E146-'315805 - P0824'!F146</f>
        <v>0</v>
      </c>
      <c r="P146" s="30">
        <f>I146-'315805 - P0824'!J146</f>
        <v>0</v>
      </c>
    </row>
    <row r="147" spans="1:16" x14ac:dyDescent="0.25">
      <c r="A147">
        <v>145</v>
      </c>
      <c r="C147" t="s">
        <v>8</v>
      </c>
      <c r="D147" s="4" t="s">
        <v>145</v>
      </c>
      <c r="E147" s="12">
        <v>33.706800000000001</v>
      </c>
      <c r="F147" s="12">
        <v>33.706800000000001</v>
      </c>
      <c r="G147" s="6">
        <f t="shared" si="40"/>
        <v>0</v>
      </c>
      <c r="H147" s="7">
        <f t="shared" si="41"/>
        <v>0</v>
      </c>
      <c r="I147" s="8">
        <v>52.433999999999997</v>
      </c>
      <c r="J147" s="9">
        <f t="shared" si="42"/>
        <v>52.433999999999997</v>
      </c>
      <c r="K147" s="3">
        <f t="shared" si="43"/>
        <v>0</v>
      </c>
      <c r="L147" s="7">
        <f t="shared" si="44"/>
        <v>0</v>
      </c>
      <c r="M147" t="s">
        <v>121</v>
      </c>
      <c r="O147" s="3">
        <f>E147-'315805 - P0824'!F147</f>
        <v>0</v>
      </c>
      <c r="P147" s="30">
        <f>I147-'315805 - P0824'!J147</f>
        <v>0</v>
      </c>
    </row>
    <row r="148" spans="1:16" x14ac:dyDescent="0.25">
      <c r="A148">
        <v>146</v>
      </c>
      <c r="C148" t="s">
        <v>8</v>
      </c>
      <c r="D148" s="4" t="s">
        <v>146</v>
      </c>
      <c r="E148" s="12">
        <v>40.456800000000001</v>
      </c>
      <c r="F148" s="12">
        <v>40.456800000000001</v>
      </c>
      <c r="G148" s="6">
        <f t="shared" si="40"/>
        <v>0</v>
      </c>
      <c r="H148" s="7">
        <f t="shared" si="41"/>
        <v>0</v>
      </c>
      <c r="I148" s="8">
        <v>62.91</v>
      </c>
      <c r="J148" s="9">
        <f t="shared" si="42"/>
        <v>62.91</v>
      </c>
      <c r="K148" s="3">
        <f t="shared" si="43"/>
        <v>0</v>
      </c>
      <c r="L148" s="7">
        <f t="shared" si="44"/>
        <v>0</v>
      </c>
      <c r="M148" t="s">
        <v>121</v>
      </c>
      <c r="O148" s="3">
        <f>E148-'315805 - P0824'!F148</f>
        <v>0</v>
      </c>
      <c r="P148" s="30">
        <f>I148-'315805 - P0824'!J148</f>
        <v>0</v>
      </c>
    </row>
    <row r="149" spans="1:16" x14ac:dyDescent="0.25">
      <c r="A149">
        <v>147</v>
      </c>
      <c r="C149" t="s">
        <v>8</v>
      </c>
      <c r="D149" s="4" t="s">
        <v>147</v>
      </c>
      <c r="E149" s="12">
        <v>7.0091999999999999</v>
      </c>
      <c r="F149" s="12">
        <v>7.0091999999999999</v>
      </c>
      <c r="G149" s="6">
        <f t="shared" si="40"/>
        <v>0</v>
      </c>
      <c r="H149" s="7">
        <f t="shared" si="41"/>
        <v>0</v>
      </c>
      <c r="I149" s="8">
        <v>10.471083890410959</v>
      </c>
      <c r="J149" s="9">
        <f t="shared" si="42"/>
        <v>10.471083890410959</v>
      </c>
      <c r="K149" s="3">
        <f t="shared" si="43"/>
        <v>0</v>
      </c>
      <c r="L149" s="7">
        <f t="shared" si="44"/>
        <v>0</v>
      </c>
      <c r="M149" t="s">
        <v>121</v>
      </c>
      <c r="O149" s="3">
        <f>E149-'315805 - P0824'!F149</f>
        <v>0</v>
      </c>
      <c r="P149" s="30">
        <f>I149-'315805 - P0824'!J149</f>
        <v>0</v>
      </c>
    </row>
    <row r="150" spans="1:16" x14ac:dyDescent="0.25">
      <c r="A150">
        <v>148</v>
      </c>
      <c r="C150" t="s">
        <v>8</v>
      </c>
      <c r="D150" s="4" t="s">
        <v>448</v>
      </c>
      <c r="E150" s="12">
        <v>6.97</v>
      </c>
      <c r="F150" s="12">
        <v>6.97</v>
      </c>
      <c r="G150" s="6">
        <f t="shared" si="40"/>
        <v>0</v>
      </c>
      <c r="H150" s="7">
        <f t="shared" si="41"/>
        <v>0</v>
      </c>
      <c r="I150" s="8">
        <v>8.7200000000000006</v>
      </c>
      <c r="J150" s="9">
        <f t="shared" si="42"/>
        <v>8.7200000000000006</v>
      </c>
      <c r="K150" s="3">
        <f t="shared" si="43"/>
        <v>0</v>
      </c>
      <c r="L150" s="7">
        <f t="shared" si="44"/>
        <v>0</v>
      </c>
      <c r="M150" t="s">
        <v>121</v>
      </c>
      <c r="O150" s="3">
        <f>E150-'315805 - P0824'!F150</f>
        <v>0</v>
      </c>
      <c r="P150" s="30">
        <f>I150-'315805 - P0824'!J150</f>
        <v>0</v>
      </c>
    </row>
    <row r="151" spans="1:16" x14ac:dyDescent="0.25">
      <c r="A151">
        <v>149</v>
      </c>
      <c r="C151" t="s">
        <v>8</v>
      </c>
      <c r="D151" s="4" t="s">
        <v>449</v>
      </c>
      <c r="E151" s="12">
        <v>8.33</v>
      </c>
      <c r="F151" s="12">
        <v>8.33</v>
      </c>
      <c r="G151" s="6">
        <f t="shared" si="40"/>
        <v>0</v>
      </c>
      <c r="H151" s="7">
        <f t="shared" si="41"/>
        <v>0</v>
      </c>
      <c r="I151" s="8">
        <v>10.42</v>
      </c>
      <c r="J151" s="9">
        <f t="shared" si="42"/>
        <v>10.42</v>
      </c>
      <c r="K151" s="3">
        <f t="shared" si="43"/>
        <v>0</v>
      </c>
      <c r="L151" s="7">
        <f t="shared" si="44"/>
        <v>0</v>
      </c>
      <c r="M151" t="s">
        <v>121</v>
      </c>
      <c r="O151" s="3">
        <f>E151-'315805 - P0824'!F151</f>
        <v>0</v>
      </c>
      <c r="P151" s="30">
        <f>I151-'315805 - P0824'!J151</f>
        <v>0</v>
      </c>
    </row>
    <row r="152" spans="1:16" x14ac:dyDescent="0.25">
      <c r="A152">
        <v>150</v>
      </c>
      <c r="C152" t="s">
        <v>8</v>
      </c>
      <c r="D152" s="4" t="s">
        <v>450</v>
      </c>
      <c r="E152" s="12">
        <v>12.49</v>
      </c>
      <c r="F152" s="12">
        <v>12.49</v>
      </c>
      <c r="G152" s="6">
        <f t="shared" si="40"/>
        <v>0</v>
      </c>
      <c r="H152" s="7">
        <f t="shared" si="41"/>
        <v>0</v>
      </c>
      <c r="I152" s="8">
        <v>15.62</v>
      </c>
      <c r="J152" s="9">
        <f t="shared" si="42"/>
        <v>15.62</v>
      </c>
      <c r="K152" s="3">
        <f t="shared" si="43"/>
        <v>0</v>
      </c>
      <c r="L152" s="7">
        <f t="shared" si="44"/>
        <v>0</v>
      </c>
      <c r="M152" t="s">
        <v>121</v>
      </c>
      <c r="O152" s="3">
        <f>E152-'315805 - P0824'!F152</f>
        <v>0</v>
      </c>
      <c r="P152" s="30">
        <f>I152-'315805 - P0824'!J152</f>
        <v>0</v>
      </c>
    </row>
    <row r="153" spans="1:16" x14ac:dyDescent="0.25">
      <c r="A153">
        <v>151</v>
      </c>
      <c r="C153" t="s">
        <v>8</v>
      </c>
      <c r="D153" s="4" t="s">
        <v>451</v>
      </c>
      <c r="E153" s="12">
        <v>16.27</v>
      </c>
      <c r="F153" s="12">
        <v>16.27</v>
      </c>
      <c r="G153" s="6">
        <f t="shared" si="40"/>
        <v>0</v>
      </c>
      <c r="H153" s="7">
        <f t="shared" si="41"/>
        <v>0</v>
      </c>
      <c r="I153" s="8">
        <v>21.41</v>
      </c>
      <c r="J153" s="9">
        <f t="shared" si="42"/>
        <v>21.41</v>
      </c>
      <c r="K153" s="3">
        <f t="shared" si="43"/>
        <v>0</v>
      </c>
      <c r="L153" s="7">
        <f t="shared" si="44"/>
        <v>0</v>
      </c>
      <c r="M153" t="s">
        <v>121</v>
      </c>
      <c r="O153" s="3">
        <f>E153-'315805 - P0824'!F153</f>
        <v>0</v>
      </c>
      <c r="P153" s="30">
        <f>I153-'315805 - P0824'!J153</f>
        <v>0</v>
      </c>
    </row>
    <row r="154" spans="1:16" x14ac:dyDescent="0.25">
      <c r="A154">
        <v>152</v>
      </c>
      <c r="C154" t="s">
        <v>8</v>
      </c>
      <c r="D154" s="4" t="s">
        <v>452</v>
      </c>
      <c r="E154" s="12">
        <v>20.329999999999998</v>
      </c>
      <c r="F154" s="12">
        <v>20.329999999999998</v>
      </c>
      <c r="G154" s="6">
        <f>+F154-E154</f>
        <v>0</v>
      </c>
      <c r="H154" s="7">
        <f t="shared" si="41"/>
        <v>0</v>
      </c>
      <c r="I154" s="8">
        <v>28.24</v>
      </c>
      <c r="J154" s="9">
        <f t="shared" si="42"/>
        <v>28.24</v>
      </c>
      <c r="K154" s="3">
        <f t="shared" si="43"/>
        <v>0</v>
      </c>
      <c r="L154" s="7">
        <f t="shared" si="44"/>
        <v>0</v>
      </c>
      <c r="M154" t="s">
        <v>121</v>
      </c>
      <c r="O154" s="3">
        <f>E154-'315805 - P0824'!F154</f>
        <v>0</v>
      </c>
      <c r="P154" s="30">
        <f>I154-'315805 - P0824'!J154</f>
        <v>0</v>
      </c>
    </row>
    <row r="155" spans="1:16" x14ac:dyDescent="0.25">
      <c r="A155">
        <v>153</v>
      </c>
      <c r="C155" t="s">
        <v>8</v>
      </c>
      <c r="D155" s="4" t="s">
        <v>453</v>
      </c>
      <c r="E155" s="12">
        <v>24.4</v>
      </c>
      <c r="F155" s="12">
        <v>24.4</v>
      </c>
      <c r="G155" s="6">
        <f t="shared" ref="G155" si="45">+F155-E155</f>
        <v>0</v>
      </c>
      <c r="H155" s="7">
        <f t="shared" si="41"/>
        <v>0</v>
      </c>
      <c r="I155" s="8">
        <v>33.89</v>
      </c>
      <c r="J155" s="9">
        <f t="shared" si="42"/>
        <v>33.89</v>
      </c>
      <c r="K155" s="3">
        <f t="shared" si="43"/>
        <v>0</v>
      </c>
      <c r="L155" s="7">
        <f t="shared" si="44"/>
        <v>0</v>
      </c>
      <c r="M155" t="s">
        <v>121</v>
      </c>
      <c r="O155" s="3">
        <f>E155-'315805 - P0824'!F155</f>
        <v>0</v>
      </c>
      <c r="P155" s="30">
        <f>I155-'315805 - P0824'!J155</f>
        <v>0</v>
      </c>
    </row>
    <row r="156" spans="1:16" x14ac:dyDescent="0.25">
      <c r="A156">
        <v>154</v>
      </c>
      <c r="D156" s="34" t="s">
        <v>148</v>
      </c>
      <c r="F156" s="15"/>
      <c r="H156" s="10">
        <f>AVERAGE(H123:H149)</f>
        <v>0</v>
      </c>
      <c r="I156"/>
    </row>
    <row r="157" spans="1:16" x14ac:dyDescent="0.25">
      <c r="A157">
        <v>155</v>
      </c>
      <c r="D157" s="34" t="s">
        <v>149</v>
      </c>
      <c r="I157"/>
      <c r="M157" t="s">
        <v>150</v>
      </c>
    </row>
    <row r="158" spans="1:16" x14ac:dyDescent="0.25">
      <c r="A158">
        <v>156</v>
      </c>
      <c r="C158" t="s">
        <v>8</v>
      </c>
      <c r="D158" s="4" t="s">
        <v>151</v>
      </c>
      <c r="E158" s="12">
        <v>37.49</v>
      </c>
      <c r="F158" s="12">
        <v>37.49</v>
      </c>
      <c r="G158" s="6">
        <f t="shared" ref="G158:G164" si="46">+F158-E158</f>
        <v>0</v>
      </c>
      <c r="H158" s="7">
        <f t="shared" ref="H158:H164" si="47">(F158-E158)/ABS(E158)</f>
        <v>0</v>
      </c>
      <c r="I158" s="12">
        <v>40.250769230769222</v>
      </c>
      <c r="J158" s="12">
        <f t="shared" ref="J158:J164" si="48">(I158*H158)+I158</f>
        <v>40.250769230769222</v>
      </c>
      <c r="K158" s="3">
        <f t="shared" ref="K158:K164" si="49">J158-I158</f>
        <v>0</v>
      </c>
      <c r="L158" s="7">
        <f t="shared" ref="L158:L164" si="50">(J158-I158)/ABS(I158)</f>
        <v>0</v>
      </c>
      <c r="M158" t="s">
        <v>150</v>
      </c>
      <c r="O158" s="3">
        <f>E158-'315805 - P0824'!F158</f>
        <v>0</v>
      </c>
      <c r="P158" s="30">
        <f>I158-'315805 - P0824'!J158</f>
        <v>0</v>
      </c>
    </row>
    <row r="159" spans="1:16" x14ac:dyDescent="0.25">
      <c r="A159">
        <v>157</v>
      </c>
      <c r="C159" t="s">
        <v>8</v>
      </c>
      <c r="D159" s="4" t="s">
        <v>152</v>
      </c>
      <c r="E159" s="12">
        <v>6.1</v>
      </c>
      <c r="F159" s="12">
        <v>6.1</v>
      </c>
      <c r="G159" s="6">
        <f t="shared" si="46"/>
        <v>0</v>
      </c>
      <c r="H159" s="7">
        <f t="shared" si="47"/>
        <v>0</v>
      </c>
      <c r="I159" s="12">
        <v>13.248680851063828</v>
      </c>
      <c r="J159" s="12">
        <f t="shared" si="48"/>
        <v>13.248680851063828</v>
      </c>
      <c r="K159" s="3">
        <f t="shared" si="49"/>
        <v>0</v>
      </c>
      <c r="L159" s="7">
        <f t="shared" si="50"/>
        <v>0</v>
      </c>
      <c r="M159" t="s">
        <v>150</v>
      </c>
      <c r="O159" s="3">
        <f>E159-'315805 - P0824'!F159</f>
        <v>0</v>
      </c>
      <c r="P159" s="30">
        <f>I159-'315805 - P0824'!J159</f>
        <v>0</v>
      </c>
    </row>
    <row r="160" spans="1:16" x14ac:dyDescent="0.25">
      <c r="A160">
        <v>158</v>
      </c>
      <c r="C160" t="s">
        <v>8</v>
      </c>
      <c r="D160" s="4" t="s">
        <v>153</v>
      </c>
      <c r="E160" s="12">
        <v>11.16</v>
      </c>
      <c r="F160" s="12">
        <v>11.16</v>
      </c>
      <c r="G160" s="6">
        <f t="shared" si="46"/>
        <v>0</v>
      </c>
      <c r="H160" s="7">
        <f t="shared" si="47"/>
        <v>0</v>
      </c>
      <c r="I160" s="12">
        <v>22.971018518518513</v>
      </c>
      <c r="J160" s="12">
        <f t="shared" si="48"/>
        <v>22.971018518518513</v>
      </c>
      <c r="K160" s="3">
        <f t="shared" si="49"/>
        <v>0</v>
      </c>
      <c r="L160" s="7">
        <f t="shared" si="50"/>
        <v>0</v>
      </c>
      <c r="M160" t="s">
        <v>150</v>
      </c>
      <c r="O160" s="3">
        <f>E160-'315805 - P0824'!F160</f>
        <v>0</v>
      </c>
      <c r="P160" s="30">
        <f>I160-'315805 - P0824'!J160</f>
        <v>0</v>
      </c>
    </row>
    <row r="161" spans="1:16" x14ac:dyDescent="0.25">
      <c r="A161">
        <v>159</v>
      </c>
      <c r="D161" s="4" t="s">
        <v>154</v>
      </c>
      <c r="E161" s="12">
        <v>6.8040000000000003</v>
      </c>
      <c r="F161" s="12">
        <v>6.8040000000000003</v>
      </c>
      <c r="G161" s="6">
        <f t="shared" si="46"/>
        <v>0</v>
      </c>
      <c r="H161" s="7">
        <f t="shared" si="47"/>
        <v>0</v>
      </c>
      <c r="I161" s="12">
        <v>22.285410234150319</v>
      </c>
      <c r="J161" s="12">
        <f t="shared" si="48"/>
        <v>22.285410234150319</v>
      </c>
      <c r="K161" s="3">
        <f t="shared" si="49"/>
        <v>0</v>
      </c>
      <c r="L161" s="7">
        <f t="shared" si="50"/>
        <v>0</v>
      </c>
      <c r="M161" t="s">
        <v>150</v>
      </c>
      <c r="O161" s="3">
        <f>E161-'315805 - P0824'!F161</f>
        <v>0</v>
      </c>
      <c r="P161" s="30">
        <f>I161-'315805 - P0824'!J161</f>
        <v>0</v>
      </c>
    </row>
    <row r="162" spans="1:16" x14ac:dyDescent="0.25">
      <c r="A162">
        <v>160</v>
      </c>
      <c r="C162" t="s">
        <v>8</v>
      </c>
      <c r="D162" s="4" t="s">
        <v>155</v>
      </c>
      <c r="E162" s="12">
        <v>18.05</v>
      </c>
      <c r="F162" s="12">
        <v>18.05</v>
      </c>
      <c r="G162" s="6">
        <f t="shared" si="46"/>
        <v>0</v>
      </c>
      <c r="H162" s="7">
        <f t="shared" si="47"/>
        <v>0</v>
      </c>
      <c r="I162" s="12">
        <v>28.933702479338844</v>
      </c>
      <c r="J162" s="12">
        <f t="shared" si="48"/>
        <v>28.933702479338844</v>
      </c>
      <c r="K162" s="3">
        <f t="shared" si="49"/>
        <v>0</v>
      </c>
      <c r="L162" s="7">
        <f t="shared" si="50"/>
        <v>0</v>
      </c>
      <c r="M162" t="s">
        <v>150</v>
      </c>
      <c r="O162" s="3">
        <f>E162-'315805 - P0824'!F162</f>
        <v>0</v>
      </c>
      <c r="P162" s="30">
        <f>I162-'315805 - P0824'!J162</f>
        <v>0</v>
      </c>
    </row>
    <row r="163" spans="1:16" x14ac:dyDescent="0.25">
      <c r="A163">
        <v>161</v>
      </c>
      <c r="D163" s="4" t="s">
        <v>156</v>
      </c>
      <c r="E163" s="12">
        <v>0.4</v>
      </c>
      <c r="F163" s="12">
        <v>0.4</v>
      </c>
      <c r="G163" s="6">
        <f t="shared" si="46"/>
        <v>0</v>
      </c>
      <c r="H163" s="7">
        <f t="shared" si="47"/>
        <v>0</v>
      </c>
      <c r="I163" s="12">
        <v>1.1076923076923078</v>
      </c>
      <c r="J163" s="12">
        <f t="shared" si="48"/>
        <v>1.1076923076923078</v>
      </c>
      <c r="K163" s="3">
        <f t="shared" si="49"/>
        <v>0</v>
      </c>
      <c r="L163" s="7">
        <f t="shared" si="50"/>
        <v>0</v>
      </c>
      <c r="M163" t="s">
        <v>150</v>
      </c>
      <c r="O163" s="3">
        <f>E163-'315805 - P0824'!F163</f>
        <v>0</v>
      </c>
      <c r="P163" s="30">
        <f>I163-'315805 - P0824'!J163</f>
        <v>0</v>
      </c>
    </row>
    <row r="164" spans="1:16" x14ac:dyDescent="0.25">
      <c r="A164">
        <v>162</v>
      </c>
      <c r="C164" t="s">
        <v>8</v>
      </c>
      <c r="D164" s="4" t="s">
        <v>157</v>
      </c>
      <c r="E164" s="12">
        <v>5.99</v>
      </c>
      <c r="F164" s="12">
        <v>5.99</v>
      </c>
      <c r="G164" s="6">
        <f t="shared" si="46"/>
        <v>0</v>
      </c>
      <c r="H164" s="7">
        <f t="shared" si="47"/>
        <v>0</v>
      </c>
      <c r="I164" s="12">
        <v>10.65</v>
      </c>
      <c r="J164" s="12">
        <f t="shared" si="48"/>
        <v>10.65</v>
      </c>
      <c r="K164" s="3">
        <f t="shared" si="49"/>
        <v>0</v>
      </c>
      <c r="L164" s="7">
        <f t="shared" si="50"/>
        <v>0</v>
      </c>
      <c r="M164" t="s">
        <v>150</v>
      </c>
      <c r="O164" s="3">
        <f>E164-'315805 - P0824'!F164</f>
        <v>0</v>
      </c>
      <c r="P164" s="30">
        <f>I164-'315805 - P0824'!J164</f>
        <v>0</v>
      </c>
    </row>
    <row r="165" spans="1:16" x14ac:dyDescent="0.25">
      <c r="A165">
        <v>163</v>
      </c>
      <c r="D165" s="34" t="s">
        <v>158</v>
      </c>
      <c r="H165" s="10">
        <f>AVERAGE(H158:H163)</f>
        <v>0</v>
      </c>
      <c r="I165"/>
    </row>
    <row r="166" spans="1:16" x14ac:dyDescent="0.25">
      <c r="A166">
        <v>164</v>
      </c>
      <c r="D166" s="34" t="s">
        <v>159</v>
      </c>
      <c r="I166"/>
    </row>
    <row r="167" spans="1:16" x14ac:dyDescent="0.25">
      <c r="A167">
        <v>165</v>
      </c>
      <c r="C167" t="s">
        <v>8</v>
      </c>
      <c r="D167" s="4" t="s">
        <v>160</v>
      </c>
      <c r="E167" s="5">
        <v>3.34</v>
      </c>
      <c r="F167" s="5">
        <v>3.34</v>
      </c>
      <c r="G167" s="6">
        <f t="shared" ref="G167:G191" si="51">+F167-E167</f>
        <v>0</v>
      </c>
      <c r="H167" s="7">
        <f t="shared" ref="H167:H191" si="52">(F167-E167)/ABS(E167)</f>
        <v>0</v>
      </c>
      <c r="I167" s="8">
        <v>6.1290657389972267</v>
      </c>
      <c r="J167" s="9">
        <f t="shared" ref="J167:J191" si="53">(I167*H167)+I167</f>
        <v>6.1290657389972267</v>
      </c>
      <c r="K167" s="3">
        <f t="shared" ref="K167:K191" si="54">J167-I167</f>
        <v>0</v>
      </c>
      <c r="L167" s="7">
        <f t="shared" ref="L167:L191" si="55">(J167-I167)/ABS(I167)</f>
        <v>0</v>
      </c>
      <c r="M167" t="s">
        <v>150</v>
      </c>
      <c r="O167" s="3">
        <f>E167-'315805 - P0824'!F167</f>
        <v>0</v>
      </c>
      <c r="P167" s="30">
        <f>I167-'315805 - P0824'!J167</f>
        <v>0</v>
      </c>
    </row>
    <row r="168" spans="1:16" x14ac:dyDescent="0.25">
      <c r="A168">
        <v>166</v>
      </c>
      <c r="C168" t="s">
        <v>8</v>
      </c>
      <c r="D168" s="4" t="s">
        <v>161</v>
      </c>
      <c r="E168" s="5">
        <v>5.01</v>
      </c>
      <c r="F168" s="5">
        <v>5.01</v>
      </c>
      <c r="G168" s="6">
        <f t="shared" si="51"/>
        <v>0</v>
      </c>
      <c r="H168" s="7">
        <f t="shared" si="52"/>
        <v>0</v>
      </c>
      <c r="I168" s="8">
        <v>10.644195465054626</v>
      </c>
      <c r="J168" s="9">
        <f t="shared" si="53"/>
        <v>10.644195465054626</v>
      </c>
      <c r="K168" s="3">
        <f t="shared" si="54"/>
        <v>0</v>
      </c>
      <c r="L168" s="7">
        <f t="shared" si="55"/>
        <v>0</v>
      </c>
      <c r="M168" t="s">
        <v>150</v>
      </c>
      <c r="O168" s="3">
        <f>E168-'315805 - P0824'!F168</f>
        <v>0</v>
      </c>
      <c r="P168" s="30">
        <f>I168-'315805 - P0824'!J168</f>
        <v>0</v>
      </c>
    </row>
    <row r="169" spans="1:16" x14ac:dyDescent="0.25">
      <c r="A169">
        <v>167</v>
      </c>
      <c r="C169" t="s">
        <v>8</v>
      </c>
      <c r="D169" s="4" t="s">
        <v>162</v>
      </c>
      <c r="E169" s="5">
        <v>3.47</v>
      </c>
      <c r="F169" s="5">
        <v>3.47</v>
      </c>
      <c r="G169" s="6">
        <f t="shared" si="51"/>
        <v>0</v>
      </c>
      <c r="H169" s="7">
        <f t="shared" si="52"/>
        <v>0</v>
      </c>
      <c r="I169" s="8">
        <v>4.7733355738018091</v>
      </c>
      <c r="J169" s="9">
        <f t="shared" si="53"/>
        <v>4.7733355738018091</v>
      </c>
      <c r="K169" s="3">
        <f t="shared" si="54"/>
        <v>0</v>
      </c>
      <c r="L169" s="7">
        <f t="shared" si="55"/>
        <v>0</v>
      </c>
      <c r="M169" t="s">
        <v>150</v>
      </c>
      <c r="O169" s="3">
        <f>E169-'315805 - P0824'!F169</f>
        <v>0</v>
      </c>
      <c r="P169" s="30">
        <f>I169-'315805 - P0824'!J169</f>
        <v>0</v>
      </c>
    </row>
    <row r="170" spans="1:16" x14ac:dyDescent="0.25">
      <c r="A170">
        <v>168</v>
      </c>
      <c r="C170" t="s">
        <v>8</v>
      </c>
      <c r="D170" s="4" t="s">
        <v>163</v>
      </c>
      <c r="E170" s="5">
        <v>13.87</v>
      </c>
      <c r="F170" s="5">
        <v>13.87</v>
      </c>
      <c r="G170" s="6">
        <f t="shared" si="51"/>
        <v>0</v>
      </c>
      <c r="H170" s="7">
        <f t="shared" si="52"/>
        <v>0</v>
      </c>
      <c r="I170" s="8">
        <v>18.526710428216624</v>
      </c>
      <c r="J170" s="9">
        <f t="shared" si="53"/>
        <v>18.526710428216624</v>
      </c>
      <c r="K170" s="3">
        <f t="shared" si="54"/>
        <v>0</v>
      </c>
      <c r="L170" s="7">
        <f t="shared" si="55"/>
        <v>0</v>
      </c>
      <c r="M170" t="s">
        <v>150</v>
      </c>
      <c r="O170" s="3">
        <f>E170-'315805 - P0824'!F170</f>
        <v>0</v>
      </c>
      <c r="P170" s="30">
        <f>I170-'315805 - P0824'!J170</f>
        <v>0</v>
      </c>
    </row>
    <row r="171" spans="1:16" x14ac:dyDescent="0.25">
      <c r="A171">
        <v>169</v>
      </c>
      <c r="C171" t="s">
        <v>8</v>
      </c>
      <c r="D171" s="4" t="s">
        <v>164</v>
      </c>
      <c r="E171" s="5">
        <v>1300</v>
      </c>
      <c r="F171" s="5">
        <v>1300</v>
      </c>
      <c r="G171" s="6">
        <f t="shared" si="51"/>
        <v>0</v>
      </c>
      <c r="H171" s="7">
        <f t="shared" si="52"/>
        <v>0</v>
      </c>
      <c r="I171" s="8">
        <v>29.247408939808338</v>
      </c>
      <c r="J171" s="9">
        <f t="shared" si="53"/>
        <v>29.247408939808338</v>
      </c>
      <c r="K171" s="3">
        <f t="shared" si="54"/>
        <v>0</v>
      </c>
      <c r="L171" s="7">
        <f t="shared" si="55"/>
        <v>0</v>
      </c>
      <c r="M171" t="s">
        <v>150</v>
      </c>
      <c r="O171" s="3">
        <f>E171-'315805 - P0824'!F171</f>
        <v>0</v>
      </c>
      <c r="P171" s="30">
        <f>I171-'315805 - P0824'!J171</f>
        <v>0</v>
      </c>
    </row>
    <row r="172" spans="1:16" x14ac:dyDescent="0.25">
      <c r="A172">
        <v>170</v>
      </c>
      <c r="C172" t="s">
        <v>8</v>
      </c>
      <c r="D172" s="4" t="s">
        <v>165</v>
      </c>
      <c r="E172" s="5">
        <v>1300</v>
      </c>
      <c r="F172" s="5">
        <v>1300</v>
      </c>
      <c r="G172" s="6">
        <f t="shared" si="51"/>
        <v>0</v>
      </c>
      <c r="H172" s="7">
        <f t="shared" si="52"/>
        <v>0</v>
      </c>
      <c r="I172" s="8">
        <v>1874.2587429242276</v>
      </c>
      <c r="J172" s="9">
        <v>1875</v>
      </c>
      <c r="K172" s="3">
        <f t="shared" si="54"/>
        <v>0.74125707577240973</v>
      </c>
      <c r="L172" s="7">
        <f t="shared" si="55"/>
        <v>3.9549346031908961E-4</v>
      </c>
      <c r="M172" t="s">
        <v>150</v>
      </c>
      <c r="O172" s="3">
        <f>E172-'315805 - P0824'!F172</f>
        <v>0</v>
      </c>
      <c r="P172" s="30">
        <f>I172-'315805 - P0824'!J172</f>
        <v>0</v>
      </c>
    </row>
    <row r="173" spans="1:16" x14ac:dyDescent="0.25">
      <c r="A173">
        <v>171</v>
      </c>
      <c r="C173" t="s">
        <v>8</v>
      </c>
      <c r="D173" s="4" t="s">
        <v>166</v>
      </c>
      <c r="E173" s="5">
        <v>18.45</v>
      </c>
      <c r="F173" s="5">
        <v>18.45</v>
      </c>
      <c r="G173" s="6">
        <f t="shared" si="51"/>
        <v>0</v>
      </c>
      <c r="H173" s="7">
        <f t="shared" si="52"/>
        <v>0</v>
      </c>
      <c r="I173" s="8">
        <v>28.75</v>
      </c>
      <c r="J173" s="9">
        <f t="shared" si="53"/>
        <v>28.75</v>
      </c>
      <c r="K173" s="3">
        <f t="shared" si="54"/>
        <v>0</v>
      </c>
      <c r="L173" s="7">
        <f t="shared" si="55"/>
        <v>0</v>
      </c>
      <c r="M173" t="s">
        <v>150</v>
      </c>
      <c r="O173" s="3">
        <f>E173-'315805 - P0824'!F173</f>
        <v>0</v>
      </c>
      <c r="P173" s="30">
        <f>I173-'315805 - P0824'!J173</f>
        <v>0</v>
      </c>
    </row>
    <row r="174" spans="1:16" x14ac:dyDescent="0.25">
      <c r="A174">
        <v>172</v>
      </c>
      <c r="C174" t="s">
        <v>8</v>
      </c>
      <c r="D174" s="4" t="s">
        <v>167</v>
      </c>
      <c r="E174" s="11">
        <v>4.0199999999999996</v>
      </c>
      <c r="F174" s="11">
        <v>4.0199999999999996</v>
      </c>
      <c r="G174" s="6">
        <f t="shared" si="51"/>
        <v>0</v>
      </c>
      <c r="H174" s="7">
        <f t="shared" si="52"/>
        <v>0</v>
      </c>
      <c r="I174" s="8">
        <v>15.098612891135524</v>
      </c>
      <c r="J174" s="9">
        <f t="shared" si="53"/>
        <v>15.098612891135524</v>
      </c>
      <c r="K174" s="3">
        <f t="shared" si="54"/>
        <v>0</v>
      </c>
      <c r="L174" s="7">
        <f t="shared" si="55"/>
        <v>0</v>
      </c>
      <c r="M174" t="s">
        <v>150</v>
      </c>
      <c r="O174" s="3">
        <f>E174-'315805 - P0824'!F174</f>
        <v>0</v>
      </c>
      <c r="P174" s="30">
        <f>I174-'315805 - P0824'!J174</f>
        <v>0</v>
      </c>
    </row>
    <row r="175" spans="1:16" x14ac:dyDescent="0.25">
      <c r="A175">
        <v>173</v>
      </c>
      <c r="C175" t="s">
        <v>8</v>
      </c>
      <c r="D175" s="4" t="s">
        <v>168</v>
      </c>
      <c r="E175" s="11">
        <v>0.59</v>
      </c>
      <c r="F175" s="11">
        <v>0.59</v>
      </c>
      <c r="G175" s="6">
        <f t="shared" si="51"/>
        <v>0</v>
      </c>
      <c r="H175" s="7">
        <f t="shared" si="52"/>
        <v>0</v>
      </c>
      <c r="I175" s="8">
        <v>2.1049549224666428</v>
      </c>
      <c r="J175" s="9">
        <f t="shared" si="53"/>
        <v>2.1049549224666428</v>
      </c>
      <c r="K175" s="3">
        <f t="shared" si="54"/>
        <v>0</v>
      </c>
      <c r="L175" s="7">
        <f t="shared" si="55"/>
        <v>0</v>
      </c>
      <c r="M175" t="s">
        <v>150</v>
      </c>
      <c r="O175" s="3">
        <f>E175-'315805 - P0824'!F175</f>
        <v>0</v>
      </c>
      <c r="P175" s="30">
        <f>I175-'315805 - P0824'!J175</f>
        <v>0</v>
      </c>
    </row>
    <row r="176" spans="1:16" x14ac:dyDescent="0.25">
      <c r="A176">
        <v>174</v>
      </c>
      <c r="C176" t="s">
        <v>8</v>
      </c>
      <c r="D176" s="4" t="s">
        <v>169</v>
      </c>
      <c r="E176" s="11">
        <v>0.63</v>
      </c>
      <c r="F176" s="11">
        <v>0.63</v>
      </c>
      <c r="G176" s="6">
        <f t="shared" si="51"/>
        <v>0</v>
      </c>
      <c r="H176" s="7">
        <f t="shared" si="52"/>
        <v>0</v>
      </c>
      <c r="I176" s="8">
        <v>1.9152</v>
      </c>
      <c r="J176" s="9">
        <f t="shared" si="53"/>
        <v>1.9152</v>
      </c>
      <c r="K176" s="3">
        <f t="shared" si="54"/>
        <v>0</v>
      </c>
      <c r="L176" s="7">
        <f t="shared" si="55"/>
        <v>0</v>
      </c>
      <c r="M176" t="s">
        <v>150</v>
      </c>
      <c r="O176" s="3">
        <f>E176-'315805 - P0824'!F176</f>
        <v>0</v>
      </c>
      <c r="P176" s="30">
        <f>I176-'315805 - P0824'!J176</f>
        <v>0</v>
      </c>
    </row>
    <row r="177" spans="1:16" x14ac:dyDescent="0.25">
      <c r="A177">
        <v>175</v>
      </c>
      <c r="C177" t="s">
        <v>8</v>
      </c>
      <c r="D177" s="4" t="s">
        <v>461</v>
      </c>
      <c r="E177" s="11">
        <v>29</v>
      </c>
      <c r="F177" s="11">
        <v>29</v>
      </c>
      <c r="G177" s="6">
        <f t="shared" si="51"/>
        <v>0</v>
      </c>
      <c r="H177" s="7">
        <f t="shared" si="52"/>
        <v>0</v>
      </c>
      <c r="I177" s="8">
        <v>45.490196078431374</v>
      </c>
      <c r="J177" s="9">
        <f t="shared" si="53"/>
        <v>45.490196078431374</v>
      </c>
      <c r="K177" s="3">
        <f t="shared" si="54"/>
        <v>0</v>
      </c>
      <c r="L177" s="7">
        <f t="shared" si="55"/>
        <v>0</v>
      </c>
      <c r="M177" t="s">
        <v>150</v>
      </c>
      <c r="O177" s="3">
        <f>E177-'315805 - P0824'!F177</f>
        <v>0</v>
      </c>
      <c r="P177" s="30">
        <f>I177-'315805 - P0824'!J177</f>
        <v>0</v>
      </c>
    </row>
    <row r="178" spans="1:16" x14ac:dyDescent="0.25">
      <c r="A178">
        <v>176</v>
      </c>
      <c r="C178" t="s">
        <v>8</v>
      </c>
      <c r="D178" s="4" t="s">
        <v>170</v>
      </c>
      <c r="E178" s="11">
        <v>35.4</v>
      </c>
      <c r="F178" s="11">
        <v>35.4</v>
      </c>
      <c r="G178" s="6">
        <f t="shared" si="51"/>
        <v>0</v>
      </c>
      <c r="H178" s="7">
        <f t="shared" si="52"/>
        <v>0</v>
      </c>
      <c r="I178" s="8">
        <v>21.717791411042946</v>
      </c>
      <c r="J178" s="9">
        <f t="shared" si="53"/>
        <v>21.717791411042946</v>
      </c>
      <c r="K178" s="3">
        <f t="shared" si="54"/>
        <v>0</v>
      </c>
      <c r="L178" s="7">
        <f t="shared" si="55"/>
        <v>0</v>
      </c>
      <c r="M178" t="s">
        <v>150</v>
      </c>
      <c r="O178" s="3">
        <f>E178-'315805 - P0824'!F178</f>
        <v>0</v>
      </c>
      <c r="P178" s="30">
        <f>I178-'315805 - P0824'!J178</f>
        <v>0</v>
      </c>
    </row>
    <row r="179" spans="1:16" x14ac:dyDescent="0.25">
      <c r="A179">
        <v>177</v>
      </c>
      <c r="C179" t="s">
        <v>8</v>
      </c>
      <c r="D179" s="4" t="s">
        <v>171</v>
      </c>
      <c r="E179" s="11">
        <v>29.3</v>
      </c>
      <c r="F179" s="11">
        <v>29.3</v>
      </c>
      <c r="G179" s="6">
        <f t="shared" si="51"/>
        <v>0</v>
      </c>
      <c r="H179" s="7">
        <f t="shared" si="52"/>
        <v>0</v>
      </c>
      <c r="I179" s="8">
        <v>20</v>
      </c>
      <c r="J179" s="9">
        <f t="shared" si="53"/>
        <v>20</v>
      </c>
      <c r="K179" s="3">
        <f t="shared" si="54"/>
        <v>0</v>
      </c>
      <c r="L179" s="7">
        <f t="shared" si="55"/>
        <v>0</v>
      </c>
      <c r="M179" t="s">
        <v>150</v>
      </c>
      <c r="O179" s="3">
        <f>E179-'315805 - P0824'!F179</f>
        <v>0</v>
      </c>
      <c r="P179" s="30">
        <f>I179-'315805 - P0824'!J179</f>
        <v>0</v>
      </c>
    </row>
    <row r="180" spans="1:16" x14ac:dyDescent="0.25">
      <c r="A180">
        <v>178</v>
      </c>
      <c r="C180" t="s">
        <v>8</v>
      </c>
      <c r="D180" s="4" t="s">
        <v>172</v>
      </c>
      <c r="E180" s="11">
        <v>24.2</v>
      </c>
      <c r="F180" s="11">
        <v>24.2</v>
      </c>
      <c r="G180" s="6">
        <f t="shared" si="51"/>
        <v>0</v>
      </c>
      <c r="H180" s="7">
        <f t="shared" si="52"/>
        <v>0</v>
      </c>
      <c r="I180" s="8">
        <v>20</v>
      </c>
      <c r="J180" s="9">
        <f t="shared" si="53"/>
        <v>20</v>
      </c>
      <c r="K180" s="3">
        <f t="shared" si="54"/>
        <v>0</v>
      </c>
      <c r="L180" s="7">
        <f t="shared" si="55"/>
        <v>0</v>
      </c>
      <c r="M180" t="s">
        <v>150</v>
      </c>
      <c r="O180" s="3">
        <f>E180-'315805 - P0824'!F180</f>
        <v>0</v>
      </c>
      <c r="P180" s="30">
        <f>I180-'315805 - P0824'!J180</f>
        <v>0</v>
      </c>
    </row>
    <row r="181" spans="1:16" x14ac:dyDescent="0.25">
      <c r="A181">
        <v>179</v>
      </c>
      <c r="C181" t="s">
        <v>8</v>
      </c>
      <c r="D181" s="4" t="s">
        <v>173</v>
      </c>
      <c r="E181" s="12">
        <v>116</v>
      </c>
      <c r="F181" s="12">
        <v>116</v>
      </c>
      <c r="G181" s="6">
        <f t="shared" si="51"/>
        <v>0</v>
      </c>
      <c r="H181" s="7">
        <f t="shared" si="52"/>
        <v>0</v>
      </c>
      <c r="I181" s="8">
        <v>153.29999999999998</v>
      </c>
      <c r="J181" s="9">
        <f t="shared" si="53"/>
        <v>153.29999999999998</v>
      </c>
      <c r="K181" s="3">
        <f t="shared" si="54"/>
        <v>0</v>
      </c>
      <c r="L181" s="7">
        <f t="shared" si="55"/>
        <v>0</v>
      </c>
      <c r="M181" t="s">
        <v>121</v>
      </c>
      <c r="O181" s="3">
        <f>E181-'315805 - P0824'!F181</f>
        <v>0</v>
      </c>
      <c r="P181" s="30">
        <f>I181-'315805 - P0824'!J181</f>
        <v>0</v>
      </c>
    </row>
    <row r="182" spans="1:16" x14ac:dyDescent="0.25">
      <c r="A182">
        <v>180</v>
      </c>
      <c r="C182" t="s">
        <v>8</v>
      </c>
      <c r="D182" s="4" t="s">
        <v>174</v>
      </c>
      <c r="E182" s="12">
        <v>9.98</v>
      </c>
      <c r="F182" s="12">
        <v>9.98</v>
      </c>
      <c r="G182" s="6">
        <f t="shared" si="51"/>
        <v>0</v>
      </c>
      <c r="H182" s="7">
        <f t="shared" si="52"/>
        <v>0</v>
      </c>
      <c r="I182" s="8">
        <v>13.625326315789476</v>
      </c>
      <c r="J182" s="9">
        <f t="shared" si="53"/>
        <v>13.625326315789476</v>
      </c>
      <c r="K182" s="3">
        <f t="shared" si="54"/>
        <v>0</v>
      </c>
      <c r="L182" s="7">
        <f t="shared" si="55"/>
        <v>0</v>
      </c>
      <c r="M182" t="s">
        <v>121</v>
      </c>
      <c r="O182" s="3">
        <f>E182-'315805 - P0824'!F182</f>
        <v>0</v>
      </c>
      <c r="P182" s="30">
        <f>I182-'315805 - P0824'!J182</f>
        <v>0</v>
      </c>
    </row>
    <row r="183" spans="1:16" x14ac:dyDescent="0.25">
      <c r="A183">
        <v>181</v>
      </c>
      <c r="C183" t="s">
        <v>8</v>
      </c>
      <c r="D183" s="4" t="s">
        <v>175</v>
      </c>
      <c r="E183" s="12">
        <v>190.995</v>
      </c>
      <c r="F183" s="12">
        <v>190.995</v>
      </c>
      <c r="G183" s="6">
        <f t="shared" si="51"/>
        <v>0</v>
      </c>
      <c r="H183" s="7">
        <f t="shared" si="52"/>
        <v>0</v>
      </c>
      <c r="I183" s="8">
        <v>251</v>
      </c>
      <c r="J183" s="9">
        <f t="shared" si="53"/>
        <v>251</v>
      </c>
      <c r="K183" s="3">
        <f t="shared" si="54"/>
        <v>0</v>
      </c>
      <c r="L183" s="7">
        <f t="shared" si="55"/>
        <v>0</v>
      </c>
      <c r="M183" t="s">
        <v>121</v>
      </c>
      <c r="O183" s="3">
        <f>E183-'315805 - P0824'!F183</f>
        <v>0</v>
      </c>
      <c r="P183" s="30">
        <f>I183-'315805 - P0824'!J183</f>
        <v>0</v>
      </c>
    </row>
    <row r="184" spans="1:16" x14ac:dyDescent="0.25">
      <c r="A184">
        <v>182</v>
      </c>
      <c r="C184" t="s">
        <v>8</v>
      </c>
      <c r="D184" s="4" t="s">
        <v>176</v>
      </c>
      <c r="E184" s="12">
        <v>14.01</v>
      </c>
      <c r="F184" s="12">
        <v>14.01</v>
      </c>
      <c r="G184" s="6">
        <f t="shared" si="51"/>
        <v>0</v>
      </c>
      <c r="H184" s="7">
        <f t="shared" si="52"/>
        <v>0</v>
      </c>
      <c r="I184" s="8">
        <v>19.616308543063266</v>
      </c>
      <c r="J184" s="9">
        <f t="shared" si="53"/>
        <v>19.616308543063266</v>
      </c>
      <c r="K184" s="3">
        <f t="shared" si="54"/>
        <v>0</v>
      </c>
      <c r="L184" s="7">
        <f t="shared" si="55"/>
        <v>0</v>
      </c>
      <c r="M184" t="s">
        <v>121</v>
      </c>
      <c r="O184" s="3">
        <f>E184-'315805 - P0824'!F184</f>
        <v>0</v>
      </c>
      <c r="P184" s="30">
        <f>I184-'315805 - P0824'!J184</f>
        <v>0</v>
      </c>
    </row>
    <row r="185" spans="1:16" x14ac:dyDescent="0.25">
      <c r="A185">
        <v>183</v>
      </c>
      <c r="C185" t="s">
        <v>8</v>
      </c>
      <c r="D185" s="4" t="s">
        <v>177</v>
      </c>
      <c r="E185" s="12">
        <v>33.25</v>
      </c>
      <c r="F185" s="12">
        <v>33.25</v>
      </c>
      <c r="G185" s="6">
        <f t="shared" si="51"/>
        <v>0</v>
      </c>
      <c r="H185" s="7">
        <f t="shared" si="52"/>
        <v>0</v>
      </c>
      <c r="I185" s="8">
        <v>49.869393819571762</v>
      </c>
      <c r="J185" s="9">
        <f t="shared" si="53"/>
        <v>49.869393819571762</v>
      </c>
      <c r="K185" s="3">
        <f t="shared" si="54"/>
        <v>0</v>
      </c>
      <c r="L185" s="7">
        <f t="shared" si="55"/>
        <v>0</v>
      </c>
      <c r="M185" t="s">
        <v>121</v>
      </c>
      <c r="O185" s="3">
        <f>E185-'315805 - P0824'!F185</f>
        <v>0</v>
      </c>
      <c r="P185" s="30">
        <f>I185-'315805 - P0824'!J185</f>
        <v>0</v>
      </c>
    </row>
    <row r="186" spans="1:16" x14ac:dyDescent="0.25">
      <c r="A186">
        <v>184</v>
      </c>
      <c r="C186" t="s">
        <v>8</v>
      </c>
      <c r="D186" s="4" t="s">
        <v>178</v>
      </c>
      <c r="E186" s="12">
        <v>44.04</v>
      </c>
      <c r="F186" s="12">
        <v>44.04</v>
      </c>
      <c r="G186" s="6">
        <f t="shared" si="51"/>
        <v>0</v>
      </c>
      <c r="H186" s="7">
        <f t="shared" si="52"/>
        <v>0</v>
      </c>
      <c r="I186" s="8">
        <v>61.644476622337386</v>
      </c>
      <c r="J186" s="9">
        <f t="shared" si="53"/>
        <v>61.644476622337386</v>
      </c>
      <c r="K186" s="3">
        <f t="shared" si="54"/>
        <v>0</v>
      </c>
      <c r="L186" s="7">
        <f t="shared" si="55"/>
        <v>0</v>
      </c>
      <c r="M186" t="s">
        <v>121</v>
      </c>
      <c r="O186" s="3">
        <f>E186-'315805 - P0824'!F186</f>
        <v>0</v>
      </c>
      <c r="P186" s="30">
        <f>I186-'315805 - P0824'!J186</f>
        <v>0</v>
      </c>
    </row>
    <row r="187" spans="1:16" x14ac:dyDescent="0.25">
      <c r="A187">
        <v>185</v>
      </c>
      <c r="C187" t="s">
        <v>8</v>
      </c>
      <c r="D187" s="4" t="s">
        <v>179</v>
      </c>
      <c r="E187" s="12">
        <v>144.85</v>
      </c>
      <c r="F187" s="12">
        <v>144.85</v>
      </c>
      <c r="G187" s="6">
        <f t="shared" si="51"/>
        <v>0</v>
      </c>
      <c r="H187" s="7">
        <f t="shared" si="52"/>
        <v>0</v>
      </c>
      <c r="I187" s="8">
        <v>241.42</v>
      </c>
      <c r="J187" s="9">
        <f t="shared" si="53"/>
        <v>241.42</v>
      </c>
      <c r="K187" s="3">
        <f t="shared" si="54"/>
        <v>0</v>
      </c>
      <c r="L187" s="7">
        <f t="shared" si="55"/>
        <v>0</v>
      </c>
      <c r="M187" t="s">
        <v>121</v>
      </c>
      <c r="O187" s="3">
        <f>E187-'315805 - P0824'!F187</f>
        <v>0</v>
      </c>
      <c r="P187" s="30">
        <f>I187-'315805 - P0824'!J187</f>
        <v>0</v>
      </c>
    </row>
    <row r="188" spans="1:16" x14ac:dyDescent="0.25">
      <c r="A188">
        <v>186</v>
      </c>
      <c r="C188" t="s">
        <v>8</v>
      </c>
      <c r="D188" s="4" t="s">
        <v>180</v>
      </c>
      <c r="E188" s="11">
        <v>21.42</v>
      </c>
      <c r="F188" s="11">
        <v>21.42</v>
      </c>
      <c r="G188" s="6">
        <f t="shared" si="51"/>
        <v>0</v>
      </c>
      <c r="H188" s="7">
        <f t="shared" si="52"/>
        <v>0</v>
      </c>
      <c r="I188" s="8">
        <v>36.651079812206568</v>
      </c>
      <c r="J188" s="9">
        <f t="shared" si="53"/>
        <v>36.651079812206568</v>
      </c>
      <c r="K188" s="3">
        <f t="shared" si="54"/>
        <v>0</v>
      </c>
      <c r="L188" s="7">
        <f t="shared" si="55"/>
        <v>0</v>
      </c>
      <c r="M188" t="s">
        <v>150</v>
      </c>
      <c r="O188" s="3">
        <f>E188-'315805 - P0824'!F188</f>
        <v>0</v>
      </c>
      <c r="P188" s="30">
        <f>I188-'315805 - P0824'!J188</f>
        <v>0</v>
      </c>
    </row>
    <row r="189" spans="1:16" x14ac:dyDescent="0.25">
      <c r="A189">
        <v>187</v>
      </c>
      <c r="C189" t="s">
        <v>8</v>
      </c>
      <c r="D189" s="4" t="s">
        <v>181</v>
      </c>
      <c r="E189" s="11">
        <v>32.67</v>
      </c>
      <c r="F189" s="11">
        <v>32.67</v>
      </c>
      <c r="G189" s="6">
        <f t="shared" si="51"/>
        <v>0</v>
      </c>
      <c r="H189" s="7">
        <f t="shared" si="52"/>
        <v>0</v>
      </c>
      <c r="I189" s="8">
        <v>45.558072000000003</v>
      </c>
      <c r="J189" s="9">
        <f t="shared" si="53"/>
        <v>45.558072000000003</v>
      </c>
      <c r="K189" s="3">
        <f t="shared" si="54"/>
        <v>0</v>
      </c>
      <c r="L189" s="7">
        <f t="shared" si="55"/>
        <v>0</v>
      </c>
      <c r="M189" t="s">
        <v>150</v>
      </c>
      <c r="O189" s="3">
        <f>E189-'315805 - P0824'!F189</f>
        <v>0</v>
      </c>
      <c r="P189" s="30">
        <f>I189-'315805 - P0824'!J189</f>
        <v>0</v>
      </c>
    </row>
    <row r="190" spans="1:16" x14ac:dyDescent="0.25">
      <c r="A190">
        <v>188</v>
      </c>
      <c r="C190" t="s">
        <v>8</v>
      </c>
      <c r="D190" s="4" t="s">
        <v>182</v>
      </c>
      <c r="E190" s="11">
        <v>43</v>
      </c>
      <c r="F190" s="11">
        <v>43</v>
      </c>
      <c r="G190" s="13">
        <f t="shared" si="51"/>
        <v>0</v>
      </c>
      <c r="H190" s="7">
        <f t="shared" si="52"/>
        <v>0</v>
      </c>
      <c r="I190" s="8">
        <v>91.806916426512956</v>
      </c>
      <c r="J190" s="9">
        <f t="shared" si="53"/>
        <v>91.806916426512956</v>
      </c>
      <c r="K190" s="3">
        <f t="shared" si="54"/>
        <v>0</v>
      </c>
      <c r="L190" s="7">
        <f t="shared" si="55"/>
        <v>0</v>
      </c>
      <c r="M190" t="s">
        <v>150</v>
      </c>
      <c r="O190" s="3">
        <f>E190-'315805 - P0824'!F190</f>
        <v>0</v>
      </c>
      <c r="P190" s="30">
        <f>I190-'315805 - P0824'!J190</f>
        <v>0</v>
      </c>
    </row>
    <row r="191" spans="1:16" x14ac:dyDescent="0.25">
      <c r="A191">
        <v>189</v>
      </c>
      <c r="C191" t="s">
        <v>8</v>
      </c>
      <c r="D191" s="4" t="s">
        <v>183</v>
      </c>
      <c r="E191" s="11">
        <v>4.24</v>
      </c>
      <c r="F191" s="11">
        <v>4.24</v>
      </c>
      <c r="G191" s="6">
        <f t="shared" si="51"/>
        <v>0</v>
      </c>
      <c r="H191" s="7">
        <f t="shared" si="52"/>
        <v>0</v>
      </c>
      <c r="I191" s="8">
        <v>7.5095819935691317</v>
      </c>
      <c r="J191" s="9">
        <f t="shared" si="53"/>
        <v>7.5095819935691317</v>
      </c>
      <c r="K191" s="3">
        <f t="shared" si="54"/>
        <v>0</v>
      </c>
      <c r="L191" s="7">
        <f t="shared" si="55"/>
        <v>0</v>
      </c>
      <c r="M191" t="s">
        <v>150</v>
      </c>
      <c r="O191" s="3">
        <f>E191-'315805 - P0824'!F191</f>
        <v>0</v>
      </c>
      <c r="P191" s="30">
        <f>I191-'315805 - P0824'!J191</f>
        <v>0</v>
      </c>
    </row>
    <row r="192" spans="1:16" x14ac:dyDescent="0.25">
      <c r="A192">
        <v>190</v>
      </c>
      <c r="D192" s="34" t="s">
        <v>184</v>
      </c>
      <c r="H192" s="10">
        <f>AVERAGE(H167:H191)</f>
        <v>0</v>
      </c>
      <c r="I192"/>
    </row>
    <row r="193" spans="1:16" x14ac:dyDescent="0.25">
      <c r="A193">
        <v>191</v>
      </c>
      <c r="D193" s="34" t="s">
        <v>185</v>
      </c>
      <c r="I193"/>
    </row>
    <row r="194" spans="1:16" x14ac:dyDescent="0.25">
      <c r="A194">
        <v>192</v>
      </c>
      <c r="C194" t="s">
        <v>8</v>
      </c>
      <c r="D194" s="4" t="s">
        <v>186</v>
      </c>
      <c r="E194" s="12">
        <v>1.79</v>
      </c>
      <c r="F194" s="12">
        <v>1.79</v>
      </c>
      <c r="G194" s="6">
        <f t="shared" ref="G194:G241" si="56">+F194-E194</f>
        <v>0</v>
      </c>
      <c r="H194" s="7">
        <f t="shared" ref="H194:H241" si="57">(F194-E194)/ABS(E194)</f>
        <v>0</v>
      </c>
      <c r="I194" s="8">
        <v>2.3437962240000001</v>
      </c>
      <c r="J194" s="9">
        <f t="shared" ref="J194:J241" si="58">(I194*H194)+I194</f>
        <v>2.3437962240000001</v>
      </c>
      <c r="K194" s="3">
        <f t="shared" ref="K194:K241" si="59">J194-I194</f>
        <v>0</v>
      </c>
      <c r="L194" s="7">
        <f t="shared" ref="L194:L241" si="60">(J194-I194)/ABS(I194)</f>
        <v>0</v>
      </c>
      <c r="M194" t="s">
        <v>187</v>
      </c>
      <c r="O194" s="3">
        <f>E194-'315805 - P0824'!F194</f>
        <v>0</v>
      </c>
      <c r="P194" s="30">
        <f>I194-'315805 - P0824'!J194</f>
        <v>0</v>
      </c>
    </row>
    <row r="195" spans="1:16" x14ac:dyDescent="0.25">
      <c r="A195">
        <v>193</v>
      </c>
      <c r="C195" t="s">
        <v>8</v>
      </c>
      <c r="D195" s="4" t="s">
        <v>188</v>
      </c>
      <c r="E195" s="12">
        <v>0.46</v>
      </c>
      <c r="F195" s="12">
        <v>0.46</v>
      </c>
      <c r="G195" s="6">
        <f t="shared" si="56"/>
        <v>0</v>
      </c>
      <c r="H195" s="7">
        <f t="shared" si="57"/>
        <v>0</v>
      </c>
      <c r="I195" s="8">
        <v>0.70471188480000002</v>
      </c>
      <c r="J195" s="9">
        <f t="shared" si="58"/>
        <v>0.70471188480000002</v>
      </c>
      <c r="K195" s="3">
        <f t="shared" si="59"/>
        <v>0</v>
      </c>
      <c r="L195" s="7">
        <f t="shared" si="60"/>
        <v>0</v>
      </c>
      <c r="M195" t="s">
        <v>187</v>
      </c>
      <c r="O195" s="3">
        <f>E195-'315805 - P0824'!F195</f>
        <v>0</v>
      </c>
      <c r="P195" s="30">
        <f>I195-'315805 - P0824'!J195</f>
        <v>0</v>
      </c>
    </row>
    <row r="196" spans="1:16" x14ac:dyDescent="0.25">
      <c r="A196">
        <v>194</v>
      </c>
      <c r="C196" t="s">
        <v>8</v>
      </c>
      <c r="D196" s="4" t="s">
        <v>462</v>
      </c>
      <c r="E196" s="12">
        <v>0.6</v>
      </c>
      <c r="F196" s="12">
        <v>0.6</v>
      </c>
      <c r="G196" s="6">
        <f t="shared" si="56"/>
        <v>0</v>
      </c>
      <c r="H196" s="7">
        <f t="shared" si="57"/>
        <v>0</v>
      </c>
      <c r="I196" s="8">
        <v>1.04</v>
      </c>
      <c r="J196" s="9">
        <f t="shared" si="58"/>
        <v>1.04</v>
      </c>
      <c r="K196" s="3">
        <f t="shared" si="59"/>
        <v>0</v>
      </c>
      <c r="L196" s="7">
        <f t="shared" si="60"/>
        <v>0</v>
      </c>
      <c r="M196" t="s">
        <v>187</v>
      </c>
      <c r="O196" s="3">
        <f>E196-'315805 - P0824'!F196</f>
        <v>0</v>
      </c>
      <c r="P196" s="30">
        <f>I196-'315805 - P0824'!J196</f>
        <v>0</v>
      </c>
    </row>
    <row r="197" spans="1:16" x14ac:dyDescent="0.25">
      <c r="A197">
        <v>195</v>
      </c>
      <c r="C197" t="s">
        <v>8</v>
      </c>
      <c r="D197" s="4" t="s">
        <v>189</v>
      </c>
      <c r="E197" s="12">
        <v>17.88</v>
      </c>
      <c r="F197" s="12">
        <v>17.88</v>
      </c>
      <c r="G197" s="6">
        <f t="shared" si="56"/>
        <v>0</v>
      </c>
      <c r="H197" s="7">
        <f t="shared" si="57"/>
        <v>0</v>
      </c>
      <c r="I197" s="8">
        <v>35.219578060799989</v>
      </c>
      <c r="J197" s="9">
        <f t="shared" si="58"/>
        <v>35.219578060799989</v>
      </c>
      <c r="K197" s="3">
        <f t="shared" si="59"/>
        <v>0</v>
      </c>
      <c r="L197" s="7">
        <f t="shared" si="60"/>
        <v>0</v>
      </c>
      <c r="M197" t="s">
        <v>187</v>
      </c>
      <c r="O197" s="3">
        <f>E197-'315805 - P0824'!F197</f>
        <v>0</v>
      </c>
      <c r="P197" s="30">
        <f>I197-'315805 - P0824'!J197</f>
        <v>0</v>
      </c>
    </row>
    <row r="198" spans="1:16" x14ac:dyDescent="0.25">
      <c r="A198">
        <v>196</v>
      </c>
      <c r="C198" t="s">
        <v>8</v>
      </c>
      <c r="D198" s="4" t="s">
        <v>190</v>
      </c>
      <c r="E198" s="12">
        <v>36.299999999999997</v>
      </c>
      <c r="F198" s="12">
        <v>36.299999999999997</v>
      </c>
      <c r="G198" s="6">
        <f t="shared" si="56"/>
        <v>0</v>
      </c>
      <c r="H198" s="7">
        <f t="shared" si="57"/>
        <v>0</v>
      </c>
      <c r="I198" s="8">
        <v>82.49</v>
      </c>
      <c r="J198" s="9">
        <f t="shared" si="58"/>
        <v>82.49</v>
      </c>
      <c r="K198" s="3">
        <f t="shared" si="59"/>
        <v>0</v>
      </c>
      <c r="L198" s="7">
        <f t="shared" si="60"/>
        <v>0</v>
      </c>
      <c r="M198" t="s">
        <v>187</v>
      </c>
      <c r="O198" s="3">
        <f>E198-'315805 - P0824'!F198</f>
        <v>0</v>
      </c>
      <c r="P198" s="30">
        <f>I198-'315805 - P0824'!J198</f>
        <v>0</v>
      </c>
    </row>
    <row r="199" spans="1:16" x14ac:dyDescent="0.25">
      <c r="A199">
        <v>197</v>
      </c>
      <c r="C199" t="s">
        <v>8</v>
      </c>
      <c r="D199" s="4" t="s">
        <v>487</v>
      </c>
      <c r="E199" s="12">
        <v>5.18</v>
      </c>
      <c r="F199" s="12">
        <v>5.18</v>
      </c>
      <c r="G199" s="6">
        <f t="shared" si="56"/>
        <v>0</v>
      </c>
      <c r="H199" s="7">
        <f t="shared" si="57"/>
        <v>0</v>
      </c>
      <c r="I199" s="8">
        <v>7.13</v>
      </c>
      <c r="J199" s="9">
        <f t="shared" si="58"/>
        <v>7.13</v>
      </c>
      <c r="K199" s="3">
        <f t="shared" si="59"/>
        <v>0</v>
      </c>
      <c r="L199" s="7">
        <f t="shared" si="60"/>
        <v>0</v>
      </c>
      <c r="M199" t="s">
        <v>187</v>
      </c>
      <c r="O199" s="3">
        <f>E199-'315805 - P0824'!F199</f>
        <v>0</v>
      </c>
      <c r="P199" s="30">
        <f>I199-'315805 - P0824'!J199</f>
        <v>0</v>
      </c>
    </row>
    <row r="200" spans="1:16" x14ac:dyDescent="0.25">
      <c r="A200">
        <v>198</v>
      </c>
      <c r="C200" t="s">
        <v>8</v>
      </c>
      <c r="D200" s="4" t="s">
        <v>191</v>
      </c>
      <c r="E200" s="12">
        <v>8.2200000000000006</v>
      </c>
      <c r="F200" s="12">
        <v>8.2200000000000006</v>
      </c>
      <c r="G200" s="6">
        <f t="shared" si="56"/>
        <v>0</v>
      </c>
      <c r="H200" s="7">
        <f t="shared" si="57"/>
        <v>0</v>
      </c>
      <c r="I200" s="8">
        <v>18.68</v>
      </c>
      <c r="J200" s="9">
        <f t="shared" si="58"/>
        <v>18.68</v>
      </c>
      <c r="K200" s="3">
        <f t="shared" si="59"/>
        <v>0</v>
      </c>
      <c r="L200" s="7">
        <f t="shared" si="60"/>
        <v>0</v>
      </c>
      <c r="M200" t="s">
        <v>187</v>
      </c>
      <c r="O200" s="3">
        <f>E200-'315805 - P0824'!F200</f>
        <v>0</v>
      </c>
      <c r="P200" s="30">
        <f>I200-'315805 - P0824'!J200</f>
        <v>0</v>
      </c>
    </row>
    <row r="201" spans="1:16" x14ac:dyDescent="0.25">
      <c r="A201">
        <v>199</v>
      </c>
      <c r="C201" t="s">
        <v>8</v>
      </c>
      <c r="D201" s="4" t="s">
        <v>192</v>
      </c>
      <c r="E201" s="12">
        <v>137.77000000000001</v>
      </c>
      <c r="F201" s="12">
        <v>137.77000000000001</v>
      </c>
      <c r="G201" s="6">
        <f t="shared" si="56"/>
        <v>0</v>
      </c>
      <c r="H201" s="7">
        <f t="shared" si="57"/>
        <v>0</v>
      </c>
      <c r="I201" s="8">
        <v>207.19</v>
      </c>
      <c r="J201" s="9">
        <f t="shared" si="58"/>
        <v>207.19</v>
      </c>
      <c r="K201" s="3">
        <f t="shared" si="59"/>
        <v>0</v>
      </c>
      <c r="L201" s="7">
        <f t="shared" si="60"/>
        <v>0</v>
      </c>
      <c r="M201" t="s">
        <v>187</v>
      </c>
      <c r="O201" s="3">
        <f>E201-'315805 - P0824'!F201</f>
        <v>0</v>
      </c>
      <c r="P201" s="30">
        <f>I201-'315805 - P0824'!J201</f>
        <v>0</v>
      </c>
    </row>
    <row r="202" spans="1:16" x14ac:dyDescent="0.25">
      <c r="A202">
        <v>200</v>
      </c>
      <c r="C202" t="s">
        <v>8</v>
      </c>
      <c r="D202" s="4" t="s">
        <v>193</v>
      </c>
      <c r="E202" s="12">
        <v>123.36</v>
      </c>
      <c r="F202" s="12">
        <v>123.36</v>
      </c>
      <c r="G202" s="6">
        <f t="shared" si="56"/>
        <v>0</v>
      </c>
      <c r="H202" s="7">
        <f t="shared" si="57"/>
        <v>0</v>
      </c>
      <c r="I202" s="8">
        <v>168.12183306239999</v>
      </c>
      <c r="J202" s="9">
        <f t="shared" si="58"/>
        <v>168.12183306239999</v>
      </c>
      <c r="K202" s="3">
        <f t="shared" si="59"/>
        <v>0</v>
      </c>
      <c r="L202" s="7">
        <f t="shared" si="60"/>
        <v>0</v>
      </c>
      <c r="M202" t="s">
        <v>187</v>
      </c>
      <c r="O202" s="3">
        <f>E202-'315805 - P0824'!F202</f>
        <v>0</v>
      </c>
      <c r="P202" s="30">
        <f>I202-'315805 - P0824'!J202</f>
        <v>0</v>
      </c>
    </row>
    <row r="203" spans="1:16" x14ac:dyDescent="0.25">
      <c r="A203">
        <v>201</v>
      </c>
      <c r="C203" t="s">
        <v>8</v>
      </c>
      <c r="D203" s="4" t="s">
        <v>194</v>
      </c>
      <c r="E203" s="12">
        <v>36.909999999999997</v>
      </c>
      <c r="F203" s="12">
        <v>36.909999999999997</v>
      </c>
      <c r="G203" s="6">
        <f t="shared" si="56"/>
        <v>0</v>
      </c>
      <c r="H203" s="7">
        <f t="shared" si="57"/>
        <v>0</v>
      </c>
      <c r="I203" s="8">
        <v>77.662452940799994</v>
      </c>
      <c r="J203" s="9">
        <f t="shared" si="58"/>
        <v>77.662452940799994</v>
      </c>
      <c r="K203" s="3">
        <f t="shared" si="59"/>
        <v>0</v>
      </c>
      <c r="L203" s="7">
        <f t="shared" si="60"/>
        <v>0</v>
      </c>
      <c r="M203" t="s">
        <v>187</v>
      </c>
      <c r="O203" s="3">
        <f>E203-'315805 - P0824'!F203</f>
        <v>0</v>
      </c>
      <c r="P203" s="30">
        <f>I203-'315805 - P0824'!J203</f>
        <v>0</v>
      </c>
    </row>
    <row r="204" spans="1:16" x14ac:dyDescent="0.25">
      <c r="A204">
        <v>202</v>
      </c>
      <c r="C204" t="s">
        <v>8</v>
      </c>
      <c r="D204" s="4" t="s">
        <v>195</v>
      </c>
      <c r="E204" s="12">
        <v>25.49</v>
      </c>
      <c r="F204" s="12">
        <v>25.49</v>
      </c>
      <c r="G204" s="6">
        <f>+F204-E204</f>
        <v>0</v>
      </c>
      <c r="H204" s="7">
        <f>(F204-E204)/ABS(E204)</f>
        <v>0</v>
      </c>
      <c r="I204" s="8">
        <v>39.21</v>
      </c>
      <c r="J204" s="9">
        <f>(I204*H204)+I204</f>
        <v>39.21</v>
      </c>
      <c r="K204" s="3">
        <f>J204-I204</f>
        <v>0</v>
      </c>
      <c r="L204" s="7">
        <f>(J204-I204)/ABS(I204)</f>
        <v>0</v>
      </c>
      <c r="M204" t="s">
        <v>187</v>
      </c>
      <c r="O204" s="3">
        <f>E204-'315805 - P0824'!F204</f>
        <v>0</v>
      </c>
      <c r="P204" s="30">
        <f>I204-'315805 - P0824'!J204</f>
        <v>0</v>
      </c>
    </row>
    <row r="205" spans="1:16" x14ac:dyDescent="0.25">
      <c r="A205">
        <v>203</v>
      </c>
      <c r="C205" t="s">
        <v>8</v>
      </c>
      <c r="D205" s="4" t="s">
        <v>196</v>
      </c>
      <c r="E205" s="12">
        <v>5.72</v>
      </c>
      <c r="F205" s="12">
        <v>5.72</v>
      </c>
      <c r="G205" s="6">
        <f t="shared" si="56"/>
        <v>0</v>
      </c>
      <c r="H205" s="7">
        <f t="shared" si="57"/>
        <v>0</v>
      </c>
      <c r="I205" s="8">
        <v>8.6487367680000027</v>
      </c>
      <c r="J205" s="9">
        <f t="shared" si="58"/>
        <v>8.6487367680000027</v>
      </c>
      <c r="K205" s="3">
        <f t="shared" si="59"/>
        <v>0</v>
      </c>
      <c r="L205" s="7">
        <f t="shared" si="60"/>
        <v>0</v>
      </c>
      <c r="M205" t="s">
        <v>187</v>
      </c>
      <c r="O205" s="3">
        <f>E205-'315805 - P0824'!F205</f>
        <v>0</v>
      </c>
      <c r="P205" s="30">
        <f>I205-'315805 - P0824'!J205</f>
        <v>0</v>
      </c>
    </row>
    <row r="206" spans="1:16" x14ac:dyDescent="0.25">
      <c r="A206">
        <v>204</v>
      </c>
      <c r="C206" t="s">
        <v>8</v>
      </c>
      <c r="D206" s="4" t="s">
        <v>197</v>
      </c>
      <c r="E206" s="12">
        <v>21.44</v>
      </c>
      <c r="F206" s="12">
        <v>21.44</v>
      </c>
      <c r="G206" s="6">
        <f t="shared" si="56"/>
        <v>0</v>
      </c>
      <c r="H206" s="7">
        <f t="shared" si="57"/>
        <v>0</v>
      </c>
      <c r="I206" s="8">
        <v>57.90134784</v>
      </c>
      <c r="J206" s="9">
        <f t="shared" si="58"/>
        <v>57.90134784</v>
      </c>
      <c r="K206" s="3">
        <f t="shared" si="59"/>
        <v>0</v>
      </c>
      <c r="L206" s="7">
        <f t="shared" si="60"/>
        <v>0</v>
      </c>
      <c r="M206" t="s">
        <v>187</v>
      </c>
      <c r="O206" s="3">
        <f>E206-'315805 - P0824'!F206</f>
        <v>0</v>
      </c>
      <c r="P206" s="30">
        <f>I206-'315805 - P0824'!J206</f>
        <v>0</v>
      </c>
    </row>
    <row r="207" spans="1:16" x14ac:dyDescent="0.25">
      <c r="A207">
        <v>205</v>
      </c>
      <c r="C207" t="s">
        <v>8</v>
      </c>
      <c r="D207" s="4" t="s">
        <v>198</v>
      </c>
      <c r="E207" s="12">
        <v>8.5399999999999991</v>
      </c>
      <c r="F207" s="12">
        <v>8.5399999999999991</v>
      </c>
      <c r="G207" s="6">
        <f t="shared" si="56"/>
        <v>0</v>
      </c>
      <c r="H207" s="7">
        <f t="shared" si="57"/>
        <v>0</v>
      </c>
      <c r="I207" s="8">
        <v>17.61</v>
      </c>
      <c r="J207" s="9">
        <f t="shared" si="58"/>
        <v>17.61</v>
      </c>
      <c r="K207" s="3">
        <f t="shared" si="59"/>
        <v>0</v>
      </c>
      <c r="L207" s="7">
        <f t="shared" si="60"/>
        <v>0</v>
      </c>
      <c r="M207" t="s">
        <v>187</v>
      </c>
      <c r="O207" s="3">
        <f>E207-'315805 - P0824'!F207</f>
        <v>0</v>
      </c>
      <c r="P207" s="30">
        <f>I207-'315805 - P0824'!J207</f>
        <v>0</v>
      </c>
    </row>
    <row r="208" spans="1:16" x14ac:dyDescent="0.25">
      <c r="A208">
        <v>206</v>
      </c>
      <c r="C208" t="s">
        <v>8</v>
      </c>
      <c r="D208" s="4" t="s">
        <v>199</v>
      </c>
      <c r="E208" s="12">
        <v>2.2400000000000002</v>
      </c>
      <c r="F208" s="12">
        <v>2.2400000000000002</v>
      </c>
      <c r="G208" s="6">
        <f t="shared" si="56"/>
        <v>0</v>
      </c>
      <c r="H208" s="7">
        <f t="shared" si="57"/>
        <v>0</v>
      </c>
      <c r="I208" s="8">
        <v>3.2169142539130431</v>
      </c>
      <c r="J208" s="9">
        <f t="shared" si="58"/>
        <v>3.2169142539130431</v>
      </c>
      <c r="K208" s="3">
        <f t="shared" si="59"/>
        <v>0</v>
      </c>
      <c r="L208" s="7">
        <f t="shared" si="60"/>
        <v>0</v>
      </c>
      <c r="M208" t="s">
        <v>187</v>
      </c>
      <c r="O208" s="3">
        <f>E208-'315805 - P0824'!F208</f>
        <v>0</v>
      </c>
      <c r="P208" s="30">
        <f>I208-'315805 - P0824'!J208</f>
        <v>0</v>
      </c>
    </row>
    <row r="209" spans="1:16" x14ac:dyDescent="0.25">
      <c r="A209">
        <v>207</v>
      </c>
      <c r="C209" t="s">
        <v>8</v>
      </c>
      <c r="D209" s="4" t="s">
        <v>200</v>
      </c>
      <c r="E209" s="12">
        <v>12.54</v>
      </c>
      <c r="F209" s="12">
        <v>12.54</v>
      </c>
      <c r="G209" s="6">
        <f t="shared" si="56"/>
        <v>0</v>
      </c>
      <c r="H209" s="7">
        <f t="shared" si="57"/>
        <v>0</v>
      </c>
      <c r="I209" s="8">
        <v>18.163175635862068</v>
      </c>
      <c r="J209" s="9">
        <f t="shared" si="58"/>
        <v>18.163175635862068</v>
      </c>
      <c r="K209" s="3">
        <f t="shared" si="59"/>
        <v>0</v>
      </c>
      <c r="L209" s="7">
        <f t="shared" si="60"/>
        <v>0</v>
      </c>
      <c r="M209" t="s">
        <v>187</v>
      </c>
      <c r="O209" s="3">
        <f>E209-'315805 - P0824'!F209</f>
        <v>0</v>
      </c>
      <c r="P209" s="30">
        <f>I209-'315805 - P0824'!J209</f>
        <v>0</v>
      </c>
    </row>
    <row r="210" spans="1:16" x14ac:dyDescent="0.25">
      <c r="A210">
        <v>208</v>
      </c>
      <c r="C210" t="s">
        <v>8</v>
      </c>
      <c r="D210" s="4" t="s">
        <v>201</v>
      </c>
      <c r="E210" s="12">
        <v>13.2</v>
      </c>
      <c r="F210" s="12">
        <v>13.2</v>
      </c>
      <c r="G210" s="6">
        <f t="shared" si="56"/>
        <v>0</v>
      </c>
      <c r="H210" s="7">
        <f t="shared" si="57"/>
        <v>0</v>
      </c>
      <c r="I210" s="8">
        <v>33.770000000000003</v>
      </c>
      <c r="J210" s="9">
        <f t="shared" si="58"/>
        <v>33.770000000000003</v>
      </c>
      <c r="K210" s="3">
        <f t="shared" si="59"/>
        <v>0</v>
      </c>
      <c r="L210" s="7">
        <f t="shared" si="60"/>
        <v>0</v>
      </c>
      <c r="M210" t="s">
        <v>187</v>
      </c>
      <c r="O210" s="3">
        <f>E210-'315805 - P0824'!F210</f>
        <v>0</v>
      </c>
      <c r="P210" s="30">
        <f>I210-'315805 - P0824'!J210</f>
        <v>0</v>
      </c>
    </row>
    <row r="211" spans="1:16" x14ac:dyDescent="0.25">
      <c r="A211">
        <v>209</v>
      </c>
      <c r="C211" t="s">
        <v>8</v>
      </c>
      <c r="D211" s="4" t="s">
        <v>202</v>
      </c>
      <c r="E211" s="12">
        <v>20.100000000000001</v>
      </c>
      <c r="F211" s="12">
        <v>20.100000000000001</v>
      </c>
      <c r="G211" s="6">
        <f t="shared" si="56"/>
        <v>0</v>
      </c>
      <c r="H211" s="7">
        <f t="shared" si="57"/>
        <v>0</v>
      </c>
      <c r="I211" s="8">
        <v>54.326307840000005</v>
      </c>
      <c r="J211" s="9">
        <f t="shared" si="58"/>
        <v>54.326307840000005</v>
      </c>
      <c r="K211" s="3">
        <f t="shared" si="59"/>
        <v>0</v>
      </c>
      <c r="L211" s="7">
        <f t="shared" si="60"/>
        <v>0</v>
      </c>
      <c r="M211" t="s">
        <v>187</v>
      </c>
      <c r="O211" s="3">
        <f>E211-'315805 - P0824'!F211</f>
        <v>0</v>
      </c>
      <c r="P211" s="30">
        <f>I211-'315805 - P0824'!J211</f>
        <v>0</v>
      </c>
    </row>
    <row r="212" spans="1:16" x14ac:dyDescent="0.25">
      <c r="A212">
        <v>210</v>
      </c>
      <c r="C212" t="s">
        <v>8</v>
      </c>
      <c r="D212" s="4" t="s">
        <v>203</v>
      </c>
      <c r="E212" s="12">
        <v>38.64</v>
      </c>
      <c r="F212" s="12">
        <v>38.64</v>
      </c>
      <c r="G212" s="6">
        <f t="shared" si="56"/>
        <v>0</v>
      </c>
      <c r="H212" s="7">
        <f t="shared" si="57"/>
        <v>0</v>
      </c>
      <c r="I212" s="8">
        <v>85.68</v>
      </c>
      <c r="J212" s="9">
        <f t="shared" si="58"/>
        <v>85.68</v>
      </c>
      <c r="K212" s="3">
        <f t="shared" si="59"/>
        <v>0</v>
      </c>
      <c r="L212" s="7">
        <f t="shared" si="60"/>
        <v>0</v>
      </c>
      <c r="M212" t="s">
        <v>187</v>
      </c>
      <c r="O212" s="3">
        <f>E212-'315805 - P0824'!F212</f>
        <v>0</v>
      </c>
      <c r="P212" s="30">
        <f>I212-'315805 - P0824'!J212</f>
        <v>0</v>
      </c>
    </row>
    <row r="213" spans="1:16" x14ac:dyDescent="0.25">
      <c r="A213">
        <v>211</v>
      </c>
      <c r="C213" t="s">
        <v>8</v>
      </c>
      <c r="D213" s="4" t="s">
        <v>204</v>
      </c>
      <c r="E213" s="12">
        <v>17.16</v>
      </c>
      <c r="F213" s="12">
        <v>17.16</v>
      </c>
      <c r="G213" s="6">
        <f t="shared" si="56"/>
        <v>0</v>
      </c>
      <c r="H213" s="7">
        <f t="shared" si="57"/>
        <v>0</v>
      </c>
      <c r="I213" s="8">
        <v>26.391854075214955</v>
      </c>
      <c r="J213" s="9">
        <f t="shared" si="58"/>
        <v>26.391854075214955</v>
      </c>
      <c r="K213" s="3">
        <f t="shared" si="59"/>
        <v>0</v>
      </c>
      <c r="L213" s="7">
        <f t="shared" si="60"/>
        <v>0</v>
      </c>
      <c r="M213" t="s">
        <v>187</v>
      </c>
      <c r="O213" s="3">
        <f>E213-'315805 - P0824'!F213</f>
        <v>0</v>
      </c>
      <c r="P213" s="30">
        <f>I213-'315805 - P0824'!J213</f>
        <v>0</v>
      </c>
    </row>
    <row r="214" spans="1:16" x14ac:dyDescent="0.25">
      <c r="A214">
        <v>212</v>
      </c>
      <c r="C214" t="s">
        <v>8</v>
      </c>
      <c r="D214" s="4" t="s">
        <v>205</v>
      </c>
      <c r="E214" s="12">
        <v>30.07</v>
      </c>
      <c r="F214" s="12">
        <v>30.07</v>
      </c>
      <c r="G214" s="6">
        <f t="shared" si="56"/>
        <v>0</v>
      </c>
      <c r="H214" s="7">
        <f t="shared" si="57"/>
        <v>0</v>
      </c>
      <c r="I214" s="8">
        <v>35.416393485128204</v>
      </c>
      <c r="J214" s="9">
        <f t="shared" si="58"/>
        <v>35.416393485128204</v>
      </c>
      <c r="K214" s="3">
        <f t="shared" si="59"/>
        <v>0</v>
      </c>
      <c r="L214" s="7">
        <f t="shared" si="60"/>
        <v>0</v>
      </c>
      <c r="M214" t="s">
        <v>187</v>
      </c>
      <c r="O214" s="3">
        <f>E214-'315805 - P0824'!F214</f>
        <v>0</v>
      </c>
      <c r="P214" s="30">
        <f>I214-'315805 - P0824'!J214</f>
        <v>0</v>
      </c>
    </row>
    <row r="215" spans="1:16" x14ac:dyDescent="0.25">
      <c r="A215">
        <v>213</v>
      </c>
      <c r="C215" t="s">
        <v>8</v>
      </c>
      <c r="D215" s="4" t="s">
        <v>206</v>
      </c>
      <c r="E215" s="12">
        <v>30.42</v>
      </c>
      <c r="F215" s="12">
        <v>30.42</v>
      </c>
      <c r="G215" s="6">
        <f t="shared" si="56"/>
        <v>0</v>
      </c>
      <c r="H215" s="7">
        <f t="shared" si="57"/>
        <v>0</v>
      </c>
      <c r="I215" s="8">
        <v>42.49</v>
      </c>
      <c r="J215" s="9">
        <f t="shared" si="58"/>
        <v>42.49</v>
      </c>
      <c r="K215" s="3">
        <f t="shared" si="59"/>
        <v>0</v>
      </c>
      <c r="L215" s="7">
        <f t="shared" si="60"/>
        <v>0</v>
      </c>
      <c r="M215" t="s">
        <v>187</v>
      </c>
      <c r="O215" s="3">
        <f>E215-'315805 - P0824'!F215</f>
        <v>0</v>
      </c>
      <c r="P215" s="30">
        <f>I215-'315805 - P0824'!J215</f>
        <v>0</v>
      </c>
    </row>
    <row r="216" spans="1:16" x14ac:dyDescent="0.25">
      <c r="A216">
        <v>214</v>
      </c>
      <c r="C216" t="s">
        <v>8</v>
      </c>
      <c r="D216" s="4" t="s">
        <v>207</v>
      </c>
      <c r="E216" s="12">
        <v>2.4</v>
      </c>
      <c r="F216" s="12">
        <v>2.4</v>
      </c>
      <c r="G216" s="6">
        <f t="shared" si="56"/>
        <v>0</v>
      </c>
      <c r="H216" s="7">
        <f t="shared" si="57"/>
        <v>0</v>
      </c>
      <c r="I216" s="8">
        <v>4.84</v>
      </c>
      <c r="J216" s="9">
        <f t="shared" si="58"/>
        <v>4.84</v>
      </c>
      <c r="K216" s="3">
        <f t="shared" si="59"/>
        <v>0</v>
      </c>
      <c r="L216" s="7">
        <f t="shared" si="60"/>
        <v>0</v>
      </c>
      <c r="M216" t="s">
        <v>187</v>
      </c>
      <c r="O216" s="3">
        <f>E216-'315805 - P0824'!F216</f>
        <v>0</v>
      </c>
      <c r="P216" s="30">
        <f>I216-'315805 - P0824'!J216</f>
        <v>0</v>
      </c>
    </row>
    <row r="217" spans="1:16" x14ac:dyDescent="0.25">
      <c r="A217">
        <v>215</v>
      </c>
      <c r="C217" t="s">
        <v>8</v>
      </c>
      <c r="D217" s="4" t="s">
        <v>208</v>
      </c>
      <c r="E217" s="12">
        <v>3.66</v>
      </c>
      <c r="F217" s="12">
        <v>3.66</v>
      </c>
      <c r="G217" s="6">
        <f t="shared" si="56"/>
        <v>0</v>
      </c>
      <c r="H217" s="7">
        <f t="shared" si="57"/>
        <v>0</v>
      </c>
      <c r="I217" s="8">
        <v>5.4831979136563875</v>
      </c>
      <c r="J217" s="9">
        <f t="shared" si="58"/>
        <v>5.4831979136563875</v>
      </c>
      <c r="K217" s="3">
        <f t="shared" si="59"/>
        <v>0</v>
      </c>
      <c r="L217" s="7">
        <f t="shared" si="60"/>
        <v>0</v>
      </c>
      <c r="M217" t="s">
        <v>187</v>
      </c>
      <c r="O217" s="3">
        <f>E217-'315805 - P0824'!F217</f>
        <v>0</v>
      </c>
      <c r="P217" s="30">
        <f>I217-'315805 - P0824'!J217</f>
        <v>0</v>
      </c>
    </row>
    <row r="218" spans="1:16" x14ac:dyDescent="0.25">
      <c r="A218">
        <v>216</v>
      </c>
      <c r="C218" t="s">
        <v>8</v>
      </c>
      <c r="D218" s="4" t="s">
        <v>209</v>
      </c>
      <c r="E218" s="12">
        <v>3.26</v>
      </c>
      <c r="F218" s="12">
        <v>3.26</v>
      </c>
      <c r="G218" s="13">
        <f t="shared" si="56"/>
        <v>0</v>
      </c>
      <c r="H218" s="7">
        <f t="shared" si="57"/>
        <v>0</v>
      </c>
      <c r="I218" s="8">
        <v>5.48</v>
      </c>
      <c r="J218" s="9">
        <f t="shared" si="58"/>
        <v>5.48</v>
      </c>
      <c r="K218" s="3">
        <f t="shared" si="59"/>
        <v>0</v>
      </c>
      <c r="L218" s="7">
        <f t="shared" si="60"/>
        <v>0</v>
      </c>
      <c r="M218" t="s">
        <v>187</v>
      </c>
      <c r="O218" s="3">
        <f>E218-'315805 - P0824'!F218</f>
        <v>0</v>
      </c>
      <c r="P218" s="30">
        <f>I218-'315805 - P0824'!J218</f>
        <v>0</v>
      </c>
    </row>
    <row r="219" spans="1:16" x14ac:dyDescent="0.25">
      <c r="A219">
        <v>217</v>
      </c>
      <c r="C219" t="s">
        <v>8</v>
      </c>
      <c r="D219" s="4" t="s">
        <v>210</v>
      </c>
      <c r="E219" s="12">
        <v>4.46</v>
      </c>
      <c r="F219" s="12">
        <v>4.46</v>
      </c>
      <c r="G219" s="6">
        <f t="shared" si="56"/>
        <v>0</v>
      </c>
      <c r="H219" s="7">
        <f t="shared" si="57"/>
        <v>0</v>
      </c>
      <c r="I219" s="8">
        <v>6.8717173187003597</v>
      </c>
      <c r="J219" s="9">
        <f t="shared" si="58"/>
        <v>6.8717173187003597</v>
      </c>
      <c r="K219" s="3">
        <f t="shared" si="59"/>
        <v>0</v>
      </c>
      <c r="L219" s="7">
        <f t="shared" si="60"/>
        <v>0</v>
      </c>
      <c r="M219" t="s">
        <v>187</v>
      </c>
      <c r="O219" s="3">
        <f>E219-'315805 - P0824'!F219</f>
        <v>0</v>
      </c>
      <c r="P219" s="30">
        <f>I219-'315805 - P0824'!J219</f>
        <v>0</v>
      </c>
    </row>
    <row r="220" spans="1:16" x14ac:dyDescent="0.25">
      <c r="A220">
        <v>218</v>
      </c>
      <c r="C220" t="s">
        <v>8</v>
      </c>
      <c r="D220" s="4" t="s">
        <v>211</v>
      </c>
      <c r="E220" s="12">
        <v>1.78</v>
      </c>
      <c r="F220" s="12">
        <v>1.78</v>
      </c>
      <c r="G220" s="6">
        <f t="shared" si="56"/>
        <v>0</v>
      </c>
      <c r="H220" s="7">
        <f t="shared" si="57"/>
        <v>0</v>
      </c>
      <c r="I220" s="8">
        <v>3.6982813789090896</v>
      </c>
      <c r="J220" s="9">
        <f t="shared" si="58"/>
        <v>3.6982813789090896</v>
      </c>
      <c r="K220" s="3">
        <f t="shared" si="59"/>
        <v>0</v>
      </c>
      <c r="L220" s="7">
        <f t="shared" si="60"/>
        <v>0</v>
      </c>
      <c r="M220" t="s">
        <v>187</v>
      </c>
      <c r="O220" s="3">
        <f>E220-'315805 - P0824'!F220</f>
        <v>0</v>
      </c>
      <c r="P220" s="30">
        <f>I220-'315805 - P0824'!J220</f>
        <v>0</v>
      </c>
    </row>
    <row r="221" spans="1:16" x14ac:dyDescent="0.25">
      <c r="A221">
        <v>219</v>
      </c>
      <c r="C221" t="s">
        <v>8</v>
      </c>
      <c r="D221" s="4" t="s">
        <v>212</v>
      </c>
      <c r="E221" s="12">
        <v>2.66</v>
      </c>
      <c r="F221" s="12">
        <v>2.66</v>
      </c>
      <c r="G221" s="6">
        <f t="shared" si="56"/>
        <v>0</v>
      </c>
      <c r="H221" s="7">
        <f t="shared" si="57"/>
        <v>0</v>
      </c>
      <c r="I221" s="8">
        <v>4.4491697803636372</v>
      </c>
      <c r="J221" s="9">
        <f t="shared" si="58"/>
        <v>4.4491697803636372</v>
      </c>
      <c r="K221" s="3">
        <f t="shared" si="59"/>
        <v>0</v>
      </c>
      <c r="L221" s="7">
        <f t="shared" si="60"/>
        <v>0</v>
      </c>
      <c r="M221" t="s">
        <v>187</v>
      </c>
      <c r="O221" s="3">
        <f>E221-'315805 - P0824'!F221</f>
        <v>0</v>
      </c>
      <c r="P221" s="30">
        <f>I221-'315805 - P0824'!J221</f>
        <v>0</v>
      </c>
    </row>
    <row r="222" spans="1:16" x14ac:dyDescent="0.25">
      <c r="A222">
        <v>220</v>
      </c>
      <c r="C222" t="s">
        <v>8</v>
      </c>
      <c r="D222" s="4" t="s">
        <v>213</v>
      </c>
      <c r="E222" s="12">
        <v>2.85</v>
      </c>
      <c r="F222" s="12">
        <v>2.85</v>
      </c>
      <c r="G222" s="6">
        <f t="shared" si="56"/>
        <v>0</v>
      </c>
      <c r="H222" s="7">
        <f t="shared" si="57"/>
        <v>0</v>
      </c>
      <c r="I222" s="8">
        <v>7.25</v>
      </c>
      <c r="J222" s="9">
        <f t="shared" si="58"/>
        <v>7.25</v>
      </c>
      <c r="K222" s="3">
        <f t="shared" si="59"/>
        <v>0</v>
      </c>
      <c r="L222" s="7">
        <f t="shared" si="60"/>
        <v>0</v>
      </c>
      <c r="M222" t="s">
        <v>187</v>
      </c>
      <c r="O222" s="3">
        <f>E222-'315805 - P0824'!F222</f>
        <v>0</v>
      </c>
      <c r="P222" s="30">
        <f>I222-'315805 - P0824'!J222</f>
        <v>0</v>
      </c>
    </row>
    <row r="223" spans="1:16" x14ac:dyDescent="0.25">
      <c r="A223">
        <v>221</v>
      </c>
      <c r="C223" t="s">
        <v>8</v>
      </c>
      <c r="D223" s="4" t="s">
        <v>465</v>
      </c>
      <c r="E223" s="12">
        <v>2.5099999999999998</v>
      </c>
      <c r="F223" s="12">
        <v>2.5099999999999998</v>
      </c>
      <c r="G223" s="6">
        <f t="shared" si="56"/>
        <v>0</v>
      </c>
      <c r="H223" s="7">
        <f t="shared" si="57"/>
        <v>0</v>
      </c>
      <c r="I223" s="8">
        <v>4.32</v>
      </c>
      <c r="J223" s="9">
        <f t="shared" si="58"/>
        <v>4.32</v>
      </c>
      <c r="K223" s="3">
        <f t="shared" si="59"/>
        <v>0</v>
      </c>
      <c r="L223" s="7">
        <f t="shared" si="60"/>
        <v>0</v>
      </c>
      <c r="M223" t="s">
        <v>187</v>
      </c>
      <c r="O223" s="3">
        <f>E223-'315805 - P0824'!F223</f>
        <v>0</v>
      </c>
      <c r="P223" s="30">
        <f>I223-'315805 - P0824'!J223</f>
        <v>0</v>
      </c>
    </row>
    <row r="224" spans="1:16" x14ac:dyDescent="0.25">
      <c r="A224">
        <v>222</v>
      </c>
      <c r="C224" t="s">
        <v>8</v>
      </c>
      <c r="D224" s="4" t="s">
        <v>214</v>
      </c>
      <c r="E224" s="12">
        <v>2.69</v>
      </c>
      <c r="F224" s="12">
        <v>2.69</v>
      </c>
      <c r="G224" s="6">
        <f t="shared" si="56"/>
        <v>0</v>
      </c>
      <c r="H224" s="7">
        <f t="shared" si="57"/>
        <v>0</v>
      </c>
      <c r="I224" s="8">
        <v>4.49</v>
      </c>
      <c r="J224" s="9">
        <f t="shared" si="58"/>
        <v>4.49</v>
      </c>
      <c r="K224" s="3">
        <f t="shared" si="59"/>
        <v>0</v>
      </c>
      <c r="L224" s="7">
        <f t="shared" si="60"/>
        <v>0</v>
      </c>
      <c r="M224" t="s">
        <v>187</v>
      </c>
      <c r="O224" s="3">
        <f>E224-'315805 - P0824'!F224</f>
        <v>0</v>
      </c>
      <c r="P224" s="30">
        <f>I224-'315805 - P0824'!J224</f>
        <v>0</v>
      </c>
    </row>
    <row r="225" spans="1:16" x14ac:dyDescent="0.25">
      <c r="A225">
        <v>223</v>
      </c>
      <c r="C225" t="s">
        <v>8</v>
      </c>
      <c r="D225" s="4" t="s">
        <v>215</v>
      </c>
      <c r="E225" s="12">
        <v>0.45</v>
      </c>
      <c r="F225" s="12">
        <v>0.45</v>
      </c>
      <c r="G225" s="6">
        <f t="shared" si="56"/>
        <v>0</v>
      </c>
      <c r="H225" s="7">
        <f t="shared" si="57"/>
        <v>0</v>
      </c>
      <c r="I225" s="8">
        <v>0.70471188480000002</v>
      </c>
      <c r="J225" s="9">
        <f t="shared" si="58"/>
        <v>0.70471188480000002</v>
      </c>
      <c r="K225" s="3">
        <f t="shared" si="59"/>
        <v>0</v>
      </c>
      <c r="L225" s="7">
        <f t="shared" si="60"/>
        <v>0</v>
      </c>
      <c r="M225" t="s">
        <v>187</v>
      </c>
      <c r="O225" s="3">
        <f>E225-'315805 - P0824'!F225</f>
        <v>0</v>
      </c>
      <c r="P225" s="30">
        <f>I225-'315805 - P0824'!J225</f>
        <v>0</v>
      </c>
    </row>
    <row r="226" spans="1:16" x14ac:dyDescent="0.25">
      <c r="A226">
        <v>224</v>
      </c>
      <c r="C226" t="s">
        <v>8</v>
      </c>
      <c r="D226" s="4" t="s">
        <v>216</v>
      </c>
      <c r="E226" s="12">
        <v>1.1000000000000001</v>
      </c>
      <c r="F226" s="12">
        <v>1.1000000000000001</v>
      </c>
      <c r="G226" s="6">
        <f t="shared" si="56"/>
        <v>0</v>
      </c>
      <c r="H226" s="7">
        <f t="shared" si="57"/>
        <v>0</v>
      </c>
      <c r="I226" s="8">
        <v>1.23</v>
      </c>
      <c r="J226" s="9">
        <f t="shared" si="58"/>
        <v>1.23</v>
      </c>
      <c r="K226" s="3">
        <f t="shared" si="59"/>
        <v>0</v>
      </c>
      <c r="L226" s="7">
        <f t="shared" si="60"/>
        <v>0</v>
      </c>
      <c r="M226" t="s">
        <v>187</v>
      </c>
      <c r="O226" s="3">
        <f>E226-'315805 - P0824'!F226</f>
        <v>0</v>
      </c>
      <c r="P226" s="30">
        <f>I226-'315805 - P0824'!J226</f>
        <v>0</v>
      </c>
    </row>
    <row r="227" spans="1:16" x14ac:dyDescent="0.25">
      <c r="A227">
        <v>225</v>
      </c>
      <c r="C227" t="s">
        <v>8</v>
      </c>
      <c r="D227" s="4" t="s">
        <v>217</v>
      </c>
      <c r="E227" s="12">
        <v>1.1000000000000001</v>
      </c>
      <c r="F227" s="12">
        <v>1.1000000000000001</v>
      </c>
      <c r="G227" s="6">
        <f t="shared" si="56"/>
        <v>0</v>
      </c>
      <c r="H227" s="7">
        <f t="shared" si="57"/>
        <v>0</v>
      </c>
      <c r="I227" s="8">
        <v>1.8621752470588233</v>
      </c>
      <c r="J227" s="9">
        <f t="shared" si="58"/>
        <v>1.8621752470588233</v>
      </c>
      <c r="K227" s="3">
        <f t="shared" si="59"/>
        <v>0</v>
      </c>
      <c r="L227" s="7">
        <f t="shared" si="60"/>
        <v>0</v>
      </c>
      <c r="M227" t="s">
        <v>187</v>
      </c>
      <c r="O227" s="3">
        <f>E227-'315805 - P0824'!F227</f>
        <v>0</v>
      </c>
      <c r="P227" s="30">
        <f>I227-'315805 - P0824'!J227</f>
        <v>0</v>
      </c>
    </row>
    <row r="228" spans="1:16" x14ac:dyDescent="0.25">
      <c r="A228">
        <v>226</v>
      </c>
      <c r="C228" t="s">
        <v>8</v>
      </c>
      <c r="D228" s="4" t="s">
        <v>218</v>
      </c>
      <c r="E228" s="12">
        <v>1.28</v>
      </c>
      <c r="F228" s="12">
        <v>1.28</v>
      </c>
      <c r="G228" s="6">
        <f t="shared" si="56"/>
        <v>0</v>
      </c>
      <c r="H228" s="7">
        <f t="shared" si="57"/>
        <v>0</v>
      </c>
      <c r="I228" s="8">
        <v>2.3682151048101265</v>
      </c>
      <c r="J228" s="9">
        <f t="shared" si="58"/>
        <v>2.3682151048101265</v>
      </c>
      <c r="K228" s="3">
        <f t="shared" si="59"/>
        <v>0</v>
      </c>
      <c r="L228" s="7">
        <f t="shared" si="60"/>
        <v>0</v>
      </c>
      <c r="M228" t="s">
        <v>187</v>
      </c>
      <c r="O228" s="3">
        <f>E228-'315805 - P0824'!F228</f>
        <v>0</v>
      </c>
      <c r="P228" s="30">
        <f>I228-'315805 - P0824'!J228</f>
        <v>0</v>
      </c>
    </row>
    <row r="229" spans="1:16" x14ac:dyDescent="0.25">
      <c r="A229">
        <v>227</v>
      </c>
      <c r="C229" t="s">
        <v>8</v>
      </c>
      <c r="D229" s="4" t="s">
        <v>219</v>
      </c>
      <c r="E229" s="12">
        <v>2.64</v>
      </c>
      <c r="F229" s="12">
        <v>2.64</v>
      </c>
      <c r="G229" s="6">
        <f t="shared" si="56"/>
        <v>0</v>
      </c>
      <c r="H229" s="7">
        <f t="shared" si="57"/>
        <v>0</v>
      </c>
      <c r="I229" s="8">
        <v>5.58</v>
      </c>
      <c r="J229" s="9">
        <f t="shared" si="58"/>
        <v>5.58</v>
      </c>
      <c r="K229" s="3">
        <f t="shared" si="59"/>
        <v>0</v>
      </c>
      <c r="L229" s="7">
        <f t="shared" si="60"/>
        <v>0</v>
      </c>
      <c r="M229" t="s">
        <v>187</v>
      </c>
      <c r="O229" s="3">
        <f>E229-'315805 - P0824'!F229</f>
        <v>0</v>
      </c>
      <c r="P229" s="30">
        <f>I229-'315805 - P0824'!J229</f>
        <v>0</v>
      </c>
    </row>
    <row r="230" spans="1:16" x14ac:dyDescent="0.25">
      <c r="A230">
        <v>228</v>
      </c>
      <c r="C230" t="s">
        <v>8</v>
      </c>
      <c r="D230" s="4" t="s">
        <v>220</v>
      </c>
      <c r="E230" s="12">
        <v>0.09</v>
      </c>
      <c r="F230" s="12">
        <v>0.09</v>
      </c>
      <c r="G230" s="6">
        <f t="shared" si="56"/>
        <v>0</v>
      </c>
      <c r="H230" s="7">
        <f t="shared" si="57"/>
        <v>0</v>
      </c>
      <c r="I230" s="8">
        <v>0.19219415040000001</v>
      </c>
      <c r="J230" s="9">
        <f t="shared" si="58"/>
        <v>0.19219415040000001</v>
      </c>
      <c r="K230" s="3">
        <f t="shared" si="59"/>
        <v>0</v>
      </c>
      <c r="L230" s="7">
        <f t="shared" si="60"/>
        <v>0</v>
      </c>
      <c r="M230" t="s">
        <v>187</v>
      </c>
      <c r="O230" s="3">
        <f>E230-'315805 - P0824'!F230</f>
        <v>0</v>
      </c>
      <c r="P230" s="30">
        <f>I230-'315805 - P0824'!J230</f>
        <v>0</v>
      </c>
    </row>
    <row r="231" spans="1:16" x14ac:dyDescent="0.25">
      <c r="A231">
        <v>229</v>
      </c>
      <c r="C231" t="s">
        <v>8</v>
      </c>
      <c r="D231" s="4" t="s">
        <v>221</v>
      </c>
      <c r="E231" s="12">
        <v>1.01</v>
      </c>
      <c r="F231" s="12">
        <v>1.01</v>
      </c>
      <c r="G231" s="6">
        <f t="shared" si="56"/>
        <v>0</v>
      </c>
      <c r="H231" s="7">
        <f t="shared" si="57"/>
        <v>0</v>
      </c>
      <c r="I231" s="8">
        <v>1.6874188799999998</v>
      </c>
      <c r="J231" s="9">
        <f t="shared" si="58"/>
        <v>1.6874188799999998</v>
      </c>
      <c r="K231" s="3">
        <f t="shared" si="59"/>
        <v>0</v>
      </c>
      <c r="L231" s="7">
        <f t="shared" si="60"/>
        <v>0</v>
      </c>
      <c r="M231" t="s">
        <v>187</v>
      </c>
      <c r="O231" s="3">
        <f>E231-'315805 - P0824'!F231</f>
        <v>0</v>
      </c>
      <c r="P231" s="30">
        <f>I231-'315805 - P0824'!J231</f>
        <v>0</v>
      </c>
    </row>
    <row r="232" spans="1:16" x14ac:dyDescent="0.25">
      <c r="A232">
        <v>230</v>
      </c>
      <c r="C232" t="s">
        <v>8</v>
      </c>
      <c r="D232" s="4" t="s">
        <v>222</v>
      </c>
      <c r="E232" s="12">
        <v>0.06</v>
      </c>
      <c r="F232" s="12">
        <v>0.06</v>
      </c>
      <c r="G232" s="6">
        <f t="shared" si="56"/>
        <v>0</v>
      </c>
      <c r="H232" s="7">
        <f t="shared" si="57"/>
        <v>0</v>
      </c>
      <c r="I232" s="8">
        <v>2.29</v>
      </c>
      <c r="J232" s="9">
        <f t="shared" si="58"/>
        <v>2.29</v>
      </c>
      <c r="K232" s="3">
        <f t="shared" si="59"/>
        <v>0</v>
      </c>
      <c r="L232" s="7">
        <f t="shared" si="60"/>
        <v>0</v>
      </c>
      <c r="M232" t="s">
        <v>187</v>
      </c>
      <c r="O232" s="3">
        <f>E232-'315805 - P0824'!F232</f>
        <v>0</v>
      </c>
      <c r="P232" s="30">
        <f>I232-'315805 - P0824'!J232</f>
        <v>0</v>
      </c>
    </row>
    <row r="233" spans="1:16" x14ac:dyDescent="0.25">
      <c r="A233">
        <v>231</v>
      </c>
      <c r="C233" t="s">
        <v>8</v>
      </c>
      <c r="D233" s="4" t="s">
        <v>223</v>
      </c>
      <c r="E233" s="12">
        <v>4.1399999999999997</v>
      </c>
      <c r="F233" s="12">
        <v>4.1399999999999997</v>
      </c>
      <c r="G233" s="6">
        <f t="shared" si="56"/>
        <v>0</v>
      </c>
      <c r="H233" s="7">
        <f t="shared" si="57"/>
        <v>0</v>
      </c>
      <c r="I233" s="8">
        <v>6.49</v>
      </c>
      <c r="J233" s="9">
        <f t="shared" si="58"/>
        <v>6.49</v>
      </c>
      <c r="K233" s="3">
        <f t="shared" si="59"/>
        <v>0</v>
      </c>
      <c r="L233" s="7">
        <f t="shared" si="60"/>
        <v>0</v>
      </c>
      <c r="M233" t="s">
        <v>187</v>
      </c>
      <c r="O233" s="3">
        <f>E233-'315805 - P0824'!F233</f>
        <v>0</v>
      </c>
      <c r="P233" s="30">
        <f>I233-'315805 - P0824'!J233</f>
        <v>0</v>
      </c>
    </row>
    <row r="234" spans="1:16" x14ac:dyDescent="0.25">
      <c r="A234">
        <v>232</v>
      </c>
      <c r="C234" t="s">
        <v>8</v>
      </c>
      <c r="D234" s="4" t="s">
        <v>224</v>
      </c>
      <c r="E234" s="12">
        <v>24.6</v>
      </c>
      <c r="F234" s="12">
        <v>24.6</v>
      </c>
      <c r="G234" s="6">
        <f t="shared" si="56"/>
        <v>0</v>
      </c>
      <c r="H234" s="7">
        <f t="shared" si="57"/>
        <v>0</v>
      </c>
      <c r="I234" s="8">
        <v>37.85520480000001</v>
      </c>
      <c r="J234" s="9">
        <f t="shared" si="58"/>
        <v>37.85520480000001</v>
      </c>
      <c r="K234" s="3">
        <f t="shared" si="59"/>
        <v>0</v>
      </c>
      <c r="L234" s="7">
        <f t="shared" si="60"/>
        <v>0</v>
      </c>
      <c r="M234" t="s">
        <v>187</v>
      </c>
      <c r="O234" s="3">
        <f>E234-'315805 - P0824'!F234</f>
        <v>0</v>
      </c>
      <c r="P234" s="30">
        <f>I234-'315805 - P0824'!J234</f>
        <v>0</v>
      </c>
    </row>
    <row r="235" spans="1:16" x14ac:dyDescent="0.25">
      <c r="A235">
        <v>233</v>
      </c>
      <c r="C235" t="s">
        <v>8</v>
      </c>
      <c r="D235" s="4" t="s">
        <v>225</v>
      </c>
      <c r="E235" s="12">
        <v>8.41</v>
      </c>
      <c r="F235" s="12">
        <v>8.41</v>
      </c>
      <c r="G235" s="6">
        <f t="shared" si="56"/>
        <v>0</v>
      </c>
      <c r="H235" s="7">
        <f t="shared" si="57"/>
        <v>0</v>
      </c>
      <c r="I235" s="8">
        <v>17.605379996335873</v>
      </c>
      <c r="J235" s="9">
        <f t="shared" si="58"/>
        <v>17.605379996335873</v>
      </c>
      <c r="K235" s="3">
        <f t="shared" si="59"/>
        <v>0</v>
      </c>
      <c r="L235" s="7">
        <f t="shared" si="60"/>
        <v>0</v>
      </c>
      <c r="M235" t="s">
        <v>187</v>
      </c>
      <c r="O235" s="3">
        <f>E235-'315805 - P0824'!F235</f>
        <v>0</v>
      </c>
      <c r="P235" s="30">
        <f>I235-'315805 - P0824'!J235</f>
        <v>0</v>
      </c>
    </row>
    <row r="236" spans="1:16" x14ac:dyDescent="0.25">
      <c r="A236">
        <v>234</v>
      </c>
      <c r="C236" t="s">
        <v>8</v>
      </c>
      <c r="D236" s="4" t="s">
        <v>226</v>
      </c>
      <c r="E236" s="12">
        <v>19.87</v>
      </c>
      <c r="F236" s="12">
        <v>19.87</v>
      </c>
      <c r="G236" s="6">
        <f t="shared" si="56"/>
        <v>0</v>
      </c>
      <c r="H236" s="7">
        <f t="shared" si="57"/>
        <v>0</v>
      </c>
      <c r="I236" s="8">
        <v>37.722017205436892</v>
      </c>
      <c r="J236" s="9">
        <f t="shared" si="58"/>
        <v>37.722017205436892</v>
      </c>
      <c r="K236" s="3">
        <f t="shared" si="59"/>
        <v>0</v>
      </c>
      <c r="L236" s="7">
        <f t="shared" si="60"/>
        <v>0</v>
      </c>
      <c r="M236" t="s">
        <v>187</v>
      </c>
      <c r="O236" s="3">
        <f>E236-'315805 - P0824'!F236</f>
        <v>0</v>
      </c>
      <c r="P236" s="30">
        <f>I236-'315805 - P0824'!J236</f>
        <v>0</v>
      </c>
    </row>
    <row r="237" spans="1:16" x14ac:dyDescent="0.25">
      <c r="A237">
        <v>235</v>
      </c>
      <c r="C237" t="s">
        <v>8</v>
      </c>
      <c r="D237" s="4" t="s">
        <v>227</v>
      </c>
      <c r="E237" s="12">
        <v>19.89</v>
      </c>
      <c r="F237" s="12">
        <v>19.89</v>
      </c>
      <c r="G237" s="6">
        <f t="shared" si="56"/>
        <v>0</v>
      </c>
      <c r="H237" s="7">
        <f t="shared" si="57"/>
        <v>0</v>
      </c>
      <c r="I237" s="8">
        <v>39.222494967342996</v>
      </c>
      <c r="J237" s="9">
        <f t="shared" si="58"/>
        <v>39.222494967342996</v>
      </c>
      <c r="K237" s="3">
        <f t="shared" si="59"/>
        <v>0</v>
      </c>
      <c r="L237" s="7">
        <f t="shared" si="60"/>
        <v>0</v>
      </c>
      <c r="M237" t="s">
        <v>187</v>
      </c>
      <c r="O237" s="3">
        <f>E237-'315805 - P0824'!F237</f>
        <v>0</v>
      </c>
      <c r="P237" s="30">
        <f>I237-'315805 - P0824'!J237</f>
        <v>0</v>
      </c>
    </row>
    <row r="238" spans="1:16" x14ac:dyDescent="0.25">
      <c r="A238">
        <v>236</v>
      </c>
      <c r="C238" t="s">
        <v>8</v>
      </c>
      <c r="D238" s="4" t="s">
        <v>228</v>
      </c>
      <c r="E238" s="12">
        <v>4.71</v>
      </c>
      <c r="F238" s="12">
        <v>4.71</v>
      </c>
      <c r="G238" s="6">
        <f t="shared" si="56"/>
        <v>0</v>
      </c>
      <c r="H238" s="7">
        <f t="shared" si="57"/>
        <v>0</v>
      </c>
      <c r="I238" s="8">
        <v>11.98</v>
      </c>
      <c r="J238" s="9">
        <f t="shared" si="58"/>
        <v>11.98</v>
      </c>
      <c r="K238" s="3">
        <f t="shared" si="59"/>
        <v>0</v>
      </c>
      <c r="L238" s="7">
        <f t="shared" si="60"/>
        <v>0</v>
      </c>
      <c r="M238" t="s">
        <v>187</v>
      </c>
      <c r="O238" s="3">
        <f>E238-'315805 - P0824'!F238</f>
        <v>0</v>
      </c>
      <c r="P238" s="30">
        <f>I238-'315805 - P0824'!J238</f>
        <v>0</v>
      </c>
    </row>
    <row r="239" spans="1:16" x14ac:dyDescent="0.25">
      <c r="A239">
        <v>237</v>
      </c>
      <c r="C239" t="s">
        <v>8</v>
      </c>
      <c r="D239" s="4" t="s">
        <v>229</v>
      </c>
      <c r="E239" s="12">
        <v>51.79</v>
      </c>
      <c r="F239" s="12">
        <v>51.79</v>
      </c>
      <c r="G239" s="6">
        <f t="shared" si="56"/>
        <v>0</v>
      </c>
      <c r="H239" s="7">
        <f t="shared" si="57"/>
        <v>0</v>
      </c>
      <c r="I239" s="8">
        <v>79.680000000000007</v>
      </c>
      <c r="J239" s="9">
        <f t="shared" si="58"/>
        <v>79.680000000000007</v>
      </c>
      <c r="K239" s="3">
        <f t="shared" si="59"/>
        <v>0</v>
      </c>
      <c r="L239" s="7">
        <f t="shared" si="60"/>
        <v>0</v>
      </c>
      <c r="M239" t="s">
        <v>187</v>
      </c>
      <c r="O239" s="3">
        <f>E239-'315805 - P0824'!F239</f>
        <v>0</v>
      </c>
      <c r="P239" s="30">
        <f>I239-'315805 - P0824'!J239</f>
        <v>0</v>
      </c>
    </row>
    <row r="240" spans="1:16" x14ac:dyDescent="0.25">
      <c r="A240">
        <v>238</v>
      </c>
      <c r="C240" t="s">
        <v>8</v>
      </c>
      <c r="D240" s="4" t="s">
        <v>230</v>
      </c>
      <c r="E240" s="12">
        <v>9.76</v>
      </c>
      <c r="F240" s="12">
        <v>9.76</v>
      </c>
      <c r="G240" s="6">
        <f t="shared" si="56"/>
        <v>0</v>
      </c>
      <c r="H240" s="7">
        <f t="shared" si="57"/>
        <v>0</v>
      </c>
      <c r="I240" s="8">
        <v>19.82</v>
      </c>
      <c r="J240" s="9">
        <f t="shared" si="58"/>
        <v>19.82</v>
      </c>
      <c r="K240" s="3">
        <f t="shared" si="59"/>
        <v>0</v>
      </c>
      <c r="L240" s="7">
        <f t="shared" si="60"/>
        <v>0</v>
      </c>
      <c r="M240" t="s">
        <v>187</v>
      </c>
      <c r="O240" s="3">
        <f>E240-'315805 - P0824'!F240</f>
        <v>0</v>
      </c>
      <c r="P240" s="30">
        <f>I240-'315805 - P0824'!J240</f>
        <v>0</v>
      </c>
    </row>
    <row r="241" spans="1:16" x14ac:dyDescent="0.25">
      <c r="A241">
        <v>239</v>
      </c>
      <c r="C241" t="s">
        <v>8</v>
      </c>
      <c r="D241" s="4" t="s">
        <v>231</v>
      </c>
      <c r="E241" s="12">
        <v>2.87</v>
      </c>
      <c r="F241" s="12">
        <v>2.87</v>
      </c>
      <c r="G241" s="6">
        <f t="shared" si="56"/>
        <v>0</v>
      </c>
      <c r="H241" s="7">
        <f t="shared" si="57"/>
        <v>0</v>
      </c>
      <c r="I241" s="8">
        <v>5.82</v>
      </c>
      <c r="J241" s="9">
        <f t="shared" si="58"/>
        <v>5.82</v>
      </c>
      <c r="K241" s="3">
        <f t="shared" si="59"/>
        <v>0</v>
      </c>
      <c r="L241" s="7">
        <f t="shared" si="60"/>
        <v>0</v>
      </c>
      <c r="M241" t="s">
        <v>187</v>
      </c>
      <c r="O241" s="3">
        <f>E241-'315805 - P0824'!F241</f>
        <v>0</v>
      </c>
      <c r="P241" s="30">
        <f>I241-'315805 - P0824'!J241</f>
        <v>0</v>
      </c>
    </row>
    <row r="242" spans="1:16" x14ac:dyDescent="0.25">
      <c r="A242">
        <v>240</v>
      </c>
      <c r="D242" s="34" t="s">
        <v>232</v>
      </c>
      <c r="H242" s="10">
        <f>AVERAGE(H194:H237)</f>
        <v>0</v>
      </c>
      <c r="I242"/>
    </row>
    <row r="243" spans="1:16" x14ac:dyDescent="0.25">
      <c r="A243">
        <v>241</v>
      </c>
      <c r="D243" s="34" t="s">
        <v>233</v>
      </c>
      <c r="I243"/>
      <c r="M243" t="s">
        <v>234</v>
      </c>
      <c r="O243" s="3">
        <f>E243-'315805 - P0824'!F243</f>
        <v>0</v>
      </c>
      <c r="P243" s="30">
        <f>I243-'315805 - P0824'!J243</f>
        <v>0</v>
      </c>
    </row>
    <row r="244" spans="1:16" x14ac:dyDescent="0.25">
      <c r="A244">
        <v>242</v>
      </c>
      <c r="C244" t="s">
        <v>8</v>
      </c>
      <c r="D244" s="4" t="s">
        <v>235</v>
      </c>
      <c r="E244" s="12">
        <v>19.32</v>
      </c>
      <c r="F244" s="12">
        <v>19.32</v>
      </c>
      <c r="G244" s="6">
        <f t="shared" ref="G244:G248" si="61">+F244-E244</f>
        <v>0</v>
      </c>
      <c r="H244" s="7">
        <f t="shared" ref="H244:H248" si="62">(F244-E244)/ABS(E244)</f>
        <v>0</v>
      </c>
      <c r="I244" s="8">
        <v>43.363738242210459</v>
      </c>
      <c r="J244" s="9">
        <f t="shared" ref="J244:J248" si="63">(I244*H244)+I244</f>
        <v>43.363738242210459</v>
      </c>
      <c r="K244" s="3">
        <f t="shared" ref="K244:K248" si="64">J244-I244</f>
        <v>0</v>
      </c>
      <c r="L244" s="7">
        <f t="shared" ref="L244:L248" si="65">(J244-I244)/ABS(I244)</f>
        <v>0</v>
      </c>
      <c r="M244" t="s">
        <v>234</v>
      </c>
      <c r="O244" s="3">
        <f>E244-'315805 - P0824'!F244</f>
        <v>0</v>
      </c>
      <c r="P244" s="30">
        <f>I244-'315805 - P0824'!J244</f>
        <v>0</v>
      </c>
    </row>
    <row r="245" spans="1:16" x14ac:dyDescent="0.25">
      <c r="A245">
        <v>243</v>
      </c>
      <c r="C245" t="s">
        <v>8</v>
      </c>
      <c r="D245" s="4" t="s">
        <v>236</v>
      </c>
      <c r="E245" s="12">
        <v>25.76</v>
      </c>
      <c r="F245" s="12">
        <v>25.76</v>
      </c>
      <c r="G245" s="6">
        <f t="shared" si="61"/>
        <v>0</v>
      </c>
      <c r="H245" s="7">
        <f t="shared" si="62"/>
        <v>0</v>
      </c>
      <c r="I245" s="8">
        <v>54.72</v>
      </c>
      <c r="J245" s="9">
        <f t="shared" si="63"/>
        <v>54.72</v>
      </c>
      <c r="K245" s="3">
        <f t="shared" si="64"/>
        <v>0</v>
      </c>
      <c r="L245" s="7">
        <f t="shared" si="65"/>
        <v>0</v>
      </c>
      <c r="M245" t="s">
        <v>234</v>
      </c>
      <c r="O245" s="3">
        <f>E245-'315805 - P0824'!F245</f>
        <v>0</v>
      </c>
      <c r="P245" s="30">
        <f>I245-'315805 - P0824'!J245</f>
        <v>0</v>
      </c>
    </row>
    <row r="246" spans="1:16" x14ac:dyDescent="0.25">
      <c r="A246">
        <v>244</v>
      </c>
      <c r="C246" t="s">
        <v>8</v>
      </c>
      <c r="D246" s="4" t="s">
        <v>237</v>
      </c>
      <c r="E246" s="12">
        <v>26.28</v>
      </c>
      <c r="F246" s="12">
        <v>26.28</v>
      </c>
      <c r="G246" s="6">
        <f t="shared" si="61"/>
        <v>0</v>
      </c>
      <c r="H246" s="7">
        <f t="shared" si="62"/>
        <v>0</v>
      </c>
      <c r="I246" s="8">
        <v>41.047300934300516</v>
      </c>
      <c r="J246" s="9">
        <f t="shared" si="63"/>
        <v>41.047300934300516</v>
      </c>
      <c r="K246" s="3">
        <f t="shared" si="64"/>
        <v>0</v>
      </c>
      <c r="L246" s="7">
        <f t="shared" si="65"/>
        <v>0</v>
      </c>
      <c r="M246" t="s">
        <v>234</v>
      </c>
      <c r="O246" s="3">
        <f>E246-'315805 - P0824'!F246</f>
        <v>0</v>
      </c>
      <c r="P246" s="30">
        <f>I246-'315805 - P0824'!J246</f>
        <v>0</v>
      </c>
    </row>
    <row r="247" spans="1:16" x14ac:dyDescent="0.25">
      <c r="A247">
        <v>245</v>
      </c>
      <c r="C247" t="s">
        <v>8</v>
      </c>
      <c r="D247" s="4" t="s">
        <v>238</v>
      </c>
      <c r="E247" s="12">
        <v>35.04</v>
      </c>
      <c r="F247" s="12">
        <v>35.04</v>
      </c>
      <c r="G247" s="6">
        <f t="shared" si="61"/>
        <v>0</v>
      </c>
      <c r="H247" s="7">
        <f t="shared" si="62"/>
        <v>0</v>
      </c>
      <c r="I247" s="8">
        <v>54.724364707150258</v>
      </c>
      <c r="J247" s="9">
        <f t="shared" si="63"/>
        <v>54.724364707150258</v>
      </c>
      <c r="K247" s="3">
        <f t="shared" si="64"/>
        <v>0</v>
      </c>
      <c r="L247" s="7">
        <f t="shared" si="65"/>
        <v>0</v>
      </c>
      <c r="M247" t="s">
        <v>234</v>
      </c>
      <c r="O247" s="3">
        <f>E247-'315805 - P0824'!F247</f>
        <v>0</v>
      </c>
      <c r="P247" s="30">
        <f>I247-'315805 - P0824'!J247</f>
        <v>0</v>
      </c>
    </row>
    <row r="248" spans="1:16" x14ac:dyDescent="0.25">
      <c r="A248">
        <v>246</v>
      </c>
      <c r="C248" t="s">
        <v>8</v>
      </c>
      <c r="D248" s="4" t="s">
        <v>239</v>
      </c>
      <c r="E248" s="12">
        <v>43.8</v>
      </c>
      <c r="F248" s="12">
        <v>43.8</v>
      </c>
      <c r="G248" s="6">
        <f t="shared" si="61"/>
        <v>0</v>
      </c>
      <c r="H248" s="7">
        <f t="shared" si="62"/>
        <v>0</v>
      </c>
      <c r="I248" s="8">
        <v>68.401428479999993</v>
      </c>
      <c r="J248" s="9">
        <f t="shared" si="63"/>
        <v>68.401428479999993</v>
      </c>
      <c r="K248" s="3">
        <f t="shared" si="64"/>
        <v>0</v>
      </c>
      <c r="L248" s="7">
        <f t="shared" si="65"/>
        <v>0</v>
      </c>
      <c r="M248" t="s">
        <v>234</v>
      </c>
      <c r="O248" s="3">
        <f>E248-'315805 - P0824'!F248</f>
        <v>0</v>
      </c>
      <c r="P248" s="30">
        <f>I248-'315805 - P0824'!J248</f>
        <v>0</v>
      </c>
    </row>
    <row r="249" spans="1:16" x14ac:dyDescent="0.25">
      <c r="A249">
        <v>247</v>
      </c>
      <c r="D249" s="34" t="s">
        <v>240</v>
      </c>
      <c r="H249" s="10">
        <f>AVERAGE(H244:H248)</f>
        <v>0</v>
      </c>
      <c r="I249"/>
    </row>
    <row r="250" spans="1:16" x14ac:dyDescent="0.25">
      <c r="A250">
        <v>248</v>
      </c>
      <c r="D250" s="34" t="s">
        <v>241</v>
      </c>
      <c r="I250"/>
    </row>
    <row r="251" spans="1:16" x14ac:dyDescent="0.25">
      <c r="A251">
        <v>249</v>
      </c>
      <c r="C251" t="s">
        <v>8</v>
      </c>
      <c r="D251" s="4" t="s">
        <v>242</v>
      </c>
      <c r="E251" s="12">
        <v>8.2200000000000006</v>
      </c>
      <c r="F251" s="11">
        <v>8.2200000000000006</v>
      </c>
      <c r="G251" s="6">
        <f t="shared" ref="G251:G295" si="66">+F251-E251</f>
        <v>0</v>
      </c>
      <c r="H251" s="7">
        <f t="shared" ref="H251:H295" si="67">(F251-E251)/ABS(E251)</f>
        <v>0</v>
      </c>
      <c r="I251" s="8">
        <v>28.54202272220985</v>
      </c>
      <c r="J251" s="9">
        <f t="shared" ref="J251:J295" si="68">(I251*H251)+I251</f>
        <v>28.54202272220985</v>
      </c>
      <c r="K251" s="3">
        <f t="shared" ref="K251:K295" si="69">J251-I251</f>
        <v>0</v>
      </c>
      <c r="L251" s="7">
        <f t="shared" ref="L251:L295" si="70">(J251-I251)/ABS(I251)</f>
        <v>0</v>
      </c>
      <c r="M251" t="s">
        <v>150</v>
      </c>
      <c r="O251" s="3">
        <f>E251-'315805 - P0824'!F251</f>
        <v>0</v>
      </c>
      <c r="P251" s="30">
        <f>I251-'315805 - P0824'!J251</f>
        <v>0</v>
      </c>
    </row>
    <row r="252" spans="1:16" x14ac:dyDescent="0.25">
      <c r="A252">
        <v>250</v>
      </c>
      <c r="C252" t="s">
        <v>8</v>
      </c>
      <c r="D252" s="4" t="s">
        <v>243</v>
      </c>
      <c r="E252" s="12">
        <v>7.68</v>
      </c>
      <c r="F252" s="11">
        <v>7.68</v>
      </c>
      <c r="G252" s="6">
        <f t="shared" si="66"/>
        <v>0</v>
      </c>
      <c r="H252" s="7">
        <f t="shared" si="67"/>
        <v>0</v>
      </c>
      <c r="I252" s="8">
        <v>16.421831032972253</v>
      </c>
      <c r="J252" s="9">
        <f t="shared" si="68"/>
        <v>16.421831032972253</v>
      </c>
      <c r="K252" s="3">
        <f t="shared" si="69"/>
        <v>0</v>
      </c>
      <c r="L252" s="7">
        <f t="shared" si="70"/>
        <v>0</v>
      </c>
      <c r="M252" t="s">
        <v>150</v>
      </c>
      <c r="O252" s="3">
        <f>E252-'315805 - P0824'!F252</f>
        <v>0</v>
      </c>
      <c r="P252" s="30">
        <f>I252-'315805 - P0824'!J252</f>
        <v>0</v>
      </c>
    </row>
    <row r="253" spans="1:16" x14ac:dyDescent="0.25">
      <c r="A253">
        <v>251</v>
      </c>
      <c r="C253" t="s">
        <v>8</v>
      </c>
      <c r="D253" s="4" t="s">
        <v>244</v>
      </c>
      <c r="E253" s="12">
        <v>58.2</v>
      </c>
      <c r="F253" s="12">
        <v>58.2</v>
      </c>
      <c r="G253" s="6">
        <f t="shared" si="66"/>
        <v>0</v>
      </c>
      <c r="H253" s="7">
        <f t="shared" si="67"/>
        <v>0</v>
      </c>
      <c r="I253" s="8">
        <v>83.610119999999995</v>
      </c>
      <c r="J253" s="9">
        <f t="shared" si="68"/>
        <v>83.610119999999995</v>
      </c>
      <c r="K253" s="3">
        <f t="shared" si="69"/>
        <v>0</v>
      </c>
      <c r="L253" s="7">
        <f t="shared" si="70"/>
        <v>0</v>
      </c>
      <c r="M253" t="s">
        <v>150</v>
      </c>
      <c r="O253" s="3">
        <f>E253-'315805 - P0824'!F253</f>
        <v>0</v>
      </c>
      <c r="P253" s="30">
        <f>I253-'315805 - P0824'!J253</f>
        <v>0</v>
      </c>
    </row>
    <row r="254" spans="1:16" x14ac:dyDescent="0.25">
      <c r="A254">
        <v>252</v>
      </c>
      <c r="C254" t="s">
        <v>8</v>
      </c>
      <c r="D254" s="4" t="s">
        <v>245</v>
      </c>
      <c r="E254" s="12">
        <v>3.75</v>
      </c>
      <c r="F254" s="12">
        <v>3.75</v>
      </c>
      <c r="G254" s="6">
        <f t="shared" si="66"/>
        <v>0</v>
      </c>
      <c r="H254" s="7">
        <f t="shared" si="67"/>
        <v>0</v>
      </c>
      <c r="I254" s="8">
        <v>7.7840909090909092</v>
      </c>
      <c r="J254" s="9">
        <f t="shared" si="68"/>
        <v>7.7840909090909092</v>
      </c>
      <c r="K254" s="3">
        <f t="shared" si="69"/>
        <v>0</v>
      </c>
      <c r="L254" s="7">
        <f t="shared" si="70"/>
        <v>0</v>
      </c>
      <c r="M254" t="s">
        <v>150</v>
      </c>
      <c r="O254" s="3">
        <f>E254-'315805 - P0824'!F254</f>
        <v>0</v>
      </c>
      <c r="P254" s="30">
        <f>I254-'315805 - P0824'!J254</f>
        <v>0</v>
      </c>
    </row>
    <row r="255" spans="1:16" x14ac:dyDescent="0.25">
      <c r="A255">
        <v>253</v>
      </c>
      <c r="C255" t="s">
        <v>8</v>
      </c>
      <c r="D255" s="4" t="s">
        <v>246</v>
      </c>
      <c r="E255" s="12">
        <v>7.34</v>
      </c>
      <c r="F255" s="11">
        <v>7.34</v>
      </c>
      <c r="G255" s="6">
        <f t="shared" si="66"/>
        <v>0</v>
      </c>
      <c r="H255" s="7">
        <f t="shared" si="67"/>
        <v>0</v>
      </c>
      <c r="I255" s="8">
        <v>27.961904761904762</v>
      </c>
      <c r="J255" s="9">
        <f t="shared" si="68"/>
        <v>27.961904761904762</v>
      </c>
      <c r="K255" s="3">
        <f t="shared" si="69"/>
        <v>0</v>
      </c>
      <c r="L255" s="7">
        <f t="shared" si="70"/>
        <v>0</v>
      </c>
      <c r="M255" t="s">
        <v>150</v>
      </c>
      <c r="O255" s="3">
        <f>E255-'315805 - P0824'!F255</f>
        <v>0</v>
      </c>
      <c r="P255" s="30">
        <f>I255-'315805 - P0824'!J255</f>
        <v>0</v>
      </c>
    </row>
    <row r="256" spans="1:16" x14ac:dyDescent="0.25">
      <c r="A256">
        <v>254</v>
      </c>
      <c r="C256" t="s">
        <v>8</v>
      </c>
      <c r="D256" s="4" t="s">
        <v>247</v>
      </c>
      <c r="E256" s="12">
        <v>13.75</v>
      </c>
      <c r="F256" s="12">
        <v>13.75</v>
      </c>
      <c r="G256" s="6">
        <f t="shared" si="66"/>
        <v>0</v>
      </c>
      <c r="H256" s="7">
        <f t="shared" si="67"/>
        <v>0</v>
      </c>
      <c r="I256" s="8">
        <v>17.348837209302324</v>
      </c>
      <c r="J256" s="9">
        <f t="shared" si="68"/>
        <v>17.348837209302324</v>
      </c>
      <c r="K256" s="3">
        <f t="shared" si="69"/>
        <v>0</v>
      </c>
      <c r="L256" s="7">
        <f t="shared" si="70"/>
        <v>0</v>
      </c>
      <c r="M256" t="s">
        <v>150</v>
      </c>
      <c r="O256" s="3">
        <f>E256-'315805 - P0824'!F256</f>
        <v>0</v>
      </c>
      <c r="P256" s="30">
        <f>I256-'315805 - P0824'!J256</f>
        <v>0</v>
      </c>
    </row>
    <row r="257" spans="1:16" x14ac:dyDescent="0.25">
      <c r="A257">
        <v>255</v>
      </c>
      <c r="C257" t="s">
        <v>8</v>
      </c>
      <c r="D257" s="4" t="s">
        <v>248</v>
      </c>
      <c r="E257" s="12">
        <v>10.25</v>
      </c>
      <c r="F257" s="12">
        <v>10.25</v>
      </c>
      <c r="G257" s="6">
        <f t="shared" si="66"/>
        <v>0</v>
      </c>
      <c r="H257" s="7">
        <f t="shared" si="67"/>
        <v>0</v>
      </c>
      <c r="I257" s="8">
        <v>13.461538461538462</v>
      </c>
      <c r="J257" s="9">
        <f t="shared" si="68"/>
        <v>13.461538461538462</v>
      </c>
      <c r="K257" s="3">
        <f t="shared" si="69"/>
        <v>0</v>
      </c>
      <c r="L257" s="7">
        <f t="shared" si="70"/>
        <v>0</v>
      </c>
      <c r="M257" t="s">
        <v>150</v>
      </c>
      <c r="O257" s="3">
        <f>E257-'315805 - P0824'!F257</f>
        <v>0</v>
      </c>
      <c r="P257" s="30">
        <f>I257-'315805 - P0824'!J257</f>
        <v>0</v>
      </c>
    </row>
    <row r="258" spans="1:16" x14ac:dyDescent="0.25">
      <c r="A258">
        <v>256</v>
      </c>
      <c r="C258" t="s">
        <v>8</v>
      </c>
      <c r="D258" s="4" t="s">
        <v>249</v>
      </c>
      <c r="E258" s="12">
        <v>5.75</v>
      </c>
      <c r="F258" s="12">
        <v>5.75</v>
      </c>
      <c r="G258" s="6">
        <f t="shared" si="66"/>
        <v>0</v>
      </c>
      <c r="H258" s="7">
        <f t="shared" si="67"/>
        <v>0</v>
      </c>
      <c r="I258" s="8">
        <v>15.717408000000002</v>
      </c>
      <c r="J258" s="9">
        <f t="shared" si="68"/>
        <v>15.717408000000002</v>
      </c>
      <c r="K258" s="3">
        <f t="shared" si="69"/>
        <v>0</v>
      </c>
      <c r="L258" s="7">
        <f t="shared" si="70"/>
        <v>0</v>
      </c>
      <c r="M258" t="s">
        <v>187</v>
      </c>
      <c r="O258" s="3">
        <f>E258-'315805 - P0824'!F258</f>
        <v>0</v>
      </c>
      <c r="P258" s="30">
        <f>I258-'315805 - P0824'!J258</f>
        <v>0</v>
      </c>
    </row>
    <row r="259" spans="1:16" x14ac:dyDescent="0.25">
      <c r="A259">
        <v>257</v>
      </c>
      <c r="C259" t="s">
        <v>8</v>
      </c>
      <c r="D259" s="4" t="s">
        <v>250</v>
      </c>
      <c r="E259" s="12">
        <v>18.22</v>
      </c>
      <c r="F259" s="5">
        <v>18.22</v>
      </c>
      <c r="G259" s="6">
        <f t="shared" si="66"/>
        <v>0</v>
      </c>
      <c r="H259" s="7">
        <f t="shared" si="67"/>
        <v>0</v>
      </c>
      <c r="I259" s="8">
        <v>36.44</v>
      </c>
      <c r="J259" s="9">
        <f t="shared" si="68"/>
        <v>36.44</v>
      </c>
      <c r="K259" s="3">
        <f t="shared" si="69"/>
        <v>0</v>
      </c>
      <c r="L259" s="7">
        <f t="shared" si="70"/>
        <v>0</v>
      </c>
      <c r="M259" t="s">
        <v>150</v>
      </c>
      <c r="O259" s="3">
        <f>E259-'315805 - P0824'!F259</f>
        <v>0</v>
      </c>
      <c r="P259" s="30">
        <f>I259-'315805 - P0824'!J259</f>
        <v>0</v>
      </c>
    </row>
    <row r="260" spans="1:16" x14ac:dyDescent="0.25">
      <c r="A260">
        <v>258</v>
      </c>
      <c r="C260" t="s">
        <v>8</v>
      </c>
      <c r="D260" s="4" t="s">
        <v>251</v>
      </c>
      <c r="E260" s="12">
        <v>2.21</v>
      </c>
      <c r="F260" s="5">
        <v>2.21</v>
      </c>
      <c r="G260" s="6">
        <f t="shared" si="66"/>
        <v>0</v>
      </c>
      <c r="H260" s="7">
        <f t="shared" si="67"/>
        <v>0</v>
      </c>
      <c r="I260" s="8">
        <v>4.5939072847682123</v>
      </c>
      <c r="J260" s="9">
        <f t="shared" si="68"/>
        <v>4.5939072847682123</v>
      </c>
      <c r="K260" s="3">
        <f t="shared" si="69"/>
        <v>0</v>
      </c>
      <c r="L260" s="7">
        <f t="shared" si="70"/>
        <v>0</v>
      </c>
      <c r="M260" t="s">
        <v>150</v>
      </c>
      <c r="O260" s="3">
        <f>E260-'315805 - P0824'!F260</f>
        <v>0</v>
      </c>
      <c r="P260" s="30">
        <f>I260-'315805 - P0824'!J260</f>
        <v>0</v>
      </c>
    </row>
    <row r="261" spans="1:16" x14ac:dyDescent="0.25">
      <c r="A261">
        <v>259</v>
      </c>
      <c r="C261" t="s">
        <v>8</v>
      </c>
      <c r="D261" s="4" t="s">
        <v>252</v>
      </c>
      <c r="E261" s="12">
        <v>3.3</v>
      </c>
      <c r="F261" s="5">
        <v>3.3</v>
      </c>
      <c r="G261" s="6">
        <f t="shared" si="66"/>
        <v>0</v>
      </c>
      <c r="H261" s="7">
        <f t="shared" si="67"/>
        <v>0</v>
      </c>
      <c r="I261" s="8">
        <v>7.177170731707319</v>
      </c>
      <c r="J261" s="9">
        <f t="shared" si="68"/>
        <v>7.177170731707319</v>
      </c>
      <c r="K261" s="3">
        <f t="shared" si="69"/>
        <v>0</v>
      </c>
      <c r="L261" s="7">
        <f t="shared" si="70"/>
        <v>0</v>
      </c>
      <c r="M261" t="s">
        <v>150</v>
      </c>
      <c r="O261" s="3">
        <f>E261-'315805 - P0824'!F261</f>
        <v>0</v>
      </c>
      <c r="P261" s="30">
        <f>I261-'315805 - P0824'!J261</f>
        <v>0</v>
      </c>
    </row>
    <row r="262" spans="1:16" x14ac:dyDescent="0.25">
      <c r="A262">
        <v>260</v>
      </c>
      <c r="C262" t="s">
        <v>8</v>
      </c>
      <c r="D262" s="4" t="s">
        <v>253</v>
      </c>
      <c r="E262" s="12">
        <v>123.23</v>
      </c>
      <c r="F262" s="12">
        <v>123.23</v>
      </c>
      <c r="G262" s="6">
        <f t="shared" si="66"/>
        <v>0</v>
      </c>
      <c r="H262" s="7">
        <f t="shared" si="67"/>
        <v>0</v>
      </c>
      <c r="I262" s="8">
        <v>262.95999999999998</v>
      </c>
      <c r="J262" s="9">
        <f t="shared" si="68"/>
        <v>262.95999999999998</v>
      </c>
      <c r="K262" s="3">
        <f t="shared" si="69"/>
        <v>0</v>
      </c>
      <c r="L262" s="7">
        <f t="shared" si="70"/>
        <v>0</v>
      </c>
      <c r="M262" t="s">
        <v>150</v>
      </c>
      <c r="O262" s="3">
        <f>E262-'315805 - P0824'!F262</f>
        <v>0</v>
      </c>
      <c r="P262" s="30">
        <f>I262-'315805 - P0824'!J262</f>
        <v>0</v>
      </c>
    </row>
    <row r="263" spans="1:16" x14ac:dyDescent="0.25">
      <c r="A263">
        <v>261</v>
      </c>
      <c r="C263" t="s">
        <v>8</v>
      </c>
      <c r="D263" s="4" t="s">
        <v>254</v>
      </c>
      <c r="E263" s="12">
        <v>121.84</v>
      </c>
      <c r="F263" s="12">
        <v>121.84</v>
      </c>
      <c r="G263" s="6">
        <f t="shared" si="66"/>
        <v>0</v>
      </c>
      <c r="H263" s="7">
        <f t="shared" si="67"/>
        <v>0</v>
      </c>
      <c r="I263" s="8">
        <v>219.99</v>
      </c>
      <c r="J263" s="9">
        <f t="shared" si="68"/>
        <v>219.99</v>
      </c>
      <c r="K263" s="3">
        <f t="shared" si="69"/>
        <v>0</v>
      </c>
      <c r="L263" s="7">
        <f t="shared" si="70"/>
        <v>0</v>
      </c>
      <c r="M263" t="s">
        <v>150</v>
      </c>
      <c r="O263" s="3">
        <f>E263-'315805 - P0824'!F263</f>
        <v>0</v>
      </c>
      <c r="P263" s="30">
        <f>I263-'315805 - P0824'!J263</f>
        <v>0</v>
      </c>
    </row>
    <row r="264" spans="1:16" x14ac:dyDescent="0.25">
      <c r="A264">
        <v>262</v>
      </c>
      <c r="C264" t="s">
        <v>8</v>
      </c>
      <c r="D264" s="4" t="s">
        <v>255</v>
      </c>
      <c r="E264" s="5">
        <v>10.8</v>
      </c>
      <c r="F264" s="5">
        <v>10.8</v>
      </c>
      <c r="G264" s="6">
        <f t="shared" si="66"/>
        <v>0</v>
      </c>
      <c r="H264" s="7">
        <f t="shared" si="67"/>
        <v>0</v>
      </c>
      <c r="I264" s="8">
        <v>23.043154761904759</v>
      </c>
      <c r="J264" s="9">
        <f t="shared" si="68"/>
        <v>23.043154761904759</v>
      </c>
      <c r="K264" s="3">
        <f t="shared" si="69"/>
        <v>0</v>
      </c>
      <c r="L264" s="7">
        <f t="shared" si="70"/>
        <v>0</v>
      </c>
      <c r="M264" s="7" t="s">
        <v>150</v>
      </c>
      <c r="O264" s="3">
        <f>E264-'315805 - P0824'!F264</f>
        <v>0</v>
      </c>
      <c r="P264" s="30">
        <f>I264-'315805 - P0824'!J264</f>
        <v>0</v>
      </c>
    </row>
    <row r="265" spans="1:16" x14ac:dyDescent="0.25">
      <c r="A265">
        <v>263</v>
      </c>
      <c r="C265" t="s">
        <v>8</v>
      </c>
      <c r="D265" s="4" t="s">
        <v>256</v>
      </c>
      <c r="E265" s="5">
        <v>12.96</v>
      </c>
      <c r="F265" s="5">
        <v>12.96</v>
      </c>
      <c r="G265" s="6">
        <f t="shared" si="66"/>
        <v>0</v>
      </c>
      <c r="H265" s="7">
        <f t="shared" si="67"/>
        <v>0</v>
      </c>
      <c r="I265" s="8">
        <v>30.49</v>
      </c>
      <c r="J265" s="9">
        <f t="shared" si="68"/>
        <v>30.49</v>
      </c>
      <c r="K265" s="3">
        <f t="shared" si="69"/>
        <v>0</v>
      </c>
      <c r="L265" s="7">
        <f t="shared" si="70"/>
        <v>0</v>
      </c>
      <c r="M265" s="7" t="s">
        <v>150</v>
      </c>
      <c r="O265" s="3">
        <f>E265-'315805 - P0824'!F265</f>
        <v>0</v>
      </c>
      <c r="P265" s="30">
        <f>I265-'315805 - P0824'!J265</f>
        <v>0</v>
      </c>
    </row>
    <row r="266" spans="1:16" x14ac:dyDescent="0.25">
      <c r="A266">
        <v>264</v>
      </c>
      <c r="C266" t="s">
        <v>8</v>
      </c>
      <c r="D266" s="4" t="s">
        <v>257</v>
      </c>
      <c r="E266" s="5">
        <v>8.35</v>
      </c>
      <c r="F266" s="5">
        <v>8.35</v>
      </c>
      <c r="G266" s="6">
        <f t="shared" si="66"/>
        <v>0</v>
      </c>
      <c r="H266" s="7">
        <f t="shared" si="67"/>
        <v>0</v>
      </c>
      <c r="I266" s="8">
        <v>17.815772431657845</v>
      </c>
      <c r="J266" s="9">
        <f t="shared" si="68"/>
        <v>17.815772431657845</v>
      </c>
      <c r="K266" s="3">
        <f t="shared" si="69"/>
        <v>0</v>
      </c>
      <c r="L266" s="7">
        <f t="shared" si="70"/>
        <v>0</v>
      </c>
      <c r="M266" t="s">
        <v>150</v>
      </c>
      <c r="O266" s="3">
        <f>E266-'315805 - P0824'!F266</f>
        <v>0</v>
      </c>
      <c r="P266" s="30">
        <f>I266-'315805 - P0824'!J266</f>
        <v>0</v>
      </c>
    </row>
    <row r="267" spans="1:16" x14ac:dyDescent="0.25">
      <c r="A267">
        <v>265</v>
      </c>
      <c r="C267" t="s">
        <v>8</v>
      </c>
      <c r="D267" s="4" t="s">
        <v>258</v>
      </c>
      <c r="E267" s="5">
        <v>3.44</v>
      </c>
      <c r="F267" s="5">
        <v>3.44</v>
      </c>
      <c r="G267" s="6">
        <f t="shared" si="66"/>
        <v>0</v>
      </c>
      <c r="H267" s="7">
        <f t="shared" si="67"/>
        <v>0</v>
      </c>
      <c r="I267" s="8">
        <v>6.5289583333333336</v>
      </c>
      <c r="J267" s="9">
        <f t="shared" si="68"/>
        <v>6.5289583333333336</v>
      </c>
      <c r="K267" s="3">
        <f t="shared" si="69"/>
        <v>0</v>
      </c>
      <c r="L267" s="7">
        <f t="shared" si="70"/>
        <v>0</v>
      </c>
      <c r="M267" t="s">
        <v>150</v>
      </c>
      <c r="O267" s="3">
        <f>E267-'315805 - P0824'!F267</f>
        <v>0</v>
      </c>
      <c r="P267" s="30">
        <f>I267-'315805 - P0824'!J267</f>
        <v>0</v>
      </c>
    </row>
    <row r="268" spans="1:16" x14ac:dyDescent="0.25">
      <c r="A268">
        <v>266</v>
      </c>
      <c r="C268" t="s">
        <v>8</v>
      </c>
      <c r="D268" s="4" t="s">
        <v>259</v>
      </c>
      <c r="E268" s="5">
        <v>2.64</v>
      </c>
      <c r="F268" s="5">
        <v>2.64</v>
      </c>
      <c r="G268" s="6">
        <f t="shared" si="66"/>
        <v>0</v>
      </c>
      <c r="H268" s="7">
        <f t="shared" si="67"/>
        <v>0</v>
      </c>
      <c r="I268" s="8">
        <v>5.9648076923076916</v>
      </c>
      <c r="J268" s="9">
        <f t="shared" si="68"/>
        <v>5.9648076923076916</v>
      </c>
      <c r="K268" s="3">
        <f t="shared" si="69"/>
        <v>0</v>
      </c>
      <c r="L268" s="7">
        <f t="shared" si="70"/>
        <v>0</v>
      </c>
      <c r="M268" t="s">
        <v>150</v>
      </c>
      <c r="O268" s="3">
        <f>E268-'315805 - P0824'!F268</f>
        <v>0</v>
      </c>
      <c r="P268" s="30">
        <f>I268-'315805 - P0824'!J268</f>
        <v>0</v>
      </c>
    </row>
    <row r="269" spans="1:16" x14ac:dyDescent="0.25">
      <c r="A269">
        <v>267</v>
      </c>
      <c r="C269" t="s">
        <v>8</v>
      </c>
      <c r="D269" s="4" t="s">
        <v>260</v>
      </c>
      <c r="E269" s="5">
        <v>2.64</v>
      </c>
      <c r="F269" s="5">
        <v>2.64</v>
      </c>
      <c r="G269" s="6">
        <f t="shared" si="66"/>
        <v>0</v>
      </c>
      <c r="H269" s="7">
        <f t="shared" si="67"/>
        <v>0</v>
      </c>
      <c r="I269" s="8">
        <v>4.9814285714285704</v>
      </c>
      <c r="J269" s="9">
        <f t="shared" si="68"/>
        <v>4.9814285714285704</v>
      </c>
      <c r="K269" s="3">
        <f t="shared" si="69"/>
        <v>0</v>
      </c>
      <c r="L269" s="7">
        <f t="shared" si="70"/>
        <v>0</v>
      </c>
      <c r="M269" t="s">
        <v>150</v>
      </c>
      <c r="O269" s="3">
        <f>E269-'315805 - P0824'!F269</f>
        <v>0</v>
      </c>
      <c r="P269" s="30">
        <f>I269-'315805 - P0824'!J269</f>
        <v>0</v>
      </c>
    </row>
    <row r="270" spans="1:16" x14ac:dyDescent="0.25">
      <c r="A270">
        <v>268</v>
      </c>
      <c r="C270" t="s">
        <v>8</v>
      </c>
      <c r="D270" s="4" t="s">
        <v>261</v>
      </c>
      <c r="E270" s="5">
        <v>1.98</v>
      </c>
      <c r="F270" s="5">
        <v>1.98</v>
      </c>
      <c r="G270" s="6">
        <f t="shared" si="66"/>
        <v>0</v>
      </c>
      <c r="H270" s="7">
        <f t="shared" si="67"/>
        <v>0</v>
      </c>
      <c r="I270" s="8">
        <v>3.5054288194444445</v>
      </c>
      <c r="J270" s="9">
        <f t="shared" si="68"/>
        <v>3.5054288194444445</v>
      </c>
      <c r="K270" s="3">
        <f t="shared" si="69"/>
        <v>0</v>
      </c>
      <c r="L270" s="7">
        <f t="shared" si="70"/>
        <v>0</v>
      </c>
      <c r="M270" t="s">
        <v>150</v>
      </c>
      <c r="O270" s="3">
        <f>E270-'315805 - P0824'!F270</f>
        <v>0</v>
      </c>
      <c r="P270" s="30">
        <f>I270-'315805 - P0824'!J270</f>
        <v>0</v>
      </c>
    </row>
    <row r="271" spans="1:16" x14ac:dyDescent="0.25">
      <c r="A271">
        <v>269</v>
      </c>
      <c r="C271" t="s">
        <v>8</v>
      </c>
      <c r="D271" s="4" t="s">
        <v>262</v>
      </c>
      <c r="E271" s="5">
        <v>3.2</v>
      </c>
      <c r="F271" s="5">
        <v>3.2</v>
      </c>
      <c r="G271" s="6">
        <f t="shared" si="66"/>
        <v>0</v>
      </c>
      <c r="H271" s="7">
        <f t="shared" si="67"/>
        <v>0</v>
      </c>
      <c r="I271" s="8">
        <v>9.5772187500000001</v>
      </c>
      <c r="J271" s="9">
        <f t="shared" si="68"/>
        <v>9.5772187500000001</v>
      </c>
      <c r="K271" s="3">
        <f t="shared" si="69"/>
        <v>0</v>
      </c>
      <c r="L271" s="7">
        <f t="shared" si="70"/>
        <v>0</v>
      </c>
      <c r="M271" t="s">
        <v>150</v>
      </c>
      <c r="O271" s="3">
        <f>E271-'315805 - P0824'!F271</f>
        <v>0</v>
      </c>
      <c r="P271" s="30">
        <f>I271-'315805 - P0824'!J271</f>
        <v>0</v>
      </c>
    </row>
    <row r="272" spans="1:16" x14ac:dyDescent="0.25">
      <c r="A272">
        <v>270</v>
      </c>
      <c r="C272" t="s">
        <v>8</v>
      </c>
      <c r="D272" s="4" t="s">
        <v>263</v>
      </c>
      <c r="E272" s="5">
        <v>2.56</v>
      </c>
      <c r="F272" s="5">
        <v>2.56</v>
      </c>
      <c r="G272" s="6">
        <f t="shared" si="66"/>
        <v>0</v>
      </c>
      <c r="H272" s="7">
        <f t="shared" si="67"/>
        <v>0</v>
      </c>
      <c r="I272" s="8">
        <v>5.0988055555555549</v>
      </c>
      <c r="J272" s="9">
        <f t="shared" si="68"/>
        <v>5.0988055555555549</v>
      </c>
      <c r="K272" s="3">
        <f t="shared" si="69"/>
        <v>0</v>
      </c>
      <c r="L272" s="7">
        <f t="shared" si="70"/>
        <v>0</v>
      </c>
      <c r="M272" t="s">
        <v>150</v>
      </c>
      <c r="O272" s="3">
        <f>E272-'315805 - P0824'!F272</f>
        <v>0</v>
      </c>
      <c r="P272" s="30">
        <f>I272-'315805 - P0824'!J272</f>
        <v>0</v>
      </c>
    </row>
    <row r="273" spans="1:16" x14ac:dyDescent="0.25">
      <c r="A273">
        <v>271</v>
      </c>
      <c r="C273" t="s">
        <v>8</v>
      </c>
      <c r="D273" s="4" t="s">
        <v>264</v>
      </c>
      <c r="E273" s="12">
        <v>34.130000000000003</v>
      </c>
      <c r="F273" s="11">
        <v>34.130000000000003</v>
      </c>
      <c r="G273" s="6">
        <f t="shared" si="66"/>
        <v>0</v>
      </c>
      <c r="H273" s="7">
        <f t="shared" si="67"/>
        <v>0</v>
      </c>
      <c r="I273" s="8">
        <v>83.99904491032467</v>
      </c>
      <c r="J273" s="9">
        <f t="shared" si="68"/>
        <v>83.99904491032467</v>
      </c>
      <c r="K273" s="3">
        <f t="shared" si="69"/>
        <v>0</v>
      </c>
      <c r="L273" s="7">
        <f t="shared" si="70"/>
        <v>0</v>
      </c>
      <c r="M273" t="s">
        <v>150</v>
      </c>
      <c r="O273" s="3">
        <f>E273-'315805 - P0824'!F273</f>
        <v>0</v>
      </c>
      <c r="P273" s="30">
        <f>I273-'315805 - P0824'!J273</f>
        <v>0</v>
      </c>
    </row>
    <row r="274" spans="1:16" x14ac:dyDescent="0.25">
      <c r="A274">
        <v>272</v>
      </c>
      <c r="C274" t="s">
        <v>8</v>
      </c>
      <c r="D274" s="4" t="s">
        <v>265</v>
      </c>
      <c r="E274" s="12">
        <v>40.14</v>
      </c>
      <c r="F274" s="11">
        <v>40.14</v>
      </c>
      <c r="G274" s="6">
        <f t="shared" si="66"/>
        <v>0</v>
      </c>
      <c r="H274" s="7">
        <f t="shared" si="67"/>
        <v>0</v>
      </c>
      <c r="I274" s="8">
        <v>100.73811614890289</v>
      </c>
      <c r="J274" s="9">
        <f t="shared" si="68"/>
        <v>100.73811614890289</v>
      </c>
      <c r="K274" s="3">
        <f t="shared" si="69"/>
        <v>0</v>
      </c>
      <c r="L274" s="7">
        <f t="shared" si="70"/>
        <v>0</v>
      </c>
      <c r="M274" t="s">
        <v>150</v>
      </c>
      <c r="O274" s="3">
        <f>E274-'315805 - P0824'!F274</f>
        <v>0</v>
      </c>
      <c r="P274" s="30">
        <f>I274-'315805 - P0824'!J274</f>
        <v>0</v>
      </c>
    </row>
    <row r="275" spans="1:16" x14ac:dyDescent="0.25">
      <c r="A275">
        <v>273</v>
      </c>
      <c r="C275" t="s">
        <v>8</v>
      </c>
      <c r="D275" s="4" t="s">
        <v>266</v>
      </c>
      <c r="E275" s="12">
        <v>0.71</v>
      </c>
      <c r="F275" s="11">
        <v>0.71</v>
      </c>
      <c r="G275" s="6">
        <f t="shared" si="66"/>
        <v>0</v>
      </c>
      <c r="H275" s="7">
        <f t="shared" si="67"/>
        <v>0</v>
      </c>
      <c r="I275" s="8">
        <v>1.3974603174603173</v>
      </c>
      <c r="J275" s="9">
        <f t="shared" si="68"/>
        <v>1.3974603174603173</v>
      </c>
      <c r="K275" s="3">
        <f t="shared" si="69"/>
        <v>0</v>
      </c>
      <c r="L275" s="7">
        <f t="shared" si="70"/>
        <v>0</v>
      </c>
      <c r="M275" t="s">
        <v>150</v>
      </c>
      <c r="O275" s="3">
        <f>E275-'315805 - P0824'!F275</f>
        <v>0</v>
      </c>
      <c r="P275" s="30">
        <f>I275-'315805 - P0824'!J275</f>
        <v>0</v>
      </c>
    </row>
    <row r="276" spans="1:16" x14ac:dyDescent="0.25">
      <c r="A276">
        <v>274</v>
      </c>
      <c r="C276" t="s">
        <v>8</v>
      </c>
      <c r="D276" s="4" t="s">
        <v>267</v>
      </c>
      <c r="E276" s="12">
        <v>15.02</v>
      </c>
      <c r="F276" s="11">
        <v>15.02</v>
      </c>
      <c r="G276" s="6">
        <f t="shared" si="66"/>
        <v>0</v>
      </c>
      <c r="H276" s="7">
        <f t="shared" si="67"/>
        <v>0</v>
      </c>
      <c r="I276" s="8">
        <v>39.554925957158105</v>
      </c>
      <c r="J276" s="9">
        <f t="shared" si="68"/>
        <v>39.554925957158105</v>
      </c>
      <c r="K276" s="3">
        <f t="shared" si="69"/>
        <v>0</v>
      </c>
      <c r="L276" s="7">
        <f t="shared" si="70"/>
        <v>0</v>
      </c>
      <c r="M276" t="s">
        <v>150</v>
      </c>
      <c r="O276" s="3">
        <f>E276-'315805 - P0824'!F276</f>
        <v>0</v>
      </c>
      <c r="P276" s="30">
        <f>I276-'315805 - P0824'!J276</f>
        <v>0</v>
      </c>
    </row>
    <row r="277" spans="1:16" x14ac:dyDescent="0.25">
      <c r="A277">
        <v>275</v>
      </c>
      <c r="C277" t="s">
        <v>8</v>
      </c>
      <c r="D277" s="4" t="s">
        <v>268</v>
      </c>
      <c r="E277" s="12">
        <v>12.5</v>
      </c>
      <c r="F277" s="11">
        <v>12.5</v>
      </c>
      <c r="G277" s="6">
        <f t="shared" si="66"/>
        <v>0</v>
      </c>
      <c r="H277" s="7">
        <f t="shared" si="67"/>
        <v>0</v>
      </c>
      <c r="I277" s="8">
        <v>21.214819136522753</v>
      </c>
      <c r="J277" s="9">
        <f t="shared" si="68"/>
        <v>21.214819136522753</v>
      </c>
      <c r="K277" s="3">
        <f t="shared" si="69"/>
        <v>0</v>
      </c>
      <c r="L277" s="7">
        <f t="shared" si="70"/>
        <v>0</v>
      </c>
      <c r="M277" t="s">
        <v>187</v>
      </c>
      <c r="O277" s="3">
        <f>E277-'315805 - P0824'!F277</f>
        <v>0</v>
      </c>
      <c r="P277" s="30">
        <f>I277-'315805 - P0824'!J277</f>
        <v>0</v>
      </c>
    </row>
    <row r="278" spans="1:16" x14ac:dyDescent="0.25">
      <c r="A278">
        <v>276</v>
      </c>
      <c r="C278" t="s">
        <v>8</v>
      </c>
      <c r="D278" s="4" t="s">
        <v>269</v>
      </c>
      <c r="E278" s="12">
        <v>12</v>
      </c>
      <c r="F278" s="12">
        <v>12</v>
      </c>
      <c r="G278" s="6">
        <f>+F278-E278</f>
        <v>0</v>
      </c>
      <c r="H278" s="7">
        <f>(F278-E278)/ABS(E278)</f>
        <v>0</v>
      </c>
      <c r="I278" s="8">
        <v>18.47</v>
      </c>
      <c r="J278" s="9">
        <f>(I278*H278)+I278</f>
        <v>18.47</v>
      </c>
      <c r="K278" s="3">
        <f>J278-I278</f>
        <v>0</v>
      </c>
      <c r="L278" s="7">
        <f>(J278-I278)/ABS(I278)</f>
        <v>0</v>
      </c>
      <c r="M278" t="s">
        <v>187</v>
      </c>
      <c r="O278" s="3">
        <f>E278-'315805 - P0824'!F278</f>
        <v>0</v>
      </c>
      <c r="P278" s="30">
        <f>I278-'315805 - P0824'!J278</f>
        <v>0</v>
      </c>
    </row>
    <row r="279" spans="1:16" x14ac:dyDescent="0.25">
      <c r="A279">
        <v>277</v>
      </c>
      <c r="C279" t="s">
        <v>8</v>
      </c>
      <c r="D279" s="4" t="s">
        <v>270</v>
      </c>
      <c r="E279" s="12">
        <v>8.9499999999999993</v>
      </c>
      <c r="F279" s="11">
        <v>8.9499999999999993</v>
      </c>
      <c r="G279" s="6">
        <f t="shared" si="66"/>
        <v>0</v>
      </c>
      <c r="H279" s="7">
        <f t="shared" si="67"/>
        <v>0</v>
      </c>
      <c r="I279" s="8">
        <v>29.456687862360731</v>
      </c>
      <c r="J279" s="9">
        <f t="shared" si="68"/>
        <v>29.456687862360731</v>
      </c>
      <c r="K279" s="3">
        <f t="shared" si="69"/>
        <v>0</v>
      </c>
      <c r="L279" s="7">
        <f t="shared" si="70"/>
        <v>0</v>
      </c>
      <c r="M279" t="s">
        <v>187</v>
      </c>
      <c r="O279" s="3">
        <f>E279-'315805 - P0824'!F279</f>
        <v>0</v>
      </c>
      <c r="P279" s="30">
        <f>I279-'315805 - P0824'!J279</f>
        <v>0</v>
      </c>
    </row>
    <row r="280" spans="1:16" x14ac:dyDescent="0.25">
      <c r="A280">
        <v>278</v>
      </c>
      <c r="C280" t="s">
        <v>8</v>
      </c>
      <c r="D280" s="4" t="s">
        <v>271</v>
      </c>
      <c r="E280" s="16">
        <v>46.13</v>
      </c>
      <c r="F280" s="12">
        <v>46.13</v>
      </c>
      <c r="G280" s="6">
        <f t="shared" si="66"/>
        <v>0</v>
      </c>
      <c r="H280" s="7">
        <f t="shared" si="67"/>
        <v>0</v>
      </c>
      <c r="I280" s="8">
        <v>71.680000000000007</v>
      </c>
      <c r="J280" s="9">
        <f t="shared" si="68"/>
        <v>71.680000000000007</v>
      </c>
      <c r="K280" s="3">
        <f t="shared" si="69"/>
        <v>0</v>
      </c>
      <c r="L280" s="7">
        <f t="shared" si="70"/>
        <v>0</v>
      </c>
      <c r="M280" t="s">
        <v>187</v>
      </c>
      <c r="O280" s="3">
        <f>E280-'315805 - P0824'!F280</f>
        <v>0</v>
      </c>
      <c r="P280" s="30">
        <f>I280-'315805 - P0824'!J280</f>
        <v>0</v>
      </c>
    </row>
    <row r="281" spans="1:16" x14ac:dyDescent="0.25">
      <c r="A281">
        <v>279</v>
      </c>
      <c r="C281" t="s">
        <v>8</v>
      </c>
      <c r="D281" s="4" t="s">
        <v>272</v>
      </c>
      <c r="E281" s="5">
        <v>5.85</v>
      </c>
      <c r="F281" s="5">
        <v>5.85</v>
      </c>
      <c r="G281" s="6">
        <f t="shared" si="66"/>
        <v>0</v>
      </c>
      <c r="H281" s="7">
        <f t="shared" si="67"/>
        <v>0</v>
      </c>
      <c r="I281" s="8">
        <v>6.9</v>
      </c>
      <c r="J281" s="9">
        <f t="shared" si="68"/>
        <v>6.9</v>
      </c>
      <c r="K281" s="3">
        <f t="shared" si="69"/>
        <v>0</v>
      </c>
      <c r="L281" s="7">
        <f t="shared" si="70"/>
        <v>0</v>
      </c>
      <c r="M281" t="s">
        <v>150</v>
      </c>
      <c r="O281" s="3">
        <f>E281-'315805 - P0824'!F281</f>
        <v>0</v>
      </c>
      <c r="P281" s="30">
        <f>I281-'315805 - P0824'!J281</f>
        <v>0</v>
      </c>
    </row>
    <row r="282" spans="1:16" x14ac:dyDescent="0.25">
      <c r="A282">
        <v>280</v>
      </c>
      <c r="C282" t="s">
        <v>8</v>
      </c>
      <c r="D282" s="4" t="s">
        <v>273</v>
      </c>
      <c r="E282" s="5">
        <v>6.93</v>
      </c>
      <c r="F282" s="5">
        <v>6.93</v>
      </c>
      <c r="G282" s="6">
        <f t="shared" si="66"/>
        <v>0</v>
      </c>
      <c r="H282" s="7">
        <f t="shared" si="67"/>
        <v>0</v>
      </c>
      <c r="I282" s="8">
        <v>13.99</v>
      </c>
      <c r="J282" s="9">
        <f t="shared" si="68"/>
        <v>13.99</v>
      </c>
      <c r="K282" s="3">
        <f t="shared" si="69"/>
        <v>0</v>
      </c>
      <c r="L282" s="7">
        <f t="shared" si="70"/>
        <v>0</v>
      </c>
      <c r="M282" t="s">
        <v>150</v>
      </c>
      <c r="O282" s="3">
        <f>E282-'315805 - P0824'!F282</f>
        <v>0</v>
      </c>
      <c r="P282" s="30">
        <f>I282-'315805 - P0824'!J282</f>
        <v>0</v>
      </c>
    </row>
    <row r="283" spans="1:16" x14ac:dyDescent="0.25">
      <c r="A283">
        <v>281</v>
      </c>
      <c r="C283" t="s">
        <v>8</v>
      </c>
      <c r="D283" s="4" t="s">
        <v>274</v>
      </c>
      <c r="E283" s="5">
        <v>6.93</v>
      </c>
      <c r="F283" s="5">
        <v>6.93</v>
      </c>
      <c r="G283" s="6">
        <f t="shared" si="66"/>
        <v>0</v>
      </c>
      <c r="H283" s="7">
        <f t="shared" si="67"/>
        <v>0</v>
      </c>
      <c r="I283" s="8">
        <v>7.9</v>
      </c>
      <c r="J283" s="9">
        <f t="shared" si="68"/>
        <v>7.9</v>
      </c>
      <c r="K283" s="3">
        <f t="shared" si="69"/>
        <v>0</v>
      </c>
      <c r="L283" s="7">
        <f t="shared" si="70"/>
        <v>0</v>
      </c>
      <c r="M283" t="s">
        <v>150</v>
      </c>
      <c r="O283" s="3">
        <f>E283-'315805 - P0824'!F283</f>
        <v>0</v>
      </c>
      <c r="P283" s="30">
        <f>I283-'315805 - P0824'!J283</f>
        <v>0</v>
      </c>
    </row>
    <row r="284" spans="1:16" x14ac:dyDescent="0.25">
      <c r="A284">
        <v>282</v>
      </c>
      <c r="C284" t="s">
        <v>8</v>
      </c>
      <c r="D284" s="4" t="s">
        <v>275</v>
      </c>
      <c r="E284" s="12">
        <v>2.56</v>
      </c>
      <c r="F284" s="11">
        <v>2.56</v>
      </c>
      <c r="G284" s="6">
        <f t="shared" si="66"/>
        <v>0</v>
      </c>
      <c r="H284" s="7">
        <f t="shared" si="67"/>
        <v>0</v>
      </c>
      <c r="I284" s="8">
        <v>8.0228714375055841</v>
      </c>
      <c r="J284" s="9">
        <f t="shared" si="68"/>
        <v>8.0228714375055841</v>
      </c>
      <c r="K284" s="3">
        <f t="shared" si="69"/>
        <v>0</v>
      </c>
      <c r="L284" s="7">
        <f t="shared" si="70"/>
        <v>0</v>
      </c>
      <c r="M284" t="s">
        <v>150</v>
      </c>
      <c r="O284" s="3">
        <f>E284-'315805 - P0824'!F284</f>
        <v>0</v>
      </c>
      <c r="P284" s="30">
        <f>I284-'315805 - P0824'!J284</f>
        <v>0</v>
      </c>
    </row>
    <row r="285" spans="1:16" x14ac:dyDescent="0.25">
      <c r="A285">
        <v>283</v>
      </c>
      <c r="C285" t="s">
        <v>8</v>
      </c>
      <c r="D285" s="4" t="s">
        <v>276</v>
      </c>
      <c r="E285" s="12">
        <v>3.71</v>
      </c>
      <c r="F285" s="11">
        <v>3.71</v>
      </c>
      <c r="G285" s="6">
        <f t="shared" si="66"/>
        <v>0</v>
      </c>
      <c r="H285" s="7">
        <f t="shared" si="67"/>
        <v>0</v>
      </c>
      <c r="I285" s="8">
        <v>9.2527255216693405</v>
      </c>
      <c r="J285" s="9">
        <f t="shared" si="68"/>
        <v>9.2527255216693405</v>
      </c>
      <c r="K285" s="3">
        <f t="shared" si="69"/>
        <v>0</v>
      </c>
      <c r="L285" s="7">
        <f t="shared" si="70"/>
        <v>0</v>
      </c>
      <c r="M285" t="s">
        <v>150</v>
      </c>
      <c r="O285" s="3">
        <f>E285-'315805 - P0824'!F285</f>
        <v>0</v>
      </c>
      <c r="P285" s="30">
        <f>I285-'315805 - P0824'!J285</f>
        <v>0</v>
      </c>
    </row>
    <row r="286" spans="1:16" x14ac:dyDescent="0.25">
      <c r="A286">
        <v>284</v>
      </c>
      <c r="C286" t="s">
        <v>277</v>
      </c>
      <c r="D286" s="4" t="s">
        <v>278</v>
      </c>
      <c r="E286" s="11">
        <v>85.35</v>
      </c>
      <c r="F286" s="11">
        <v>85.35</v>
      </c>
      <c r="G286" s="6">
        <f t="shared" si="66"/>
        <v>0</v>
      </c>
      <c r="H286" s="7">
        <f t="shared" si="67"/>
        <v>0</v>
      </c>
      <c r="I286" s="8">
        <v>129.08106565176024</v>
      </c>
      <c r="J286" s="9">
        <f t="shared" si="68"/>
        <v>129.08106565176024</v>
      </c>
      <c r="K286" s="3">
        <f t="shared" si="69"/>
        <v>0</v>
      </c>
      <c r="L286" s="7">
        <f t="shared" si="70"/>
        <v>0</v>
      </c>
      <c r="M286" t="s">
        <v>150</v>
      </c>
      <c r="O286" s="3">
        <f>E286-'315805 - P0824'!F286</f>
        <v>0</v>
      </c>
      <c r="P286" s="30">
        <f>I286-'315805 - P0824'!J286</f>
        <v>0</v>
      </c>
    </row>
    <row r="287" spans="1:16" x14ac:dyDescent="0.25">
      <c r="A287">
        <v>285</v>
      </c>
      <c r="C287" t="s">
        <v>8</v>
      </c>
      <c r="D287" s="4" t="s">
        <v>279</v>
      </c>
      <c r="E287" s="12">
        <v>3.47</v>
      </c>
      <c r="F287" s="12">
        <v>3.47</v>
      </c>
      <c r="G287" s="6">
        <f t="shared" si="66"/>
        <v>0</v>
      </c>
      <c r="H287" s="7">
        <f t="shared" si="67"/>
        <v>0</v>
      </c>
      <c r="I287" s="8">
        <v>9.272871621621622</v>
      </c>
      <c r="J287" s="9">
        <f t="shared" si="68"/>
        <v>9.272871621621622</v>
      </c>
      <c r="K287" s="3">
        <f t="shared" si="69"/>
        <v>0</v>
      </c>
      <c r="L287" s="7">
        <f t="shared" si="70"/>
        <v>0</v>
      </c>
      <c r="M287" t="s">
        <v>150</v>
      </c>
      <c r="O287" s="3">
        <f>E287-'315805 - P0824'!F287</f>
        <v>0</v>
      </c>
      <c r="P287" s="30">
        <f>I287-'315805 - P0824'!J287</f>
        <v>0</v>
      </c>
    </row>
    <row r="288" spans="1:16" x14ac:dyDescent="0.25">
      <c r="A288">
        <v>286</v>
      </c>
      <c r="C288" t="s">
        <v>8</v>
      </c>
      <c r="D288" s="4" t="s">
        <v>280</v>
      </c>
      <c r="E288" s="12">
        <v>3.03</v>
      </c>
      <c r="F288" s="12">
        <v>3.03</v>
      </c>
      <c r="G288" s="6">
        <f t="shared" si="66"/>
        <v>0</v>
      </c>
      <c r="H288" s="7">
        <f t="shared" si="67"/>
        <v>0</v>
      </c>
      <c r="I288" s="8">
        <v>6.4226640926640925</v>
      </c>
      <c r="J288" s="9">
        <f t="shared" si="68"/>
        <v>6.4226640926640925</v>
      </c>
      <c r="K288" s="3">
        <f t="shared" si="69"/>
        <v>0</v>
      </c>
      <c r="L288" s="7">
        <f t="shared" si="70"/>
        <v>0</v>
      </c>
      <c r="M288" t="s">
        <v>150</v>
      </c>
      <c r="O288" s="3">
        <f>E288-'315805 - P0824'!F288</f>
        <v>0</v>
      </c>
      <c r="P288" s="30">
        <f>I288-'315805 - P0824'!J288</f>
        <v>0</v>
      </c>
    </row>
    <row r="289" spans="1:16" x14ac:dyDescent="0.25">
      <c r="A289">
        <v>287</v>
      </c>
      <c r="C289" t="s">
        <v>8</v>
      </c>
      <c r="D289" s="4" t="s">
        <v>281</v>
      </c>
      <c r="E289" s="12">
        <v>12.95</v>
      </c>
      <c r="F289" s="12">
        <v>12.95</v>
      </c>
      <c r="G289" s="6">
        <f t="shared" si="66"/>
        <v>0</v>
      </c>
      <c r="H289" s="7">
        <f t="shared" si="67"/>
        <v>0</v>
      </c>
      <c r="I289" s="8">
        <v>25.9</v>
      </c>
      <c r="J289" s="9">
        <f t="shared" si="68"/>
        <v>25.9</v>
      </c>
      <c r="K289" s="3">
        <f t="shared" si="69"/>
        <v>0</v>
      </c>
      <c r="L289" s="7">
        <f t="shared" si="70"/>
        <v>0</v>
      </c>
      <c r="M289" t="s">
        <v>150</v>
      </c>
      <c r="O289" s="3">
        <f>E289-'315805 - P0824'!F289</f>
        <v>0</v>
      </c>
      <c r="P289" s="30">
        <f>I289-'315805 - P0824'!J289</f>
        <v>0</v>
      </c>
    </row>
    <row r="290" spans="1:16" x14ac:dyDescent="0.25">
      <c r="A290">
        <v>288</v>
      </c>
      <c r="C290" t="s">
        <v>8</v>
      </c>
      <c r="D290" s="4" t="s">
        <v>282</v>
      </c>
      <c r="E290" s="12">
        <v>9.27</v>
      </c>
      <c r="F290" s="12">
        <v>9.27</v>
      </c>
      <c r="G290" s="6">
        <f t="shared" si="66"/>
        <v>0</v>
      </c>
      <c r="H290" s="7">
        <f t="shared" si="67"/>
        <v>0</v>
      </c>
      <c r="I290" s="8">
        <v>18.54</v>
      </c>
      <c r="J290" s="9">
        <f t="shared" si="68"/>
        <v>18.54</v>
      </c>
      <c r="K290" s="3">
        <f t="shared" si="69"/>
        <v>0</v>
      </c>
      <c r="L290" s="7">
        <f t="shared" si="70"/>
        <v>0</v>
      </c>
      <c r="M290" t="s">
        <v>150</v>
      </c>
      <c r="O290" s="3">
        <f>E290-'315805 - P0824'!F290</f>
        <v>0</v>
      </c>
      <c r="P290" s="30">
        <f>I290-'315805 - P0824'!J290</f>
        <v>0</v>
      </c>
    </row>
    <row r="291" spans="1:16" x14ac:dyDescent="0.25">
      <c r="A291">
        <v>289</v>
      </c>
      <c r="C291" t="s">
        <v>8</v>
      </c>
      <c r="D291" s="4" t="s">
        <v>283</v>
      </c>
      <c r="E291" s="12">
        <v>4.38</v>
      </c>
      <c r="F291" s="12">
        <v>4.38</v>
      </c>
      <c r="G291" s="6">
        <f t="shared" si="66"/>
        <v>0</v>
      </c>
      <c r="H291" s="7">
        <f t="shared" si="67"/>
        <v>0</v>
      </c>
      <c r="I291" s="8">
        <v>19.878299999999999</v>
      </c>
      <c r="J291" s="9">
        <f t="shared" si="68"/>
        <v>19.878299999999999</v>
      </c>
      <c r="K291" s="3">
        <f t="shared" si="69"/>
        <v>0</v>
      </c>
      <c r="L291" s="7">
        <f t="shared" si="70"/>
        <v>0</v>
      </c>
      <c r="M291" t="s">
        <v>150</v>
      </c>
      <c r="O291" s="3">
        <f>E291-'315805 - P0824'!F291</f>
        <v>0</v>
      </c>
      <c r="P291" s="30">
        <f>I291-'315805 - P0824'!J291</f>
        <v>0</v>
      </c>
    </row>
    <row r="292" spans="1:16" x14ac:dyDescent="0.25">
      <c r="A292">
        <v>290</v>
      </c>
      <c r="C292" t="s">
        <v>8</v>
      </c>
      <c r="D292" s="4" t="s">
        <v>284</v>
      </c>
      <c r="E292" s="12">
        <v>7.78</v>
      </c>
      <c r="F292" s="12">
        <v>7.78</v>
      </c>
      <c r="G292" s="6">
        <f t="shared" si="66"/>
        <v>0</v>
      </c>
      <c r="H292" s="7">
        <f t="shared" si="67"/>
        <v>0</v>
      </c>
      <c r="I292" s="8">
        <v>20.218751857355123</v>
      </c>
      <c r="J292" s="9">
        <f t="shared" si="68"/>
        <v>20.218751857355123</v>
      </c>
      <c r="K292" s="3">
        <f t="shared" si="69"/>
        <v>0</v>
      </c>
      <c r="L292" s="7">
        <f t="shared" si="70"/>
        <v>0</v>
      </c>
      <c r="M292" t="s">
        <v>150</v>
      </c>
      <c r="O292" s="3">
        <f>E292-'315805 - P0824'!F292</f>
        <v>0</v>
      </c>
      <c r="P292" s="30">
        <f>I292-'315805 - P0824'!J292</f>
        <v>0</v>
      </c>
    </row>
    <row r="293" spans="1:16" x14ac:dyDescent="0.25">
      <c r="A293">
        <v>291</v>
      </c>
      <c r="C293" t="s">
        <v>8</v>
      </c>
      <c r="D293" s="4" t="s">
        <v>285</v>
      </c>
      <c r="E293" s="12">
        <v>0.98</v>
      </c>
      <c r="F293" s="12">
        <v>0.98</v>
      </c>
      <c r="G293" s="6">
        <f t="shared" si="66"/>
        <v>0</v>
      </c>
      <c r="H293" s="7">
        <f t="shared" si="67"/>
        <v>0</v>
      </c>
      <c r="I293" s="8">
        <v>2.0746808510638299</v>
      </c>
      <c r="J293" s="9">
        <f t="shared" si="68"/>
        <v>2.0746808510638299</v>
      </c>
      <c r="K293" s="3">
        <f t="shared" si="69"/>
        <v>0</v>
      </c>
      <c r="L293" s="7">
        <f t="shared" si="70"/>
        <v>0</v>
      </c>
      <c r="M293" t="s">
        <v>150</v>
      </c>
      <c r="O293" s="3">
        <f>E293-'315805 - P0824'!F293</f>
        <v>0</v>
      </c>
      <c r="P293" s="30">
        <f>I293-'315805 - P0824'!J293</f>
        <v>0</v>
      </c>
    </row>
    <row r="294" spans="1:16" x14ac:dyDescent="0.25">
      <c r="A294">
        <v>292</v>
      </c>
      <c r="C294" t="s">
        <v>8</v>
      </c>
      <c r="D294" s="4" t="s">
        <v>286</v>
      </c>
      <c r="E294" s="12">
        <v>0.56999999999999995</v>
      </c>
      <c r="F294" s="12">
        <v>0.56999999999999995</v>
      </c>
      <c r="G294" s="6">
        <f t="shared" si="66"/>
        <v>0</v>
      </c>
      <c r="H294" s="7">
        <f t="shared" si="67"/>
        <v>0</v>
      </c>
      <c r="I294" s="8">
        <v>1.29</v>
      </c>
      <c r="J294" s="9">
        <f t="shared" si="68"/>
        <v>1.29</v>
      </c>
      <c r="K294" s="3">
        <f t="shared" si="69"/>
        <v>0</v>
      </c>
      <c r="L294" s="7">
        <f t="shared" si="70"/>
        <v>0</v>
      </c>
      <c r="M294" t="s">
        <v>150</v>
      </c>
      <c r="O294" s="3">
        <f>E294-'315805 - P0824'!F294</f>
        <v>0</v>
      </c>
      <c r="P294" s="30">
        <f>I294-'315805 - P0824'!J294</f>
        <v>0</v>
      </c>
    </row>
    <row r="295" spans="1:16" x14ac:dyDescent="0.25">
      <c r="A295">
        <v>293</v>
      </c>
      <c r="C295" t="s">
        <v>8</v>
      </c>
      <c r="D295" s="4" t="s">
        <v>287</v>
      </c>
      <c r="E295" s="12">
        <v>3.2</v>
      </c>
      <c r="F295" s="12">
        <v>3.2</v>
      </c>
      <c r="G295" s="6">
        <f t="shared" si="66"/>
        <v>0</v>
      </c>
      <c r="H295" s="7">
        <f t="shared" si="67"/>
        <v>0</v>
      </c>
      <c r="I295" s="8">
        <v>9.2899999999999991</v>
      </c>
      <c r="J295" s="9">
        <f t="shared" si="68"/>
        <v>9.2899999999999991</v>
      </c>
      <c r="K295" s="3">
        <f t="shared" si="69"/>
        <v>0</v>
      </c>
      <c r="L295" s="7">
        <f t="shared" si="70"/>
        <v>0</v>
      </c>
      <c r="M295" t="s">
        <v>150</v>
      </c>
      <c r="O295" s="3">
        <f>E295-'315805 - P0824'!F295</f>
        <v>0</v>
      </c>
      <c r="P295" s="30">
        <f>I295-'315805 - P0824'!J295</f>
        <v>0</v>
      </c>
    </row>
    <row r="296" spans="1:16" x14ac:dyDescent="0.25">
      <c r="A296">
        <v>294</v>
      </c>
      <c r="D296" s="34" t="s">
        <v>288</v>
      </c>
      <c r="H296" s="10">
        <f>AVERAGE(H251:H290)</f>
        <v>0</v>
      </c>
      <c r="I296"/>
    </row>
    <row r="297" spans="1:16" x14ac:dyDescent="0.25">
      <c r="A297">
        <v>295</v>
      </c>
      <c r="D297" s="34" t="s">
        <v>289</v>
      </c>
      <c r="I297"/>
      <c r="M297" t="s">
        <v>187</v>
      </c>
    </row>
    <row r="298" spans="1:16" x14ac:dyDescent="0.25">
      <c r="A298">
        <v>296</v>
      </c>
      <c r="B298" t="s">
        <v>468</v>
      </c>
      <c r="C298" t="s">
        <v>291</v>
      </c>
      <c r="D298" s="4" t="s">
        <v>292</v>
      </c>
      <c r="E298" s="12">
        <v>83.45</v>
      </c>
      <c r="F298" s="12">
        <v>83.45</v>
      </c>
      <c r="G298" s="6">
        <f t="shared" ref="G298:G331" si="71">+F298-E298</f>
        <v>0</v>
      </c>
      <c r="H298" s="7">
        <f t="shared" ref="H298:H331" si="72">(F298-E298)/ABS(E298)</f>
        <v>0</v>
      </c>
      <c r="I298" s="8">
        <v>116.82130707692306</v>
      </c>
      <c r="J298" s="9">
        <f t="shared" ref="J298:J331" si="73">(I298*H298)+I298</f>
        <v>116.82130707692306</v>
      </c>
      <c r="K298" s="3">
        <f t="shared" ref="K298:K331" si="74">J298-I298</f>
        <v>0</v>
      </c>
      <c r="L298" s="7">
        <f t="shared" ref="L298:L331" si="75">(J298-I298)/ABS(I298)</f>
        <v>0</v>
      </c>
      <c r="M298" t="s">
        <v>187</v>
      </c>
      <c r="O298" s="3">
        <f>E298-'315805 - P0824'!F298</f>
        <v>0</v>
      </c>
      <c r="P298" s="30">
        <f>I298-'315805 - P0824'!J298</f>
        <v>0</v>
      </c>
    </row>
    <row r="299" spans="1:16" x14ac:dyDescent="0.25">
      <c r="A299">
        <v>297</v>
      </c>
      <c r="B299" t="s">
        <v>471</v>
      </c>
      <c r="C299" t="s">
        <v>291</v>
      </c>
      <c r="D299" s="4" t="s">
        <v>293</v>
      </c>
      <c r="E299" s="12">
        <v>17.16</v>
      </c>
      <c r="F299" s="12">
        <v>17.16</v>
      </c>
      <c r="G299" s="6">
        <f t="shared" si="71"/>
        <v>0</v>
      </c>
      <c r="H299" s="7">
        <f t="shared" si="72"/>
        <v>0</v>
      </c>
      <c r="I299" s="8">
        <v>23.58</v>
      </c>
      <c r="J299" s="9">
        <f t="shared" si="73"/>
        <v>23.58</v>
      </c>
      <c r="K299" s="3">
        <f t="shared" si="74"/>
        <v>0</v>
      </c>
      <c r="L299" s="7">
        <f t="shared" si="75"/>
        <v>0</v>
      </c>
      <c r="M299" t="s">
        <v>187</v>
      </c>
      <c r="O299" s="3">
        <f>E299-'315805 - P0824'!F299</f>
        <v>0</v>
      </c>
      <c r="P299" s="30">
        <f>I299-'315805 - P0824'!J299</f>
        <v>0</v>
      </c>
    </row>
    <row r="300" spans="1:16" x14ac:dyDescent="0.25">
      <c r="A300">
        <v>298</v>
      </c>
      <c r="B300" t="s">
        <v>468</v>
      </c>
      <c r="C300" t="s">
        <v>291</v>
      </c>
      <c r="D300" s="4" t="s">
        <v>295</v>
      </c>
      <c r="E300" s="12">
        <v>20.45</v>
      </c>
      <c r="F300" s="12">
        <v>20.45</v>
      </c>
      <c r="G300" s="6">
        <f t="shared" si="71"/>
        <v>0</v>
      </c>
      <c r="H300" s="7">
        <f t="shared" si="72"/>
        <v>0</v>
      </c>
      <c r="I300" s="8">
        <v>28.117117241379304</v>
      </c>
      <c r="J300" s="9">
        <f t="shared" si="73"/>
        <v>28.117117241379304</v>
      </c>
      <c r="K300" s="3">
        <f t="shared" si="74"/>
        <v>0</v>
      </c>
      <c r="L300" s="7">
        <f t="shared" si="75"/>
        <v>0</v>
      </c>
      <c r="M300" t="s">
        <v>187</v>
      </c>
      <c r="O300" s="3">
        <f>E300-'315805 - P0824'!F300</f>
        <v>0</v>
      </c>
      <c r="P300" s="30">
        <f>I300-'315805 - P0824'!J300</f>
        <v>0</v>
      </c>
    </row>
    <row r="301" spans="1:16" x14ac:dyDescent="0.25">
      <c r="A301">
        <v>299</v>
      </c>
      <c r="B301" t="s">
        <v>471</v>
      </c>
      <c r="C301" t="s">
        <v>291</v>
      </c>
      <c r="D301" s="4" t="s">
        <v>296</v>
      </c>
      <c r="E301" s="12">
        <v>35.15</v>
      </c>
      <c r="F301" s="12">
        <v>35.15</v>
      </c>
      <c r="G301" s="6">
        <f t="shared" si="71"/>
        <v>0</v>
      </c>
      <c r="H301" s="7">
        <f t="shared" si="72"/>
        <v>0</v>
      </c>
      <c r="I301" s="8">
        <v>48.263872071910107</v>
      </c>
      <c r="J301" s="9">
        <f t="shared" si="73"/>
        <v>48.263872071910107</v>
      </c>
      <c r="K301" s="3">
        <f t="shared" si="74"/>
        <v>0</v>
      </c>
      <c r="L301" s="7">
        <f t="shared" si="75"/>
        <v>0</v>
      </c>
      <c r="M301" t="s">
        <v>187</v>
      </c>
      <c r="O301" s="3">
        <f>E301-'315805 - P0824'!F301</f>
        <v>0</v>
      </c>
      <c r="P301" s="30">
        <f>I301-'315805 - P0824'!J301</f>
        <v>0</v>
      </c>
    </row>
    <row r="302" spans="1:16" x14ac:dyDescent="0.25">
      <c r="A302">
        <v>300</v>
      </c>
      <c r="B302" t="s">
        <v>472</v>
      </c>
      <c r="C302" t="s">
        <v>291</v>
      </c>
      <c r="D302" s="4" t="s">
        <v>297</v>
      </c>
      <c r="E302" s="12">
        <v>7.16</v>
      </c>
      <c r="F302" s="12">
        <v>7.16</v>
      </c>
      <c r="G302" s="6">
        <f t="shared" si="71"/>
        <v>0</v>
      </c>
      <c r="H302" s="7">
        <f t="shared" si="72"/>
        <v>0</v>
      </c>
      <c r="I302" s="8">
        <v>9.85</v>
      </c>
      <c r="J302" s="9">
        <f t="shared" si="73"/>
        <v>9.85</v>
      </c>
      <c r="K302" s="3">
        <f t="shared" si="74"/>
        <v>0</v>
      </c>
      <c r="L302" s="7">
        <f t="shared" si="75"/>
        <v>0</v>
      </c>
      <c r="M302" t="s">
        <v>187</v>
      </c>
      <c r="O302" s="3">
        <f>E302-'315805 - P0824'!F302</f>
        <v>0</v>
      </c>
      <c r="P302" s="30">
        <f>I302-'315805 - P0824'!J302</f>
        <v>0</v>
      </c>
    </row>
    <row r="303" spans="1:16" x14ac:dyDescent="0.25">
      <c r="A303">
        <v>301</v>
      </c>
      <c r="B303" t="s">
        <v>486</v>
      </c>
      <c r="C303" t="s">
        <v>291</v>
      </c>
      <c r="D303" s="4" t="s">
        <v>298</v>
      </c>
      <c r="E303" s="12">
        <v>0.49</v>
      </c>
      <c r="F303" s="12">
        <v>0.49</v>
      </c>
      <c r="G303" s="6">
        <f t="shared" si="71"/>
        <v>0</v>
      </c>
      <c r="H303" s="7">
        <f t="shared" si="72"/>
        <v>0</v>
      </c>
      <c r="I303" s="8">
        <v>0.69</v>
      </c>
      <c r="J303" s="9">
        <f t="shared" si="73"/>
        <v>0.69</v>
      </c>
      <c r="K303" s="3">
        <f t="shared" si="74"/>
        <v>0</v>
      </c>
      <c r="L303" s="7">
        <f t="shared" si="75"/>
        <v>0</v>
      </c>
      <c r="M303" t="s">
        <v>187</v>
      </c>
      <c r="O303" s="3">
        <f>E303-'315805 - P0824'!F303</f>
        <v>0</v>
      </c>
      <c r="P303" s="30">
        <f>I303-'315805 - P0824'!J303</f>
        <v>0</v>
      </c>
    </row>
    <row r="304" spans="1:16" x14ac:dyDescent="0.25">
      <c r="A304">
        <v>302</v>
      </c>
      <c r="B304" t="s">
        <v>471</v>
      </c>
      <c r="C304" t="s">
        <v>291</v>
      </c>
      <c r="D304" s="4" t="s">
        <v>299</v>
      </c>
      <c r="E304" s="12">
        <v>21.81</v>
      </c>
      <c r="F304" s="12">
        <v>21.81</v>
      </c>
      <c r="G304" s="6">
        <f t="shared" si="71"/>
        <v>0</v>
      </c>
      <c r="H304" s="7">
        <f t="shared" si="72"/>
        <v>0</v>
      </c>
      <c r="I304" s="8">
        <v>29.968966617429842</v>
      </c>
      <c r="J304" s="9">
        <f t="shared" si="73"/>
        <v>29.968966617429842</v>
      </c>
      <c r="K304" s="3">
        <f t="shared" si="74"/>
        <v>0</v>
      </c>
      <c r="L304" s="7">
        <f t="shared" si="75"/>
        <v>0</v>
      </c>
      <c r="M304" t="s">
        <v>187</v>
      </c>
      <c r="O304" s="3">
        <f>E304-'315805 - P0824'!F304</f>
        <v>0</v>
      </c>
      <c r="P304" s="30">
        <f>I304-'315805 - P0824'!J304</f>
        <v>0</v>
      </c>
    </row>
    <row r="305" spans="1:16" x14ac:dyDescent="0.25">
      <c r="A305">
        <v>303</v>
      </c>
      <c r="B305" s="28" t="s">
        <v>471</v>
      </c>
      <c r="C305" t="s">
        <v>291</v>
      </c>
      <c r="D305" s="4" t="s">
        <v>300</v>
      </c>
      <c r="E305" s="12">
        <v>2.2000000000000002</v>
      </c>
      <c r="F305" s="12">
        <v>2.2000000000000002</v>
      </c>
      <c r="G305" s="6">
        <f t="shared" si="71"/>
        <v>0</v>
      </c>
      <c r="H305" s="7">
        <f t="shared" si="72"/>
        <v>0</v>
      </c>
      <c r="I305" s="8">
        <v>3.0480105109489042</v>
      </c>
      <c r="J305" s="9">
        <f t="shared" si="73"/>
        <v>3.0480105109489042</v>
      </c>
      <c r="K305" s="3">
        <f t="shared" si="74"/>
        <v>0</v>
      </c>
      <c r="L305" s="7">
        <f t="shared" si="75"/>
        <v>0</v>
      </c>
      <c r="M305" t="s">
        <v>187</v>
      </c>
      <c r="O305" s="3">
        <f>E305-'315805 - P0824'!F305</f>
        <v>0</v>
      </c>
      <c r="P305" s="30">
        <f>I305-'315805 - P0824'!J305</f>
        <v>0</v>
      </c>
    </row>
    <row r="306" spans="1:16" x14ac:dyDescent="0.25">
      <c r="A306">
        <v>304</v>
      </c>
      <c r="B306" t="s">
        <v>471</v>
      </c>
      <c r="C306" t="s">
        <v>291</v>
      </c>
      <c r="D306" s="4" t="s">
        <v>301</v>
      </c>
      <c r="E306" s="12">
        <v>2.73</v>
      </c>
      <c r="F306" s="12">
        <v>2.73</v>
      </c>
      <c r="G306" s="6">
        <f t="shared" si="71"/>
        <v>0</v>
      </c>
      <c r="H306" s="7">
        <f t="shared" si="72"/>
        <v>0</v>
      </c>
      <c r="I306" s="8">
        <v>3.751827692307693</v>
      </c>
      <c r="J306" s="9">
        <f t="shared" si="73"/>
        <v>3.751827692307693</v>
      </c>
      <c r="K306" s="3">
        <f t="shared" si="74"/>
        <v>0</v>
      </c>
      <c r="L306" s="7">
        <f t="shared" si="75"/>
        <v>0</v>
      </c>
      <c r="M306" t="s">
        <v>187</v>
      </c>
      <c r="O306" s="3">
        <f>E306-'315805 - P0824'!F306</f>
        <v>0</v>
      </c>
      <c r="P306" s="30">
        <f>I306-'315805 - P0824'!J306</f>
        <v>0</v>
      </c>
    </row>
    <row r="307" spans="1:16" x14ac:dyDescent="0.25">
      <c r="A307">
        <v>305</v>
      </c>
      <c r="B307" t="s">
        <v>469</v>
      </c>
      <c r="C307" t="s">
        <v>291</v>
      </c>
      <c r="D307" s="4" t="s">
        <v>302</v>
      </c>
      <c r="E307" s="12">
        <v>0.9</v>
      </c>
      <c r="F307" s="12">
        <v>0.9</v>
      </c>
      <c r="G307" s="6">
        <f t="shared" si="71"/>
        <v>0</v>
      </c>
      <c r="H307" s="7">
        <f t="shared" si="72"/>
        <v>0</v>
      </c>
      <c r="I307" s="8">
        <v>1.7875199999999998</v>
      </c>
      <c r="J307" s="9">
        <f t="shared" si="73"/>
        <v>1.7875199999999998</v>
      </c>
      <c r="K307" s="3">
        <f t="shared" si="74"/>
        <v>0</v>
      </c>
      <c r="L307" s="7">
        <f t="shared" si="75"/>
        <v>0</v>
      </c>
      <c r="M307" t="s">
        <v>187</v>
      </c>
      <c r="O307" s="3">
        <f>E307-'315805 - P0824'!F307</f>
        <v>0</v>
      </c>
      <c r="P307" s="30">
        <f>I307-'315805 - P0824'!J307</f>
        <v>0</v>
      </c>
    </row>
    <row r="308" spans="1:16" x14ac:dyDescent="0.25">
      <c r="A308">
        <v>306</v>
      </c>
      <c r="B308" t="s">
        <v>303</v>
      </c>
      <c r="C308" t="s">
        <v>291</v>
      </c>
      <c r="D308" s="4" t="s">
        <v>304</v>
      </c>
      <c r="E308" s="12">
        <v>66.48</v>
      </c>
      <c r="F308" s="12">
        <v>66.48</v>
      </c>
      <c r="G308" s="6">
        <f t="shared" si="71"/>
        <v>0</v>
      </c>
      <c r="H308" s="7">
        <f t="shared" si="72"/>
        <v>0</v>
      </c>
      <c r="I308" s="8">
        <v>91.32</v>
      </c>
      <c r="J308" s="9">
        <f t="shared" si="73"/>
        <v>91.32</v>
      </c>
      <c r="K308" s="3">
        <f t="shared" si="74"/>
        <v>0</v>
      </c>
      <c r="L308" s="7">
        <f t="shared" si="75"/>
        <v>0</v>
      </c>
      <c r="M308" t="s">
        <v>187</v>
      </c>
      <c r="O308" s="3">
        <f>E308-'315805 - P0824'!F308</f>
        <v>0</v>
      </c>
      <c r="P308" s="30">
        <f>I308-'315805 - P0824'!J308</f>
        <v>0</v>
      </c>
    </row>
    <row r="309" spans="1:16" x14ac:dyDescent="0.25">
      <c r="A309">
        <v>307</v>
      </c>
      <c r="B309" t="s">
        <v>305</v>
      </c>
      <c r="C309" t="s">
        <v>291</v>
      </c>
      <c r="D309" s="4" t="s">
        <v>306</v>
      </c>
      <c r="E309" s="12">
        <v>26.81</v>
      </c>
      <c r="F309" s="12">
        <v>26.81</v>
      </c>
      <c r="G309" s="13">
        <f t="shared" si="71"/>
        <v>0</v>
      </c>
      <c r="H309" s="7">
        <f t="shared" si="72"/>
        <v>0</v>
      </c>
      <c r="I309" s="8">
        <v>41.25</v>
      </c>
      <c r="J309" s="9">
        <f t="shared" si="73"/>
        <v>41.25</v>
      </c>
      <c r="K309" s="3">
        <f t="shared" si="74"/>
        <v>0</v>
      </c>
      <c r="L309" s="7">
        <f t="shared" si="75"/>
        <v>0</v>
      </c>
      <c r="M309" t="s">
        <v>187</v>
      </c>
      <c r="O309" s="3">
        <f>E309-'315805 - P0824'!F309</f>
        <v>0</v>
      </c>
      <c r="P309" s="30">
        <f>I309-'315805 - P0824'!J309</f>
        <v>0</v>
      </c>
    </row>
    <row r="310" spans="1:16" x14ac:dyDescent="0.25">
      <c r="A310">
        <v>308</v>
      </c>
      <c r="B310" t="s">
        <v>303</v>
      </c>
      <c r="C310" t="s">
        <v>291</v>
      </c>
      <c r="D310" s="4" t="s">
        <v>307</v>
      </c>
      <c r="E310" s="12">
        <v>38.020000000000003</v>
      </c>
      <c r="F310" s="12">
        <v>38.020000000000003</v>
      </c>
      <c r="G310" s="6">
        <f t="shared" si="71"/>
        <v>0</v>
      </c>
      <c r="H310" s="7">
        <f t="shared" si="72"/>
        <v>0</v>
      </c>
      <c r="I310" s="8">
        <v>52.23</v>
      </c>
      <c r="J310" s="9">
        <f t="shared" si="73"/>
        <v>52.23</v>
      </c>
      <c r="K310" s="3">
        <f t="shared" si="74"/>
        <v>0</v>
      </c>
      <c r="L310" s="7">
        <f t="shared" si="75"/>
        <v>0</v>
      </c>
      <c r="M310" t="s">
        <v>187</v>
      </c>
      <c r="O310" s="3">
        <f>E310-'315805 - P0824'!F310</f>
        <v>0</v>
      </c>
      <c r="P310" s="30">
        <f>I310-'315805 - P0824'!J310</f>
        <v>0</v>
      </c>
    </row>
    <row r="311" spans="1:16" x14ac:dyDescent="0.25">
      <c r="A311">
        <v>309</v>
      </c>
      <c r="B311" t="s">
        <v>303</v>
      </c>
      <c r="C311" t="s">
        <v>291</v>
      </c>
      <c r="D311" s="4" t="s">
        <v>308</v>
      </c>
      <c r="E311" s="12">
        <v>95.36</v>
      </c>
      <c r="F311" s="12">
        <v>95.36</v>
      </c>
      <c r="G311" s="6">
        <f t="shared" si="71"/>
        <v>0</v>
      </c>
      <c r="H311" s="7">
        <f t="shared" si="72"/>
        <v>0</v>
      </c>
      <c r="I311" s="8">
        <v>130.96011922503726</v>
      </c>
      <c r="J311" s="9">
        <v>131</v>
      </c>
      <c r="K311" s="3">
        <f t="shared" si="74"/>
        <v>3.9880774962739451E-2</v>
      </c>
      <c r="L311" s="7">
        <f t="shared" si="75"/>
        <v>3.0452610457852233E-4</v>
      </c>
      <c r="M311" t="s">
        <v>187</v>
      </c>
      <c r="O311" s="3">
        <f>E311-'315805 - P0824'!F311</f>
        <v>0</v>
      </c>
      <c r="P311" s="30">
        <f>I311-'315805 - P0824'!J311</f>
        <v>0</v>
      </c>
    </row>
    <row r="312" spans="1:16" x14ac:dyDescent="0.25">
      <c r="A312">
        <v>310</v>
      </c>
      <c r="B312" t="s">
        <v>303</v>
      </c>
      <c r="C312" t="s">
        <v>291</v>
      </c>
      <c r="D312" s="4" t="s">
        <v>309</v>
      </c>
      <c r="E312" s="12">
        <v>15.89</v>
      </c>
      <c r="F312" s="12">
        <v>15.89</v>
      </c>
      <c r="G312" s="6">
        <f t="shared" si="71"/>
        <v>0</v>
      </c>
      <c r="H312" s="7">
        <f t="shared" si="72"/>
        <v>0</v>
      </c>
      <c r="I312" s="8">
        <v>21.821258516129031</v>
      </c>
      <c r="J312" s="9">
        <f t="shared" si="73"/>
        <v>21.821258516129031</v>
      </c>
      <c r="K312" s="3">
        <f t="shared" si="74"/>
        <v>0</v>
      </c>
      <c r="L312" s="7">
        <f t="shared" si="75"/>
        <v>0</v>
      </c>
      <c r="M312" t="s">
        <v>187</v>
      </c>
      <c r="O312" s="3">
        <f>E312-'315805 - P0824'!F312</f>
        <v>0</v>
      </c>
      <c r="P312" s="30">
        <f>I312-'315805 - P0824'!J312</f>
        <v>0</v>
      </c>
    </row>
    <row r="313" spans="1:16" x14ac:dyDescent="0.25">
      <c r="A313">
        <v>311</v>
      </c>
      <c r="B313" t="s">
        <v>303</v>
      </c>
      <c r="C313" t="s">
        <v>291</v>
      </c>
      <c r="D313" s="4" t="s">
        <v>310</v>
      </c>
      <c r="E313" s="12">
        <v>8.59</v>
      </c>
      <c r="F313" s="12">
        <v>8.59</v>
      </c>
      <c r="G313" s="6">
        <f t="shared" si="71"/>
        <v>0</v>
      </c>
      <c r="H313" s="7">
        <f t="shared" si="72"/>
        <v>0</v>
      </c>
      <c r="I313" s="8">
        <v>11.8</v>
      </c>
      <c r="J313" s="9">
        <f t="shared" si="73"/>
        <v>11.8</v>
      </c>
      <c r="K313" s="3">
        <f t="shared" si="74"/>
        <v>0</v>
      </c>
      <c r="L313" s="7">
        <f t="shared" si="75"/>
        <v>0</v>
      </c>
      <c r="M313" t="s">
        <v>187</v>
      </c>
      <c r="O313" s="3">
        <f>E313-'315805 - P0824'!F313</f>
        <v>0</v>
      </c>
      <c r="P313" s="30">
        <f>I313-'315805 - P0824'!J313</f>
        <v>0</v>
      </c>
    </row>
    <row r="314" spans="1:16" x14ac:dyDescent="0.25">
      <c r="A314">
        <v>312</v>
      </c>
      <c r="B314" t="s">
        <v>319</v>
      </c>
      <c r="C314" t="s">
        <v>291</v>
      </c>
      <c r="D314" s="4" t="s">
        <v>311</v>
      </c>
      <c r="E314" s="12">
        <v>11.51</v>
      </c>
      <c r="F314" s="12">
        <v>11.51</v>
      </c>
      <c r="G314" s="6">
        <f t="shared" si="71"/>
        <v>0</v>
      </c>
      <c r="H314" s="7">
        <f t="shared" si="72"/>
        <v>0</v>
      </c>
      <c r="I314" s="8">
        <v>21.72</v>
      </c>
      <c r="J314" s="9">
        <f t="shared" si="73"/>
        <v>21.72</v>
      </c>
      <c r="K314" s="3">
        <f t="shared" si="74"/>
        <v>0</v>
      </c>
      <c r="L314" s="7">
        <f t="shared" si="75"/>
        <v>0</v>
      </c>
      <c r="M314" t="s">
        <v>187</v>
      </c>
      <c r="O314" s="3">
        <f>E314-'315805 - P0824'!F314</f>
        <v>0</v>
      </c>
      <c r="P314" s="30">
        <f>I314-'315805 - P0824'!J314</f>
        <v>0</v>
      </c>
    </row>
    <row r="315" spans="1:16" x14ac:dyDescent="0.25">
      <c r="A315">
        <v>313</v>
      </c>
      <c r="B315" t="s">
        <v>303</v>
      </c>
      <c r="C315" t="s">
        <v>291</v>
      </c>
      <c r="D315" s="4" t="s">
        <v>312</v>
      </c>
      <c r="E315" s="12">
        <v>175</v>
      </c>
      <c r="F315" s="12">
        <v>175</v>
      </c>
      <c r="G315" s="6">
        <f t="shared" si="71"/>
        <v>0</v>
      </c>
      <c r="H315" s="7">
        <f t="shared" si="72"/>
        <v>0</v>
      </c>
      <c r="I315" s="8">
        <v>284.09826122118881</v>
      </c>
      <c r="J315" s="9">
        <v>285</v>
      </c>
      <c r="K315" s="3">
        <f t="shared" si="74"/>
        <v>0.90173877881119324</v>
      </c>
      <c r="L315" s="7">
        <f t="shared" si="75"/>
        <v>3.1740383588941836E-3</v>
      </c>
      <c r="M315" t="s">
        <v>187</v>
      </c>
      <c r="O315" s="3">
        <f>E315-'315805 - P0824'!F315</f>
        <v>0</v>
      </c>
      <c r="P315" s="30">
        <f>I315-'315805 - P0824'!J315</f>
        <v>0</v>
      </c>
    </row>
    <row r="316" spans="1:16" x14ac:dyDescent="0.25">
      <c r="A316">
        <v>314</v>
      </c>
      <c r="B316" t="s">
        <v>470</v>
      </c>
      <c r="C316" t="s">
        <v>291</v>
      </c>
      <c r="D316" s="4" t="s">
        <v>313</v>
      </c>
      <c r="E316" s="12">
        <v>175</v>
      </c>
      <c r="F316" s="12">
        <v>175</v>
      </c>
      <c r="G316" s="6">
        <f t="shared" si="71"/>
        <v>0</v>
      </c>
      <c r="H316" s="7">
        <f t="shared" si="72"/>
        <v>0</v>
      </c>
      <c r="I316" s="8">
        <v>284.09826122118881</v>
      </c>
      <c r="J316" s="9">
        <v>285</v>
      </c>
      <c r="K316" s="3">
        <f t="shared" si="74"/>
        <v>0.90173877881119324</v>
      </c>
      <c r="L316" s="7">
        <f t="shared" si="75"/>
        <v>3.1740383588941836E-3</v>
      </c>
      <c r="M316" t="s">
        <v>187</v>
      </c>
      <c r="O316" s="3">
        <f>E316-'315805 - P0824'!F316</f>
        <v>0</v>
      </c>
      <c r="P316" s="30">
        <f>I316-'315805 - P0824'!J316</f>
        <v>0</v>
      </c>
    </row>
    <row r="317" spans="1:16" x14ac:dyDescent="0.25">
      <c r="A317">
        <v>315</v>
      </c>
      <c r="B317" t="s">
        <v>303</v>
      </c>
      <c r="C317" t="s">
        <v>291</v>
      </c>
      <c r="D317" s="4" t="s">
        <v>314</v>
      </c>
      <c r="E317" s="12">
        <v>20.73</v>
      </c>
      <c r="F317" s="12">
        <v>20.73</v>
      </c>
      <c r="G317" s="6">
        <f t="shared" si="71"/>
        <v>0</v>
      </c>
      <c r="H317" s="7">
        <f t="shared" si="72"/>
        <v>0</v>
      </c>
      <c r="I317" s="8">
        <v>33.65</v>
      </c>
      <c r="J317" s="9">
        <f t="shared" si="73"/>
        <v>33.65</v>
      </c>
      <c r="K317" s="3">
        <f t="shared" si="74"/>
        <v>0</v>
      </c>
      <c r="L317" s="7">
        <f t="shared" si="75"/>
        <v>0</v>
      </c>
      <c r="M317" t="s">
        <v>187</v>
      </c>
      <c r="O317" s="3">
        <f>E317-'315805 - P0824'!F317</f>
        <v>0</v>
      </c>
      <c r="P317" s="30">
        <f>I317-'315805 - P0824'!J317</f>
        <v>0</v>
      </c>
    </row>
    <row r="318" spans="1:16" x14ac:dyDescent="0.25">
      <c r="A318">
        <v>316</v>
      </c>
      <c r="B318" t="s">
        <v>470</v>
      </c>
      <c r="C318" t="s">
        <v>291</v>
      </c>
      <c r="D318" s="4" t="s">
        <v>315</v>
      </c>
      <c r="E318" s="12">
        <v>11.34</v>
      </c>
      <c r="F318" s="12">
        <v>11.34</v>
      </c>
      <c r="G318" s="6">
        <f t="shared" si="71"/>
        <v>0</v>
      </c>
      <c r="H318" s="7">
        <f t="shared" si="72"/>
        <v>0</v>
      </c>
      <c r="I318" s="8">
        <v>17.673479758926415</v>
      </c>
      <c r="J318" s="9">
        <f t="shared" si="73"/>
        <v>17.673479758926415</v>
      </c>
      <c r="K318" s="3">
        <f t="shared" si="74"/>
        <v>0</v>
      </c>
      <c r="L318" s="7">
        <f t="shared" si="75"/>
        <v>0</v>
      </c>
      <c r="M318" t="s">
        <v>187</v>
      </c>
      <c r="O318" s="3">
        <f>E318-'315805 - P0824'!F318</f>
        <v>0</v>
      </c>
      <c r="P318" s="30">
        <f>I318-'315805 - P0824'!J318</f>
        <v>0</v>
      </c>
    </row>
    <row r="319" spans="1:16" x14ac:dyDescent="0.25">
      <c r="A319">
        <v>317</v>
      </c>
      <c r="B319" t="s">
        <v>473</v>
      </c>
      <c r="C319" t="s">
        <v>291</v>
      </c>
      <c r="D319" s="4" t="s">
        <v>316</v>
      </c>
      <c r="E319" s="12">
        <v>36.4</v>
      </c>
      <c r="F319" s="12">
        <v>36.4</v>
      </c>
      <c r="G319" s="6">
        <f t="shared" si="71"/>
        <v>0</v>
      </c>
      <c r="H319" s="7">
        <f t="shared" si="72"/>
        <v>0</v>
      </c>
      <c r="I319" s="8">
        <v>56</v>
      </c>
      <c r="J319" s="9">
        <f t="shared" si="73"/>
        <v>56</v>
      </c>
      <c r="K319" s="3">
        <f t="shared" si="74"/>
        <v>0</v>
      </c>
      <c r="L319" s="7">
        <f t="shared" si="75"/>
        <v>0</v>
      </c>
      <c r="M319" t="s">
        <v>187</v>
      </c>
      <c r="O319" s="3">
        <f>E319-'315805 - P0824'!F319</f>
        <v>0</v>
      </c>
      <c r="P319" s="30">
        <f>I319-'315805 - P0824'!J319</f>
        <v>0</v>
      </c>
    </row>
    <row r="320" spans="1:16" x14ac:dyDescent="0.25">
      <c r="A320">
        <v>318</v>
      </c>
      <c r="B320" t="s">
        <v>470</v>
      </c>
      <c r="C320" t="s">
        <v>291</v>
      </c>
      <c r="D320" s="4" t="s">
        <v>317</v>
      </c>
      <c r="E320" s="12">
        <v>32.81</v>
      </c>
      <c r="F320" s="12">
        <v>32.81</v>
      </c>
      <c r="G320" s="6">
        <f t="shared" si="71"/>
        <v>0</v>
      </c>
      <c r="H320" s="7">
        <f t="shared" si="72"/>
        <v>0</v>
      </c>
      <c r="I320" s="8">
        <v>85.12</v>
      </c>
      <c r="J320" s="9">
        <f t="shared" si="73"/>
        <v>85.12</v>
      </c>
      <c r="K320" s="3">
        <f t="shared" si="74"/>
        <v>0</v>
      </c>
      <c r="L320" s="7">
        <f t="shared" si="75"/>
        <v>0</v>
      </c>
      <c r="M320" t="s">
        <v>187</v>
      </c>
      <c r="O320" s="3">
        <f>E320-'315805 - P0824'!F320</f>
        <v>0</v>
      </c>
      <c r="P320" s="30">
        <f>I320-'315805 - P0824'!J320</f>
        <v>0</v>
      </c>
    </row>
    <row r="321" spans="1:16" x14ac:dyDescent="0.25">
      <c r="A321">
        <v>319</v>
      </c>
      <c r="B321" t="s">
        <v>473</v>
      </c>
      <c r="C321" t="s">
        <v>291</v>
      </c>
      <c r="D321" s="4" t="s">
        <v>318</v>
      </c>
      <c r="E321" s="12">
        <v>21.15</v>
      </c>
      <c r="F321" s="12">
        <v>21.15</v>
      </c>
      <c r="G321" s="6">
        <f t="shared" si="71"/>
        <v>0</v>
      </c>
      <c r="H321" s="7">
        <f t="shared" si="72"/>
        <v>0</v>
      </c>
      <c r="I321" s="8">
        <v>32.590000000000003</v>
      </c>
      <c r="J321" s="9">
        <f t="shared" si="73"/>
        <v>32.590000000000003</v>
      </c>
      <c r="K321" s="3">
        <f t="shared" si="74"/>
        <v>0</v>
      </c>
      <c r="L321" s="7">
        <f t="shared" si="75"/>
        <v>0</v>
      </c>
      <c r="M321" t="s">
        <v>187</v>
      </c>
      <c r="O321" s="3">
        <f>E321-'315805 - P0824'!F321</f>
        <v>0</v>
      </c>
      <c r="P321" s="30">
        <f>I321-'315805 - P0824'!J321</f>
        <v>0</v>
      </c>
    </row>
    <row r="322" spans="1:16" x14ac:dyDescent="0.25">
      <c r="A322">
        <v>320</v>
      </c>
      <c r="B322" t="s">
        <v>319</v>
      </c>
      <c r="C322" t="s">
        <v>291</v>
      </c>
      <c r="D322" s="4" t="s">
        <v>320</v>
      </c>
      <c r="E322" s="12">
        <v>1.34</v>
      </c>
      <c r="F322" s="12">
        <v>1.34</v>
      </c>
      <c r="G322" s="6">
        <f t="shared" si="71"/>
        <v>0</v>
      </c>
      <c r="H322" s="7">
        <f t="shared" si="72"/>
        <v>0</v>
      </c>
      <c r="I322" s="8">
        <v>2.5299999999999998</v>
      </c>
      <c r="J322" s="9">
        <f t="shared" si="73"/>
        <v>2.5299999999999998</v>
      </c>
      <c r="K322" s="3">
        <f t="shared" si="74"/>
        <v>0</v>
      </c>
      <c r="L322" s="7">
        <f t="shared" si="75"/>
        <v>0</v>
      </c>
      <c r="M322" t="s">
        <v>187</v>
      </c>
      <c r="O322" s="3">
        <f>E322-'315805 - P0824'!F322</f>
        <v>0</v>
      </c>
      <c r="P322" s="30">
        <f>I322-'315805 - P0824'!J322</f>
        <v>0</v>
      </c>
    </row>
    <row r="323" spans="1:16" x14ac:dyDescent="0.25">
      <c r="A323">
        <v>321</v>
      </c>
      <c r="B323" t="s">
        <v>473</v>
      </c>
      <c r="C323" t="s">
        <v>291</v>
      </c>
      <c r="D323" s="4" t="s">
        <v>321</v>
      </c>
      <c r="E323" s="12">
        <v>1.7</v>
      </c>
      <c r="F323" s="12">
        <v>1.7</v>
      </c>
      <c r="G323" s="6">
        <f t="shared" si="71"/>
        <v>0</v>
      </c>
      <c r="H323" s="7">
        <f t="shared" si="72"/>
        <v>0</v>
      </c>
      <c r="I323" s="8">
        <v>2.62</v>
      </c>
      <c r="J323" s="9">
        <f t="shared" si="73"/>
        <v>2.62</v>
      </c>
      <c r="K323" s="3">
        <f t="shared" si="74"/>
        <v>0</v>
      </c>
      <c r="L323" s="7">
        <f t="shared" si="75"/>
        <v>0</v>
      </c>
      <c r="M323" t="s">
        <v>187</v>
      </c>
      <c r="O323" s="3">
        <f>E323-'315805 - P0824'!F323</f>
        <v>0</v>
      </c>
      <c r="P323" s="30">
        <f>I323-'315805 - P0824'!J323</f>
        <v>0</v>
      </c>
    </row>
    <row r="324" spans="1:16" x14ac:dyDescent="0.25">
      <c r="A324">
        <v>322</v>
      </c>
      <c r="B324" t="s">
        <v>474</v>
      </c>
      <c r="C324" t="s">
        <v>291</v>
      </c>
      <c r="D324" s="4" t="s">
        <v>323</v>
      </c>
      <c r="E324" s="16">
        <v>35.229999999999997</v>
      </c>
      <c r="F324" s="12">
        <v>35.229999999999997</v>
      </c>
      <c r="G324" s="6">
        <f t="shared" si="71"/>
        <v>0</v>
      </c>
      <c r="H324" s="7">
        <f t="shared" si="72"/>
        <v>0</v>
      </c>
      <c r="I324" s="8">
        <v>54.21</v>
      </c>
      <c r="J324" s="9">
        <f t="shared" si="73"/>
        <v>54.21</v>
      </c>
      <c r="K324" s="3">
        <f t="shared" si="74"/>
        <v>0</v>
      </c>
      <c r="L324" s="7">
        <f t="shared" si="75"/>
        <v>0</v>
      </c>
      <c r="M324" t="s">
        <v>187</v>
      </c>
      <c r="O324" s="3">
        <f>E324-'315805 - P0824'!F324</f>
        <v>0</v>
      </c>
      <c r="P324" s="30">
        <f>I324-'315805 - P0824'!J324</f>
        <v>0</v>
      </c>
    </row>
    <row r="325" spans="1:16" x14ac:dyDescent="0.25">
      <c r="A325">
        <v>323</v>
      </c>
      <c r="B325" t="s">
        <v>474</v>
      </c>
      <c r="C325" t="s">
        <v>291</v>
      </c>
      <c r="D325" s="4" t="s">
        <v>324</v>
      </c>
      <c r="E325" s="16">
        <v>19.350000000000001</v>
      </c>
      <c r="F325" s="12">
        <v>19.350000000000001</v>
      </c>
      <c r="G325" s="6">
        <f t="shared" si="71"/>
        <v>0</v>
      </c>
      <c r="H325" s="7">
        <f t="shared" si="72"/>
        <v>0</v>
      </c>
      <c r="I325" s="8">
        <v>34.01</v>
      </c>
      <c r="J325" s="9">
        <f t="shared" si="73"/>
        <v>34.01</v>
      </c>
      <c r="K325" s="3">
        <f t="shared" si="74"/>
        <v>0</v>
      </c>
      <c r="L325" s="7">
        <f t="shared" si="75"/>
        <v>0</v>
      </c>
      <c r="M325" t="s">
        <v>187</v>
      </c>
      <c r="O325" s="3">
        <f>E325-'315805 - P0824'!F325</f>
        <v>0</v>
      </c>
      <c r="P325" s="30">
        <f>I325-'315805 - P0824'!J325</f>
        <v>0</v>
      </c>
    </row>
    <row r="326" spans="1:16" x14ac:dyDescent="0.25">
      <c r="A326">
        <v>324</v>
      </c>
      <c r="B326" t="s">
        <v>474</v>
      </c>
      <c r="C326" t="s">
        <v>291</v>
      </c>
      <c r="D326" s="4" t="s">
        <v>325</v>
      </c>
      <c r="E326" s="16">
        <v>13.97</v>
      </c>
      <c r="F326" s="12">
        <v>13.97</v>
      </c>
      <c r="G326" s="6">
        <f t="shared" si="71"/>
        <v>0</v>
      </c>
      <c r="H326" s="7">
        <f t="shared" si="72"/>
        <v>0</v>
      </c>
      <c r="I326" s="8">
        <v>21.5</v>
      </c>
      <c r="J326" s="9">
        <f t="shared" si="73"/>
        <v>21.5</v>
      </c>
      <c r="K326" s="3">
        <f t="shared" si="74"/>
        <v>0</v>
      </c>
      <c r="L326" s="7">
        <f t="shared" si="75"/>
        <v>0</v>
      </c>
      <c r="M326" t="s">
        <v>187</v>
      </c>
      <c r="O326" s="3">
        <f>E326-'315805 - P0824'!F326</f>
        <v>0</v>
      </c>
      <c r="P326" s="30">
        <f>I326-'315805 - P0824'!J326</f>
        <v>0</v>
      </c>
    </row>
    <row r="327" spans="1:16" x14ac:dyDescent="0.25">
      <c r="A327">
        <v>325</v>
      </c>
      <c r="B327" t="s">
        <v>474</v>
      </c>
      <c r="C327" t="s">
        <v>291</v>
      </c>
      <c r="D327" s="4" t="s">
        <v>326</v>
      </c>
      <c r="E327" s="16">
        <v>4.5599999999999996</v>
      </c>
      <c r="F327" s="12">
        <v>4.5599999999999996</v>
      </c>
      <c r="G327" s="6">
        <f t="shared" si="71"/>
        <v>0</v>
      </c>
      <c r="H327" s="7">
        <f t="shared" si="72"/>
        <v>0</v>
      </c>
      <c r="I327" s="8">
        <v>9.14</v>
      </c>
      <c r="J327" s="9">
        <f t="shared" si="73"/>
        <v>9.14</v>
      </c>
      <c r="K327" s="3">
        <f t="shared" si="74"/>
        <v>0</v>
      </c>
      <c r="L327" s="7">
        <f t="shared" si="75"/>
        <v>0</v>
      </c>
      <c r="M327" t="s">
        <v>187</v>
      </c>
      <c r="O327" s="3">
        <f>E327-'315805 - P0824'!F327</f>
        <v>0</v>
      </c>
      <c r="P327" s="30">
        <f>I327-'315805 - P0824'!J327</f>
        <v>0</v>
      </c>
    </row>
    <row r="328" spans="1:16" x14ac:dyDescent="0.25">
      <c r="A328">
        <v>326</v>
      </c>
      <c r="B328" t="s">
        <v>475</v>
      </c>
      <c r="C328" t="s">
        <v>291</v>
      </c>
      <c r="D328" s="4" t="s">
        <v>327</v>
      </c>
      <c r="E328" s="16">
        <v>3.49</v>
      </c>
      <c r="F328" s="12">
        <v>3.49</v>
      </c>
      <c r="G328" s="6">
        <f t="shared" si="71"/>
        <v>0</v>
      </c>
      <c r="H328" s="7">
        <f t="shared" si="72"/>
        <v>0</v>
      </c>
      <c r="I328" s="8">
        <v>6.59</v>
      </c>
      <c r="J328" s="9">
        <f t="shared" si="73"/>
        <v>6.59</v>
      </c>
      <c r="K328" s="3">
        <f t="shared" si="74"/>
        <v>0</v>
      </c>
      <c r="L328" s="7">
        <f t="shared" si="75"/>
        <v>0</v>
      </c>
      <c r="M328" t="s">
        <v>187</v>
      </c>
      <c r="O328" s="3">
        <f>E328-'315805 - P0824'!F328</f>
        <v>0</v>
      </c>
      <c r="P328" s="30">
        <f>I328-'315805 - P0824'!J328</f>
        <v>0</v>
      </c>
    </row>
    <row r="329" spans="1:16" x14ac:dyDescent="0.25">
      <c r="A329">
        <v>327</v>
      </c>
      <c r="B329" t="s">
        <v>474</v>
      </c>
      <c r="C329" t="s">
        <v>291</v>
      </c>
      <c r="D329" s="4" t="s">
        <v>328</v>
      </c>
      <c r="E329" s="16">
        <v>5.68</v>
      </c>
      <c r="F329" s="12">
        <v>5.68</v>
      </c>
      <c r="G329" s="6">
        <f t="shared" si="71"/>
        <v>0</v>
      </c>
      <c r="H329" s="7">
        <f t="shared" si="72"/>
        <v>0</v>
      </c>
      <c r="I329" s="8">
        <v>8.77</v>
      </c>
      <c r="J329" s="9">
        <f t="shared" si="73"/>
        <v>8.77</v>
      </c>
      <c r="K329" s="3">
        <f t="shared" si="74"/>
        <v>0</v>
      </c>
      <c r="L329" s="7">
        <f t="shared" si="75"/>
        <v>0</v>
      </c>
      <c r="M329" t="s">
        <v>187</v>
      </c>
      <c r="O329" s="3">
        <f>E329-'315805 - P0824'!F329</f>
        <v>0</v>
      </c>
      <c r="P329" s="30">
        <f>I329-'315805 - P0824'!J329</f>
        <v>0</v>
      </c>
    </row>
    <row r="330" spans="1:16" x14ac:dyDescent="0.25">
      <c r="A330">
        <v>328</v>
      </c>
      <c r="B330" t="s">
        <v>473</v>
      </c>
      <c r="C330" t="s">
        <v>291</v>
      </c>
      <c r="D330" s="4" t="s">
        <v>329</v>
      </c>
      <c r="E330" s="16">
        <v>5.22</v>
      </c>
      <c r="F330" s="12">
        <v>5.22</v>
      </c>
      <c r="G330" s="6">
        <f t="shared" si="71"/>
        <v>0</v>
      </c>
      <c r="H330" s="7">
        <f t="shared" si="72"/>
        <v>0</v>
      </c>
      <c r="I330" s="8">
        <v>8.0399999999999991</v>
      </c>
      <c r="J330" s="9">
        <f t="shared" si="73"/>
        <v>8.0399999999999991</v>
      </c>
      <c r="K330" s="3">
        <f t="shared" si="74"/>
        <v>0</v>
      </c>
      <c r="L330" s="7">
        <f t="shared" si="75"/>
        <v>0</v>
      </c>
      <c r="M330" t="s">
        <v>187</v>
      </c>
      <c r="O330" s="3">
        <f>E330-'315805 - P0824'!F330</f>
        <v>0</v>
      </c>
      <c r="P330" s="30">
        <f>I330-'315805 - P0824'!J330</f>
        <v>0</v>
      </c>
    </row>
    <row r="331" spans="1:16" x14ac:dyDescent="0.25">
      <c r="A331">
        <v>329</v>
      </c>
      <c r="B331" t="s">
        <v>474</v>
      </c>
      <c r="C331" t="s">
        <v>291</v>
      </c>
      <c r="D331" s="4" t="s">
        <v>330</v>
      </c>
      <c r="E331" s="16">
        <v>34.32</v>
      </c>
      <c r="F331" s="12">
        <v>34.32</v>
      </c>
      <c r="G331" s="6">
        <f t="shared" si="71"/>
        <v>0</v>
      </c>
      <c r="H331" s="7">
        <f t="shared" si="72"/>
        <v>0</v>
      </c>
      <c r="I331" s="8">
        <v>52.8</v>
      </c>
      <c r="J331" s="9">
        <f t="shared" si="73"/>
        <v>52.8</v>
      </c>
      <c r="K331" s="3">
        <f t="shared" si="74"/>
        <v>0</v>
      </c>
      <c r="L331" s="7">
        <f t="shared" si="75"/>
        <v>0</v>
      </c>
      <c r="M331" t="s">
        <v>187</v>
      </c>
      <c r="O331" s="3">
        <f>E331-'315805 - P0824'!F331</f>
        <v>0</v>
      </c>
      <c r="P331" s="30">
        <f>I331-'315805 - P0824'!J331</f>
        <v>0</v>
      </c>
    </row>
    <row r="332" spans="1:16" x14ac:dyDescent="0.25">
      <c r="A332">
        <v>330</v>
      </c>
      <c r="B332" t="s">
        <v>474</v>
      </c>
      <c r="C332" t="s">
        <v>291</v>
      </c>
      <c r="D332" s="4" t="s">
        <v>331</v>
      </c>
      <c r="E332" s="16">
        <v>2.96</v>
      </c>
      <c r="F332" s="12">
        <v>2.96</v>
      </c>
      <c r="G332" s="6">
        <f>+F332-E332</f>
        <v>0</v>
      </c>
      <c r="H332" s="7">
        <f>(F332-E332)/ABS(E332)</f>
        <v>0</v>
      </c>
      <c r="I332" s="8">
        <v>4.5599999999999996</v>
      </c>
      <c r="J332" s="9">
        <f>(I332*H332)+I332</f>
        <v>4.5599999999999996</v>
      </c>
      <c r="K332" s="3">
        <f>J332-I332</f>
        <v>0</v>
      </c>
      <c r="L332" s="7">
        <f>(J332-I332)/ABS(I332)</f>
        <v>0</v>
      </c>
      <c r="M332" t="s">
        <v>187</v>
      </c>
      <c r="O332" s="3">
        <f>E332-'315805 - P0824'!F332</f>
        <v>0</v>
      </c>
      <c r="P332" s="30">
        <f>I332-'315805 - P0824'!J332</f>
        <v>0</v>
      </c>
    </row>
    <row r="333" spans="1:16" x14ac:dyDescent="0.25">
      <c r="A333">
        <v>331</v>
      </c>
      <c r="B333" t="s">
        <v>473</v>
      </c>
      <c r="C333" t="s">
        <v>291</v>
      </c>
      <c r="D333" s="4" t="s">
        <v>332</v>
      </c>
      <c r="E333" s="12">
        <v>197</v>
      </c>
      <c r="F333" s="12">
        <v>197</v>
      </c>
      <c r="G333" s="6">
        <f t="shared" ref="G333:G345" si="76">+F333-E333</f>
        <v>0</v>
      </c>
      <c r="H333" s="7">
        <f t="shared" ref="H333:H345" si="77">(F333-E333)/ABS(E333)</f>
        <v>0</v>
      </c>
      <c r="I333" s="8">
        <v>303.08</v>
      </c>
      <c r="J333" s="9">
        <f t="shared" ref="J333:J345" si="78">(I333*H333)+I333</f>
        <v>303.08</v>
      </c>
      <c r="K333" s="3">
        <f t="shared" ref="K333:K345" si="79">J333-I333</f>
        <v>0</v>
      </c>
      <c r="L333" s="7">
        <f t="shared" ref="L333:L345" si="80">(J333-I333)/ABS(I333)</f>
        <v>0</v>
      </c>
      <c r="M333" t="s">
        <v>187</v>
      </c>
      <c r="O333" s="3">
        <f>E333-'315805 - P0824'!F333</f>
        <v>0</v>
      </c>
      <c r="P333" s="30">
        <f>I333-'315805 - P0824'!J333</f>
        <v>0</v>
      </c>
    </row>
    <row r="334" spans="1:16" x14ac:dyDescent="0.25">
      <c r="A334">
        <v>332</v>
      </c>
      <c r="B334" t="s">
        <v>319</v>
      </c>
      <c r="C334" t="s">
        <v>291</v>
      </c>
      <c r="D334" s="4" t="s">
        <v>333</v>
      </c>
      <c r="E334" s="12">
        <v>83</v>
      </c>
      <c r="F334" s="12">
        <v>83</v>
      </c>
      <c r="G334" s="6">
        <f t="shared" si="76"/>
        <v>0</v>
      </c>
      <c r="H334" s="7">
        <f t="shared" si="77"/>
        <v>0</v>
      </c>
      <c r="I334" s="8">
        <v>100.7</v>
      </c>
      <c r="J334" s="9">
        <f t="shared" si="78"/>
        <v>100.7</v>
      </c>
      <c r="K334" s="3">
        <f t="shared" si="79"/>
        <v>0</v>
      </c>
      <c r="L334" s="7">
        <f t="shared" si="80"/>
        <v>0</v>
      </c>
      <c r="M334" t="s">
        <v>187</v>
      </c>
      <c r="O334" s="3">
        <f>E334-'315805 - P0824'!F334</f>
        <v>0</v>
      </c>
      <c r="P334" s="30">
        <f>I334-'315805 - P0824'!J334</f>
        <v>0</v>
      </c>
    </row>
    <row r="335" spans="1:16" x14ac:dyDescent="0.25">
      <c r="A335">
        <v>333</v>
      </c>
      <c r="B335" t="s">
        <v>305</v>
      </c>
      <c r="C335" t="s">
        <v>291</v>
      </c>
      <c r="D335" s="4" t="s">
        <v>334</v>
      </c>
      <c r="E335" s="12">
        <v>10</v>
      </c>
      <c r="F335" s="12">
        <v>10</v>
      </c>
      <c r="G335" s="6">
        <f t="shared" si="76"/>
        <v>0</v>
      </c>
      <c r="H335" s="7">
        <f t="shared" si="77"/>
        <v>0</v>
      </c>
      <c r="I335" s="8">
        <v>15.39</v>
      </c>
      <c r="J335" s="9">
        <f t="shared" si="78"/>
        <v>15.39</v>
      </c>
      <c r="K335" s="3">
        <f t="shared" si="79"/>
        <v>0</v>
      </c>
      <c r="L335" s="7">
        <f t="shared" si="80"/>
        <v>0</v>
      </c>
      <c r="M335" t="s">
        <v>187</v>
      </c>
      <c r="O335" s="3">
        <f>E335-'315805 - P0824'!F335</f>
        <v>0</v>
      </c>
      <c r="P335" s="30">
        <f>I335-'315805 - P0824'!J335</f>
        <v>0</v>
      </c>
    </row>
    <row r="336" spans="1:16" x14ac:dyDescent="0.25">
      <c r="A336">
        <v>334</v>
      </c>
      <c r="B336" t="s">
        <v>476</v>
      </c>
      <c r="C336" t="s">
        <v>291</v>
      </c>
      <c r="D336" s="4" t="s">
        <v>335</v>
      </c>
      <c r="E336" s="12">
        <v>2.5099999999999998</v>
      </c>
      <c r="F336" s="12">
        <v>2.5099999999999998</v>
      </c>
      <c r="G336" s="6">
        <f t="shared" si="76"/>
        <v>0</v>
      </c>
      <c r="H336" s="7">
        <f t="shared" si="77"/>
        <v>0</v>
      </c>
      <c r="I336" s="8">
        <v>5.14</v>
      </c>
      <c r="J336" s="9">
        <v>6</v>
      </c>
      <c r="K336" s="3">
        <f t="shared" si="79"/>
        <v>0.86000000000000032</v>
      </c>
      <c r="L336" s="7">
        <f t="shared" si="80"/>
        <v>0.16731517509727634</v>
      </c>
      <c r="M336" t="s">
        <v>187</v>
      </c>
      <c r="O336" s="3">
        <f>E336-'315805 - P0824'!F336</f>
        <v>0</v>
      </c>
      <c r="P336" s="30">
        <f>I336-'315805 - P0824'!J336</f>
        <v>0</v>
      </c>
    </row>
    <row r="337" spans="1:16" x14ac:dyDescent="0.25">
      <c r="A337">
        <v>335</v>
      </c>
      <c r="B337" t="s">
        <v>477</v>
      </c>
      <c r="C337" t="s">
        <v>291</v>
      </c>
      <c r="D337" s="4" t="s">
        <v>336</v>
      </c>
      <c r="E337" s="12">
        <v>5.44</v>
      </c>
      <c r="F337" s="12">
        <v>5.44</v>
      </c>
      <c r="G337" s="6">
        <f t="shared" si="76"/>
        <v>0</v>
      </c>
      <c r="H337" s="7">
        <f t="shared" si="77"/>
        <v>0</v>
      </c>
      <c r="I337" s="8">
        <v>9.49</v>
      </c>
      <c r="J337" s="9">
        <f t="shared" si="78"/>
        <v>9.49</v>
      </c>
      <c r="K337" s="3">
        <f t="shared" si="79"/>
        <v>0</v>
      </c>
      <c r="L337" s="7">
        <f t="shared" si="80"/>
        <v>0</v>
      </c>
      <c r="M337" t="s">
        <v>187</v>
      </c>
      <c r="O337" s="3">
        <f>E337-'315805 - P0824'!F337</f>
        <v>0</v>
      </c>
      <c r="P337" s="30">
        <f>I337-'315805 - P0824'!J337</f>
        <v>0</v>
      </c>
    </row>
    <row r="338" spans="1:16" x14ac:dyDescent="0.25">
      <c r="A338">
        <v>336</v>
      </c>
      <c r="B338" t="s">
        <v>463</v>
      </c>
      <c r="C338" t="s">
        <v>291</v>
      </c>
      <c r="D338" s="4" t="s">
        <v>337</v>
      </c>
      <c r="E338" s="12">
        <v>115.32</v>
      </c>
      <c r="F338" s="12">
        <v>115.32</v>
      </c>
      <c r="G338" s="6">
        <f t="shared" si="76"/>
        <v>0</v>
      </c>
      <c r="H338" s="7">
        <f t="shared" si="77"/>
        <v>0</v>
      </c>
      <c r="I338" s="8">
        <v>177.42</v>
      </c>
      <c r="J338" s="9">
        <f t="shared" si="78"/>
        <v>177.42</v>
      </c>
      <c r="K338" s="3">
        <f t="shared" si="79"/>
        <v>0</v>
      </c>
      <c r="L338" s="7">
        <f t="shared" si="80"/>
        <v>0</v>
      </c>
      <c r="M338" t="s">
        <v>187</v>
      </c>
      <c r="O338" s="3">
        <f>E338-'315805 - P0824'!F338</f>
        <v>0</v>
      </c>
      <c r="P338" s="30">
        <f>I338-'315805 - P0824'!J338</f>
        <v>0</v>
      </c>
    </row>
    <row r="339" spans="1:16" x14ac:dyDescent="0.25">
      <c r="A339">
        <v>337</v>
      </c>
      <c r="B339" t="s">
        <v>463</v>
      </c>
      <c r="C339" t="s">
        <v>291</v>
      </c>
      <c r="D339" s="4" t="s">
        <v>338</v>
      </c>
      <c r="E339" s="12">
        <v>0.89</v>
      </c>
      <c r="F339" s="12">
        <v>0.89</v>
      </c>
      <c r="G339" s="6">
        <f t="shared" si="76"/>
        <v>0</v>
      </c>
      <c r="H339" s="7">
        <f t="shared" si="77"/>
        <v>0</v>
      </c>
      <c r="I339" s="8">
        <v>1.37</v>
      </c>
      <c r="J339" s="9">
        <f t="shared" si="78"/>
        <v>1.37</v>
      </c>
      <c r="K339" s="3">
        <f t="shared" si="79"/>
        <v>0</v>
      </c>
      <c r="L339" s="7">
        <f t="shared" si="80"/>
        <v>0</v>
      </c>
      <c r="M339" t="s">
        <v>187</v>
      </c>
      <c r="O339" s="3">
        <f>E339-'315805 - P0824'!F339</f>
        <v>0</v>
      </c>
      <c r="P339" s="30">
        <f>I339-'315805 - P0824'!J339</f>
        <v>0</v>
      </c>
    </row>
    <row r="340" spans="1:16" x14ac:dyDescent="0.25">
      <c r="A340">
        <v>338</v>
      </c>
      <c r="B340" t="s">
        <v>463</v>
      </c>
      <c r="C340" t="s">
        <v>291</v>
      </c>
      <c r="D340" s="4" t="s">
        <v>339</v>
      </c>
      <c r="E340" s="12">
        <v>33.590000000000003</v>
      </c>
      <c r="F340" s="12">
        <v>33.590000000000003</v>
      </c>
      <c r="G340" s="6">
        <f t="shared" si="76"/>
        <v>0</v>
      </c>
      <c r="H340" s="7">
        <f t="shared" si="77"/>
        <v>0</v>
      </c>
      <c r="I340" s="8">
        <v>51.68</v>
      </c>
      <c r="J340" s="9">
        <f t="shared" si="78"/>
        <v>51.68</v>
      </c>
      <c r="K340" s="3">
        <f t="shared" si="79"/>
        <v>0</v>
      </c>
      <c r="L340" s="7">
        <f t="shared" si="80"/>
        <v>0</v>
      </c>
      <c r="M340" t="s">
        <v>187</v>
      </c>
      <c r="O340" s="3">
        <f>E340-'315805 - P0824'!F340</f>
        <v>0</v>
      </c>
      <c r="P340" s="30">
        <f>I340-'315805 - P0824'!J340</f>
        <v>0</v>
      </c>
    </row>
    <row r="341" spans="1:16" x14ac:dyDescent="0.25">
      <c r="A341">
        <v>339</v>
      </c>
      <c r="B341" t="s">
        <v>463</v>
      </c>
      <c r="C341" t="s">
        <v>291</v>
      </c>
      <c r="D341" s="4" t="s">
        <v>464</v>
      </c>
      <c r="E341" s="12">
        <v>14.78</v>
      </c>
      <c r="F341" s="12">
        <v>14.78</v>
      </c>
      <c r="G341" s="6">
        <f t="shared" si="76"/>
        <v>0</v>
      </c>
      <c r="H341" s="7">
        <f t="shared" si="77"/>
        <v>0</v>
      </c>
      <c r="I341" s="8">
        <v>22.74</v>
      </c>
      <c r="J341" s="9">
        <f t="shared" si="78"/>
        <v>22.74</v>
      </c>
      <c r="K341" s="3">
        <f t="shared" si="79"/>
        <v>0</v>
      </c>
      <c r="L341" s="7">
        <f t="shared" si="80"/>
        <v>0</v>
      </c>
      <c r="M341" t="s">
        <v>187</v>
      </c>
      <c r="O341" s="3">
        <f>E341-'315805 - P0824'!F341</f>
        <v>0</v>
      </c>
      <c r="P341" s="30">
        <f>I341-'315805 - P0824'!J341</f>
        <v>0</v>
      </c>
    </row>
    <row r="342" spans="1:16" x14ac:dyDescent="0.25">
      <c r="A342">
        <v>340</v>
      </c>
      <c r="B342" t="s">
        <v>463</v>
      </c>
      <c r="C342" t="s">
        <v>291</v>
      </c>
      <c r="D342" s="4" t="s">
        <v>466</v>
      </c>
      <c r="E342" s="12">
        <v>2.21</v>
      </c>
      <c r="F342" s="12">
        <v>2.21</v>
      </c>
      <c r="G342" s="6">
        <f t="shared" si="76"/>
        <v>0</v>
      </c>
      <c r="H342" s="7">
        <f t="shared" si="77"/>
        <v>0</v>
      </c>
      <c r="I342" s="8">
        <v>3.8</v>
      </c>
      <c r="J342" s="9">
        <f t="shared" si="78"/>
        <v>3.8</v>
      </c>
      <c r="K342" s="3">
        <f t="shared" si="79"/>
        <v>0</v>
      </c>
      <c r="L342" s="7">
        <f t="shared" si="80"/>
        <v>0</v>
      </c>
      <c r="M342" t="s">
        <v>187</v>
      </c>
      <c r="O342" s="3">
        <f>E342-'315805 - P0824'!F342</f>
        <v>0</v>
      </c>
      <c r="P342" s="30">
        <f>I342-'315805 - P0824'!J342</f>
        <v>0</v>
      </c>
    </row>
    <row r="343" spans="1:16" x14ac:dyDescent="0.25">
      <c r="A343">
        <v>341</v>
      </c>
      <c r="B343" t="s">
        <v>463</v>
      </c>
      <c r="C343" t="s">
        <v>291</v>
      </c>
      <c r="D343" s="4" t="s">
        <v>467</v>
      </c>
      <c r="E343" s="12">
        <v>30.62</v>
      </c>
      <c r="F343" s="12">
        <v>30.62</v>
      </c>
      <c r="G343" s="6">
        <f t="shared" si="76"/>
        <v>0</v>
      </c>
      <c r="H343" s="7">
        <f t="shared" si="77"/>
        <v>0</v>
      </c>
      <c r="I343" s="8">
        <v>52.76</v>
      </c>
      <c r="J343" s="9">
        <f t="shared" si="78"/>
        <v>52.76</v>
      </c>
      <c r="K343" s="3">
        <f t="shared" si="79"/>
        <v>0</v>
      </c>
      <c r="L343" s="7">
        <f t="shared" si="80"/>
        <v>0</v>
      </c>
      <c r="M343" t="s">
        <v>187</v>
      </c>
      <c r="O343" s="3">
        <f>E343-'315805 - P0824'!F343</f>
        <v>0</v>
      </c>
      <c r="P343" s="30">
        <f>I343-'315805 - P0824'!J343</f>
        <v>0</v>
      </c>
    </row>
    <row r="344" spans="1:16" x14ac:dyDescent="0.25">
      <c r="A344">
        <v>342</v>
      </c>
      <c r="B344" t="s">
        <v>485</v>
      </c>
      <c r="C344" t="s">
        <v>291</v>
      </c>
      <c r="D344" s="4" t="s">
        <v>488</v>
      </c>
      <c r="E344" s="12">
        <v>147</v>
      </c>
      <c r="F344" s="12">
        <v>147</v>
      </c>
      <c r="G344" s="6">
        <f t="shared" si="76"/>
        <v>0</v>
      </c>
      <c r="H344" s="7">
        <f t="shared" si="77"/>
        <v>0</v>
      </c>
      <c r="I344" s="8">
        <v>226.16</v>
      </c>
      <c r="J344" s="9">
        <f t="shared" si="78"/>
        <v>226.16</v>
      </c>
      <c r="K344" s="3">
        <f t="shared" si="79"/>
        <v>0</v>
      </c>
      <c r="L344" s="7">
        <f t="shared" si="80"/>
        <v>0</v>
      </c>
      <c r="M344" t="s">
        <v>187</v>
      </c>
      <c r="O344" s="3">
        <f>E344-'315805 - P0824'!F344</f>
        <v>0</v>
      </c>
      <c r="P344" s="30">
        <f>I344-'315805 - P0824'!J344</f>
        <v>0</v>
      </c>
    </row>
    <row r="345" spans="1:16" x14ac:dyDescent="0.25">
      <c r="A345">
        <v>343</v>
      </c>
      <c r="B345" t="s">
        <v>290</v>
      </c>
      <c r="C345" t="s">
        <v>291</v>
      </c>
      <c r="D345" s="4" t="s">
        <v>489</v>
      </c>
      <c r="E345" s="12">
        <v>66.349999999999994</v>
      </c>
      <c r="F345" s="12">
        <v>66.349999999999994</v>
      </c>
      <c r="G345" s="6">
        <f t="shared" si="76"/>
        <v>0</v>
      </c>
      <c r="H345" s="7">
        <f t="shared" si="77"/>
        <v>0</v>
      </c>
      <c r="I345" s="8">
        <v>102.08</v>
      </c>
      <c r="J345" s="9">
        <f t="shared" si="78"/>
        <v>102.08</v>
      </c>
      <c r="K345" s="3">
        <f t="shared" si="79"/>
        <v>0</v>
      </c>
      <c r="L345" s="7">
        <f t="shared" si="80"/>
        <v>0</v>
      </c>
      <c r="M345" t="s">
        <v>187</v>
      </c>
      <c r="O345" s="3">
        <f>E345-'315805 - P0824'!F345</f>
        <v>0</v>
      </c>
      <c r="P345" s="30">
        <f>I345-'315805 - P0824'!J345</f>
        <v>0</v>
      </c>
    </row>
    <row r="346" spans="1:16" x14ac:dyDescent="0.25">
      <c r="A346">
        <v>344</v>
      </c>
      <c r="D346" s="34" t="s">
        <v>340</v>
      </c>
      <c r="H346" s="10">
        <f>AVERAGE(H298:H343)</f>
        <v>0</v>
      </c>
      <c r="I346"/>
    </row>
    <row r="347" spans="1:16" x14ac:dyDescent="0.25">
      <c r="A347">
        <v>345</v>
      </c>
      <c r="D347" s="34" t="s">
        <v>341</v>
      </c>
      <c r="I347"/>
      <c r="M347" t="s">
        <v>7</v>
      </c>
    </row>
    <row r="348" spans="1:16" x14ac:dyDescent="0.25">
      <c r="A348">
        <v>346</v>
      </c>
      <c r="D348" s="34" t="s">
        <v>342</v>
      </c>
      <c r="I348"/>
      <c r="O348" s="3">
        <f>E348-'315805 - P0824'!F348</f>
        <v>0</v>
      </c>
      <c r="P348" s="30">
        <f>I348-'315805 - P0824'!J348</f>
        <v>0</v>
      </c>
    </row>
    <row r="349" spans="1:16" x14ac:dyDescent="0.25">
      <c r="A349">
        <v>347</v>
      </c>
      <c r="B349" t="s">
        <v>470</v>
      </c>
      <c r="C349" s="28" t="s">
        <v>454</v>
      </c>
      <c r="D349" s="4" t="s">
        <v>497</v>
      </c>
      <c r="E349" s="11">
        <v>1450</v>
      </c>
      <c r="F349" s="11">
        <v>1450</v>
      </c>
      <c r="G349" s="6">
        <f t="shared" ref="G349:G356" si="81">+F349-E349</f>
        <v>0</v>
      </c>
      <c r="H349" s="7">
        <f t="shared" ref="H349:H356" si="82">(F349-E349)/ABS(E349)</f>
        <v>0</v>
      </c>
      <c r="I349" s="8">
        <v>118.24570098910753</v>
      </c>
      <c r="J349" s="9">
        <f t="shared" ref="J349:J356" si="83">(I349*H349)+I349</f>
        <v>118.24570098910753</v>
      </c>
      <c r="K349" s="3">
        <f t="shared" ref="K349:K356" si="84">J349-I349</f>
        <v>0</v>
      </c>
      <c r="L349" s="7">
        <f t="shared" ref="L349:L356" si="85">(J349-I349)/ABS(I349)</f>
        <v>0</v>
      </c>
      <c r="M349" t="s">
        <v>7</v>
      </c>
      <c r="O349" s="3">
        <f>E349-'315805 - P0824'!F349</f>
        <v>0</v>
      </c>
      <c r="P349" s="30">
        <f>I349-'315805 - P0824'!J349</f>
        <v>0</v>
      </c>
    </row>
    <row r="350" spans="1:16" x14ac:dyDescent="0.25">
      <c r="A350">
        <v>348</v>
      </c>
      <c r="B350" t="s">
        <v>290</v>
      </c>
      <c r="C350" s="28" t="s">
        <v>344</v>
      </c>
      <c r="D350" s="4" t="s">
        <v>345</v>
      </c>
      <c r="E350" s="11">
        <v>4.93</v>
      </c>
      <c r="F350" s="11">
        <v>4.93</v>
      </c>
      <c r="G350" s="6">
        <f t="shared" si="81"/>
        <v>0</v>
      </c>
      <c r="H350" s="7">
        <f t="shared" si="82"/>
        <v>0</v>
      </c>
      <c r="I350" s="8">
        <v>10.18301417057406</v>
      </c>
      <c r="J350" s="9">
        <f t="shared" si="83"/>
        <v>10.18301417057406</v>
      </c>
      <c r="K350" s="3">
        <f t="shared" si="84"/>
        <v>0</v>
      </c>
      <c r="L350" s="7">
        <f t="shared" si="85"/>
        <v>0</v>
      </c>
      <c r="M350" t="s">
        <v>7</v>
      </c>
      <c r="O350" s="3">
        <f>E350-'315805 - P0824'!F350</f>
        <v>0</v>
      </c>
      <c r="P350" s="30">
        <f>I350-'315805 - P0824'!J350</f>
        <v>0</v>
      </c>
    </row>
    <row r="351" spans="1:16" x14ac:dyDescent="0.25">
      <c r="A351">
        <v>349</v>
      </c>
      <c r="B351" t="s">
        <v>463</v>
      </c>
      <c r="C351" s="28" t="s">
        <v>344</v>
      </c>
      <c r="D351" s="4" t="s">
        <v>346</v>
      </c>
      <c r="E351" s="11">
        <v>6.5</v>
      </c>
      <c r="F351" s="11">
        <v>6.5</v>
      </c>
      <c r="G351" s="6">
        <f t="shared" si="81"/>
        <v>0</v>
      </c>
      <c r="H351" s="7">
        <f t="shared" si="82"/>
        <v>0</v>
      </c>
      <c r="I351" s="8">
        <v>11.46</v>
      </c>
      <c r="J351" s="9">
        <f t="shared" si="83"/>
        <v>11.46</v>
      </c>
      <c r="K351" s="3">
        <f t="shared" si="84"/>
        <v>0</v>
      </c>
      <c r="L351" s="7">
        <f t="shared" si="85"/>
        <v>0</v>
      </c>
      <c r="M351" t="s">
        <v>7</v>
      </c>
      <c r="O351" s="3">
        <f>E351-'315805 - P0824'!F351</f>
        <v>0</v>
      </c>
      <c r="P351" s="30">
        <f>I351-'315805 - P0824'!J351</f>
        <v>0</v>
      </c>
    </row>
    <row r="352" spans="1:16" x14ac:dyDescent="0.25">
      <c r="A352">
        <v>350</v>
      </c>
      <c r="B352" t="s">
        <v>463</v>
      </c>
      <c r="C352" s="28" t="s">
        <v>347</v>
      </c>
      <c r="D352" s="4" t="s">
        <v>348</v>
      </c>
      <c r="E352" s="11">
        <v>4.7699999999999996</v>
      </c>
      <c r="F352" s="11">
        <v>4.7699999999999996</v>
      </c>
      <c r="G352" s="6">
        <f t="shared" si="81"/>
        <v>0</v>
      </c>
      <c r="H352" s="7">
        <f t="shared" si="82"/>
        <v>0</v>
      </c>
      <c r="I352" s="8">
        <v>6.82</v>
      </c>
      <c r="J352" s="9">
        <f t="shared" si="83"/>
        <v>6.82</v>
      </c>
      <c r="K352" s="3">
        <f t="shared" si="84"/>
        <v>0</v>
      </c>
      <c r="L352" s="7">
        <f t="shared" si="85"/>
        <v>0</v>
      </c>
      <c r="M352" t="s">
        <v>7</v>
      </c>
      <c r="O352" s="3">
        <f>E352-'315805 - P0824'!F352</f>
        <v>0</v>
      </c>
      <c r="P352" s="30">
        <f>I352-'315805 - P0824'!J352</f>
        <v>0</v>
      </c>
    </row>
    <row r="353" spans="1:16" x14ac:dyDescent="0.25">
      <c r="A353">
        <v>351</v>
      </c>
      <c r="B353" t="s">
        <v>463</v>
      </c>
      <c r="C353" s="28" t="s">
        <v>347</v>
      </c>
      <c r="D353" s="4" t="s">
        <v>349</v>
      </c>
      <c r="E353" s="11">
        <v>104</v>
      </c>
      <c r="F353" s="11">
        <v>104</v>
      </c>
      <c r="G353" s="6">
        <f t="shared" si="81"/>
        <v>0</v>
      </c>
      <c r="H353" s="7">
        <f t="shared" si="82"/>
        <v>0</v>
      </c>
      <c r="I353" s="8">
        <v>159.78</v>
      </c>
      <c r="J353" s="9">
        <f t="shared" si="83"/>
        <v>159.78</v>
      </c>
      <c r="K353" s="3">
        <f t="shared" si="84"/>
        <v>0</v>
      </c>
      <c r="L353" s="7">
        <f t="shared" si="85"/>
        <v>0</v>
      </c>
      <c r="M353" t="s">
        <v>7</v>
      </c>
      <c r="O353" s="3">
        <f>E353-'315805 - P0824'!F353</f>
        <v>0</v>
      </c>
      <c r="P353" s="30">
        <f>I353-'315805 - P0824'!J353</f>
        <v>0</v>
      </c>
    </row>
    <row r="354" spans="1:16" x14ac:dyDescent="0.25">
      <c r="A354">
        <v>352</v>
      </c>
      <c r="B354" t="s">
        <v>445</v>
      </c>
      <c r="C354" s="28" t="s">
        <v>343</v>
      </c>
      <c r="D354" s="4" t="s">
        <v>446</v>
      </c>
      <c r="E354" s="11">
        <v>49.89</v>
      </c>
      <c r="F354" s="11">
        <v>49.89</v>
      </c>
      <c r="G354" s="6">
        <f t="shared" si="81"/>
        <v>0</v>
      </c>
      <c r="H354" s="7">
        <f t="shared" si="82"/>
        <v>0</v>
      </c>
      <c r="I354" s="8">
        <v>66.30376269809021</v>
      </c>
      <c r="J354" s="9">
        <f>(I354*H354)+I354</f>
        <v>66.30376269809021</v>
      </c>
      <c r="K354" s="3">
        <f t="shared" si="84"/>
        <v>0</v>
      </c>
      <c r="L354" s="7">
        <f t="shared" si="85"/>
        <v>0</v>
      </c>
      <c r="M354" t="s">
        <v>7</v>
      </c>
      <c r="O354" s="3">
        <f>E354-'315805 - P0824'!F354</f>
        <v>0</v>
      </c>
      <c r="P354" s="30">
        <f>I354-'315805 - P0824'!J354</f>
        <v>0</v>
      </c>
    </row>
    <row r="355" spans="1:16" x14ac:dyDescent="0.25">
      <c r="A355">
        <v>353</v>
      </c>
      <c r="B355" t="s">
        <v>303</v>
      </c>
      <c r="C355" s="28" t="s">
        <v>343</v>
      </c>
      <c r="D355" s="4" t="s">
        <v>350</v>
      </c>
      <c r="E355" s="11">
        <v>28.21</v>
      </c>
      <c r="F355" s="11">
        <v>28.21</v>
      </c>
      <c r="G355" s="6">
        <f t="shared" si="81"/>
        <v>0</v>
      </c>
      <c r="H355" s="7">
        <f t="shared" si="82"/>
        <v>0</v>
      </c>
      <c r="I355" s="8">
        <v>60.400819101768519</v>
      </c>
      <c r="J355" s="9">
        <f t="shared" si="83"/>
        <v>60.400819101768519</v>
      </c>
      <c r="K355" s="3">
        <f t="shared" si="84"/>
        <v>0</v>
      </c>
      <c r="L355" s="7">
        <f t="shared" si="85"/>
        <v>0</v>
      </c>
      <c r="M355" t="s">
        <v>7</v>
      </c>
      <c r="O355" s="3">
        <f>E355-'315805 - P0824'!F355</f>
        <v>0</v>
      </c>
      <c r="P355" s="30">
        <f>I355-'315805 - P0824'!J355</f>
        <v>0</v>
      </c>
    </row>
    <row r="356" spans="1:16" x14ac:dyDescent="0.25">
      <c r="A356">
        <v>354</v>
      </c>
      <c r="B356" t="s">
        <v>303</v>
      </c>
      <c r="C356" s="28" t="s">
        <v>351</v>
      </c>
      <c r="D356" s="4" t="s">
        <v>352</v>
      </c>
      <c r="E356" s="11">
        <v>20.36</v>
      </c>
      <c r="F356" s="11">
        <v>20.36</v>
      </c>
      <c r="G356" s="6">
        <f t="shared" si="81"/>
        <v>0</v>
      </c>
      <c r="H356" s="7">
        <f t="shared" si="82"/>
        <v>0</v>
      </c>
      <c r="I356" s="8">
        <v>33.75</v>
      </c>
      <c r="J356" s="9">
        <f t="shared" si="83"/>
        <v>33.75</v>
      </c>
      <c r="K356" s="3">
        <f t="shared" si="84"/>
        <v>0</v>
      </c>
      <c r="L356" s="7">
        <f t="shared" si="85"/>
        <v>0</v>
      </c>
      <c r="M356" t="s">
        <v>7</v>
      </c>
      <c r="O356" s="3">
        <f>E356-'315805 - P0824'!F356</f>
        <v>0</v>
      </c>
      <c r="P356" s="30">
        <f>I356-'315805 - P0824'!J356</f>
        <v>0</v>
      </c>
    </row>
    <row r="357" spans="1:16" x14ac:dyDescent="0.25">
      <c r="A357">
        <v>355</v>
      </c>
      <c r="C357" s="28"/>
      <c r="D357" s="34" t="s">
        <v>353</v>
      </c>
      <c r="I357"/>
    </row>
    <row r="358" spans="1:16" x14ac:dyDescent="0.25">
      <c r="A358">
        <v>356</v>
      </c>
      <c r="B358" t="s">
        <v>294</v>
      </c>
      <c r="C358" s="28" t="s">
        <v>354</v>
      </c>
      <c r="D358" s="4" t="s">
        <v>355</v>
      </c>
      <c r="E358" s="12">
        <v>5.98</v>
      </c>
      <c r="F358" s="12">
        <v>5.98</v>
      </c>
      <c r="G358" s="6">
        <f>+F358-E358</f>
        <v>0</v>
      </c>
      <c r="H358" s="7">
        <f>(F358-E358)/ABS(E358)</f>
        <v>0</v>
      </c>
      <c r="I358" s="12">
        <v>10.64931506849315</v>
      </c>
      <c r="J358" s="12">
        <f>(I358*H358)+I358</f>
        <v>10.64931506849315</v>
      </c>
      <c r="K358" s="3">
        <f>J358-I358</f>
        <v>0</v>
      </c>
      <c r="L358" s="7">
        <f>(J358-I358)/ABS(I358)</f>
        <v>0</v>
      </c>
      <c r="M358" t="s">
        <v>150</v>
      </c>
      <c r="O358" s="3">
        <f>E358-'315805 - P0824'!F358</f>
        <v>0</v>
      </c>
      <c r="P358" s="30">
        <f>I358-'315805 - P0824'!J358</f>
        <v>0</v>
      </c>
    </row>
    <row r="359" spans="1:16" x14ac:dyDescent="0.25">
      <c r="A359">
        <v>357</v>
      </c>
      <c r="C359" s="28"/>
      <c r="D359" s="34" t="s">
        <v>356</v>
      </c>
      <c r="I359"/>
    </row>
    <row r="360" spans="1:16" x14ac:dyDescent="0.25">
      <c r="A360">
        <v>358</v>
      </c>
      <c r="B360" t="s">
        <v>502</v>
      </c>
      <c r="C360" s="28" t="s">
        <v>454</v>
      </c>
      <c r="D360" s="4" t="s">
        <v>503</v>
      </c>
      <c r="E360" s="11">
        <v>1517</v>
      </c>
      <c r="F360" s="11">
        <v>1517</v>
      </c>
      <c r="G360" s="13">
        <f t="shared" ref="G360:G394" si="86">+F360-E360</f>
        <v>0</v>
      </c>
      <c r="H360" s="7">
        <f t="shared" ref="H360:H394" si="87">(F360-E360)/ABS(E360)</f>
        <v>0</v>
      </c>
      <c r="I360" s="8">
        <v>83.5202093596059</v>
      </c>
      <c r="J360" s="9">
        <f t="shared" ref="J360:J394" si="88">(I360*H360)+I360</f>
        <v>83.5202093596059</v>
      </c>
      <c r="K360" s="3">
        <f t="shared" ref="K360:K394" si="89">J360-I360</f>
        <v>0</v>
      </c>
      <c r="L360" s="7">
        <f t="shared" ref="L360:L394" si="90">(J360-I360)/ABS(I360)</f>
        <v>0</v>
      </c>
      <c r="M360" t="s">
        <v>7</v>
      </c>
      <c r="O360" s="3">
        <f>E360-'315805 - P0824'!F360</f>
        <v>0</v>
      </c>
      <c r="P360" s="30">
        <f>I360-'315805 - P0824'!J360</f>
        <v>0</v>
      </c>
    </row>
    <row r="361" spans="1:16" x14ac:dyDescent="0.25">
      <c r="A361">
        <v>359</v>
      </c>
      <c r="B361" t="s">
        <v>290</v>
      </c>
      <c r="C361" s="28" t="s">
        <v>454</v>
      </c>
      <c r="D361" s="4" t="s">
        <v>498</v>
      </c>
      <c r="E361" s="11">
        <v>1710</v>
      </c>
      <c r="F361" s="11">
        <v>1710</v>
      </c>
      <c r="G361" s="13">
        <f t="shared" si="86"/>
        <v>0</v>
      </c>
      <c r="H361" s="7">
        <f t="shared" si="87"/>
        <v>0</v>
      </c>
      <c r="I361" s="8">
        <v>41.429553882394785</v>
      </c>
      <c r="J361" s="9">
        <f t="shared" si="88"/>
        <v>41.429553882394785</v>
      </c>
      <c r="K361" s="3">
        <f t="shared" si="89"/>
        <v>0</v>
      </c>
      <c r="L361" s="7">
        <f t="shared" si="90"/>
        <v>0</v>
      </c>
      <c r="M361" t="s">
        <v>7</v>
      </c>
      <c r="O361" s="3">
        <f>E361-'315805 - P0824'!F361</f>
        <v>0</v>
      </c>
      <c r="P361" s="30">
        <f>I361-'315805 - P0824'!J361</f>
        <v>0</v>
      </c>
    </row>
    <row r="362" spans="1:16" x14ac:dyDescent="0.25">
      <c r="A362">
        <v>360</v>
      </c>
      <c r="B362" t="s">
        <v>290</v>
      </c>
      <c r="C362" s="28" t="s">
        <v>454</v>
      </c>
      <c r="D362" s="4" t="s">
        <v>495</v>
      </c>
      <c r="E362" s="11">
        <v>76.16</v>
      </c>
      <c r="F362" s="11">
        <v>76.16</v>
      </c>
      <c r="G362" s="13">
        <f t="shared" si="86"/>
        <v>0</v>
      </c>
      <c r="H362" s="7">
        <f t="shared" si="87"/>
        <v>0</v>
      </c>
      <c r="I362" s="8">
        <v>118.41812494751909</v>
      </c>
      <c r="J362" s="9">
        <f t="shared" si="88"/>
        <v>118.41812494751909</v>
      </c>
      <c r="K362" s="3">
        <f t="shared" si="89"/>
        <v>0</v>
      </c>
      <c r="L362" s="7">
        <f t="shared" si="90"/>
        <v>0</v>
      </c>
      <c r="M362" t="s">
        <v>7</v>
      </c>
      <c r="O362" s="3">
        <f>E362-'315805 - P0824'!F362</f>
        <v>0</v>
      </c>
      <c r="P362" s="30">
        <f>I362-'315805 - P0824'!J362</f>
        <v>0</v>
      </c>
    </row>
    <row r="363" spans="1:16" x14ac:dyDescent="0.25">
      <c r="A363">
        <v>361</v>
      </c>
      <c r="B363" t="s">
        <v>290</v>
      </c>
      <c r="C363" s="28" t="s">
        <v>454</v>
      </c>
      <c r="D363" s="4" t="s">
        <v>496</v>
      </c>
      <c r="E363" s="11">
        <v>1860</v>
      </c>
      <c r="F363" s="11">
        <v>1860</v>
      </c>
      <c r="G363" s="13">
        <f t="shared" si="86"/>
        <v>0</v>
      </c>
      <c r="H363" s="7">
        <f t="shared" si="87"/>
        <v>0</v>
      </c>
      <c r="I363" s="8">
        <v>249.52645395508233</v>
      </c>
      <c r="J363" s="9">
        <f t="shared" si="88"/>
        <v>249.52645395508233</v>
      </c>
      <c r="K363" s="3">
        <f t="shared" si="89"/>
        <v>0</v>
      </c>
      <c r="L363" s="7">
        <f t="shared" si="90"/>
        <v>0</v>
      </c>
      <c r="M363" t="s">
        <v>7</v>
      </c>
      <c r="O363" s="3">
        <f>E363-'315805 - P0824'!F363</f>
        <v>0</v>
      </c>
      <c r="P363" s="30">
        <f>I363-'315805 - P0824'!J363</f>
        <v>0</v>
      </c>
    </row>
    <row r="364" spans="1:16" x14ac:dyDescent="0.25">
      <c r="A364">
        <v>362</v>
      </c>
      <c r="B364" t="s">
        <v>483</v>
      </c>
      <c r="C364" s="28" t="s">
        <v>351</v>
      </c>
      <c r="D364" s="4" t="s">
        <v>357</v>
      </c>
      <c r="E364" s="11">
        <v>2709</v>
      </c>
      <c r="F364" s="11">
        <v>2709</v>
      </c>
      <c r="G364" s="13">
        <f t="shared" si="86"/>
        <v>0</v>
      </c>
      <c r="H364" s="7">
        <f t="shared" si="87"/>
        <v>0</v>
      </c>
      <c r="I364" s="8">
        <v>5.1687034714890512</v>
      </c>
      <c r="J364" s="9">
        <f t="shared" si="88"/>
        <v>5.1687034714890512</v>
      </c>
      <c r="K364" s="3">
        <f t="shared" si="89"/>
        <v>0</v>
      </c>
      <c r="L364" s="7">
        <f t="shared" si="90"/>
        <v>0</v>
      </c>
      <c r="M364" t="s">
        <v>7</v>
      </c>
      <c r="O364" s="3">
        <f>E364-'315805 - P0824'!F364</f>
        <v>0</v>
      </c>
      <c r="P364" s="30">
        <f>I364-'315805 - P0824'!J364</f>
        <v>0</v>
      </c>
    </row>
    <row r="365" spans="1:16" x14ac:dyDescent="0.25">
      <c r="A365">
        <v>363</v>
      </c>
      <c r="B365" t="s">
        <v>484</v>
      </c>
      <c r="C365" s="28" t="s">
        <v>351</v>
      </c>
      <c r="D365" s="4" t="s">
        <v>358</v>
      </c>
      <c r="E365" s="11">
        <v>2709</v>
      </c>
      <c r="F365" s="11">
        <v>2709</v>
      </c>
      <c r="G365" s="13">
        <f t="shared" si="86"/>
        <v>0</v>
      </c>
      <c r="H365" s="7">
        <f t="shared" si="87"/>
        <v>0</v>
      </c>
      <c r="I365" s="8">
        <v>8.0702736339232413</v>
      </c>
      <c r="J365" s="9">
        <f t="shared" si="88"/>
        <v>8.0702736339232413</v>
      </c>
      <c r="K365" s="3">
        <f t="shared" si="89"/>
        <v>0</v>
      </c>
      <c r="L365" s="7">
        <f t="shared" si="90"/>
        <v>0</v>
      </c>
      <c r="M365" t="s">
        <v>7</v>
      </c>
      <c r="O365" s="3">
        <f>E365-'315805 - P0824'!F365</f>
        <v>0</v>
      </c>
      <c r="P365" s="30">
        <f>I365-'315805 - P0824'!J365</f>
        <v>0</v>
      </c>
    </row>
    <row r="366" spans="1:16" x14ac:dyDescent="0.25">
      <c r="A366">
        <v>364</v>
      </c>
      <c r="B366" t="s">
        <v>290</v>
      </c>
      <c r="C366" s="28" t="s">
        <v>351</v>
      </c>
      <c r="D366" s="4" t="s">
        <v>359</v>
      </c>
      <c r="E366" s="11">
        <v>2709</v>
      </c>
      <c r="F366" s="11">
        <v>2709</v>
      </c>
      <c r="G366" s="13">
        <f t="shared" si="86"/>
        <v>0</v>
      </c>
      <c r="H366" s="7">
        <f t="shared" si="87"/>
        <v>0</v>
      </c>
      <c r="I366" s="8">
        <v>11.040593760943526</v>
      </c>
      <c r="J366" s="9">
        <f t="shared" si="88"/>
        <v>11.040593760943526</v>
      </c>
      <c r="K366" s="3">
        <f t="shared" si="89"/>
        <v>0</v>
      </c>
      <c r="L366" s="7">
        <f t="shared" si="90"/>
        <v>0</v>
      </c>
      <c r="M366" t="s">
        <v>7</v>
      </c>
      <c r="O366" s="3">
        <f>E366-'315805 - P0824'!F366</f>
        <v>0</v>
      </c>
      <c r="P366" s="30">
        <f>I366-'315805 - P0824'!J366</f>
        <v>0</v>
      </c>
    </row>
    <row r="367" spans="1:16" x14ac:dyDescent="0.25">
      <c r="A367">
        <v>365</v>
      </c>
      <c r="B367" t="s">
        <v>476</v>
      </c>
      <c r="C367" s="28" t="s">
        <v>351</v>
      </c>
      <c r="D367" s="4" t="s">
        <v>360</v>
      </c>
      <c r="E367" s="11">
        <v>3148</v>
      </c>
      <c r="F367" s="11">
        <v>3148</v>
      </c>
      <c r="G367" s="13">
        <f t="shared" si="86"/>
        <v>0</v>
      </c>
      <c r="H367" s="7">
        <f t="shared" si="87"/>
        <v>0</v>
      </c>
      <c r="I367" s="8">
        <v>14.3</v>
      </c>
      <c r="J367" s="9">
        <f t="shared" si="88"/>
        <v>14.3</v>
      </c>
      <c r="K367" s="3">
        <f t="shared" si="89"/>
        <v>0</v>
      </c>
      <c r="L367" s="7">
        <f t="shared" si="90"/>
        <v>0</v>
      </c>
      <c r="M367" t="s">
        <v>7</v>
      </c>
      <c r="O367" s="3">
        <f>E367-'315805 - P0824'!F367</f>
        <v>0</v>
      </c>
      <c r="P367" s="30">
        <f>I367-'315805 - P0824'!J367</f>
        <v>0</v>
      </c>
    </row>
    <row r="368" spans="1:16" x14ac:dyDescent="0.25">
      <c r="A368">
        <v>366</v>
      </c>
      <c r="B368" t="s">
        <v>478</v>
      </c>
      <c r="C368" s="28" t="s">
        <v>351</v>
      </c>
      <c r="D368" s="4" t="s">
        <v>361</v>
      </c>
      <c r="E368" s="11">
        <v>3065</v>
      </c>
      <c r="F368" s="11">
        <v>3065</v>
      </c>
      <c r="G368" s="13">
        <f t="shared" si="86"/>
        <v>0</v>
      </c>
      <c r="H368" s="7">
        <f t="shared" si="87"/>
        <v>0</v>
      </c>
      <c r="I368" s="8">
        <v>19.904756025519848</v>
      </c>
      <c r="J368" s="9">
        <f t="shared" si="88"/>
        <v>19.904756025519848</v>
      </c>
      <c r="K368" s="3">
        <f t="shared" si="89"/>
        <v>0</v>
      </c>
      <c r="L368" s="7">
        <f t="shared" si="90"/>
        <v>0</v>
      </c>
      <c r="M368" t="s">
        <v>7</v>
      </c>
      <c r="O368" s="3">
        <f>E368-'315805 - P0824'!F368</f>
        <v>0</v>
      </c>
      <c r="P368" s="30">
        <f>I368-'315805 - P0824'!J368</f>
        <v>0</v>
      </c>
    </row>
    <row r="369" spans="1:16" x14ac:dyDescent="0.25">
      <c r="A369">
        <v>367</v>
      </c>
      <c r="B369" t="s">
        <v>445</v>
      </c>
      <c r="C369" s="28" t="s">
        <v>351</v>
      </c>
      <c r="D369" s="4" t="s">
        <v>362</v>
      </c>
      <c r="E369" s="11">
        <v>3065</v>
      </c>
      <c r="F369" s="11">
        <v>3065</v>
      </c>
      <c r="G369" s="13">
        <f t="shared" si="86"/>
        <v>0</v>
      </c>
      <c r="H369" s="7">
        <f t="shared" si="87"/>
        <v>0</v>
      </c>
      <c r="I369" s="8">
        <v>23.00692071335494</v>
      </c>
      <c r="J369" s="9">
        <f t="shared" si="88"/>
        <v>23.00692071335494</v>
      </c>
      <c r="K369" s="3">
        <f t="shared" si="89"/>
        <v>0</v>
      </c>
      <c r="L369" s="7">
        <f t="shared" si="90"/>
        <v>0</v>
      </c>
      <c r="M369" t="s">
        <v>7</v>
      </c>
      <c r="O369" s="3">
        <f>E369-'315805 - P0824'!F369</f>
        <v>0</v>
      </c>
      <c r="P369" s="30">
        <f>I369-'315805 - P0824'!J369</f>
        <v>0</v>
      </c>
    </row>
    <row r="370" spans="1:16" x14ac:dyDescent="0.25">
      <c r="A370">
        <v>368</v>
      </c>
      <c r="B370" t="s">
        <v>478</v>
      </c>
      <c r="C370" s="28" t="s">
        <v>351</v>
      </c>
      <c r="D370" s="4" t="s">
        <v>363</v>
      </c>
      <c r="E370" s="11">
        <v>3135</v>
      </c>
      <c r="F370" s="11">
        <v>3135</v>
      </c>
      <c r="G370" s="13">
        <f t="shared" si="86"/>
        <v>0</v>
      </c>
      <c r="H370" s="7">
        <f t="shared" si="87"/>
        <v>0</v>
      </c>
      <c r="I370" s="8">
        <v>26.876311326468805</v>
      </c>
      <c r="J370" s="9">
        <f t="shared" si="88"/>
        <v>26.876311326468805</v>
      </c>
      <c r="K370" s="3">
        <f t="shared" si="89"/>
        <v>0</v>
      </c>
      <c r="L370" s="7">
        <f t="shared" si="90"/>
        <v>0</v>
      </c>
      <c r="M370" t="s">
        <v>7</v>
      </c>
      <c r="O370" s="3">
        <f>E370-'315805 - P0824'!F370</f>
        <v>0</v>
      </c>
      <c r="P370" s="30">
        <f>I370-'315805 - P0824'!J370</f>
        <v>0</v>
      </c>
    </row>
    <row r="371" spans="1:16" x14ac:dyDescent="0.25">
      <c r="A371">
        <v>369</v>
      </c>
      <c r="B371" t="s">
        <v>481</v>
      </c>
      <c r="C371" s="28" t="s">
        <v>351</v>
      </c>
      <c r="D371" s="4" t="s">
        <v>364</v>
      </c>
      <c r="E371" s="11">
        <v>2931</v>
      </c>
      <c r="F371" s="11">
        <v>2931</v>
      </c>
      <c r="G371" s="13">
        <f t="shared" si="86"/>
        <v>0</v>
      </c>
      <c r="H371" s="7">
        <f t="shared" si="87"/>
        <v>0</v>
      </c>
      <c r="I371" s="8">
        <v>5.5842827924987404</v>
      </c>
      <c r="J371" s="9">
        <v>5.59</v>
      </c>
      <c r="K371" s="3">
        <f t="shared" si="89"/>
        <v>5.7172075012594803E-3</v>
      </c>
      <c r="L371" s="7">
        <f t="shared" si="90"/>
        <v>1.023803362705645E-3</v>
      </c>
      <c r="M371" t="s">
        <v>7</v>
      </c>
      <c r="O371" s="3">
        <f>E371-'315805 - P0824'!F371</f>
        <v>0</v>
      </c>
      <c r="P371" s="30">
        <f>I371-'315805 - P0824'!J371</f>
        <v>0</v>
      </c>
    </row>
    <row r="372" spans="1:16" x14ac:dyDescent="0.25">
      <c r="A372">
        <v>370</v>
      </c>
      <c r="B372" t="s">
        <v>479</v>
      </c>
      <c r="C372" t="s">
        <v>365</v>
      </c>
      <c r="D372" s="4" t="s">
        <v>366</v>
      </c>
      <c r="E372" s="11">
        <v>3205</v>
      </c>
      <c r="F372" s="11">
        <v>3205</v>
      </c>
      <c r="G372" s="13">
        <f t="shared" si="86"/>
        <v>0</v>
      </c>
      <c r="H372" s="7">
        <f t="shared" si="87"/>
        <v>0</v>
      </c>
      <c r="I372" s="8">
        <v>12.576720322698609</v>
      </c>
      <c r="J372" s="9">
        <f t="shared" si="88"/>
        <v>12.576720322698609</v>
      </c>
      <c r="K372" s="3">
        <f t="shared" si="89"/>
        <v>0</v>
      </c>
      <c r="L372" s="7">
        <f t="shared" si="90"/>
        <v>0</v>
      </c>
      <c r="M372" t="s">
        <v>7</v>
      </c>
      <c r="O372" s="3">
        <f>E372-'315805 - P0824'!F372</f>
        <v>0</v>
      </c>
      <c r="P372" s="30">
        <f>I372-'315805 - P0824'!J372</f>
        <v>0</v>
      </c>
    </row>
    <row r="373" spans="1:16" x14ac:dyDescent="0.25">
      <c r="A373">
        <v>371</v>
      </c>
      <c r="B373" t="s">
        <v>470</v>
      </c>
      <c r="C373" t="s">
        <v>365</v>
      </c>
      <c r="D373" s="4" t="s">
        <v>367</v>
      </c>
      <c r="E373" s="11">
        <v>2952</v>
      </c>
      <c r="F373" s="11">
        <v>2952</v>
      </c>
      <c r="G373" s="13">
        <f t="shared" si="86"/>
        <v>0</v>
      </c>
      <c r="H373" s="7">
        <f t="shared" si="87"/>
        <v>0</v>
      </c>
      <c r="I373" s="8">
        <v>24.324911704207679</v>
      </c>
      <c r="J373" s="9">
        <v>25</v>
      </c>
      <c r="K373" s="3">
        <f t="shared" si="89"/>
        <v>0.67508829579232099</v>
      </c>
      <c r="L373" s="7">
        <f t="shared" si="90"/>
        <v>2.7752959764106581E-2</v>
      </c>
      <c r="M373" t="s">
        <v>7</v>
      </c>
      <c r="O373" s="3">
        <f>E373-'315805 - P0824'!F373</f>
        <v>0</v>
      </c>
      <c r="P373" s="30">
        <f>I373-'315805 - P0824'!J373</f>
        <v>0</v>
      </c>
    </row>
    <row r="374" spans="1:16" x14ac:dyDescent="0.25">
      <c r="A374">
        <v>372</v>
      </c>
      <c r="B374" t="s">
        <v>303</v>
      </c>
      <c r="C374" t="s">
        <v>365</v>
      </c>
      <c r="D374" s="4" t="s">
        <v>368</v>
      </c>
      <c r="E374" s="11">
        <v>2702</v>
      </c>
      <c r="F374" s="11">
        <v>2702</v>
      </c>
      <c r="G374" s="13">
        <f t="shared" si="86"/>
        <v>0</v>
      </c>
      <c r="H374" s="7">
        <f t="shared" si="87"/>
        <v>0</v>
      </c>
      <c r="I374" s="8">
        <v>40.51093209547124</v>
      </c>
      <c r="J374" s="9">
        <v>41</v>
      </c>
      <c r="K374" s="3">
        <f t="shared" si="89"/>
        <v>0.48906790452875981</v>
      </c>
      <c r="L374" s="7">
        <f t="shared" si="90"/>
        <v>1.2072492022059232E-2</v>
      </c>
      <c r="M374" t="s">
        <v>7</v>
      </c>
      <c r="O374" s="3">
        <f>E374-'315805 - P0824'!F374</f>
        <v>0</v>
      </c>
      <c r="P374" s="30">
        <f>I374-'315805 - P0824'!J374</f>
        <v>0</v>
      </c>
    </row>
    <row r="375" spans="1:16" x14ac:dyDescent="0.25">
      <c r="A375">
        <v>373</v>
      </c>
      <c r="B375" t="s">
        <v>290</v>
      </c>
      <c r="C375" t="s">
        <v>365</v>
      </c>
      <c r="D375" s="4" t="s">
        <v>369</v>
      </c>
      <c r="E375" s="11">
        <v>2702</v>
      </c>
      <c r="F375" s="11">
        <v>2702</v>
      </c>
      <c r="G375" s="13">
        <f t="shared" si="86"/>
        <v>0</v>
      </c>
      <c r="H375" s="7">
        <f t="shared" si="87"/>
        <v>0</v>
      </c>
      <c r="I375" s="8">
        <v>50.641879791355422</v>
      </c>
      <c r="J375" s="9">
        <f t="shared" si="88"/>
        <v>50.641879791355422</v>
      </c>
      <c r="K375" s="3">
        <f t="shared" si="89"/>
        <v>0</v>
      </c>
      <c r="L375" s="7">
        <f t="shared" si="90"/>
        <v>0</v>
      </c>
      <c r="M375" t="s">
        <v>7</v>
      </c>
      <c r="O375" s="3">
        <f>E375-'315805 - P0824'!F375</f>
        <v>0</v>
      </c>
      <c r="P375" s="30">
        <f>I375-'315805 - P0824'!J375</f>
        <v>0</v>
      </c>
    </row>
    <row r="376" spans="1:16" x14ac:dyDescent="0.25">
      <c r="A376">
        <v>374</v>
      </c>
      <c r="B376" t="s">
        <v>470</v>
      </c>
      <c r="C376" t="s">
        <v>365</v>
      </c>
      <c r="D376" s="4" t="s">
        <v>370</v>
      </c>
      <c r="E376" s="11">
        <v>2702</v>
      </c>
      <c r="F376" s="11">
        <v>2702</v>
      </c>
      <c r="G376" s="13">
        <f t="shared" si="86"/>
        <v>0</v>
      </c>
      <c r="H376" s="7">
        <f t="shared" si="87"/>
        <v>0</v>
      </c>
      <c r="I376" s="8">
        <v>60.769079441442358</v>
      </c>
      <c r="J376" s="9">
        <v>61</v>
      </c>
      <c r="K376" s="3">
        <f t="shared" si="89"/>
        <v>0.23092055855764215</v>
      </c>
      <c r="L376" s="7">
        <f t="shared" si="90"/>
        <v>3.7999680212394745E-3</v>
      </c>
      <c r="M376" t="s">
        <v>7</v>
      </c>
      <c r="O376" s="3">
        <f>E376-'315805 - P0824'!F376</f>
        <v>0</v>
      </c>
      <c r="P376" s="30">
        <f>I376-'315805 - P0824'!J376</f>
        <v>0</v>
      </c>
    </row>
    <row r="377" spans="1:16" x14ac:dyDescent="0.25">
      <c r="A377">
        <v>375</v>
      </c>
      <c r="B377" t="s">
        <v>479</v>
      </c>
      <c r="C377" t="s">
        <v>365</v>
      </c>
      <c r="D377" s="4" t="s">
        <v>371</v>
      </c>
      <c r="E377" s="11">
        <v>3868</v>
      </c>
      <c r="F377" s="11">
        <v>3868</v>
      </c>
      <c r="G377" s="13">
        <f t="shared" si="86"/>
        <v>0</v>
      </c>
      <c r="H377" s="7">
        <f t="shared" si="87"/>
        <v>0</v>
      </c>
      <c r="I377" s="8">
        <v>63.401973632327376</v>
      </c>
      <c r="J377" s="9">
        <f t="shared" si="88"/>
        <v>63.401973632327376</v>
      </c>
      <c r="K377" s="3">
        <f t="shared" si="89"/>
        <v>0</v>
      </c>
      <c r="L377" s="7">
        <f t="shared" si="90"/>
        <v>0</v>
      </c>
      <c r="M377" t="s">
        <v>7</v>
      </c>
      <c r="O377" s="3">
        <f>E377-'315805 - P0824'!F377</f>
        <v>0</v>
      </c>
      <c r="P377" s="30">
        <f>I377-'315805 - P0824'!J377</f>
        <v>0</v>
      </c>
    </row>
    <row r="378" spans="1:16" x14ac:dyDescent="0.25">
      <c r="A378">
        <v>376</v>
      </c>
      <c r="B378" t="s">
        <v>479</v>
      </c>
      <c r="C378" t="s">
        <v>365</v>
      </c>
      <c r="D378" s="4" t="s">
        <v>372</v>
      </c>
      <c r="E378" s="11">
        <v>3928</v>
      </c>
      <c r="F378" s="11">
        <v>3928</v>
      </c>
      <c r="G378" s="13">
        <f t="shared" si="86"/>
        <v>0</v>
      </c>
      <c r="H378" s="7">
        <f t="shared" si="87"/>
        <v>0</v>
      </c>
      <c r="I378" s="8">
        <v>80.721941958125299</v>
      </c>
      <c r="J378" s="9">
        <f t="shared" si="88"/>
        <v>80.721941958125299</v>
      </c>
      <c r="K378" s="3">
        <f t="shared" si="89"/>
        <v>0</v>
      </c>
      <c r="L378" s="7">
        <f t="shared" si="90"/>
        <v>0</v>
      </c>
      <c r="M378" t="s">
        <v>7</v>
      </c>
      <c r="O378" s="3">
        <f>E378-'315805 - P0824'!F378</f>
        <v>0</v>
      </c>
      <c r="P378" s="30">
        <f>I378-'315805 - P0824'!J378</f>
        <v>0</v>
      </c>
    </row>
    <row r="379" spans="1:16" x14ac:dyDescent="0.25">
      <c r="A379">
        <v>377</v>
      </c>
      <c r="B379" t="s">
        <v>473</v>
      </c>
      <c r="C379" t="s">
        <v>365</v>
      </c>
      <c r="D379" s="4" t="s">
        <v>373</v>
      </c>
      <c r="E379" s="11">
        <v>3928</v>
      </c>
      <c r="F379" s="11">
        <v>3928</v>
      </c>
      <c r="G379" s="13">
        <f t="shared" si="86"/>
        <v>0</v>
      </c>
      <c r="H379" s="7">
        <f t="shared" si="87"/>
        <v>0</v>
      </c>
      <c r="I379" s="8">
        <v>100.90409723646053</v>
      </c>
      <c r="J379" s="9">
        <f t="shared" si="88"/>
        <v>100.90409723646053</v>
      </c>
      <c r="K379" s="3">
        <f t="shared" si="89"/>
        <v>0</v>
      </c>
      <c r="L379" s="7">
        <f t="shared" si="90"/>
        <v>0</v>
      </c>
      <c r="M379" t="s">
        <v>7</v>
      </c>
      <c r="O379" s="3">
        <f>E379-'315805 - P0824'!F379</f>
        <v>0</v>
      </c>
      <c r="P379" s="30">
        <f>I379-'315805 - P0824'!J379</f>
        <v>0</v>
      </c>
    </row>
    <row r="380" spans="1:16" x14ac:dyDescent="0.25">
      <c r="A380">
        <v>378</v>
      </c>
      <c r="B380" t="s">
        <v>470</v>
      </c>
      <c r="C380" t="s">
        <v>365</v>
      </c>
      <c r="D380" s="4" t="s">
        <v>374</v>
      </c>
      <c r="E380" s="11">
        <v>3928</v>
      </c>
      <c r="F380" s="11">
        <v>3928</v>
      </c>
      <c r="G380" s="13">
        <f t="shared" si="86"/>
        <v>0</v>
      </c>
      <c r="H380" s="7">
        <f t="shared" si="87"/>
        <v>0</v>
      </c>
      <c r="I380" s="8">
        <v>121.08871182445142</v>
      </c>
      <c r="J380" s="9">
        <f t="shared" si="88"/>
        <v>121.08871182445142</v>
      </c>
      <c r="K380" s="3">
        <f t="shared" si="89"/>
        <v>0</v>
      </c>
      <c r="L380" s="7">
        <f t="shared" si="90"/>
        <v>0</v>
      </c>
      <c r="M380" t="s">
        <v>7</v>
      </c>
      <c r="O380" s="3">
        <f>E380-'315805 - P0824'!F380</f>
        <v>0</v>
      </c>
      <c r="P380" s="30">
        <f>I380-'315805 - P0824'!J380</f>
        <v>0</v>
      </c>
    </row>
    <row r="381" spans="1:16" x14ac:dyDescent="0.25">
      <c r="A381">
        <v>379</v>
      </c>
      <c r="B381" t="s">
        <v>470</v>
      </c>
      <c r="C381" t="s">
        <v>365</v>
      </c>
      <c r="D381" s="4" t="s">
        <v>375</v>
      </c>
      <c r="E381" s="11">
        <v>3700</v>
      </c>
      <c r="F381" s="11">
        <v>3700</v>
      </c>
      <c r="G381" s="13">
        <f t="shared" si="86"/>
        <v>0</v>
      </c>
      <c r="H381" s="7">
        <f t="shared" si="87"/>
        <v>0</v>
      </c>
      <c r="I381" s="8">
        <v>119.12776534176258</v>
      </c>
      <c r="J381" s="9">
        <f t="shared" si="88"/>
        <v>119.12776534176258</v>
      </c>
      <c r="K381" s="3">
        <f t="shared" si="89"/>
        <v>0</v>
      </c>
      <c r="L381" s="7">
        <f t="shared" si="90"/>
        <v>0</v>
      </c>
      <c r="M381" t="s">
        <v>7</v>
      </c>
      <c r="O381" s="3">
        <f>E381-'315805 - P0824'!F381</f>
        <v>0</v>
      </c>
      <c r="P381" s="30">
        <f>I381-'315805 - P0824'!J381</f>
        <v>0</v>
      </c>
    </row>
    <row r="382" spans="1:16" x14ac:dyDescent="0.25">
      <c r="A382">
        <v>380</v>
      </c>
      <c r="B382" t="s">
        <v>290</v>
      </c>
      <c r="C382" t="s">
        <v>365</v>
      </c>
      <c r="D382" s="4" t="s">
        <v>376</v>
      </c>
      <c r="E382" s="11">
        <v>3700</v>
      </c>
      <c r="F382" s="11">
        <v>3700</v>
      </c>
      <c r="G382" s="13">
        <f t="shared" si="86"/>
        <v>0</v>
      </c>
      <c r="H382" s="7">
        <f t="shared" si="87"/>
        <v>0</v>
      </c>
      <c r="I382" s="8">
        <v>208.45869530604656</v>
      </c>
      <c r="J382" s="9">
        <f t="shared" si="88"/>
        <v>208.45869530604656</v>
      </c>
      <c r="K382" s="3">
        <f t="shared" si="89"/>
        <v>0</v>
      </c>
      <c r="L382" s="7">
        <f t="shared" si="90"/>
        <v>0</v>
      </c>
      <c r="M382" t="s">
        <v>7</v>
      </c>
      <c r="O382" s="3">
        <f>E382-'315805 - P0824'!F382</f>
        <v>0</v>
      </c>
      <c r="P382" s="30">
        <f>I382-'315805 - P0824'!J382</f>
        <v>0</v>
      </c>
    </row>
    <row r="383" spans="1:16" x14ac:dyDescent="0.25">
      <c r="A383">
        <v>381</v>
      </c>
      <c r="B383" t="s">
        <v>303</v>
      </c>
      <c r="C383" t="s">
        <v>365</v>
      </c>
      <c r="D383" s="4" t="s">
        <v>377</v>
      </c>
      <c r="E383" s="11">
        <v>5269</v>
      </c>
      <c r="F383" s="11">
        <v>5269</v>
      </c>
      <c r="G383" s="13">
        <f t="shared" si="86"/>
        <v>0</v>
      </c>
      <c r="H383" s="7">
        <f t="shared" si="87"/>
        <v>0</v>
      </c>
      <c r="I383" s="8">
        <v>195.32781627941307</v>
      </c>
      <c r="J383" s="9">
        <f t="shared" si="88"/>
        <v>195.32781627941307</v>
      </c>
      <c r="K383" s="3">
        <f t="shared" si="89"/>
        <v>0</v>
      </c>
      <c r="L383" s="7">
        <f t="shared" si="90"/>
        <v>0</v>
      </c>
      <c r="M383" t="s">
        <v>7</v>
      </c>
      <c r="O383" s="3">
        <f>E383-'315805 - P0824'!F383</f>
        <v>0</v>
      </c>
      <c r="P383" s="30">
        <f>I383-'315805 - P0824'!J383</f>
        <v>0</v>
      </c>
    </row>
    <row r="384" spans="1:16" x14ac:dyDescent="0.25">
      <c r="A384">
        <v>382</v>
      </c>
      <c r="B384" t="s">
        <v>303</v>
      </c>
      <c r="C384" t="s">
        <v>365</v>
      </c>
      <c r="D384" s="4" t="s">
        <v>378</v>
      </c>
      <c r="E384" s="11">
        <v>5395</v>
      </c>
      <c r="F384" s="11">
        <v>5395</v>
      </c>
      <c r="G384" s="13">
        <f t="shared" si="86"/>
        <v>0</v>
      </c>
      <c r="H384" s="7">
        <f t="shared" si="87"/>
        <v>0</v>
      </c>
      <c r="I384" s="8">
        <v>519.78770475648537</v>
      </c>
      <c r="J384" s="9">
        <f t="shared" si="88"/>
        <v>519.78770475648537</v>
      </c>
      <c r="K384" s="3">
        <f t="shared" si="89"/>
        <v>0</v>
      </c>
      <c r="L384" s="7">
        <f t="shared" si="90"/>
        <v>0</v>
      </c>
      <c r="M384" t="s">
        <v>7</v>
      </c>
      <c r="O384" s="3">
        <f>E384-'315805 - P0824'!F384</f>
        <v>0</v>
      </c>
      <c r="P384" s="30">
        <f>I384-'315805 - P0824'!J384</f>
        <v>0</v>
      </c>
    </row>
    <row r="385" spans="1:16" x14ac:dyDescent="0.25">
      <c r="A385">
        <v>383</v>
      </c>
      <c r="B385" t="s">
        <v>290</v>
      </c>
      <c r="C385" t="s">
        <v>365</v>
      </c>
      <c r="D385" s="4" t="s">
        <v>379</v>
      </c>
      <c r="E385" s="11">
        <v>5200</v>
      </c>
      <c r="F385" s="11">
        <v>5200</v>
      </c>
      <c r="G385" s="13">
        <f t="shared" si="86"/>
        <v>0</v>
      </c>
      <c r="H385" s="7">
        <f t="shared" si="87"/>
        <v>0</v>
      </c>
      <c r="I385" s="8">
        <v>341.80468131321027</v>
      </c>
      <c r="J385" s="9">
        <f t="shared" si="88"/>
        <v>341.80468131321027</v>
      </c>
      <c r="K385" s="3">
        <f t="shared" si="89"/>
        <v>0</v>
      </c>
      <c r="L385" s="7">
        <f t="shared" si="90"/>
        <v>0</v>
      </c>
      <c r="M385" t="s">
        <v>7</v>
      </c>
      <c r="O385" s="3">
        <f>E385-'315805 - P0824'!F385</f>
        <v>0</v>
      </c>
      <c r="P385" s="30">
        <f>I385-'315805 - P0824'!J385</f>
        <v>0</v>
      </c>
    </row>
    <row r="386" spans="1:16" x14ac:dyDescent="0.25">
      <c r="A386">
        <v>384</v>
      </c>
      <c r="B386" t="s">
        <v>485</v>
      </c>
      <c r="C386" t="s">
        <v>343</v>
      </c>
      <c r="D386" s="4" t="s">
        <v>380</v>
      </c>
      <c r="E386" s="12">
        <v>9.0500000000000007</v>
      </c>
      <c r="F386" s="12">
        <v>9.0500000000000007</v>
      </c>
      <c r="G386" s="13">
        <f t="shared" si="86"/>
        <v>0</v>
      </c>
      <c r="H386" s="7">
        <f t="shared" si="87"/>
        <v>0</v>
      </c>
      <c r="I386" s="8">
        <v>9.4511903255813987</v>
      </c>
      <c r="J386" s="9">
        <f t="shared" si="88"/>
        <v>9.4511903255813987</v>
      </c>
      <c r="K386" s="3">
        <f t="shared" si="89"/>
        <v>0</v>
      </c>
      <c r="L386" s="7">
        <f t="shared" si="90"/>
        <v>0</v>
      </c>
      <c r="M386" t="s">
        <v>121</v>
      </c>
      <c r="O386" s="3">
        <f>E386-'315805 - P0824'!F386</f>
        <v>0</v>
      </c>
      <c r="P386" s="30">
        <f>I386-'315805 - P0824'!J386</f>
        <v>0</v>
      </c>
    </row>
    <row r="387" spans="1:16" x14ac:dyDescent="0.25">
      <c r="A387">
        <v>385</v>
      </c>
      <c r="B387" t="s">
        <v>290</v>
      </c>
      <c r="C387" t="s">
        <v>343</v>
      </c>
      <c r="D387" s="4" t="s">
        <v>381</v>
      </c>
      <c r="E387" s="12">
        <v>17.38</v>
      </c>
      <c r="F387" s="12">
        <v>17.38</v>
      </c>
      <c r="G387" s="13">
        <f t="shared" si="86"/>
        <v>0</v>
      </c>
      <c r="H387" s="7">
        <f t="shared" si="87"/>
        <v>0</v>
      </c>
      <c r="I387" s="8">
        <v>18.138687748031494</v>
      </c>
      <c r="J387" s="9">
        <f t="shared" si="88"/>
        <v>18.138687748031494</v>
      </c>
      <c r="K387" s="3">
        <f t="shared" si="89"/>
        <v>0</v>
      </c>
      <c r="L387" s="7">
        <f t="shared" si="90"/>
        <v>0</v>
      </c>
      <c r="M387" t="s">
        <v>121</v>
      </c>
      <c r="O387" s="3">
        <f>E387-'315805 - P0824'!F387</f>
        <v>0</v>
      </c>
      <c r="P387" s="30">
        <f>I387-'315805 - P0824'!J387</f>
        <v>0</v>
      </c>
    </row>
    <row r="388" spans="1:16" x14ac:dyDescent="0.25">
      <c r="A388">
        <v>386</v>
      </c>
      <c r="B388" t="s">
        <v>481</v>
      </c>
      <c r="C388" s="28" t="s">
        <v>382</v>
      </c>
      <c r="D388" s="4" t="s">
        <v>383</v>
      </c>
      <c r="E388" s="14">
        <v>112.02</v>
      </c>
      <c r="F388" s="14">
        <v>112.02</v>
      </c>
      <c r="G388" s="6">
        <f t="shared" si="86"/>
        <v>0</v>
      </c>
      <c r="H388" s="7">
        <f t="shared" si="87"/>
        <v>0</v>
      </c>
      <c r="I388" s="8">
        <v>334.74445542845763</v>
      </c>
      <c r="J388" s="9">
        <f t="shared" si="88"/>
        <v>334.74445542845763</v>
      </c>
      <c r="K388" s="3">
        <f t="shared" si="89"/>
        <v>0</v>
      </c>
      <c r="L388" s="7">
        <f t="shared" si="90"/>
        <v>0</v>
      </c>
      <c r="M388" t="s">
        <v>121</v>
      </c>
      <c r="O388" s="3">
        <f>E388-'315805 - P0824'!F388</f>
        <v>0</v>
      </c>
      <c r="P388" s="30">
        <f>I388-'315805 - P0824'!J388</f>
        <v>0</v>
      </c>
    </row>
    <row r="389" spans="1:16" x14ac:dyDescent="0.25">
      <c r="A389">
        <v>387</v>
      </c>
      <c r="B389" t="s">
        <v>482</v>
      </c>
      <c r="C389" s="28" t="s">
        <v>343</v>
      </c>
      <c r="D389" s="4" t="s">
        <v>384</v>
      </c>
      <c r="E389" s="11">
        <v>35.4</v>
      </c>
      <c r="F389" s="11">
        <v>35.4</v>
      </c>
      <c r="G389" s="6">
        <f t="shared" si="86"/>
        <v>0</v>
      </c>
      <c r="H389" s="7">
        <f t="shared" si="87"/>
        <v>0</v>
      </c>
      <c r="I389" s="8">
        <v>53.73333333333332</v>
      </c>
      <c r="J389" s="9">
        <f t="shared" si="88"/>
        <v>53.73333333333332</v>
      </c>
      <c r="K389" s="3">
        <f t="shared" si="89"/>
        <v>0</v>
      </c>
      <c r="L389" s="7">
        <f t="shared" si="90"/>
        <v>0</v>
      </c>
      <c r="M389" t="s">
        <v>150</v>
      </c>
      <c r="O389" s="3">
        <f>E389-'315805 - P0824'!F389</f>
        <v>0</v>
      </c>
      <c r="P389" s="30">
        <f>I389-'315805 - P0824'!J389</f>
        <v>0</v>
      </c>
    </row>
    <row r="390" spans="1:16" x14ac:dyDescent="0.25">
      <c r="A390">
        <v>388</v>
      </c>
      <c r="B390" t="s">
        <v>476</v>
      </c>
      <c r="C390" s="28" t="s">
        <v>385</v>
      </c>
      <c r="D390" s="4" t="s">
        <v>386</v>
      </c>
      <c r="E390" s="11">
        <v>70.2</v>
      </c>
      <c r="F390" s="11">
        <v>70.2</v>
      </c>
      <c r="G390" s="6">
        <f t="shared" si="86"/>
        <v>0</v>
      </c>
      <c r="H390" s="7">
        <f t="shared" si="87"/>
        <v>0</v>
      </c>
      <c r="I390" s="8">
        <v>114.84819573542534</v>
      </c>
      <c r="J390" s="9">
        <f t="shared" si="88"/>
        <v>114.84819573542534</v>
      </c>
      <c r="K390" s="3">
        <f t="shared" si="89"/>
        <v>0</v>
      </c>
      <c r="L390" s="7">
        <f t="shared" si="90"/>
        <v>0</v>
      </c>
      <c r="M390" t="s">
        <v>150</v>
      </c>
      <c r="O390" s="3">
        <f>E390-'315805 - P0824'!F390</f>
        <v>0</v>
      </c>
      <c r="P390" s="30">
        <f>I390-'315805 - P0824'!J390</f>
        <v>0</v>
      </c>
    </row>
    <row r="391" spans="1:16" x14ac:dyDescent="0.25">
      <c r="A391">
        <v>389</v>
      </c>
      <c r="B391" t="s">
        <v>445</v>
      </c>
      <c r="C391" s="28" t="s">
        <v>351</v>
      </c>
      <c r="D391" s="4" t="s">
        <v>500</v>
      </c>
      <c r="E391" s="11">
        <v>208</v>
      </c>
      <c r="F391" s="11">
        <v>208</v>
      </c>
      <c r="G391" s="6">
        <f t="shared" si="86"/>
        <v>0</v>
      </c>
      <c r="H391" s="7">
        <f t="shared" si="87"/>
        <v>0</v>
      </c>
      <c r="I391" s="8">
        <v>297.15636363636361</v>
      </c>
      <c r="J391" s="9">
        <f t="shared" si="88"/>
        <v>297.15636363636361</v>
      </c>
      <c r="K391" s="3">
        <f t="shared" si="89"/>
        <v>0</v>
      </c>
      <c r="L391" s="7">
        <f t="shared" si="90"/>
        <v>0</v>
      </c>
      <c r="M391" t="s">
        <v>150</v>
      </c>
      <c r="O391" s="3">
        <f>E391-'315805 - P0824'!F391</f>
        <v>0</v>
      </c>
      <c r="P391" s="30">
        <f>I391-'315805 - P0824'!J391</f>
        <v>0</v>
      </c>
    </row>
    <row r="392" spans="1:16" x14ac:dyDescent="0.25">
      <c r="A392">
        <v>390</v>
      </c>
      <c r="B392" t="s">
        <v>387</v>
      </c>
      <c r="C392" s="28" t="s">
        <v>351</v>
      </c>
      <c r="D392" s="4" t="s">
        <v>388</v>
      </c>
      <c r="E392" s="12">
        <v>13.11</v>
      </c>
      <c r="F392" s="12">
        <v>13.11</v>
      </c>
      <c r="G392" s="6">
        <f t="shared" si="86"/>
        <v>0</v>
      </c>
      <c r="H392" s="7">
        <f t="shared" si="87"/>
        <v>0</v>
      </c>
      <c r="I392" s="8">
        <v>15.06</v>
      </c>
      <c r="J392" s="9">
        <f t="shared" si="88"/>
        <v>15.06</v>
      </c>
      <c r="K392" s="3">
        <f t="shared" si="89"/>
        <v>0</v>
      </c>
      <c r="L392" s="7">
        <f t="shared" si="90"/>
        <v>0</v>
      </c>
      <c r="M392" t="s">
        <v>150</v>
      </c>
      <c r="O392" s="3">
        <f>E392-'315805 - P0824'!F392</f>
        <v>0</v>
      </c>
      <c r="P392" s="30">
        <f>I392-'315805 - P0824'!J392</f>
        <v>0</v>
      </c>
    </row>
    <row r="393" spans="1:16" x14ac:dyDescent="0.25">
      <c r="A393">
        <v>391</v>
      </c>
      <c r="B393" t="s">
        <v>387</v>
      </c>
      <c r="C393" s="28" t="s">
        <v>351</v>
      </c>
      <c r="D393" s="4" t="s">
        <v>389</v>
      </c>
      <c r="E393" s="12">
        <v>27.99</v>
      </c>
      <c r="F393" s="12">
        <v>27.99</v>
      </c>
      <c r="G393" s="6">
        <f t="shared" si="86"/>
        <v>0</v>
      </c>
      <c r="H393" s="7">
        <f t="shared" si="87"/>
        <v>0</v>
      </c>
      <c r="I393" s="8">
        <v>32.15</v>
      </c>
      <c r="J393" s="9">
        <f t="shared" si="88"/>
        <v>32.15</v>
      </c>
      <c r="K393" s="3">
        <f t="shared" si="89"/>
        <v>0</v>
      </c>
      <c r="L393" s="7">
        <f t="shared" si="90"/>
        <v>0</v>
      </c>
      <c r="M393" t="s">
        <v>150</v>
      </c>
      <c r="O393" s="3">
        <f>E393-'315805 - P0824'!F393</f>
        <v>0</v>
      </c>
      <c r="P393" s="30">
        <f>I393-'315805 - P0824'!J393</f>
        <v>0</v>
      </c>
    </row>
    <row r="394" spans="1:16" x14ac:dyDescent="0.25">
      <c r="A394">
        <v>392</v>
      </c>
      <c r="B394" t="s">
        <v>387</v>
      </c>
      <c r="C394" s="28" t="s">
        <v>351</v>
      </c>
      <c r="D394" s="4" t="s">
        <v>390</v>
      </c>
      <c r="E394" s="12">
        <v>24.27</v>
      </c>
      <c r="F394" s="12">
        <v>24.27</v>
      </c>
      <c r="G394" s="6">
        <f t="shared" si="86"/>
        <v>0</v>
      </c>
      <c r="H394" s="7">
        <f t="shared" si="87"/>
        <v>0</v>
      </c>
      <c r="I394" s="8">
        <v>27.88</v>
      </c>
      <c r="J394" s="9">
        <f t="shared" si="88"/>
        <v>27.88</v>
      </c>
      <c r="K394" s="3">
        <f t="shared" si="89"/>
        <v>0</v>
      </c>
      <c r="L394" s="7">
        <f t="shared" si="90"/>
        <v>0</v>
      </c>
      <c r="M394" t="s">
        <v>150</v>
      </c>
      <c r="O394" s="3">
        <f>E394-'315805 - P0824'!F394</f>
        <v>0</v>
      </c>
      <c r="P394" s="30">
        <f>I394-'315805 - P0824'!J394</f>
        <v>0</v>
      </c>
    </row>
    <row r="395" spans="1:16" x14ac:dyDescent="0.25">
      <c r="A395">
        <v>393</v>
      </c>
      <c r="C395" s="28"/>
      <c r="D395" s="34" t="s">
        <v>391</v>
      </c>
      <c r="M395" t="s">
        <v>150</v>
      </c>
    </row>
    <row r="396" spans="1:16" x14ac:dyDescent="0.25">
      <c r="A396">
        <v>394</v>
      </c>
      <c r="B396" t="s">
        <v>322</v>
      </c>
      <c r="C396" s="28" t="s">
        <v>354</v>
      </c>
      <c r="D396" s="4" t="s">
        <v>392</v>
      </c>
      <c r="E396" s="12">
        <v>3.7791000000000001</v>
      </c>
      <c r="F396" s="12">
        <v>3.7791000000000001</v>
      </c>
      <c r="G396" s="6">
        <f t="shared" ref="G396:G413" si="91">+F396-E396</f>
        <v>0</v>
      </c>
      <c r="H396" s="7">
        <f t="shared" ref="H396:H413" si="92">(F396-E396)/ABS(E396)</f>
        <v>0</v>
      </c>
      <c r="I396" s="8">
        <v>7.5582000000000003</v>
      </c>
      <c r="J396" s="9">
        <f t="shared" ref="J396:J413" si="93">(I396*H396)+I396</f>
        <v>7.5582000000000003</v>
      </c>
      <c r="K396" s="3">
        <f t="shared" ref="K396:K413" si="94">J396-I396</f>
        <v>0</v>
      </c>
      <c r="L396" s="7">
        <f t="shared" ref="L396:L413" si="95">(J396-I396)/ABS(I396)</f>
        <v>0</v>
      </c>
      <c r="M396" t="s">
        <v>150</v>
      </c>
      <c r="O396" s="3">
        <f>E396-'315805 - P0824'!F396</f>
        <v>0</v>
      </c>
      <c r="P396" s="30">
        <f>I396-'315805 - P0824'!J396</f>
        <v>0</v>
      </c>
    </row>
    <row r="397" spans="1:16" x14ac:dyDescent="0.25">
      <c r="A397">
        <v>395</v>
      </c>
      <c r="B397" t="s">
        <v>476</v>
      </c>
      <c r="C397" s="28" t="s">
        <v>354</v>
      </c>
      <c r="D397" s="4" t="s">
        <v>393</v>
      </c>
      <c r="E397" s="12">
        <v>1.81</v>
      </c>
      <c r="F397" s="12">
        <v>1.81</v>
      </c>
      <c r="G397" s="6">
        <f t="shared" si="91"/>
        <v>0</v>
      </c>
      <c r="H397" s="7">
        <f t="shared" si="92"/>
        <v>0</v>
      </c>
      <c r="I397" s="8">
        <v>3.62</v>
      </c>
      <c r="J397" s="9">
        <f t="shared" si="93"/>
        <v>3.62</v>
      </c>
      <c r="K397" s="3">
        <f t="shared" si="94"/>
        <v>0</v>
      </c>
      <c r="L397" s="7">
        <f t="shared" si="95"/>
        <v>0</v>
      </c>
      <c r="M397" t="s">
        <v>150</v>
      </c>
      <c r="O397" s="3">
        <f>E397-'315805 - P0824'!F397</f>
        <v>0</v>
      </c>
      <c r="P397" s="30">
        <f>I397-'315805 - P0824'!J397</f>
        <v>0</v>
      </c>
    </row>
    <row r="398" spans="1:16" x14ac:dyDescent="0.25">
      <c r="A398">
        <v>396</v>
      </c>
      <c r="B398" t="s">
        <v>480</v>
      </c>
      <c r="C398" s="28" t="s">
        <v>354</v>
      </c>
      <c r="D398" s="4" t="s">
        <v>394</v>
      </c>
      <c r="E398" s="12">
        <v>3.01</v>
      </c>
      <c r="F398" s="12">
        <v>3.01</v>
      </c>
      <c r="G398" s="6">
        <f t="shared" si="91"/>
        <v>0</v>
      </c>
      <c r="H398" s="7">
        <f t="shared" si="92"/>
        <v>0</v>
      </c>
      <c r="I398" s="8">
        <v>6.02</v>
      </c>
      <c r="J398" s="9">
        <f t="shared" si="93"/>
        <v>6.02</v>
      </c>
      <c r="K398" s="3">
        <f t="shared" si="94"/>
        <v>0</v>
      </c>
      <c r="L398" s="7">
        <f t="shared" si="95"/>
        <v>0</v>
      </c>
      <c r="M398" t="s">
        <v>150</v>
      </c>
      <c r="O398" s="3">
        <f>E398-'315805 - P0824'!F398</f>
        <v>0</v>
      </c>
      <c r="P398" s="30">
        <f>I398-'315805 - P0824'!J398</f>
        <v>0</v>
      </c>
    </row>
    <row r="399" spans="1:16" x14ac:dyDescent="0.25">
      <c r="A399">
        <v>397</v>
      </c>
      <c r="B399" t="s">
        <v>470</v>
      </c>
      <c r="C399" s="28" t="s">
        <v>354</v>
      </c>
      <c r="D399" s="4" t="s">
        <v>395</v>
      </c>
      <c r="E399" s="12">
        <v>27.08</v>
      </c>
      <c r="F399" s="12">
        <v>27.08</v>
      </c>
      <c r="G399" s="6">
        <f t="shared" si="91"/>
        <v>0</v>
      </c>
      <c r="H399" s="7">
        <f t="shared" si="92"/>
        <v>0</v>
      </c>
      <c r="I399" s="8">
        <v>54.16</v>
      </c>
      <c r="J399" s="9">
        <f t="shared" si="93"/>
        <v>54.16</v>
      </c>
      <c r="K399" s="3">
        <f t="shared" si="94"/>
        <v>0</v>
      </c>
      <c r="L399" s="7">
        <f t="shared" si="95"/>
        <v>0</v>
      </c>
      <c r="M399" t="s">
        <v>150</v>
      </c>
      <c r="O399" s="3">
        <f>E399-'315805 - P0824'!F399</f>
        <v>0</v>
      </c>
      <c r="P399" s="30">
        <f>I399-'315805 - P0824'!J399</f>
        <v>0</v>
      </c>
    </row>
    <row r="400" spans="1:16" x14ac:dyDescent="0.25">
      <c r="A400">
        <v>398</v>
      </c>
      <c r="B400" t="s">
        <v>303</v>
      </c>
      <c r="C400" s="28" t="s">
        <v>354</v>
      </c>
      <c r="D400" s="4" t="s">
        <v>396</v>
      </c>
      <c r="E400" s="12">
        <v>18.07</v>
      </c>
      <c r="F400" s="12">
        <v>18.07</v>
      </c>
      <c r="G400" s="6">
        <f t="shared" si="91"/>
        <v>0</v>
      </c>
      <c r="H400" s="7">
        <f t="shared" si="92"/>
        <v>0</v>
      </c>
      <c r="I400" s="8">
        <v>32.273257621040045</v>
      </c>
      <c r="J400" s="9">
        <f t="shared" si="93"/>
        <v>32.273257621040045</v>
      </c>
      <c r="K400" s="3">
        <f t="shared" si="94"/>
        <v>0</v>
      </c>
      <c r="L400" s="7">
        <f t="shared" si="95"/>
        <v>0</v>
      </c>
      <c r="M400" t="s">
        <v>150</v>
      </c>
      <c r="O400" s="3">
        <f>E400-'315805 - P0824'!F400</f>
        <v>0</v>
      </c>
      <c r="P400" s="30">
        <f>I400-'315805 - P0824'!J400</f>
        <v>0</v>
      </c>
    </row>
    <row r="401" spans="1:16" x14ac:dyDescent="0.25">
      <c r="A401">
        <v>399</v>
      </c>
      <c r="B401" t="s">
        <v>303</v>
      </c>
      <c r="C401" s="28" t="s">
        <v>354</v>
      </c>
      <c r="D401" s="4" t="s">
        <v>397</v>
      </c>
      <c r="E401" s="12">
        <v>11.92</v>
      </c>
      <c r="F401" s="12">
        <v>11.92</v>
      </c>
      <c r="G401" s="6">
        <f t="shared" si="91"/>
        <v>0</v>
      </c>
      <c r="H401" s="7">
        <f t="shared" si="92"/>
        <v>0</v>
      </c>
      <c r="I401" s="8">
        <v>23.863213242453746</v>
      </c>
      <c r="J401" s="9">
        <f t="shared" si="93"/>
        <v>23.863213242453746</v>
      </c>
      <c r="K401" s="3">
        <f t="shared" si="94"/>
        <v>0</v>
      </c>
      <c r="L401" s="7">
        <f t="shared" si="95"/>
        <v>0</v>
      </c>
      <c r="M401" t="s">
        <v>150</v>
      </c>
      <c r="O401" s="3">
        <f>E401-'315805 - P0824'!F401</f>
        <v>0</v>
      </c>
      <c r="P401" s="30">
        <f>I401-'315805 - P0824'!J401</f>
        <v>0</v>
      </c>
    </row>
    <row r="402" spans="1:16" x14ac:dyDescent="0.25">
      <c r="A402">
        <v>400</v>
      </c>
      <c r="B402" t="s">
        <v>303</v>
      </c>
      <c r="C402" s="28" t="s">
        <v>354</v>
      </c>
      <c r="D402" s="4" t="s">
        <v>398</v>
      </c>
      <c r="E402" s="12">
        <v>12.97</v>
      </c>
      <c r="F402" s="12">
        <v>12.97</v>
      </c>
      <c r="G402" s="6">
        <f t="shared" si="91"/>
        <v>0</v>
      </c>
      <c r="H402" s="7">
        <f t="shared" si="92"/>
        <v>0</v>
      </c>
      <c r="I402" s="8">
        <v>25.96322291853178</v>
      </c>
      <c r="J402" s="9">
        <f t="shared" si="93"/>
        <v>25.96322291853178</v>
      </c>
      <c r="K402" s="3">
        <f t="shared" si="94"/>
        <v>0</v>
      </c>
      <c r="L402" s="7">
        <f t="shared" si="95"/>
        <v>0</v>
      </c>
      <c r="M402" t="s">
        <v>150</v>
      </c>
      <c r="O402" s="3">
        <f>E402-'315805 - P0824'!F402</f>
        <v>0</v>
      </c>
      <c r="P402" s="30">
        <f>I402-'315805 - P0824'!J402</f>
        <v>0</v>
      </c>
    </row>
    <row r="403" spans="1:16" x14ac:dyDescent="0.25">
      <c r="A403">
        <v>401</v>
      </c>
      <c r="B403" t="s">
        <v>475</v>
      </c>
      <c r="C403" s="28" t="s">
        <v>354</v>
      </c>
      <c r="D403" s="4" t="s">
        <v>399</v>
      </c>
      <c r="E403" s="12">
        <v>51.3</v>
      </c>
      <c r="F403" s="12">
        <v>51.3</v>
      </c>
      <c r="G403" s="6">
        <f t="shared" si="91"/>
        <v>0</v>
      </c>
      <c r="H403" s="7">
        <f t="shared" si="92"/>
        <v>0</v>
      </c>
      <c r="I403" s="8">
        <v>102.6</v>
      </c>
      <c r="J403" s="9">
        <f t="shared" si="93"/>
        <v>102.6</v>
      </c>
      <c r="K403" s="3">
        <f t="shared" si="94"/>
        <v>0</v>
      </c>
      <c r="L403" s="7">
        <f t="shared" si="95"/>
        <v>0</v>
      </c>
      <c r="M403" t="s">
        <v>150</v>
      </c>
      <c r="O403" s="3">
        <f>E403-'315805 - P0824'!F403</f>
        <v>0</v>
      </c>
      <c r="P403" s="30">
        <f>I403-'315805 - P0824'!J403</f>
        <v>0</v>
      </c>
    </row>
    <row r="404" spans="1:16" x14ac:dyDescent="0.25">
      <c r="A404">
        <v>402</v>
      </c>
      <c r="B404" t="s">
        <v>479</v>
      </c>
      <c r="C404" s="28" t="s">
        <v>354</v>
      </c>
      <c r="D404" s="4" t="s">
        <v>400</v>
      </c>
      <c r="E404" s="12">
        <v>21.37</v>
      </c>
      <c r="F404" s="12">
        <v>21.37</v>
      </c>
      <c r="G404" s="6">
        <f t="shared" si="91"/>
        <v>0</v>
      </c>
      <c r="H404" s="7">
        <f t="shared" si="92"/>
        <v>0</v>
      </c>
      <c r="I404" s="8">
        <v>42.74</v>
      </c>
      <c r="J404" s="9">
        <f t="shared" si="93"/>
        <v>42.74</v>
      </c>
      <c r="K404" s="3">
        <f t="shared" si="94"/>
        <v>0</v>
      </c>
      <c r="L404" s="7">
        <f t="shared" si="95"/>
        <v>0</v>
      </c>
      <c r="M404" t="s">
        <v>150</v>
      </c>
      <c r="O404" s="3">
        <f>E404-'315805 - P0824'!F404</f>
        <v>0</v>
      </c>
      <c r="P404" s="30">
        <f>I404-'315805 - P0824'!J404</f>
        <v>0</v>
      </c>
    </row>
    <row r="405" spans="1:16" x14ac:dyDescent="0.25">
      <c r="A405">
        <v>403</v>
      </c>
      <c r="B405" t="s">
        <v>476</v>
      </c>
      <c r="C405" s="28" t="s">
        <v>354</v>
      </c>
      <c r="D405" s="4" t="s">
        <v>401</v>
      </c>
      <c r="E405" s="12">
        <v>37.51</v>
      </c>
      <c r="F405" s="12">
        <v>37.51</v>
      </c>
      <c r="G405" s="6">
        <f t="shared" si="91"/>
        <v>0</v>
      </c>
      <c r="H405" s="7">
        <f t="shared" si="92"/>
        <v>0</v>
      </c>
      <c r="I405" s="8">
        <v>75.02</v>
      </c>
      <c r="J405" s="9">
        <f t="shared" si="93"/>
        <v>75.02</v>
      </c>
      <c r="K405" s="3">
        <f t="shared" si="94"/>
        <v>0</v>
      </c>
      <c r="L405" s="7">
        <f t="shared" si="95"/>
        <v>0</v>
      </c>
      <c r="M405" t="s">
        <v>150</v>
      </c>
      <c r="O405" s="3">
        <f>E405-'315805 - P0824'!F405</f>
        <v>0</v>
      </c>
      <c r="P405" s="30">
        <f>I405-'315805 - P0824'!J405</f>
        <v>0</v>
      </c>
    </row>
    <row r="406" spans="1:16" x14ac:dyDescent="0.25">
      <c r="A406">
        <v>404</v>
      </c>
      <c r="B406" t="s">
        <v>476</v>
      </c>
      <c r="C406" s="28" t="s">
        <v>354</v>
      </c>
      <c r="D406" s="4" t="s">
        <v>402</v>
      </c>
      <c r="E406" s="12">
        <v>1.79</v>
      </c>
      <c r="F406" s="12">
        <v>1.79</v>
      </c>
      <c r="G406" s="6">
        <f t="shared" si="91"/>
        <v>0</v>
      </c>
      <c r="H406" s="7">
        <f t="shared" si="92"/>
        <v>0</v>
      </c>
      <c r="I406" s="8">
        <v>4</v>
      </c>
      <c r="J406" s="9">
        <f t="shared" si="93"/>
        <v>4</v>
      </c>
      <c r="K406" s="3">
        <f t="shared" si="94"/>
        <v>0</v>
      </c>
      <c r="L406" s="7">
        <f t="shared" si="95"/>
        <v>0</v>
      </c>
      <c r="M406" t="s">
        <v>150</v>
      </c>
      <c r="O406" s="3">
        <f>E406-'315805 - P0824'!F406</f>
        <v>0</v>
      </c>
      <c r="P406" s="30">
        <f>I406-'315805 - P0824'!J406</f>
        <v>0</v>
      </c>
    </row>
    <row r="407" spans="1:16" x14ac:dyDescent="0.25">
      <c r="A407">
        <v>405</v>
      </c>
      <c r="B407" t="s">
        <v>476</v>
      </c>
      <c r="C407" s="28" t="s">
        <v>354</v>
      </c>
      <c r="D407" s="4" t="s">
        <v>403</v>
      </c>
      <c r="E407" s="12">
        <v>2.4700000000000002</v>
      </c>
      <c r="F407" s="12">
        <v>2.4700000000000002</v>
      </c>
      <c r="G407" s="6">
        <f t="shared" si="91"/>
        <v>0</v>
      </c>
      <c r="H407" s="7">
        <f t="shared" si="92"/>
        <v>0</v>
      </c>
      <c r="I407" s="8">
        <v>5</v>
      </c>
      <c r="J407" s="9">
        <f t="shared" si="93"/>
        <v>5</v>
      </c>
      <c r="K407" s="3">
        <f t="shared" si="94"/>
        <v>0</v>
      </c>
      <c r="L407" s="7">
        <f t="shared" si="95"/>
        <v>0</v>
      </c>
      <c r="M407" t="s">
        <v>150</v>
      </c>
      <c r="O407" s="3">
        <f>E407-'315805 - P0824'!F407</f>
        <v>0</v>
      </c>
      <c r="P407" s="30">
        <f>I407-'315805 - P0824'!J407</f>
        <v>0</v>
      </c>
    </row>
    <row r="408" spans="1:16" x14ac:dyDescent="0.25">
      <c r="A408">
        <v>406</v>
      </c>
      <c r="B408" t="s">
        <v>474</v>
      </c>
      <c r="C408" s="28" t="s">
        <v>354</v>
      </c>
      <c r="D408" s="4" t="s">
        <v>404</v>
      </c>
      <c r="E408" s="12">
        <v>6.48</v>
      </c>
      <c r="F408" s="12">
        <v>6.48</v>
      </c>
      <c r="G408" s="6">
        <f t="shared" si="91"/>
        <v>0</v>
      </c>
      <c r="H408" s="7">
        <f t="shared" si="92"/>
        <v>0</v>
      </c>
      <c r="I408" s="8">
        <v>12.96</v>
      </c>
      <c r="J408" s="9">
        <f t="shared" si="93"/>
        <v>12.96</v>
      </c>
      <c r="K408" s="3">
        <f t="shared" si="94"/>
        <v>0</v>
      </c>
      <c r="L408" s="7">
        <f t="shared" si="95"/>
        <v>0</v>
      </c>
      <c r="M408" t="s">
        <v>150</v>
      </c>
      <c r="O408" s="3">
        <f>E408-'315805 - P0824'!F408</f>
        <v>0</v>
      </c>
      <c r="P408" s="30">
        <f>I408-'315805 - P0824'!J408</f>
        <v>0</v>
      </c>
    </row>
    <row r="409" spans="1:16" x14ac:dyDescent="0.25">
      <c r="A409">
        <v>407</v>
      </c>
      <c r="B409" t="s">
        <v>474</v>
      </c>
      <c r="C409" s="28" t="s">
        <v>354</v>
      </c>
      <c r="D409" s="4" t="s">
        <v>405</v>
      </c>
      <c r="E409" s="12">
        <v>10.78</v>
      </c>
      <c r="F409" s="12">
        <v>10.78</v>
      </c>
      <c r="G409" s="6">
        <f t="shared" si="91"/>
        <v>0</v>
      </c>
      <c r="H409" s="7">
        <f t="shared" si="92"/>
        <v>0</v>
      </c>
      <c r="I409" s="8">
        <v>21.56</v>
      </c>
      <c r="J409" s="9">
        <f t="shared" si="93"/>
        <v>21.56</v>
      </c>
      <c r="K409" s="3">
        <f t="shared" si="94"/>
        <v>0</v>
      </c>
      <c r="L409" s="7">
        <f t="shared" si="95"/>
        <v>0</v>
      </c>
      <c r="M409" t="s">
        <v>150</v>
      </c>
      <c r="O409" s="3">
        <f>E409-'315805 - P0824'!F409</f>
        <v>0</v>
      </c>
      <c r="P409" s="30">
        <f>I409-'315805 - P0824'!J409</f>
        <v>0</v>
      </c>
    </row>
    <row r="410" spans="1:16" x14ac:dyDescent="0.25">
      <c r="A410">
        <v>408</v>
      </c>
      <c r="B410" t="s">
        <v>474</v>
      </c>
      <c r="C410" s="28" t="s">
        <v>354</v>
      </c>
      <c r="D410" s="4" t="s">
        <v>406</v>
      </c>
      <c r="E410" s="12">
        <v>13.22</v>
      </c>
      <c r="F410" s="12">
        <v>13.22</v>
      </c>
      <c r="G410" s="6">
        <f t="shared" si="91"/>
        <v>0</v>
      </c>
      <c r="H410" s="7">
        <f t="shared" si="92"/>
        <v>0</v>
      </c>
      <c r="I410" s="8">
        <v>26.44</v>
      </c>
      <c r="J410" s="9">
        <f t="shared" si="93"/>
        <v>26.44</v>
      </c>
      <c r="K410" s="3">
        <f t="shared" si="94"/>
        <v>0</v>
      </c>
      <c r="L410" s="7">
        <f t="shared" si="95"/>
        <v>0</v>
      </c>
      <c r="M410" t="s">
        <v>150</v>
      </c>
      <c r="O410" s="3">
        <f>E410-'315805 - P0824'!F410</f>
        <v>0</v>
      </c>
      <c r="P410" s="30">
        <f>I410-'315805 - P0824'!J410</f>
        <v>0</v>
      </c>
    </row>
    <row r="411" spans="1:16" x14ac:dyDescent="0.25">
      <c r="A411">
        <v>409</v>
      </c>
      <c r="B411" t="s">
        <v>476</v>
      </c>
      <c r="C411" s="28" t="s">
        <v>354</v>
      </c>
      <c r="D411" s="4" t="s">
        <v>407</v>
      </c>
      <c r="E411" s="12">
        <v>14.72</v>
      </c>
      <c r="F411" s="12">
        <v>14.72</v>
      </c>
      <c r="G411" s="6">
        <f t="shared" si="91"/>
        <v>0</v>
      </c>
      <c r="H411" s="7">
        <f t="shared" si="92"/>
        <v>0</v>
      </c>
      <c r="I411" s="8">
        <v>29.44</v>
      </c>
      <c r="J411" s="9">
        <f t="shared" si="93"/>
        <v>29.44</v>
      </c>
      <c r="K411" s="3">
        <f t="shared" si="94"/>
        <v>0</v>
      </c>
      <c r="L411" s="7">
        <f t="shared" si="95"/>
        <v>0</v>
      </c>
      <c r="M411" t="s">
        <v>150</v>
      </c>
      <c r="O411" s="3">
        <f>E411-'315805 - P0824'!F411</f>
        <v>0</v>
      </c>
      <c r="P411" s="30">
        <f>I411-'315805 - P0824'!J411</f>
        <v>0</v>
      </c>
    </row>
    <row r="412" spans="1:16" x14ac:dyDescent="0.25">
      <c r="A412">
        <v>410</v>
      </c>
      <c r="B412" t="s">
        <v>476</v>
      </c>
      <c r="C412" s="28" t="s">
        <v>354</v>
      </c>
      <c r="D412" s="4" t="s">
        <v>408</v>
      </c>
      <c r="E412" s="12">
        <v>3.74</v>
      </c>
      <c r="F412" s="12">
        <v>3.74</v>
      </c>
      <c r="G412" s="6">
        <f t="shared" si="91"/>
        <v>0</v>
      </c>
      <c r="H412" s="7">
        <f t="shared" si="92"/>
        <v>0</v>
      </c>
      <c r="I412" s="8">
        <v>7.48</v>
      </c>
      <c r="J412" s="9">
        <f t="shared" si="93"/>
        <v>7.48</v>
      </c>
      <c r="K412" s="3">
        <f t="shared" si="94"/>
        <v>0</v>
      </c>
      <c r="L412" s="7">
        <f t="shared" si="95"/>
        <v>0</v>
      </c>
      <c r="M412" t="s">
        <v>150</v>
      </c>
      <c r="O412" s="3">
        <f>E412-'315805 - P0824'!F412</f>
        <v>0</v>
      </c>
      <c r="P412" s="30">
        <f>I412-'315805 - P0824'!J412</f>
        <v>0</v>
      </c>
    </row>
    <row r="413" spans="1:16" x14ac:dyDescent="0.25">
      <c r="A413">
        <v>411</v>
      </c>
      <c r="B413" t="s">
        <v>476</v>
      </c>
      <c r="C413" s="28" t="s">
        <v>354</v>
      </c>
      <c r="D413" s="4" t="s">
        <v>409</v>
      </c>
      <c r="E413" s="12">
        <v>5.12</v>
      </c>
      <c r="F413" s="12">
        <v>5.12</v>
      </c>
      <c r="G413" s="6">
        <f t="shared" si="91"/>
        <v>0</v>
      </c>
      <c r="H413" s="7">
        <f t="shared" si="92"/>
        <v>0</v>
      </c>
      <c r="I413" s="8">
        <v>10.24</v>
      </c>
      <c r="J413" s="9">
        <f t="shared" si="93"/>
        <v>10.24</v>
      </c>
      <c r="K413" s="3">
        <f t="shared" si="94"/>
        <v>0</v>
      </c>
      <c r="L413" s="7">
        <f t="shared" si="95"/>
        <v>0</v>
      </c>
      <c r="M413" t="s">
        <v>150</v>
      </c>
      <c r="O413" s="3">
        <f>E413-'315805 - P0824'!F413</f>
        <v>0</v>
      </c>
      <c r="P413" s="30">
        <f>I413-'315805 - P0824'!J413</f>
        <v>0</v>
      </c>
    </row>
    <row r="414" spans="1:16" x14ac:dyDescent="0.25">
      <c r="A414">
        <v>412</v>
      </c>
      <c r="D414" s="34" t="s">
        <v>410</v>
      </c>
      <c r="H414" s="10">
        <f>AVERAGE(H349:H410)</f>
        <v>0</v>
      </c>
    </row>
    <row r="415" spans="1:16" x14ac:dyDescent="0.25">
      <c r="D415" s="34" t="s">
        <v>411</v>
      </c>
    </row>
    <row r="416" spans="1:16" x14ac:dyDescent="0.25">
      <c r="D416" s="17" t="s">
        <v>412</v>
      </c>
      <c r="E416" s="5">
        <v>480</v>
      </c>
      <c r="F416" s="5">
        <v>507</v>
      </c>
      <c r="G416" s="6">
        <f t="shared" ref="G416:G425" si="96">+F416-E416</f>
        <v>27</v>
      </c>
      <c r="H416" s="7">
        <f t="shared" ref="H416:H425" si="97">(F416-E416)/ABS(E416)</f>
        <v>5.6250000000000001E-2</v>
      </c>
      <c r="J416" s="3"/>
      <c r="K416" s="3"/>
      <c r="L416" s="7"/>
    </row>
    <row r="417" spans="1:16" x14ac:dyDescent="0.25">
      <c r="D417" s="17" t="s">
        <v>413</v>
      </c>
      <c r="E417" s="5">
        <v>530</v>
      </c>
      <c r="F417" s="5">
        <v>587</v>
      </c>
      <c r="G417" s="6">
        <f t="shared" si="96"/>
        <v>57</v>
      </c>
      <c r="H417" s="7">
        <f t="shared" si="97"/>
        <v>0.10754716981132076</v>
      </c>
      <c r="J417" s="3"/>
      <c r="K417" s="3"/>
      <c r="L417" s="7"/>
    </row>
    <row r="418" spans="1:16" x14ac:dyDescent="0.25">
      <c r="D418" s="17" t="s">
        <v>414</v>
      </c>
      <c r="E418" s="5">
        <v>763</v>
      </c>
      <c r="F418" s="5">
        <v>788</v>
      </c>
      <c r="G418" s="6">
        <f t="shared" si="96"/>
        <v>25</v>
      </c>
      <c r="H418" s="7">
        <f t="shared" si="97"/>
        <v>3.2765399737876802E-2</v>
      </c>
      <c r="J418" s="3"/>
      <c r="K418" s="3"/>
      <c r="L418" s="7"/>
    </row>
    <row r="419" spans="1:16" x14ac:dyDescent="0.25">
      <c r="D419" s="4" t="s">
        <v>415</v>
      </c>
      <c r="E419" s="5">
        <v>569</v>
      </c>
      <c r="F419" s="5">
        <v>619</v>
      </c>
      <c r="G419" s="6">
        <f t="shared" si="96"/>
        <v>50</v>
      </c>
      <c r="H419" s="7">
        <f t="shared" si="97"/>
        <v>8.7873462214411252E-2</v>
      </c>
      <c r="J419" s="3"/>
      <c r="K419" s="3"/>
      <c r="L419" s="7"/>
    </row>
    <row r="420" spans="1:16" x14ac:dyDescent="0.25">
      <c r="D420" s="4" t="s">
        <v>416</v>
      </c>
      <c r="E420" s="5">
        <v>579</v>
      </c>
      <c r="F420" s="5">
        <v>654</v>
      </c>
      <c r="G420" s="6">
        <f t="shared" si="96"/>
        <v>75</v>
      </c>
      <c r="H420" s="7">
        <f t="shared" si="97"/>
        <v>0.12953367875647667</v>
      </c>
      <c r="J420" s="3"/>
      <c r="K420" s="3"/>
      <c r="L420" s="7"/>
    </row>
    <row r="421" spans="1:16" x14ac:dyDescent="0.25">
      <c r="D421" s="4" t="s">
        <v>417</v>
      </c>
      <c r="E421" s="5">
        <v>1380</v>
      </c>
      <c r="F421" s="5">
        <v>1410</v>
      </c>
      <c r="G421" s="6">
        <f t="shared" si="96"/>
        <v>30</v>
      </c>
      <c r="H421" s="7">
        <f t="shared" si="97"/>
        <v>2.1739130434782608E-2</v>
      </c>
      <c r="J421" s="3"/>
      <c r="K421" s="3"/>
      <c r="L421" s="7"/>
    </row>
    <row r="422" spans="1:16" x14ac:dyDescent="0.25">
      <c r="D422" s="4" t="s">
        <v>418</v>
      </c>
      <c r="E422" s="5">
        <v>1365</v>
      </c>
      <c r="F422" s="5">
        <v>1435</v>
      </c>
      <c r="G422" s="6">
        <f t="shared" si="96"/>
        <v>70</v>
      </c>
      <c r="H422" s="7">
        <f t="shared" si="97"/>
        <v>5.128205128205128E-2</v>
      </c>
      <c r="J422" s="3"/>
      <c r="K422" s="3"/>
      <c r="L422" s="7"/>
    </row>
    <row r="423" spans="1:16" x14ac:dyDescent="0.25">
      <c r="D423" s="4" t="s">
        <v>419</v>
      </c>
      <c r="E423" s="5">
        <v>644</v>
      </c>
      <c r="F423" s="5">
        <v>674</v>
      </c>
      <c r="G423" s="6">
        <f t="shared" si="96"/>
        <v>30</v>
      </c>
      <c r="H423" s="7">
        <f t="shared" si="97"/>
        <v>4.6583850931677016E-2</v>
      </c>
      <c r="J423" s="3"/>
      <c r="K423" s="3"/>
      <c r="L423" s="7"/>
    </row>
    <row r="424" spans="1:16" x14ac:dyDescent="0.25">
      <c r="D424" s="4" t="s">
        <v>420</v>
      </c>
      <c r="E424" s="5">
        <v>664</v>
      </c>
      <c r="F424" s="5">
        <v>734</v>
      </c>
      <c r="G424" s="6">
        <f t="shared" si="96"/>
        <v>70</v>
      </c>
      <c r="H424" s="7">
        <f t="shared" si="97"/>
        <v>0.10542168674698796</v>
      </c>
      <c r="J424" s="3"/>
      <c r="K424" s="3"/>
      <c r="L424" s="7"/>
    </row>
    <row r="425" spans="1:16" x14ac:dyDescent="0.25">
      <c r="D425" s="4" t="s">
        <v>421</v>
      </c>
      <c r="E425" s="5">
        <v>817</v>
      </c>
      <c r="F425" s="5">
        <v>847</v>
      </c>
      <c r="G425" s="6">
        <f t="shared" si="96"/>
        <v>30</v>
      </c>
      <c r="H425" s="7">
        <f t="shared" si="97"/>
        <v>3.6719706242350061E-2</v>
      </c>
      <c r="J425" s="3"/>
      <c r="K425" s="3"/>
      <c r="L425" s="7"/>
    </row>
    <row r="426" spans="1:16" s="3" customFormat="1" x14ac:dyDescent="0.25">
      <c r="A426"/>
      <c r="B426"/>
      <c r="C426"/>
      <c r="D426" s="2" t="s">
        <v>422</v>
      </c>
      <c r="H426" s="10">
        <f>AVERAGE(H416:H425)</f>
        <v>6.7571613615793433E-2</v>
      </c>
      <c r="J426"/>
      <c r="K426"/>
      <c r="L426"/>
      <c r="M426"/>
      <c r="N426"/>
      <c r="P426" s="30"/>
    </row>
  </sheetData>
  <autoFilter ref="A1:M426" xr:uid="{00000000-0009-0000-0000-000001000000}"/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177D-B184-40A9-8952-89A89FFDB923}">
  <dimension ref="A1:P426"/>
  <sheetViews>
    <sheetView tabSelected="1" workbookViewId="0">
      <pane ySplit="2" topLeftCell="A50" activePane="bottomLeft" state="frozen"/>
      <selection pane="bottomLeft" activeCell="J56" sqref="J56"/>
    </sheetView>
  </sheetViews>
  <sheetFormatPr defaultColWidth="9.140625" defaultRowHeight="15" x14ac:dyDescent="0.25"/>
  <cols>
    <col min="1" max="1" width="4" bestFit="1" customWidth="1"/>
    <col min="2" max="2" width="17.28515625" customWidth="1"/>
    <col min="3" max="3" width="11.7109375" customWidth="1"/>
    <col min="4" max="4" width="76.7109375" customWidth="1"/>
    <col min="5" max="5" width="28.42578125" style="3" customWidth="1"/>
    <col min="6" max="6" width="29.5703125" style="3" customWidth="1"/>
    <col min="7" max="7" width="8.28515625" style="3" customWidth="1"/>
    <col min="8" max="8" width="7.7109375" style="3" customWidth="1"/>
    <col min="9" max="9" width="28.42578125" style="3" customWidth="1"/>
    <col min="10" max="10" width="29.5703125" customWidth="1"/>
    <col min="16" max="16" width="9.140625" style="30"/>
  </cols>
  <sheetData>
    <row r="1" spans="1:16" x14ac:dyDescent="0.25">
      <c r="E1" s="1" t="s">
        <v>0</v>
      </c>
      <c r="F1" s="1" t="s">
        <v>0</v>
      </c>
      <c r="G1" s="1"/>
      <c r="H1" s="1"/>
      <c r="I1" s="1" t="s">
        <v>1</v>
      </c>
      <c r="J1" s="1" t="s">
        <v>1</v>
      </c>
      <c r="M1" t="s">
        <v>2</v>
      </c>
    </row>
    <row r="2" spans="1:16" x14ac:dyDescent="0.25">
      <c r="B2" t="s">
        <v>3</v>
      </c>
      <c r="C2" t="s">
        <v>4</v>
      </c>
      <c r="D2" t="s">
        <v>5</v>
      </c>
      <c r="E2" s="1" t="s">
        <v>526</v>
      </c>
      <c r="F2" s="1" t="s">
        <v>528</v>
      </c>
      <c r="G2" s="1"/>
      <c r="H2" s="1"/>
      <c r="I2" s="1" t="s">
        <v>526</v>
      </c>
      <c r="J2" s="1" t="s">
        <v>528</v>
      </c>
    </row>
    <row r="3" spans="1:16" x14ac:dyDescent="0.25">
      <c r="A3">
        <v>1</v>
      </c>
      <c r="D3" s="34" t="s">
        <v>6</v>
      </c>
      <c r="M3" t="s">
        <v>7</v>
      </c>
    </row>
    <row r="4" spans="1:16" x14ac:dyDescent="0.25">
      <c r="A4">
        <v>2</v>
      </c>
      <c r="C4" t="s">
        <v>8</v>
      </c>
      <c r="D4" s="4" t="s">
        <v>9</v>
      </c>
      <c r="E4" s="5">
        <v>671</v>
      </c>
      <c r="F4" s="5">
        <v>706</v>
      </c>
      <c r="G4" s="6">
        <f t="shared" ref="G4:G23" si="0">+F4-E4</f>
        <v>35</v>
      </c>
      <c r="H4" s="7">
        <f t="shared" ref="H4:H23" si="1">(F4-E4)/ABS(E4)</f>
        <v>5.216095380029806E-2</v>
      </c>
      <c r="I4" s="8">
        <v>809.39860950173818</v>
      </c>
      <c r="J4" s="9">
        <f t="shared" ref="J4:J23" si="2">(I4*H4)+I4</f>
        <v>851.61761297798387</v>
      </c>
      <c r="K4" s="3">
        <f t="shared" ref="K4:K23" si="3">J4-I4</f>
        <v>42.219003476245689</v>
      </c>
      <c r="L4" s="7">
        <f t="shared" ref="L4:L23" si="4">(J4-I4)/ABS(I4)</f>
        <v>5.2160953800298102E-2</v>
      </c>
      <c r="M4" t="s">
        <v>7</v>
      </c>
      <c r="O4" s="3">
        <f>E4-'315805 - P0824'!F4</f>
        <v>0</v>
      </c>
      <c r="P4" s="30">
        <f>I4-'315805 - P0824'!J4</f>
        <v>0</v>
      </c>
    </row>
    <row r="5" spans="1:16" x14ac:dyDescent="0.25">
      <c r="A5">
        <v>3</v>
      </c>
      <c r="D5" s="4" t="s">
        <v>10</v>
      </c>
      <c r="E5" s="8">
        <v>671</v>
      </c>
      <c r="F5" s="8">
        <f>F4</f>
        <v>706</v>
      </c>
      <c r="G5" s="6">
        <f t="shared" si="0"/>
        <v>35</v>
      </c>
      <c r="H5" s="7">
        <f t="shared" si="1"/>
        <v>5.216095380029806E-2</v>
      </c>
      <c r="I5" s="8">
        <v>809.39860950173818</v>
      </c>
      <c r="J5" s="9">
        <f t="shared" si="2"/>
        <v>851.61761297798387</v>
      </c>
      <c r="K5" s="3">
        <f t="shared" si="3"/>
        <v>42.219003476245689</v>
      </c>
      <c r="L5" s="7">
        <f t="shared" si="4"/>
        <v>5.2160953800298102E-2</v>
      </c>
      <c r="M5" t="s">
        <v>7</v>
      </c>
      <c r="O5" s="3">
        <f>E5-'315805 - P0824'!F5</f>
        <v>0</v>
      </c>
      <c r="P5" s="30">
        <f>I5-'315805 - P0824'!J5</f>
        <v>0</v>
      </c>
    </row>
    <row r="6" spans="1:16" x14ac:dyDescent="0.25">
      <c r="A6">
        <v>4</v>
      </c>
      <c r="D6" s="4" t="s">
        <v>11</v>
      </c>
      <c r="E6" s="8">
        <v>671</v>
      </c>
      <c r="F6" s="8">
        <f>F4</f>
        <v>706</v>
      </c>
      <c r="G6" s="6">
        <f t="shared" si="0"/>
        <v>35</v>
      </c>
      <c r="H6" s="7">
        <f t="shared" si="1"/>
        <v>5.216095380029806E-2</v>
      </c>
      <c r="I6" s="8">
        <v>809.39860950173818</v>
      </c>
      <c r="J6" s="9">
        <f t="shared" si="2"/>
        <v>851.61761297798387</v>
      </c>
      <c r="K6" s="3">
        <f t="shared" si="3"/>
        <v>42.219003476245689</v>
      </c>
      <c r="L6" s="7">
        <f t="shared" si="4"/>
        <v>5.2160953800298102E-2</v>
      </c>
      <c r="M6" t="s">
        <v>7</v>
      </c>
      <c r="O6" s="3">
        <f>E6-'315805 - P0824'!F6</f>
        <v>0</v>
      </c>
      <c r="P6" s="30">
        <f>I6-'315805 - P0824'!J6</f>
        <v>0</v>
      </c>
    </row>
    <row r="7" spans="1:16" x14ac:dyDescent="0.25">
      <c r="A7">
        <v>5</v>
      </c>
      <c r="C7" t="s">
        <v>8</v>
      </c>
      <c r="D7" s="4" t="s">
        <v>12</v>
      </c>
      <c r="E7" s="5">
        <v>606</v>
      </c>
      <c r="F7" s="5">
        <v>636</v>
      </c>
      <c r="G7" s="6">
        <f t="shared" si="0"/>
        <v>30</v>
      </c>
      <c r="H7" s="7">
        <f t="shared" si="1"/>
        <v>4.9504950495049507E-2</v>
      </c>
      <c r="I7" s="8">
        <v>782.24999999999989</v>
      </c>
      <c r="J7" s="9">
        <f t="shared" si="2"/>
        <v>820.97524752475238</v>
      </c>
      <c r="K7" s="3">
        <f t="shared" si="3"/>
        <v>38.72524752475249</v>
      </c>
      <c r="L7" s="7">
        <f t="shared" si="4"/>
        <v>4.9504950495049528E-2</v>
      </c>
      <c r="M7" t="s">
        <v>7</v>
      </c>
      <c r="N7" s="27"/>
      <c r="O7" s="3">
        <f>E7-'315805 - P0824'!F7</f>
        <v>0</v>
      </c>
      <c r="P7" s="30">
        <f>I7-'315805 - P0824'!J7</f>
        <v>0</v>
      </c>
    </row>
    <row r="8" spans="1:16" x14ac:dyDescent="0.25">
      <c r="A8">
        <v>6</v>
      </c>
      <c r="D8" s="4" t="s">
        <v>13</v>
      </c>
      <c r="E8" s="8">
        <v>606</v>
      </c>
      <c r="F8" s="8">
        <f>F7</f>
        <v>636</v>
      </c>
      <c r="G8" s="6">
        <f t="shared" si="0"/>
        <v>30</v>
      </c>
      <c r="H8" s="7">
        <f t="shared" si="1"/>
        <v>4.9504950495049507E-2</v>
      </c>
      <c r="I8" s="8">
        <v>782.24999999999989</v>
      </c>
      <c r="J8" s="9">
        <f t="shared" si="2"/>
        <v>820.97524752475238</v>
      </c>
      <c r="K8" s="3">
        <f t="shared" si="3"/>
        <v>38.72524752475249</v>
      </c>
      <c r="L8" s="7">
        <f t="shared" si="4"/>
        <v>4.9504950495049528E-2</v>
      </c>
      <c r="M8" t="s">
        <v>7</v>
      </c>
      <c r="N8" s="27"/>
      <c r="O8" s="3">
        <f>E8-'315805 - P0824'!F8</f>
        <v>0</v>
      </c>
      <c r="P8" s="30">
        <f>I8-'315805 - P0824'!J8</f>
        <v>0</v>
      </c>
    </row>
    <row r="9" spans="1:16" x14ac:dyDescent="0.25">
      <c r="A9">
        <v>7</v>
      </c>
      <c r="D9" s="4" t="s">
        <v>14</v>
      </c>
      <c r="E9" s="8">
        <v>606</v>
      </c>
      <c r="F9" s="8">
        <f>F7</f>
        <v>636</v>
      </c>
      <c r="G9" s="6">
        <f t="shared" si="0"/>
        <v>30</v>
      </c>
      <c r="H9" s="7">
        <f t="shared" si="1"/>
        <v>4.9504950495049507E-2</v>
      </c>
      <c r="I9" s="8">
        <v>782.24999999999989</v>
      </c>
      <c r="J9" s="9">
        <f t="shared" si="2"/>
        <v>820.97524752475238</v>
      </c>
      <c r="K9" s="3">
        <f t="shared" si="3"/>
        <v>38.72524752475249</v>
      </c>
      <c r="L9" s="7">
        <f t="shared" si="4"/>
        <v>4.9504950495049528E-2</v>
      </c>
      <c r="M9" t="s">
        <v>7</v>
      </c>
      <c r="N9" s="27"/>
      <c r="O9" s="3">
        <f>E9-'315805 - P0824'!F9</f>
        <v>0</v>
      </c>
      <c r="P9" s="30">
        <f>I9-'315805 - P0824'!J9</f>
        <v>0</v>
      </c>
    </row>
    <row r="10" spans="1:16" x14ac:dyDescent="0.25">
      <c r="A10">
        <v>8</v>
      </c>
      <c r="C10" t="s">
        <v>8</v>
      </c>
      <c r="D10" s="4" t="s">
        <v>15</v>
      </c>
      <c r="E10" s="5">
        <v>710</v>
      </c>
      <c r="F10" s="5">
        <v>825</v>
      </c>
      <c r="G10" s="6">
        <f t="shared" si="0"/>
        <v>115</v>
      </c>
      <c r="H10" s="7">
        <f t="shared" si="1"/>
        <v>0.1619718309859155</v>
      </c>
      <c r="I10" s="8">
        <v>942.95073091499751</v>
      </c>
      <c r="J10" s="9">
        <f t="shared" si="2"/>
        <v>1095.682187330807</v>
      </c>
      <c r="K10" s="3">
        <f t="shared" si="3"/>
        <v>152.73145641580948</v>
      </c>
      <c r="L10" s="7">
        <f t="shared" si="4"/>
        <v>0.16197183098591553</v>
      </c>
      <c r="M10" t="s">
        <v>7</v>
      </c>
      <c r="N10" s="27"/>
      <c r="O10" s="3">
        <f>E10-'315805 - P0824'!F10</f>
        <v>0</v>
      </c>
      <c r="P10" s="30">
        <f>I10-'315805 - P0824'!J10</f>
        <v>0</v>
      </c>
    </row>
    <row r="11" spans="1:16" x14ac:dyDescent="0.25">
      <c r="A11">
        <v>9</v>
      </c>
      <c r="D11" s="4" t="s">
        <v>16</v>
      </c>
      <c r="E11" s="8">
        <v>710</v>
      </c>
      <c r="F11" s="8">
        <f>F10</f>
        <v>825</v>
      </c>
      <c r="G11" s="6">
        <f t="shared" si="0"/>
        <v>115</v>
      </c>
      <c r="H11" s="7">
        <f t="shared" si="1"/>
        <v>0.1619718309859155</v>
      </c>
      <c r="I11" s="8">
        <v>942.95073091499751</v>
      </c>
      <c r="J11" s="9">
        <f t="shared" si="2"/>
        <v>1095.682187330807</v>
      </c>
      <c r="K11" s="3">
        <f t="shared" si="3"/>
        <v>152.73145641580948</v>
      </c>
      <c r="L11" s="7">
        <f t="shared" si="4"/>
        <v>0.16197183098591553</v>
      </c>
      <c r="M11" t="s">
        <v>7</v>
      </c>
      <c r="N11" s="27"/>
      <c r="O11" s="3">
        <f>E11-'315805 - P0824'!F11</f>
        <v>0</v>
      </c>
      <c r="P11" s="30">
        <f>I11-'315805 - P0824'!J11</f>
        <v>0</v>
      </c>
    </row>
    <row r="12" spans="1:16" x14ac:dyDescent="0.25">
      <c r="A12">
        <v>10</v>
      </c>
      <c r="C12" t="s">
        <v>8</v>
      </c>
      <c r="D12" s="4" t="s">
        <v>17</v>
      </c>
      <c r="E12" s="5">
        <v>685</v>
      </c>
      <c r="F12" s="5">
        <v>710</v>
      </c>
      <c r="G12" s="6">
        <f t="shared" si="0"/>
        <v>25</v>
      </c>
      <c r="H12" s="7">
        <f t="shared" si="1"/>
        <v>3.6496350364963501E-2</v>
      </c>
      <c r="I12" s="8">
        <v>817.101841820152</v>
      </c>
      <c r="J12" s="9">
        <f t="shared" si="2"/>
        <v>846.92307692307725</v>
      </c>
      <c r="K12" s="3">
        <f t="shared" si="3"/>
        <v>29.821235102925243</v>
      </c>
      <c r="L12" s="7">
        <f t="shared" si="4"/>
        <v>3.6496350364963487E-2</v>
      </c>
      <c r="M12" t="s">
        <v>7</v>
      </c>
      <c r="N12" s="27"/>
      <c r="O12" s="3">
        <f>E12-'315805 - P0824'!F12</f>
        <v>0</v>
      </c>
      <c r="P12" s="30">
        <f>I12-'315805 - P0824'!J12</f>
        <v>0</v>
      </c>
    </row>
    <row r="13" spans="1:16" x14ac:dyDescent="0.25">
      <c r="A13">
        <v>11</v>
      </c>
      <c r="D13" s="4" t="s">
        <v>18</v>
      </c>
      <c r="E13" s="8">
        <v>685</v>
      </c>
      <c r="F13" s="8">
        <f>F12</f>
        <v>710</v>
      </c>
      <c r="G13" s="6">
        <f t="shared" si="0"/>
        <v>25</v>
      </c>
      <c r="H13" s="7">
        <f t="shared" si="1"/>
        <v>3.6496350364963501E-2</v>
      </c>
      <c r="I13" s="8">
        <v>817.101841820152</v>
      </c>
      <c r="J13" s="9">
        <f t="shared" si="2"/>
        <v>846.92307692307725</v>
      </c>
      <c r="K13" s="3">
        <f t="shared" si="3"/>
        <v>29.821235102925243</v>
      </c>
      <c r="L13" s="7">
        <f t="shared" si="4"/>
        <v>3.6496350364963487E-2</v>
      </c>
      <c r="M13" t="s">
        <v>7</v>
      </c>
      <c r="N13" s="27"/>
      <c r="O13" s="3">
        <f>E13-'315805 - P0824'!F13</f>
        <v>0</v>
      </c>
      <c r="P13" s="30">
        <f>I13-'315805 - P0824'!J13</f>
        <v>0</v>
      </c>
    </row>
    <row r="14" spans="1:16" x14ac:dyDescent="0.25">
      <c r="A14">
        <v>12</v>
      </c>
      <c r="D14" s="4" t="s">
        <v>19</v>
      </c>
      <c r="E14" s="5">
        <v>660</v>
      </c>
      <c r="F14" s="5">
        <v>680</v>
      </c>
      <c r="G14" s="6">
        <f t="shared" si="0"/>
        <v>20</v>
      </c>
      <c r="H14" s="7">
        <f t="shared" si="1"/>
        <v>3.0303030303030304E-2</v>
      </c>
      <c r="I14" s="8">
        <v>848.38146406984549</v>
      </c>
      <c r="J14" s="9">
        <f t="shared" si="2"/>
        <v>874.08999328408322</v>
      </c>
      <c r="K14" s="3">
        <f t="shared" si="3"/>
        <v>25.708529214237728</v>
      </c>
      <c r="L14" s="7">
        <f t="shared" si="4"/>
        <v>3.0303030303030287E-2</v>
      </c>
      <c r="M14" t="s">
        <v>7</v>
      </c>
      <c r="N14" s="27"/>
      <c r="O14" s="3">
        <f>E14-'315805 - P0824'!F14</f>
        <v>0</v>
      </c>
      <c r="P14" s="30">
        <f>I14-'315805 - P0824'!J14</f>
        <v>0</v>
      </c>
    </row>
    <row r="15" spans="1:16" x14ac:dyDescent="0.25">
      <c r="A15">
        <v>13</v>
      </c>
      <c r="D15" s="4" t="s">
        <v>20</v>
      </c>
      <c r="E15" s="8">
        <v>660</v>
      </c>
      <c r="F15" s="8">
        <f>F14</f>
        <v>680</v>
      </c>
      <c r="G15" s="6">
        <f t="shared" si="0"/>
        <v>20</v>
      </c>
      <c r="H15" s="7">
        <f t="shared" si="1"/>
        <v>3.0303030303030304E-2</v>
      </c>
      <c r="I15" s="8">
        <v>848.38146406984549</v>
      </c>
      <c r="J15" s="9">
        <f t="shared" si="2"/>
        <v>874.08999328408322</v>
      </c>
      <c r="K15" s="3">
        <f t="shared" si="3"/>
        <v>25.708529214237728</v>
      </c>
      <c r="L15" s="7">
        <f t="shared" si="4"/>
        <v>3.0303030303030287E-2</v>
      </c>
      <c r="M15" t="s">
        <v>7</v>
      </c>
      <c r="N15" s="27"/>
      <c r="O15" s="3">
        <f>E15-'315805 - P0824'!F15</f>
        <v>0</v>
      </c>
      <c r="P15" s="30">
        <f>I15-'315805 - P0824'!J15</f>
        <v>0</v>
      </c>
    </row>
    <row r="16" spans="1:16" x14ac:dyDescent="0.25">
      <c r="A16">
        <v>14</v>
      </c>
      <c r="C16" t="s">
        <v>8</v>
      </c>
      <c r="D16" s="4" t="s">
        <v>21</v>
      </c>
      <c r="E16" s="5">
        <v>780</v>
      </c>
      <c r="F16" s="5">
        <v>795</v>
      </c>
      <c r="G16" s="6">
        <f t="shared" si="0"/>
        <v>15</v>
      </c>
      <c r="H16" s="7">
        <f t="shared" si="1"/>
        <v>1.9230769230769232E-2</v>
      </c>
      <c r="I16" s="8">
        <v>1098.7096774193551</v>
      </c>
      <c r="J16" s="9">
        <f t="shared" si="2"/>
        <v>1119.8387096774197</v>
      </c>
      <c r="K16" s="3">
        <f t="shared" si="3"/>
        <v>21.129032258064626</v>
      </c>
      <c r="L16" s="7">
        <f t="shared" si="4"/>
        <v>1.9230769230769326E-2</v>
      </c>
      <c r="M16" t="s">
        <v>7</v>
      </c>
      <c r="N16" s="27"/>
      <c r="O16" s="3">
        <f>E16-'315805 - P0824'!F16</f>
        <v>0</v>
      </c>
      <c r="P16" s="30">
        <f>I16-'315805 - P0824'!J16</f>
        <v>0</v>
      </c>
    </row>
    <row r="17" spans="1:16" x14ac:dyDescent="0.25">
      <c r="A17">
        <v>15</v>
      </c>
      <c r="D17" s="4" t="s">
        <v>22</v>
      </c>
      <c r="E17" s="8">
        <v>780</v>
      </c>
      <c r="F17" s="8">
        <f>F16</f>
        <v>795</v>
      </c>
      <c r="G17" s="6">
        <f t="shared" si="0"/>
        <v>15</v>
      </c>
      <c r="H17" s="7">
        <f t="shared" si="1"/>
        <v>1.9230769230769232E-2</v>
      </c>
      <c r="I17" s="8">
        <v>1098.7096774193551</v>
      </c>
      <c r="J17" s="9">
        <f t="shared" si="2"/>
        <v>1119.8387096774197</v>
      </c>
      <c r="K17" s="3">
        <f t="shared" si="3"/>
        <v>21.129032258064626</v>
      </c>
      <c r="L17" s="7">
        <f t="shared" si="4"/>
        <v>1.9230769230769326E-2</v>
      </c>
      <c r="M17" t="s">
        <v>7</v>
      </c>
      <c r="N17" s="27"/>
      <c r="O17" s="3">
        <f>E17-'315805 - P0824'!F17</f>
        <v>0</v>
      </c>
      <c r="P17" s="30">
        <f>I17-'315805 - P0824'!J17</f>
        <v>0</v>
      </c>
    </row>
    <row r="18" spans="1:16" x14ac:dyDescent="0.25">
      <c r="A18">
        <v>16</v>
      </c>
      <c r="C18" t="s">
        <v>8</v>
      </c>
      <c r="D18" s="4" t="s">
        <v>23</v>
      </c>
      <c r="E18" s="5">
        <v>845</v>
      </c>
      <c r="F18" s="5">
        <v>880</v>
      </c>
      <c r="G18" s="6">
        <f t="shared" si="0"/>
        <v>35</v>
      </c>
      <c r="H18" s="7">
        <f t="shared" si="1"/>
        <v>4.142011834319527E-2</v>
      </c>
      <c r="I18" s="8">
        <v>1174.3539029535862</v>
      </c>
      <c r="J18" s="9">
        <f t="shared" si="2"/>
        <v>1222.995780590717</v>
      </c>
      <c r="K18" s="3">
        <f t="shared" si="3"/>
        <v>48.641877637130847</v>
      </c>
      <c r="L18" s="7">
        <f t="shared" si="4"/>
        <v>4.1420118343195318E-2</v>
      </c>
      <c r="M18" t="s">
        <v>7</v>
      </c>
      <c r="N18" s="27"/>
      <c r="O18" s="3">
        <f>E18-'315805 - P0824'!F18</f>
        <v>0</v>
      </c>
      <c r="P18" s="30">
        <f>I18-'315805 - P0824'!J18</f>
        <v>0</v>
      </c>
    </row>
    <row r="19" spans="1:16" x14ac:dyDescent="0.25">
      <c r="A19">
        <v>17</v>
      </c>
      <c r="D19" s="4" t="s">
        <v>24</v>
      </c>
      <c r="E19" s="8">
        <v>845</v>
      </c>
      <c r="F19" s="8">
        <f>F18</f>
        <v>880</v>
      </c>
      <c r="G19" s="6">
        <f t="shared" si="0"/>
        <v>35</v>
      </c>
      <c r="H19" s="7">
        <f t="shared" si="1"/>
        <v>4.142011834319527E-2</v>
      </c>
      <c r="I19" s="8">
        <v>1174.3539029535862</v>
      </c>
      <c r="J19" s="9">
        <f t="shared" si="2"/>
        <v>1222.995780590717</v>
      </c>
      <c r="K19" s="3">
        <f t="shared" si="3"/>
        <v>48.641877637130847</v>
      </c>
      <c r="L19" s="7">
        <f t="shared" si="4"/>
        <v>4.1420118343195318E-2</v>
      </c>
      <c r="M19" t="s">
        <v>7</v>
      </c>
      <c r="N19" s="27"/>
      <c r="O19" s="3">
        <f>E19-'315805 - P0824'!F19</f>
        <v>0</v>
      </c>
      <c r="P19" s="30">
        <f>I19-'315805 - P0824'!J19</f>
        <v>0</v>
      </c>
    </row>
    <row r="20" spans="1:16" x14ac:dyDescent="0.25">
      <c r="A20">
        <v>18</v>
      </c>
      <c r="C20" t="s">
        <v>8</v>
      </c>
      <c r="D20" s="4" t="s">
        <v>25</v>
      </c>
      <c r="E20" s="5">
        <v>1040</v>
      </c>
      <c r="F20" s="5">
        <v>1070</v>
      </c>
      <c r="G20" s="6">
        <f t="shared" si="0"/>
        <v>30</v>
      </c>
      <c r="H20" s="7">
        <f t="shared" si="1"/>
        <v>2.8846153846153848E-2</v>
      </c>
      <c r="I20" s="8">
        <v>2099.3184776430471</v>
      </c>
      <c r="J20" s="9">
        <f t="shared" si="2"/>
        <v>2159.8757414212118</v>
      </c>
      <c r="K20" s="3">
        <f t="shared" si="3"/>
        <v>60.557263778164724</v>
      </c>
      <c r="L20" s="7">
        <f t="shared" si="4"/>
        <v>2.8846153846153799E-2</v>
      </c>
      <c r="M20" t="s">
        <v>7</v>
      </c>
      <c r="N20" s="27"/>
      <c r="O20" s="3">
        <f>E20-'315805 - P0824'!F20</f>
        <v>0</v>
      </c>
      <c r="P20" s="30">
        <f>I20-'315805 - P0824'!J20</f>
        <v>0</v>
      </c>
    </row>
    <row r="21" spans="1:16" x14ac:dyDescent="0.25">
      <c r="A21">
        <v>19</v>
      </c>
      <c r="C21" t="s">
        <v>8</v>
      </c>
      <c r="D21" s="4" t="s">
        <v>26</v>
      </c>
      <c r="E21" s="5">
        <v>16.07</v>
      </c>
      <c r="F21" s="5">
        <v>16.07</v>
      </c>
      <c r="G21" s="6">
        <f t="shared" si="0"/>
        <v>0</v>
      </c>
      <c r="H21" s="7">
        <f t="shared" si="1"/>
        <v>0</v>
      </c>
      <c r="I21" s="8">
        <v>36.488665130799234</v>
      </c>
      <c r="J21" s="9">
        <f t="shared" si="2"/>
        <v>36.488665130799234</v>
      </c>
      <c r="K21" s="3">
        <f t="shared" si="3"/>
        <v>0</v>
      </c>
      <c r="L21" s="7">
        <f t="shared" si="4"/>
        <v>0</v>
      </c>
      <c r="M21" t="s">
        <v>7</v>
      </c>
      <c r="O21" s="3">
        <f>E21-'315805 - P0824'!F21</f>
        <v>0</v>
      </c>
      <c r="P21" s="30">
        <f>I21-'315805 - P0824'!J21</f>
        <v>0</v>
      </c>
    </row>
    <row r="22" spans="1:16" x14ac:dyDescent="0.25">
      <c r="A22">
        <v>20</v>
      </c>
      <c r="C22" t="s">
        <v>8</v>
      </c>
      <c r="D22" s="4" t="s">
        <v>27</v>
      </c>
      <c r="E22" s="5">
        <v>1430</v>
      </c>
      <c r="F22" s="5">
        <v>1430</v>
      </c>
      <c r="G22" s="6">
        <f t="shared" si="0"/>
        <v>0</v>
      </c>
      <c r="H22" s="7">
        <f t="shared" si="1"/>
        <v>0</v>
      </c>
      <c r="I22" s="8">
        <v>2041.9221967963392</v>
      </c>
      <c r="J22" s="9">
        <f t="shared" si="2"/>
        <v>2041.9221967963392</v>
      </c>
      <c r="K22" s="3">
        <f t="shared" si="3"/>
        <v>0</v>
      </c>
      <c r="L22" s="7">
        <f t="shared" si="4"/>
        <v>0</v>
      </c>
      <c r="M22" t="s">
        <v>7</v>
      </c>
      <c r="N22" s="27"/>
      <c r="O22" s="3">
        <f>E22-'315805 - P0824'!F22</f>
        <v>0</v>
      </c>
      <c r="P22" s="30">
        <f>I22-'315805 - P0824'!J22</f>
        <v>0</v>
      </c>
    </row>
    <row r="23" spans="1:16" x14ac:dyDescent="0.25">
      <c r="A23">
        <v>21</v>
      </c>
      <c r="D23" s="4" t="s">
        <v>28</v>
      </c>
      <c r="E23" s="8">
        <v>1430</v>
      </c>
      <c r="F23" s="8">
        <f>F22</f>
        <v>1430</v>
      </c>
      <c r="G23" s="6">
        <f t="shared" si="0"/>
        <v>0</v>
      </c>
      <c r="H23" s="7">
        <f t="shared" si="1"/>
        <v>0</v>
      </c>
      <c r="I23" s="8">
        <v>2041.9221967963392</v>
      </c>
      <c r="J23" s="9">
        <f t="shared" si="2"/>
        <v>2041.9221967963392</v>
      </c>
      <c r="K23" s="3">
        <f t="shared" si="3"/>
        <v>0</v>
      </c>
      <c r="L23" s="7">
        <f t="shared" si="4"/>
        <v>0</v>
      </c>
      <c r="M23" t="s">
        <v>7</v>
      </c>
      <c r="N23" s="27"/>
      <c r="O23" s="3">
        <f>E23-'315805 - P0824'!F23</f>
        <v>0</v>
      </c>
      <c r="P23" s="30">
        <f>I23-'315805 - P0824'!J23</f>
        <v>0</v>
      </c>
    </row>
    <row r="24" spans="1:16" x14ac:dyDescent="0.25">
      <c r="A24">
        <v>22</v>
      </c>
      <c r="D24" s="34" t="s">
        <v>29</v>
      </c>
      <c r="H24" s="10">
        <f>AVERAGE(H4:H23)</f>
        <v>4.5634403259397202E-2</v>
      </c>
      <c r="L24" s="10">
        <f>AVERAGE(L4:L23)</f>
        <v>4.563440325939723E-2</v>
      </c>
    </row>
    <row r="25" spans="1:16" x14ac:dyDescent="0.25">
      <c r="A25">
        <v>23</v>
      </c>
      <c r="D25" s="34" t="s">
        <v>30</v>
      </c>
      <c r="M25" t="s">
        <v>7</v>
      </c>
    </row>
    <row r="26" spans="1:16" x14ac:dyDescent="0.25">
      <c r="A26">
        <v>24</v>
      </c>
      <c r="D26" s="4" t="s">
        <v>31</v>
      </c>
      <c r="E26" s="5">
        <v>441</v>
      </c>
      <c r="F26" s="5">
        <v>441</v>
      </c>
      <c r="G26" s="6">
        <f t="shared" ref="G26:G31" si="5">+F26-E26</f>
        <v>0</v>
      </c>
      <c r="H26" s="7">
        <f t="shared" ref="H26:H31" si="6">(F26-E26)/ABS(E26)</f>
        <v>0</v>
      </c>
      <c r="I26" s="8">
        <v>654.29675354366714</v>
      </c>
      <c r="J26" s="9">
        <f t="shared" ref="J26:J31" si="7">(I26*H26)+I26</f>
        <v>654.29675354366714</v>
      </c>
      <c r="K26" s="3">
        <f t="shared" ref="K26:K31" si="8">J26-I26</f>
        <v>0</v>
      </c>
      <c r="L26" s="7">
        <f t="shared" ref="L26:L31" si="9">(J26-I26)/ABS(I26)</f>
        <v>0</v>
      </c>
      <c r="M26" t="s">
        <v>7</v>
      </c>
      <c r="O26" s="3">
        <f>E26-'315805 - P0824'!F26</f>
        <v>0</v>
      </c>
      <c r="P26" s="30">
        <f>I26-'315805 - P0824'!J26</f>
        <v>0</v>
      </c>
    </row>
    <row r="27" spans="1:16" x14ac:dyDescent="0.25">
      <c r="A27">
        <v>25</v>
      </c>
      <c r="D27" s="4" t="s">
        <v>32</v>
      </c>
      <c r="E27" s="5">
        <v>471</v>
      </c>
      <c r="F27" s="5">
        <v>476</v>
      </c>
      <c r="G27" s="6">
        <f t="shared" si="5"/>
        <v>5</v>
      </c>
      <c r="H27" s="7">
        <f t="shared" si="6"/>
        <v>1.0615711252653927E-2</v>
      </c>
      <c r="I27" s="8">
        <v>621.34927125930585</v>
      </c>
      <c r="J27" s="9">
        <f t="shared" si="7"/>
        <v>627.9453357100416</v>
      </c>
      <c r="K27" s="3">
        <f t="shared" si="8"/>
        <v>6.5960644507357529</v>
      </c>
      <c r="L27" s="7">
        <f t="shared" si="9"/>
        <v>1.0615711252653964E-2</v>
      </c>
      <c r="M27" t="s">
        <v>7</v>
      </c>
      <c r="O27" s="3">
        <f>E27-'315805 - P0824'!F27</f>
        <v>0</v>
      </c>
      <c r="P27" s="30">
        <f>I27-'315805 - P0824'!J27</f>
        <v>0</v>
      </c>
    </row>
    <row r="28" spans="1:16" x14ac:dyDescent="0.25">
      <c r="A28">
        <v>26</v>
      </c>
      <c r="D28" s="4" t="s">
        <v>33</v>
      </c>
      <c r="E28" s="5">
        <v>471</v>
      </c>
      <c r="F28" s="5">
        <v>476</v>
      </c>
      <c r="G28" s="6">
        <f t="shared" si="5"/>
        <v>5</v>
      </c>
      <c r="H28" s="7">
        <f t="shared" si="6"/>
        <v>1.0615711252653927E-2</v>
      </c>
      <c r="I28" s="8">
        <v>583.55206039635107</v>
      </c>
      <c r="J28" s="9">
        <f t="shared" si="7"/>
        <v>589.74688057040999</v>
      </c>
      <c r="K28" s="3">
        <f t="shared" si="8"/>
        <v>6.1948201740589184</v>
      </c>
      <c r="L28" s="7">
        <f t="shared" si="9"/>
        <v>1.061571125265391E-2</v>
      </c>
      <c r="M28" t="s">
        <v>7</v>
      </c>
      <c r="O28" s="3">
        <f>E28-'315805 - P0824'!F28</f>
        <v>0</v>
      </c>
      <c r="P28" s="30">
        <f>I28-'315805 - P0824'!J28</f>
        <v>0</v>
      </c>
    </row>
    <row r="29" spans="1:16" x14ac:dyDescent="0.25">
      <c r="A29">
        <v>27</v>
      </c>
      <c r="D29" s="4" t="s">
        <v>34</v>
      </c>
      <c r="E29" s="5">
        <v>431</v>
      </c>
      <c r="F29" s="5">
        <v>436</v>
      </c>
      <c r="G29" s="6">
        <f t="shared" si="5"/>
        <v>5</v>
      </c>
      <c r="H29" s="7">
        <f t="shared" si="6"/>
        <v>1.1600928074245939E-2</v>
      </c>
      <c r="I29" s="8">
        <v>554.04691828254852</v>
      </c>
      <c r="J29" s="9">
        <f t="shared" si="7"/>
        <v>560.47437673130196</v>
      </c>
      <c r="K29" s="3">
        <f t="shared" si="8"/>
        <v>6.4274584487534412</v>
      </c>
      <c r="L29" s="7">
        <f t="shared" si="9"/>
        <v>1.1600928074245899E-2</v>
      </c>
      <c r="M29" t="s">
        <v>7</v>
      </c>
      <c r="O29" s="3">
        <f>E29-'315805 - P0824'!F29</f>
        <v>0</v>
      </c>
      <c r="P29" s="30">
        <f>I29-'315805 - P0824'!J29</f>
        <v>0</v>
      </c>
    </row>
    <row r="30" spans="1:16" x14ac:dyDescent="0.25">
      <c r="A30">
        <v>28</v>
      </c>
      <c r="D30" s="4" t="s">
        <v>35</v>
      </c>
      <c r="E30" s="5">
        <v>526</v>
      </c>
      <c r="F30" s="5">
        <v>541</v>
      </c>
      <c r="G30" s="6">
        <f t="shared" si="5"/>
        <v>15</v>
      </c>
      <c r="H30" s="7">
        <f t="shared" si="6"/>
        <v>2.8517110266159697E-2</v>
      </c>
      <c r="I30" s="8">
        <v>665.65871717714049</v>
      </c>
      <c r="J30" s="9">
        <f t="shared" si="7"/>
        <v>684.6413802145114</v>
      </c>
      <c r="K30" s="3">
        <f t="shared" si="8"/>
        <v>18.982663037370912</v>
      </c>
      <c r="L30" s="7">
        <f t="shared" si="9"/>
        <v>2.8517110266159676E-2</v>
      </c>
      <c r="M30" t="s">
        <v>7</v>
      </c>
      <c r="O30" s="3">
        <f>E30-'315805 - P0824'!F30</f>
        <v>0</v>
      </c>
      <c r="P30" s="30">
        <f>I30-'315805 - P0824'!J30</f>
        <v>0</v>
      </c>
    </row>
    <row r="31" spans="1:16" x14ac:dyDescent="0.25">
      <c r="A31">
        <v>29</v>
      </c>
      <c r="D31" s="4" t="s">
        <v>36</v>
      </c>
      <c r="E31" s="5">
        <v>526</v>
      </c>
      <c r="F31" s="5">
        <v>541</v>
      </c>
      <c r="G31" s="6">
        <f t="shared" si="5"/>
        <v>15</v>
      </c>
      <c r="H31" s="7">
        <f t="shared" si="6"/>
        <v>2.8517110266159697E-2</v>
      </c>
      <c r="I31" s="8">
        <v>628.84351159335233</v>
      </c>
      <c r="J31" s="9">
        <f t="shared" si="7"/>
        <v>646.77631135361901</v>
      </c>
      <c r="K31" s="3">
        <f t="shared" si="8"/>
        <v>17.932799760266676</v>
      </c>
      <c r="L31" s="7">
        <f t="shared" si="9"/>
        <v>2.8517110266159655E-2</v>
      </c>
      <c r="M31" t="s">
        <v>7</v>
      </c>
      <c r="O31" s="3">
        <f>E31-'315805 - P0824'!F31</f>
        <v>0</v>
      </c>
      <c r="P31" s="30">
        <f>I31-'315805 - P0824'!J31</f>
        <v>0</v>
      </c>
    </row>
    <row r="32" spans="1:16" x14ac:dyDescent="0.25">
      <c r="A32">
        <v>30</v>
      </c>
      <c r="D32" s="34" t="s">
        <v>37</v>
      </c>
      <c r="H32" s="10">
        <f>AVERAGE(H26:H31)</f>
        <v>1.4977761851978863E-2</v>
      </c>
      <c r="L32" s="10">
        <f>AVERAGE(L26:L31)</f>
        <v>1.4977761851978849E-2</v>
      </c>
    </row>
    <row r="33" spans="1:16" x14ac:dyDescent="0.25">
      <c r="A33">
        <v>31</v>
      </c>
      <c r="D33" s="34" t="s">
        <v>38</v>
      </c>
      <c r="M33" t="s">
        <v>7</v>
      </c>
    </row>
    <row r="34" spans="1:16" x14ac:dyDescent="0.25">
      <c r="A34">
        <v>32</v>
      </c>
      <c r="D34" s="4" t="s">
        <v>39</v>
      </c>
      <c r="E34" s="5">
        <v>540</v>
      </c>
      <c r="F34" s="5">
        <v>555</v>
      </c>
      <c r="G34" s="6">
        <f t="shared" ref="G34:G62" si="10">+F34-E34</f>
        <v>15</v>
      </c>
      <c r="H34" s="7">
        <f t="shared" ref="H34:H62" si="11">(F34-E34)/ABS(E34)</f>
        <v>2.7777777777777776E-2</v>
      </c>
      <c r="I34" s="8">
        <v>614.01724137931012</v>
      </c>
      <c r="J34" s="9">
        <f t="shared" ref="J34:J62" si="12">(I34*H34)+I34</f>
        <v>631.07327586206873</v>
      </c>
      <c r="K34" s="3">
        <f t="shared" ref="K34:K62" si="13">J34-I34</f>
        <v>17.056034482758605</v>
      </c>
      <c r="L34" s="7">
        <f t="shared" ref="L34:L62" si="14">(J34-I34)/ABS(I34)</f>
        <v>2.7777777777777762E-2</v>
      </c>
      <c r="M34" t="s">
        <v>7</v>
      </c>
      <c r="O34" s="3">
        <f>E34-'315805 - P0824'!F34</f>
        <v>0</v>
      </c>
      <c r="P34" s="30">
        <f>I34-'315805 - P0824'!J34</f>
        <v>0</v>
      </c>
    </row>
    <row r="35" spans="1:16" x14ac:dyDescent="0.25">
      <c r="A35">
        <v>33</v>
      </c>
      <c r="D35" s="4" t="s">
        <v>40</v>
      </c>
      <c r="E35" s="8">
        <v>540</v>
      </c>
      <c r="F35" s="8">
        <f>F34</f>
        <v>555</v>
      </c>
      <c r="G35" s="6">
        <f t="shared" si="10"/>
        <v>15</v>
      </c>
      <c r="H35" s="7">
        <f t="shared" si="11"/>
        <v>2.7777777777777776E-2</v>
      </c>
      <c r="I35" s="8">
        <v>614.01724137931046</v>
      </c>
      <c r="J35" s="9">
        <f t="shared" si="12"/>
        <v>631.07327586206907</v>
      </c>
      <c r="K35" s="3">
        <f t="shared" si="13"/>
        <v>17.056034482758605</v>
      </c>
      <c r="L35" s="7">
        <f t="shared" si="14"/>
        <v>2.7777777777777748E-2</v>
      </c>
      <c r="M35" t="s">
        <v>7</v>
      </c>
      <c r="O35" s="3">
        <f>E35-'315805 - P0824'!F35</f>
        <v>0</v>
      </c>
      <c r="P35" s="30">
        <f>I35-'315805 - P0824'!J35</f>
        <v>0</v>
      </c>
    </row>
    <row r="36" spans="1:16" x14ac:dyDescent="0.25">
      <c r="A36">
        <v>34</v>
      </c>
      <c r="D36" s="4" t="s">
        <v>41</v>
      </c>
      <c r="E36" s="8">
        <v>540</v>
      </c>
      <c r="F36" s="8">
        <f>F34</f>
        <v>555</v>
      </c>
      <c r="G36" s="6">
        <f t="shared" si="10"/>
        <v>15</v>
      </c>
      <c r="H36" s="7">
        <f t="shared" si="11"/>
        <v>2.7777777777777776E-2</v>
      </c>
      <c r="I36" s="8">
        <v>614.01724137931046</v>
      </c>
      <c r="J36" s="9">
        <f t="shared" si="12"/>
        <v>631.07327586206907</v>
      </c>
      <c r="K36" s="3">
        <f t="shared" si="13"/>
        <v>17.056034482758605</v>
      </c>
      <c r="L36" s="7">
        <f t="shared" si="14"/>
        <v>2.7777777777777748E-2</v>
      </c>
      <c r="M36" t="s">
        <v>7</v>
      </c>
      <c r="O36" s="3">
        <f>E36-'315805 - P0824'!F36</f>
        <v>0</v>
      </c>
      <c r="P36" s="30">
        <f>I36-'315805 - P0824'!J36</f>
        <v>0</v>
      </c>
    </row>
    <row r="37" spans="1:16" x14ac:dyDescent="0.25">
      <c r="A37">
        <v>35</v>
      </c>
      <c r="D37" s="4" t="s">
        <v>42</v>
      </c>
      <c r="E37" s="8">
        <v>540</v>
      </c>
      <c r="F37" s="8">
        <f>F34</f>
        <v>555</v>
      </c>
      <c r="G37" s="6">
        <f t="shared" si="10"/>
        <v>15</v>
      </c>
      <c r="H37" s="7">
        <f t="shared" si="11"/>
        <v>2.7777777777777776E-2</v>
      </c>
      <c r="I37" s="8">
        <v>614.01724137931046</v>
      </c>
      <c r="J37" s="9">
        <f t="shared" si="12"/>
        <v>631.07327586206907</v>
      </c>
      <c r="K37" s="3">
        <f t="shared" si="13"/>
        <v>17.056034482758605</v>
      </c>
      <c r="L37" s="7">
        <f t="shared" si="14"/>
        <v>2.7777777777777748E-2</v>
      </c>
      <c r="M37" t="s">
        <v>7</v>
      </c>
      <c r="O37" s="3">
        <f>E37-'315805 - P0824'!F37</f>
        <v>0</v>
      </c>
      <c r="P37" s="30">
        <f>I37-'315805 - P0824'!J37</f>
        <v>0</v>
      </c>
    </row>
    <row r="38" spans="1:16" x14ac:dyDescent="0.25">
      <c r="A38">
        <v>36</v>
      </c>
      <c r="D38" s="4" t="s">
        <v>43</v>
      </c>
      <c r="E38" s="8">
        <v>540</v>
      </c>
      <c r="F38" s="8">
        <f>F34</f>
        <v>555</v>
      </c>
      <c r="G38" s="6">
        <f t="shared" si="10"/>
        <v>15</v>
      </c>
      <c r="H38" s="7">
        <f t="shared" si="11"/>
        <v>2.7777777777777776E-2</v>
      </c>
      <c r="I38" s="8">
        <v>614.01724137931046</v>
      </c>
      <c r="J38" s="9">
        <f t="shared" si="12"/>
        <v>631.07327586206907</v>
      </c>
      <c r="K38" s="3">
        <f t="shared" si="13"/>
        <v>17.056034482758605</v>
      </c>
      <c r="L38" s="7">
        <f t="shared" si="14"/>
        <v>2.7777777777777748E-2</v>
      </c>
      <c r="M38" t="s">
        <v>7</v>
      </c>
      <c r="O38" s="3">
        <f>E38-'315805 - P0824'!F38</f>
        <v>0</v>
      </c>
      <c r="P38" s="30">
        <f>I38-'315805 - P0824'!J38</f>
        <v>0</v>
      </c>
    </row>
    <row r="39" spans="1:16" x14ac:dyDescent="0.25">
      <c r="A39">
        <v>37</v>
      </c>
      <c r="D39" s="4" t="s">
        <v>44</v>
      </c>
      <c r="E39" s="8">
        <v>540</v>
      </c>
      <c r="F39" s="8">
        <f>F34</f>
        <v>555</v>
      </c>
      <c r="G39" s="6">
        <f t="shared" si="10"/>
        <v>15</v>
      </c>
      <c r="H39" s="7">
        <f t="shared" si="11"/>
        <v>2.7777777777777776E-2</v>
      </c>
      <c r="I39" s="8">
        <v>614.01724137931046</v>
      </c>
      <c r="J39" s="9">
        <f t="shared" si="12"/>
        <v>631.07327586206907</v>
      </c>
      <c r="K39" s="3">
        <f t="shared" si="13"/>
        <v>17.056034482758605</v>
      </c>
      <c r="L39" s="7">
        <f t="shared" si="14"/>
        <v>2.7777777777777748E-2</v>
      </c>
      <c r="M39" t="s">
        <v>7</v>
      </c>
      <c r="O39" s="3">
        <f>E39-'315805 - P0824'!F39</f>
        <v>0</v>
      </c>
      <c r="P39" s="30">
        <f>I39-'315805 - P0824'!J39</f>
        <v>0</v>
      </c>
    </row>
    <row r="40" spans="1:16" x14ac:dyDescent="0.25">
      <c r="A40">
        <v>38</v>
      </c>
      <c r="D40" s="4" t="s">
        <v>45</v>
      </c>
      <c r="E40" s="8">
        <v>540</v>
      </c>
      <c r="F40" s="8">
        <f>F34</f>
        <v>555</v>
      </c>
      <c r="G40" s="6">
        <f t="shared" si="10"/>
        <v>15</v>
      </c>
      <c r="H40" s="7">
        <f t="shared" si="11"/>
        <v>2.7777777777777776E-2</v>
      </c>
      <c r="I40" s="8">
        <v>614.01724137931046</v>
      </c>
      <c r="J40" s="9">
        <f t="shared" si="12"/>
        <v>631.07327586206907</v>
      </c>
      <c r="K40" s="3">
        <f t="shared" si="13"/>
        <v>17.056034482758605</v>
      </c>
      <c r="L40" s="7">
        <f t="shared" si="14"/>
        <v>2.7777777777777748E-2</v>
      </c>
      <c r="M40" t="s">
        <v>7</v>
      </c>
      <c r="O40" s="3">
        <f>E40-'315805 - P0824'!F40</f>
        <v>0</v>
      </c>
      <c r="P40" s="30">
        <f>I40-'315805 - P0824'!J40</f>
        <v>0</v>
      </c>
    </row>
    <row r="41" spans="1:16" x14ac:dyDescent="0.25">
      <c r="A41">
        <v>39</v>
      </c>
      <c r="D41" s="4" t="s">
        <v>46</v>
      </c>
      <c r="E41" s="8">
        <v>540</v>
      </c>
      <c r="F41" s="8">
        <f>F35</f>
        <v>555</v>
      </c>
      <c r="G41" s="6">
        <f t="shared" si="10"/>
        <v>15</v>
      </c>
      <c r="H41" s="7">
        <f t="shared" si="11"/>
        <v>2.7777777777777776E-2</v>
      </c>
      <c r="I41" s="8">
        <v>614.01724137931046</v>
      </c>
      <c r="J41" s="9">
        <f t="shared" si="12"/>
        <v>631.07327586206907</v>
      </c>
      <c r="K41" s="3">
        <f t="shared" si="13"/>
        <v>17.056034482758605</v>
      </c>
      <c r="L41" s="7">
        <f t="shared" si="14"/>
        <v>2.7777777777777748E-2</v>
      </c>
      <c r="M41" t="s">
        <v>7</v>
      </c>
      <c r="O41" s="3">
        <f>E41-'315805 - P0824'!F41</f>
        <v>0</v>
      </c>
      <c r="P41" s="30">
        <f>I41-'315805 - P0824'!J41</f>
        <v>0</v>
      </c>
    </row>
    <row r="42" spans="1:16" x14ac:dyDescent="0.25">
      <c r="A42">
        <v>40</v>
      </c>
      <c r="D42" s="4" t="s">
        <v>47</v>
      </c>
      <c r="E42" s="5">
        <v>525</v>
      </c>
      <c r="F42" s="5">
        <v>585</v>
      </c>
      <c r="G42" s="6">
        <f t="shared" si="10"/>
        <v>60</v>
      </c>
      <c r="H42" s="7">
        <f t="shared" si="11"/>
        <v>0.11428571428571428</v>
      </c>
      <c r="I42" s="8">
        <v>598.70192307692332</v>
      </c>
      <c r="J42" s="9">
        <f t="shared" si="12"/>
        <v>667.12500000000023</v>
      </c>
      <c r="K42" s="3">
        <f t="shared" si="13"/>
        <v>68.423076923076906</v>
      </c>
      <c r="L42" s="7">
        <f t="shared" si="14"/>
        <v>0.11428571428571421</v>
      </c>
      <c r="M42" t="s">
        <v>7</v>
      </c>
      <c r="O42" s="3">
        <f>E42-'315805 - P0824'!F42</f>
        <v>0</v>
      </c>
      <c r="P42" s="30">
        <f>I42-'315805 - P0824'!J42</f>
        <v>0</v>
      </c>
    </row>
    <row r="43" spans="1:16" x14ac:dyDescent="0.25">
      <c r="A43">
        <v>41</v>
      </c>
      <c r="D43" s="4" t="s">
        <v>48</v>
      </c>
      <c r="E43" s="8">
        <v>525</v>
      </c>
      <c r="F43" s="8">
        <f>F42</f>
        <v>585</v>
      </c>
      <c r="G43" s="6">
        <f t="shared" si="10"/>
        <v>60</v>
      </c>
      <c r="H43" s="7">
        <f t="shared" si="11"/>
        <v>0.11428571428571428</v>
      </c>
      <c r="I43" s="8">
        <v>598.70192307692332</v>
      </c>
      <c r="J43" s="9">
        <f t="shared" si="12"/>
        <v>667.12500000000023</v>
      </c>
      <c r="K43" s="3">
        <f t="shared" si="13"/>
        <v>68.423076923076906</v>
      </c>
      <c r="L43" s="7">
        <f t="shared" si="14"/>
        <v>0.11428571428571421</v>
      </c>
      <c r="M43" t="s">
        <v>7</v>
      </c>
      <c r="O43" s="3">
        <f>E43-'315805 - P0824'!F43</f>
        <v>0</v>
      </c>
      <c r="P43" s="30">
        <f>I43-'315805 - P0824'!J43</f>
        <v>0</v>
      </c>
    </row>
    <row r="44" spans="1:16" x14ac:dyDescent="0.25">
      <c r="A44">
        <v>42</v>
      </c>
      <c r="D44" s="4" t="s">
        <v>49</v>
      </c>
      <c r="E44" s="8">
        <v>525</v>
      </c>
      <c r="F44" s="8">
        <f>F42</f>
        <v>585</v>
      </c>
      <c r="G44" s="6">
        <f t="shared" si="10"/>
        <v>60</v>
      </c>
      <c r="H44" s="7">
        <f t="shared" si="11"/>
        <v>0.11428571428571428</v>
      </c>
      <c r="I44" s="8">
        <v>598.70192307692332</v>
      </c>
      <c r="J44" s="9">
        <f t="shared" si="12"/>
        <v>667.12500000000023</v>
      </c>
      <c r="K44" s="3">
        <f t="shared" si="13"/>
        <v>68.423076923076906</v>
      </c>
      <c r="L44" s="7">
        <f t="shared" si="14"/>
        <v>0.11428571428571421</v>
      </c>
      <c r="M44" t="s">
        <v>7</v>
      </c>
      <c r="O44" s="3">
        <f>E44-'315805 - P0824'!F44</f>
        <v>0</v>
      </c>
      <c r="P44" s="30">
        <f>I44-'315805 - P0824'!J44</f>
        <v>0</v>
      </c>
    </row>
    <row r="45" spans="1:16" x14ac:dyDescent="0.25">
      <c r="A45">
        <v>43</v>
      </c>
      <c r="D45" s="4" t="s">
        <v>50</v>
      </c>
      <c r="E45" s="8">
        <v>525</v>
      </c>
      <c r="F45" s="8">
        <f>F42</f>
        <v>585</v>
      </c>
      <c r="G45" s="6">
        <f t="shared" si="10"/>
        <v>60</v>
      </c>
      <c r="H45" s="7">
        <f t="shared" si="11"/>
        <v>0.11428571428571428</v>
      </c>
      <c r="I45" s="8">
        <v>598.70192307692332</v>
      </c>
      <c r="J45" s="9">
        <f t="shared" si="12"/>
        <v>667.12500000000023</v>
      </c>
      <c r="K45" s="3">
        <f t="shared" si="13"/>
        <v>68.423076923076906</v>
      </c>
      <c r="L45" s="7">
        <f t="shared" si="14"/>
        <v>0.11428571428571421</v>
      </c>
      <c r="M45" t="s">
        <v>7</v>
      </c>
      <c r="O45" s="3">
        <f>E45-'315805 - P0824'!F45</f>
        <v>0</v>
      </c>
      <c r="P45" s="30">
        <f>I45-'315805 - P0824'!J45</f>
        <v>0</v>
      </c>
    </row>
    <row r="46" spans="1:16" x14ac:dyDescent="0.25">
      <c r="A46">
        <v>44</v>
      </c>
      <c r="D46" s="4" t="s">
        <v>51</v>
      </c>
      <c r="E46" s="8">
        <v>525</v>
      </c>
      <c r="F46" s="8">
        <f>F42</f>
        <v>585</v>
      </c>
      <c r="G46" s="6">
        <f t="shared" si="10"/>
        <v>60</v>
      </c>
      <c r="H46" s="7">
        <f t="shared" si="11"/>
        <v>0.11428571428571428</v>
      </c>
      <c r="I46" s="8">
        <v>598.70192307692332</v>
      </c>
      <c r="J46" s="9">
        <f t="shared" si="12"/>
        <v>667.12500000000023</v>
      </c>
      <c r="K46" s="3">
        <f t="shared" si="13"/>
        <v>68.423076923076906</v>
      </c>
      <c r="L46" s="7">
        <f t="shared" si="14"/>
        <v>0.11428571428571421</v>
      </c>
      <c r="M46" t="s">
        <v>7</v>
      </c>
      <c r="O46" s="3">
        <f>E46-'315805 - P0824'!F46</f>
        <v>0</v>
      </c>
      <c r="P46" s="30">
        <f>I46-'315805 - P0824'!J46</f>
        <v>0</v>
      </c>
    </row>
    <row r="47" spans="1:16" x14ac:dyDescent="0.25">
      <c r="A47">
        <v>45</v>
      </c>
      <c r="D47" s="4" t="s">
        <v>52</v>
      </c>
      <c r="E47" s="8">
        <v>525</v>
      </c>
      <c r="F47" s="8">
        <f>F42</f>
        <v>585</v>
      </c>
      <c r="G47" s="6">
        <f t="shared" si="10"/>
        <v>60</v>
      </c>
      <c r="H47" s="7">
        <f t="shared" si="11"/>
        <v>0.11428571428571428</v>
      </c>
      <c r="I47" s="8">
        <v>598.70192307692332</v>
      </c>
      <c r="J47" s="9">
        <f t="shared" si="12"/>
        <v>667.12500000000023</v>
      </c>
      <c r="K47" s="3">
        <f t="shared" si="13"/>
        <v>68.423076923076906</v>
      </c>
      <c r="L47" s="7">
        <f t="shared" si="14"/>
        <v>0.11428571428571421</v>
      </c>
      <c r="M47" t="s">
        <v>7</v>
      </c>
      <c r="O47" s="3">
        <f>E47-'315805 - P0824'!F47</f>
        <v>0</v>
      </c>
      <c r="P47" s="30">
        <f>I47-'315805 - P0824'!J47</f>
        <v>0</v>
      </c>
    </row>
    <row r="48" spans="1:16" x14ac:dyDescent="0.25">
      <c r="A48">
        <v>46</v>
      </c>
      <c r="D48" s="4" t="s">
        <v>53</v>
      </c>
      <c r="E48" s="8">
        <v>525</v>
      </c>
      <c r="F48" s="8">
        <f>F42</f>
        <v>585</v>
      </c>
      <c r="G48" s="6">
        <f t="shared" si="10"/>
        <v>60</v>
      </c>
      <c r="H48" s="7">
        <f t="shared" si="11"/>
        <v>0.11428571428571428</v>
      </c>
      <c r="I48" s="8">
        <v>598.70192307692332</v>
      </c>
      <c r="J48" s="9">
        <f t="shared" si="12"/>
        <v>667.12500000000023</v>
      </c>
      <c r="K48" s="3">
        <f t="shared" si="13"/>
        <v>68.423076923076906</v>
      </c>
      <c r="L48" s="7">
        <f t="shared" si="14"/>
        <v>0.11428571428571421</v>
      </c>
      <c r="M48" t="s">
        <v>7</v>
      </c>
      <c r="O48" s="3">
        <f>E48-'315805 - P0824'!F48</f>
        <v>0</v>
      </c>
      <c r="P48" s="30">
        <f>I48-'315805 - P0824'!J48</f>
        <v>0</v>
      </c>
    </row>
    <row r="49" spans="1:16" x14ac:dyDescent="0.25">
      <c r="A49">
        <v>47</v>
      </c>
      <c r="D49" s="4" t="s">
        <v>54</v>
      </c>
      <c r="E49" s="8">
        <v>525</v>
      </c>
      <c r="F49" s="8">
        <f>F43</f>
        <v>585</v>
      </c>
      <c r="G49" s="6">
        <f t="shared" si="10"/>
        <v>60</v>
      </c>
      <c r="H49" s="7">
        <f t="shared" si="11"/>
        <v>0.11428571428571428</v>
      </c>
      <c r="I49" s="8">
        <v>598.70192307692332</v>
      </c>
      <c r="J49" s="9">
        <f t="shared" si="12"/>
        <v>667.12500000000023</v>
      </c>
      <c r="K49" s="3">
        <f t="shared" si="13"/>
        <v>68.423076923076906</v>
      </c>
      <c r="L49" s="7">
        <f t="shared" si="14"/>
        <v>0.11428571428571421</v>
      </c>
      <c r="M49" t="s">
        <v>7</v>
      </c>
      <c r="O49" s="3">
        <f>E49-'315805 - P0824'!F49</f>
        <v>0</v>
      </c>
      <c r="P49" s="30">
        <f>I49-'315805 - P0824'!J49</f>
        <v>0</v>
      </c>
    </row>
    <row r="50" spans="1:16" x14ac:dyDescent="0.25">
      <c r="A50">
        <v>48</v>
      </c>
      <c r="D50" s="4" t="s">
        <v>55</v>
      </c>
      <c r="E50" s="5">
        <v>480</v>
      </c>
      <c r="F50" s="5">
        <v>520</v>
      </c>
      <c r="G50" s="6">
        <f t="shared" si="10"/>
        <v>40</v>
      </c>
      <c r="H50" s="7">
        <f t="shared" si="11"/>
        <v>8.3333333333333329E-2</v>
      </c>
      <c r="I50" s="8">
        <v>594.20183486238534</v>
      </c>
      <c r="J50" s="9">
        <f t="shared" si="12"/>
        <v>643.71865443425077</v>
      </c>
      <c r="K50" s="3">
        <f t="shared" si="13"/>
        <v>49.516819571865426</v>
      </c>
      <c r="L50" s="7">
        <f t="shared" si="14"/>
        <v>8.3333333333333301E-2</v>
      </c>
      <c r="M50" t="s">
        <v>7</v>
      </c>
      <c r="O50" s="3">
        <f>E50-'315805 - P0824'!F50</f>
        <v>0</v>
      </c>
      <c r="P50" s="30">
        <f>I50-'315805 - P0824'!J50</f>
        <v>0</v>
      </c>
    </row>
    <row r="51" spans="1:16" x14ac:dyDescent="0.25">
      <c r="A51">
        <v>49</v>
      </c>
      <c r="D51" s="4" t="s">
        <v>56</v>
      </c>
      <c r="E51" s="8">
        <v>480</v>
      </c>
      <c r="F51" s="8">
        <f>F50</f>
        <v>520</v>
      </c>
      <c r="G51" s="6">
        <f t="shared" si="10"/>
        <v>40</v>
      </c>
      <c r="H51" s="7">
        <f t="shared" si="11"/>
        <v>8.3333333333333329E-2</v>
      </c>
      <c r="I51" s="8">
        <v>594.20183486238534</v>
      </c>
      <c r="J51" s="9">
        <f t="shared" si="12"/>
        <v>643.71865443425077</v>
      </c>
      <c r="K51" s="3">
        <f t="shared" si="13"/>
        <v>49.516819571865426</v>
      </c>
      <c r="L51" s="7">
        <f t="shared" si="14"/>
        <v>8.3333333333333301E-2</v>
      </c>
      <c r="M51" t="s">
        <v>7</v>
      </c>
      <c r="O51" s="3">
        <f>E51-'315805 - P0824'!F51</f>
        <v>0</v>
      </c>
      <c r="P51" s="30">
        <f>I51-'315805 - P0824'!J51</f>
        <v>0</v>
      </c>
    </row>
    <row r="52" spans="1:16" x14ac:dyDescent="0.25">
      <c r="A52">
        <v>50</v>
      </c>
      <c r="D52" s="4" t="s">
        <v>57</v>
      </c>
      <c r="E52" s="8">
        <v>480</v>
      </c>
      <c r="F52" s="8">
        <f>F50</f>
        <v>520</v>
      </c>
      <c r="G52" s="6">
        <f t="shared" si="10"/>
        <v>40</v>
      </c>
      <c r="H52" s="7">
        <f t="shared" si="11"/>
        <v>8.3333333333333329E-2</v>
      </c>
      <c r="I52" s="8">
        <v>594.20183486238534</v>
      </c>
      <c r="J52" s="9">
        <f t="shared" si="12"/>
        <v>643.71865443425077</v>
      </c>
      <c r="K52" s="3">
        <f t="shared" si="13"/>
        <v>49.516819571865426</v>
      </c>
      <c r="L52" s="7">
        <f t="shared" si="14"/>
        <v>8.3333333333333301E-2</v>
      </c>
      <c r="M52" t="s">
        <v>7</v>
      </c>
      <c r="O52" s="3">
        <f>E52-'315805 - P0824'!F52</f>
        <v>0</v>
      </c>
      <c r="P52" s="30">
        <f>I52-'315805 - P0824'!J52</f>
        <v>0</v>
      </c>
    </row>
    <row r="53" spans="1:16" x14ac:dyDescent="0.25">
      <c r="A53">
        <v>51</v>
      </c>
      <c r="D53" s="4" t="s">
        <v>58</v>
      </c>
      <c r="E53" s="8">
        <v>480</v>
      </c>
      <c r="F53" s="8">
        <f>F50</f>
        <v>520</v>
      </c>
      <c r="G53" s="6">
        <f t="shared" si="10"/>
        <v>40</v>
      </c>
      <c r="H53" s="7">
        <f t="shared" si="11"/>
        <v>8.3333333333333329E-2</v>
      </c>
      <c r="I53" s="8">
        <v>594.20183486238534</v>
      </c>
      <c r="J53" s="9">
        <f t="shared" si="12"/>
        <v>643.71865443425077</v>
      </c>
      <c r="K53" s="3">
        <f t="shared" si="13"/>
        <v>49.516819571865426</v>
      </c>
      <c r="L53" s="7">
        <f t="shared" si="14"/>
        <v>8.3333333333333301E-2</v>
      </c>
      <c r="M53" t="s">
        <v>7</v>
      </c>
      <c r="O53" s="3">
        <f>E53-'315805 - P0824'!F53</f>
        <v>0</v>
      </c>
      <c r="P53" s="30">
        <f>I53-'315805 - P0824'!J53</f>
        <v>0</v>
      </c>
    </row>
    <row r="54" spans="1:16" x14ac:dyDescent="0.25">
      <c r="A54">
        <v>52</v>
      </c>
      <c r="D54" s="4" t="s">
        <v>59</v>
      </c>
      <c r="E54" s="5">
        <v>513</v>
      </c>
      <c r="F54" s="5">
        <v>558</v>
      </c>
      <c r="G54" s="6">
        <f t="shared" si="10"/>
        <v>45</v>
      </c>
      <c r="H54" s="7">
        <f t="shared" si="11"/>
        <v>8.771929824561403E-2</v>
      </c>
      <c r="I54" s="8">
        <v>818.71557562076748</v>
      </c>
      <c r="J54" s="9">
        <f t="shared" si="12"/>
        <v>890.53273137697511</v>
      </c>
      <c r="K54" s="3">
        <f t="shared" si="13"/>
        <v>71.817155756207626</v>
      </c>
      <c r="L54" s="7">
        <f t="shared" si="14"/>
        <v>8.7719298245613975E-2</v>
      </c>
      <c r="M54" t="s">
        <v>7</v>
      </c>
      <c r="O54" s="3">
        <f>E54-'315805 - P0824'!F54</f>
        <v>0</v>
      </c>
      <c r="P54" s="30">
        <f>I54-'315805 - P0824'!J54</f>
        <v>0</v>
      </c>
    </row>
    <row r="55" spans="1:16" x14ac:dyDescent="0.25">
      <c r="A55">
        <v>53</v>
      </c>
      <c r="D55" s="4" t="s">
        <v>60</v>
      </c>
      <c r="E55" s="8">
        <v>513</v>
      </c>
      <c r="F55" s="8">
        <f>F54</f>
        <v>558</v>
      </c>
      <c r="G55" s="6">
        <f t="shared" si="10"/>
        <v>45</v>
      </c>
      <c r="H55" s="7">
        <f t="shared" si="11"/>
        <v>8.771929824561403E-2</v>
      </c>
      <c r="I55" s="8">
        <v>818.71557562076748</v>
      </c>
      <c r="J55" s="9">
        <f t="shared" si="12"/>
        <v>890.53273137697511</v>
      </c>
      <c r="K55" s="3">
        <f t="shared" si="13"/>
        <v>71.817155756207626</v>
      </c>
      <c r="L55" s="7">
        <f t="shared" si="14"/>
        <v>8.7719298245613975E-2</v>
      </c>
      <c r="M55" t="s">
        <v>7</v>
      </c>
      <c r="O55" s="3">
        <f>E55-'315805 - P0824'!F55</f>
        <v>0</v>
      </c>
      <c r="P55" s="30">
        <f>I55-'315805 - P0824'!J55</f>
        <v>0</v>
      </c>
    </row>
    <row r="56" spans="1:16" x14ac:dyDescent="0.25">
      <c r="A56">
        <v>54</v>
      </c>
      <c r="D56" s="4" t="s">
        <v>61</v>
      </c>
      <c r="E56" s="8">
        <v>513</v>
      </c>
      <c r="F56" s="8">
        <f>F54</f>
        <v>558</v>
      </c>
      <c r="G56" s="6">
        <f t="shared" si="10"/>
        <v>45</v>
      </c>
      <c r="H56" s="7">
        <f t="shared" si="11"/>
        <v>8.771929824561403E-2</v>
      </c>
      <c r="I56" s="8">
        <v>818.71557562076748</v>
      </c>
      <c r="J56" s="9">
        <f>(I56*H56)+I56</f>
        <v>890.53273137697511</v>
      </c>
      <c r="K56" s="3">
        <f t="shared" si="13"/>
        <v>71.817155756207626</v>
      </c>
      <c r="L56" s="7">
        <f t="shared" si="14"/>
        <v>8.7719298245613975E-2</v>
      </c>
      <c r="M56" t="s">
        <v>7</v>
      </c>
      <c r="O56" s="3">
        <f>E56-'315805 - P0824'!F56</f>
        <v>0</v>
      </c>
      <c r="P56" s="30">
        <f>I56-'315805 - P0824'!J56</f>
        <v>0</v>
      </c>
    </row>
    <row r="57" spans="1:16" x14ac:dyDescent="0.25">
      <c r="A57">
        <v>55</v>
      </c>
      <c r="D57" s="4" t="s">
        <v>62</v>
      </c>
      <c r="E57" s="8">
        <v>513</v>
      </c>
      <c r="F57" s="8">
        <f>F54</f>
        <v>558</v>
      </c>
      <c r="G57" s="6">
        <f t="shared" si="10"/>
        <v>45</v>
      </c>
      <c r="H57" s="7">
        <f t="shared" si="11"/>
        <v>8.771929824561403E-2</v>
      </c>
      <c r="I57" s="8">
        <v>818.71557562076748</v>
      </c>
      <c r="J57" s="9">
        <f t="shared" si="12"/>
        <v>890.53273137697511</v>
      </c>
      <c r="K57" s="3">
        <f t="shared" si="13"/>
        <v>71.817155756207626</v>
      </c>
      <c r="L57" s="7">
        <f t="shared" si="14"/>
        <v>8.7719298245613975E-2</v>
      </c>
      <c r="M57" t="s">
        <v>7</v>
      </c>
      <c r="O57" s="3">
        <f>E57-'315805 - P0824'!F57</f>
        <v>0</v>
      </c>
      <c r="P57" s="30">
        <f>I57-'315805 - P0824'!J57</f>
        <v>0</v>
      </c>
    </row>
    <row r="58" spans="1:16" x14ac:dyDescent="0.25">
      <c r="A58">
        <v>56</v>
      </c>
      <c r="D58" s="4" t="s">
        <v>63</v>
      </c>
      <c r="E58" s="8">
        <v>513</v>
      </c>
      <c r="F58" s="8">
        <f>F54</f>
        <v>558</v>
      </c>
      <c r="G58" s="6">
        <f t="shared" si="10"/>
        <v>45</v>
      </c>
      <c r="H58" s="7">
        <f t="shared" si="11"/>
        <v>8.771929824561403E-2</v>
      </c>
      <c r="I58" s="8">
        <v>818.71557562076748</v>
      </c>
      <c r="J58" s="9">
        <f t="shared" si="12"/>
        <v>890.53273137697511</v>
      </c>
      <c r="K58" s="3">
        <f t="shared" si="13"/>
        <v>71.817155756207626</v>
      </c>
      <c r="L58" s="7">
        <f t="shared" si="14"/>
        <v>8.7719298245613975E-2</v>
      </c>
      <c r="M58" t="s">
        <v>7</v>
      </c>
      <c r="O58" s="3">
        <f>E58-'315805 - P0824'!F58</f>
        <v>0</v>
      </c>
      <c r="P58" s="30">
        <f>I58-'315805 - P0824'!J58</f>
        <v>0</v>
      </c>
    </row>
    <row r="59" spans="1:16" x14ac:dyDescent="0.25">
      <c r="A59">
        <v>57</v>
      </c>
      <c r="D59" s="4" t="s">
        <v>64</v>
      </c>
      <c r="E59" s="5">
        <v>513</v>
      </c>
      <c r="F59" s="5">
        <v>628</v>
      </c>
      <c r="G59" s="6">
        <f t="shared" si="10"/>
        <v>115</v>
      </c>
      <c r="H59" s="7">
        <f t="shared" si="11"/>
        <v>0.22417153996101363</v>
      </c>
      <c r="I59" s="8">
        <v>737.07992565055758</v>
      </c>
      <c r="J59" s="9">
        <f t="shared" si="12"/>
        <v>902.31226765799249</v>
      </c>
      <c r="K59" s="3">
        <f t="shared" si="13"/>
        <v>165.23234200743491</v>
      </c>
      <c r="L59" s="7">
        <f t="shared" si="14"/>
        <v>0.22417153996101361</v>
      </c>
      <c r="M59" t="s">
        <v>7</v>
      </c>
      <c r="O59" s="3">
        <f>E59-'315805 - P0824'!F59</f>
        <v>0</v>
      </c>
      <c r="P59" s="30">
        <f>I59-'315805 - P0824'!J59</f>
        <v>0</v>
      </c>
    </row>
    <row r="60" spans="1:16" x14ac:dyDescent="0.25">
      <c r="A60">
        <v>58</v>
      </c>
      <c r="D60" s="4" t="s">
        <v>65</v>
      </c>
      <c r="E60" s="8">
        <v>513</v>
      </c>
      <c r="F60" s="8">
        <f>F59</f>
        <v>628</v>
      </c>
      <c r="G60" s="6">
        <f t="shared" si="10"/>
        <v>115</v>
      </c>
      <c r="H60" s="7">
        <f t="shared" si="11"/>
        <v>0.22417153996101363</v>
      </c>
      <c r="I60" s="8">
        <v>737.07992565055758</v>
      </c>
      <c r="J60" s="9">
        <f t="shared" si="12"/>
        <v>902.31226765799249</v>
      </c>
      <c r="K60" s="3">
        <f t="shared" si="13"/>
        <v>165.23234200743491</v>
      </c>
      <c r="L60" s="7">
        <f t="shared" si="14"/>
        <v>0.22417153996101361</v>
      </c>
      <c r="M60" t="s">
        <v>7</v>
      </c>
      <c r="O60" s="3">
        <f>E60-'315805 - P0824'!F60</f>
        <v>0</v>
      </c>
      <c r="P60" s="30">
        <f>I60-'315805 - P0824'!J60</f>
        <v>0</v>
      </c>
    </row>
    <row r="61" spans="1:16" x14ac:dyDescent="0.25">
      <c r="A61">
        <v>59</v>
      </c>
      <c r="D61" s="4" t="s">
        <v>66</v>
      </c>
      <c r="E61" s="8">
        <v>513</v>
      </c>
      <c r="F61" s="8">
        <f>F59</f>
        <v>628</v>
      </c>
      <c r="G61" s="6">
        <f t="shared" si="10"/>
        <v>115</v>
      </c>
      <c r="H61" s="7">
        <f t="shared" si="11"/>
        <v>0.22417153996101363</v>
      </c>
      <c r="I61" s="8">
        <v>737.07992565055758</v>
      </c>
      <c r="J61" s="9">
        <f t="shared" si="12"/>
        <v>902.31226765799249</v>
      </c>
      <c r="K61" s="3">
        <f t="shared" si="13"/>
        <v>165.23234200743491</v>
      </c>
      <c r="L61" s="7">
        <f t="shared" si="14"/>
        <v>0.22417153996101361</v>
      </c>
      <c r="M61" t="s">
        <v>7</v>
      </c>
      <c r="O61" s="3">
        <f>E61-'315805 - P0824'!F61</f>
        <v>0</v>
      </c>
      <c r="P61" s="30">
        <f>I61-'315805 - P0824'!J61</f>
        <v>0</v>
      </c>
    </row>
    <row r="62" spans="1:16" x14ac:dyDescent="0.25">
      <c r="A62">
        <v>60</v>
      </c>
      <c r="D62" s="4" t="s">
        <v>67</v>
      </c>
      <c r="E62" s="8">
        <v>513</v>
      </c>
      <c r="F62" s="8">
        <f>F59</f>
        <v>628</v>
      </c>
      <c r="G62" s="6">
        <f t="shared" si="10"/>
        <v>115</v>
      </c>
      <c r="H62" s="7">
        <f t="shared" si="11"/>
        <v>0.22417153996101363</v>
      </c>
      <c r="I62" s="8">
        <v>737.07992565055758</v>
      </c>
      <c r="J62" s="9">
        <f t="shared" si="12"/>
        <v>902.31226765799249</v>
      </c>
      <c r="K62" s="3">
        <f t="shared" si="13"/>
        <v>165.23234200743491</v>
      </c>
      <c r="L62" s="7">
        <f t="shared" si="14"/>
        <v>0.22417153996101361</v>
      </c>
      <c r="M62" t="s">
        <v>7</v>
      </c>
      <c r="O62" s="3">
        <f>E62-'315805 - P0824'!F62</f>
        <v>0</v>
      </c>
      <c r="P62" s="30">
        <f>I62-'315805 - P0824'!J62</f>
        <v>0</v>
      </c>
    </row>
    <row r="63" spans="1:16" x14ac:dyDescent="0.25">
      <c r="A63">
        <v>61</v>
      </c>
      <c r="D63" s="2"/>
      <c r="G63" s="6"/>
      <c r="H63" s="10">
        <f>AVERAGE(H34:H62)</f>
        <v>9.6728411065979153E-2</v>
      </c>
      <c r="J63" s="3"/>
      <c r="K63" s="3"/>
      <c r="L63" s="10">
        <f>AVERAGE(L34:L62)</f>
        <v>9.672841106597907E-2</v>
      </c>
    </row>
    <row r="64" spans="1:16" x14ac:dyDescent="0.25">
      <c r="A64">
        <v>62</v>
      </c>
      <c r="D64" s="34" t="s">
        <v>68</v>
      </c>
      <c r="G64" s="6"/>
      <c r="H64" s="7"/>
      <c r="J64" s="3"/>
      <c r="K64" s="3"/>
      <c r="L64" s="7"/>
    </row>
    <row r="65" spans="1:16" x14ac:dyDescent="0.25">
      <c r="A65">
        <v>63</v>
      </c>
      <c r="D65" s="4" t="s">
        <v>69</v>
      </c>
      <c r="E65" s="5">
        <v>520</v>
      </c>
      <c r="F65" s="5">
        <v>550</v>
      </c>
      <c r="G65" s="6">
        <f t="shared" ref="G65:G71" si="15">+F65-E65</f>
        <v>30</v>
      </c>
      <c r="H65" s="7">
        <f t="shared" ref="H65:H71" si="16">(F65-E65)/ABS(E65)</f>
        <v>5.7692307692307696E-2</v>
      </c>
      <c r="I65" s="8">
        <v>634.22950819672144</v>
      </c>
      <c r="J65" s="9">
        <f t="shared" ref="J65:J90" si="17">(I65*H65)+I65</f>
        <v>670.81967213114763</v>
      </c>
      <c r="K65" s="3">
        <f t="shared" ref="K65:K71" si="18">J65-I65</f>
        <v>36.590163934426187</v>
      </c>
      <c r="L65" s="7">
        <f t="shared" ref="L65:L71" si="19">(J65-I65)/ABS(I65)</f>
        <v>5.7692307692307612E-2</v>
      </c>
      <c r="M65" t="s">
        <v>7</v>
      </c>
      <c r="O65" s="3">
        <f>E65-'315805 - P0824'!F65</f>
        <v>0</v>
      </c>
      <c r="P65" s="30">
        <f>I65-'315805 - P0824'!J65</f>
        <v>0</v>
      </c>
    </row>
    <row r="66" spans="1:16" x14ac:dyDescent="0.25">
      <c r="A66">
        <v>64</v>
      </c>
      <c r="D66" s="4" t="s">
        <v>70</v>
      </c>
      <c r="E66" s="8">
        <v>520</v>
      </c>
      <c r="F66" s="8">
        <f>F65</f>
        <v>550</v>
      </c>
      <c r="G66" s="6">
        <f t="shared" si="15"/>
        <v>30</v>
      </c>
      <c r="H66" s="7">
        <f t="shared" si="16"/>
        <v>5.7692307692307696E-2</v>
      </c>
      <c r="I66" s="8">
        <v>634.22950819672144</v>
      </c>
      <c r="J66" s="9">
        <f t="shared" si="17"/>
        <v>670.81967213114763</v>
      </c>
      <c r="K66" s="3">
        <f t="shared" si="18"/>
        <v>36.590163934426187</v>
      </c>
      <c r="L66" s="7">
        <f t="shared" si="19"/>
        <v>5.7692307692307612E-2</v>
      </c>
      <c r="M66" t="s">
        <v>7</v>
      </c>
      <c r="O66" s="3">
        <f>E66-'315805 - P0824'!F66</f>
        <v>0</v>
      </c>
      <c r="P66" s="30">
        <f>I66-'315805 - P0824'!J66</f>
        <v>0</v>
      </c>
    </row>
    <row r="67" spans="1:16" x14ac:dyDescent="0.25">
      <c r="A67">
        <v>65</v>
      </c>
      <c r="D67" s="4" t="s">
        <v>71</v>
      </c>
      <c r="E67" s="8">
        <v>520</v>
      </c>
      <c r="F67" s="8">
        <f>F65</f>
        <v>550</v>
      </c>
      <c r="G67" s="6">
        <f t="shared" si="15"/>
        <v>30</v>
      </c>
      <c r="H67" s="7">
        <f t="shared" si="16"/>
        <v>5.7692307692307696E-2</v>
      </c>
      <c r="I67" s="8">
        <v>634.22950819672144</v>
      </c>
      <c r="J67" s="9">
        <f t="shared" si="17"/>
        <v>670.81967213114763</v>
      </c>
      <c r="K67" s="3">
        <f t="shared" si="18"/>
        <v>36.590163934426187</v>
      </c>
      <c r="L67" s="7">
        <f t="shared" si="19"/>
        <v>5.7692307692307612E-2</v>
      </c>
      <c r="M67" t="s">
        <v>7</v>
      </c>
      <c r="O67" s="3">
        <f>E67-'315805 - P0824'!F67</f>
        <v>0</v>
      </c>
      <c r="P67" s="30">
        <f>I67-'315805 - P0824'!J67</f>
        <v>0</v>
      </c>
    </row>
    <row r="68" spans="1:16" x14ac:dyDescent="0.25">
      <c r="A68">
        <v>66</v>
      </c>
      <c r="D68" s="4" t="s">
        <v>72</v>
      </c>
      <c r="E68" s="8">
        <v>520</v>
      </c>
      <c r="F68" s="8">
        <f>F65</f>
        <v>550</v>
      </c>
      <c r="G68" s="6">
        <f t="shared" si="15"/>
        <v>30</v>
      </c>
      <c r="H68" s="7">
        <f t="shared" si="16"/>
        <v>5.7692307692307696E-2</v>
      </c>
      <c r="I68" s="8">
        <v>634.22950819672144</v>
      </c>
      <c r="J68" s="9">
        <f t="shared" si="17"/>
        <v>670.81967213114763</v>
      </c>
      <c r="K68" s="3">
        <f t="shared" si="18"/>
        <v>36.590163934426187</v>
      </c>
      <c r="L68" s="7">
        <f t="shared" si="19"/>
        <v>5.7692307692307612E-2</v>
      </c>
      <c r="M68" t="s">
        <v>7</v>
      </c>
      <c r="O68" s="3">
        <f>E68-'315805 - P0824'!F68</f>
        <v>0</v>
      </c>
      <c r="P68" s="30">
        <f>I68-'315805 - P0824'!J68</f>
        <v>0</v>
      </c>
    </row>
    <row r="69" spans="1:16" x14ac:dyDescent="0.25">
      <c r="A69">
        <v>67</v>
      </c>
      <c r="D69" s="4" t="s">
        <v>73</v>
      </c>
      <c r="E69" s="8">
        <v>520</v>
      </c>
      <c r="F69" s="8">
        <f>F65</f>
        <v>550</v>
      </c>
      <c r="G69" s="6">
        <f t="shared" si="15"/>
        <v>30</v>
      </c>
      <c r="H69" s="7">
        <f t="shared" si="16"/>
        <v>5.7692307692307696E-2</v>
      </c>
      <c r="I69" s="8">
        <v>634.22950819672144</v>
      </c>
      <c r="J69" s="9">
        <f t="shared" si="17"/>
        <v>670.81967213114763</v>
      </c>
      <c r="K69" s="3">
        <f t="shared" si="18"/>
        <v>36.590163934426187</v>
      </c>
      <c r="L69" s="7">
        <f t="shared" si="19"/>
        <v>5.7692307692307612E-2</v>
      </c>
      <c r="M69" t="s">
        <v>7</v>
      </c>
      <c r="O69" s="3">
        <f>E69-'315805 - P0824'!F69</f>
        <v>0</v>
      </c>
      <c r="P69" s="30">
        <f>I69-'315805 - P0824'!J69</f>
        <v>0</v>
      </c>
    </row>
    <row r="70" spans="1:16" x14ac:dyDescent="0.25">
      <c r="A70">
        <v>68</v>
      </c>
      <c r="D70" s="4" t="s">
        <v>74</v>
      </c>
      <c r="E70" s="8">
        <v>520</v>
      </c>
      <c r="F70" s="8">
        <f>F65</f>
        <v>550</v>
      </c>
      <c r="G70" s="6">
        <f t="shared" si="15"/>
        <v>30</v>
      </c>
      <c r="H70" s="7">
        <f t="shared" si="16"/>
        <v>5.7692307692307696E-2</v>
      </c>
      <c r="I70" s="8">
        <v>634.22950819672144</v>
      </c>
      <c r="J70" s="9">
        <f t="shared" si="17"/>
        <v>670.81967213114763</v>
      </c>
      <c r="K70" s="3">
        <f t="shared" si="18"/>
        <v>36.590163934426187</v>
      </c>
      <c r="L70" s="7">
        <f t="shared" si="19"/>
        <v>5.7692307692307612E-2</v>
      </c>
      <c r="M70" t="s">
        <v>7</v>
      </c>
      <c r="O70" s="3">
        <f>E70-'315805 - P0824'!F70</f>
        <v>0</v>
      </c>
      <c r="P70" s="30">
        <f>I70-'315805 - P0824'!J70</f>
        <v>0</v>
      </c>
    </row>
    <row r="71" spans="1:16" x14ac:dyDescent="0.25">
      <c r="A71">
        <v>69</v>
      </c>
      <c r="D71" s="4" t="s">
        <v>75</v>
      </c>
      <c r="E71" s="8">
        <v>520</v>
      </c>
      <c r="F71" s="8">
        <f>F67</f>
        <v>550</v>
      </c>
      <c r="G71" s="6">
        <f t="shared" si="15"/>
        <v>30</v>
      </c>
      <c r="H71" s="7">
        <f t="shared" si="16"/>
        <v>5.7692307692307696E-2</v>
      </c>
      <c r="I71" s="8">
        <v>634.22950819672144</v>
      </c>
      <c r="J71" s="9">
        <f t="shared" si="17"/>
        <v>670.81967213114763</v>
      </c>
      <c r="K71" s="3">
        <f t="shared" si="18"/>
        <v>36.590163934426187</v>
      </c>
      <c r="L71" s="7">
        <f t="shared" si="19"/>
        <v>5.7692307692307612E-2</v>
      </c>
      <c r="M71" t="s">
        <v>7</v>
      </c>
      <c r="O71" s="3">
        <f>E71-'315805 - P0824'!F71</f>
        <v>0</v>
      </c>
      <c r="P71" s="30">
        <f>I71-'315805 - P0824'!J71</f>
        <v>0</v>
      </c>
    </row>
    <row r="72" spans="1:16" x14ac:dyDescent="0.25">
      <c r="A72">
        <v>70</v>
      </c>
      <c r="D72" s="4" t="s">
        <v>76</v>
      </c>
      <c r="E72" s="5">
        <v>663</v>
      </c>
      <c r="F72" s="5">
        <v>550</v>
      </c>
      <c r="G72" s="6">
        <f>+F72-E72</f>
        <v>-113</v>
      </c>
      <c r="H72" s="7">
        <f>(F72-E72)/ABS(E72)</f>
        <v>-0.17043740573152338</v>
      </c>
      <c r="I72" s="8">
        <v>929.94594594594582</v>
      </c>
      <c r="J72" s="9">
        <f t="shared" si="17"/>
        <v>771.44837144837129</v>
      </c>
      <c r="K72" s="3">
        <f>J72-I72</f>
        <v>-158.49757449757453</v>
      </c>
      <c r="L72" s="7">
        <f>(J72-I72)/ABS(I72)</f>
        <v>-0.17043740573152344</v>
      </c>
      <c r="M72" t="s">
        <v>7</v>
      </c>
      <c r="O72" s="3">
        <f>E72-'315805 - P0824'!F72</f>
        <v>0</v>
      </c>
      <c r="P72" s="30">
        <f>I72-'315805 - P0824'!J72</f>
        <v>0</v>
      </c>
    </row>
    <row r="73" spans="1:16" x14ac:dyDescent="0.25">
      <c r="A73">
        <v>71</v>
      </c>
      <c r="D73" s="4" t="s">
        <v>77</v>
      </c>
      <c r="E73" s="8">
        <v>663</v>
      </c>
      <c r="F73" s="8">
        <f>F72</f>
        <v>550</v>
      </c>
      <c r="G73" s="6">
        <f>+F73-E73</f>
        <v>-113</v>
      </c>
      <c r="H73" s="7">
        <f>(F73-E73)/ABS(E73)</f>
        <v>-0.17043740573152338</v>
      </c>
      <c r="I73" s="8">
        <v>929.94594594594582</v>
      </c>
      <c r="J73" s="9">
        <f t="shared" si="17"/>
        <v>771.44837144837129</v>
      </c>
      <c r="K73" s="3">
        <f>J73-I73</f>
        <v>-158.49757449757453</v>
      </c>
      <c r="L73" s="7">
        <f>(J73-I73)/ABS(I73)</f>
        <v>-0.17043740573152344</v>
      </c>
      <c r="M73" t="s">
        <v>7</v>
      </c>
      <c r="O73" s="3">
        <f>E73-'315805 - P0824'!F73</f>
        <v>0</v>
      </c>
      <c r="P73" s="30">
        <f>I73-'315805 - P0824'!J73</f>
        <v>0</v>
      </c>
    </row>
    <row r="74" spans="1:16" x14ac:dyDescent="0.25">
      <c r="A74">
        <v>72</v>
      </c>
      <c r="D74" s="4" t="s">
        <v>78</v>
      </c>
      <c r="E74" s="8">
        <v>663</v>
      </c>
      <c r="F74" s="8">
        <f>F72</f>
        <v>550</v>
      </c>
      <c r="G74" s="6">
        <f>+F74-E74</f>
        <v>-113</v>
      </c>
      <c r="H74" s="7">
        <f>(F74-E74)/ABS(E74)</f>
        <v>-0.17043740573152338</v>
      </c>
      <c r="I74" s="8">
        <v>929.94594594594582</v>
      </c>
      <c r="J74" s="9">
        <f t="shared" si="17"/>
        <v>771.44837144837129</v>
      </c>
      <c r="K74" s="3">
        <f>J74-I74</f>
        <v>-158.49757449757453</v>
      </c>
      <c r="L74" s="7">
        <f>(J74-I74)/ABS(I74)</f>
        <v>-0.17043740573152344</v>
      </c>
      <c r="M74" t="s">
        <v>7</v>
      </c>
      <c r="O74" s="3">
        <f>E74-'315805 - P0824'!F74</f>
        <v>0</v>
      </c>
      <c r="P74" s="30">
        <f>I74-'315805 - P0824'!J74</f>
        <v>0</v>
      </c>
    </row>
    <row r="75" spans="1:16" x14ac:dyDescent="0.25">
      <c r="A75">
        <v>73</v>
      </c>
      <c r="D75" s="4" t="s">
        <v>79</v>
      </c>
      <c r="E75" s="8">
        <v>663</v>
      </c>
      <c r="F75" s="8">
        <f>F72</f>
        <v>550</v>
      </c>
      <c r="G75" s="6">
        <f>+F75-E75</f>
        <v>-113</v>
      </c>
      <c r="H75" s="7">
        <f>(F75-E75)/ABS(E75)</f>
        <v>-0.17043740573152338</v>
      </c>
      <c r="I75" s="8">
        <v>929.94594594594582</v>
      </c>
      <c r="J75" s="9">
        <f t="shared" si="17"/>
        <v>771.44837144837129</v>
      </c>
      <c r="K75" s="3">
        <f>J75-I75</f>
        <v>-158.49757449757453</v>
      </c>
      <c r="L75" s="7">
        <f>(J75-I75)/ABS(I75)</f>
        <v>-0.17043740573152344</v>
      </c>
      <c r="M75" t="s">
        <v>7</v>
      </c>
      <c r="O75" s="3">
        <f>E75-'315805 - P0824'!F75</f>
        <v>0</v>
      </c>
      <c r="P75" s="30">
        <f>I75-'315805 - P0824'!J75</f>
        <v>0</v>
      </c>
    </row>
    <row r="76" spans="1:16" x14ac:dyDescent="0.25">
      <c r="A76">
        <v>74</v>
      </c>
      <c r="D76" s="4" t="s">
        <v>80</v>
      </c>
      <c r="E76" s="8">
        <v>663</v>
      </c>
      <c r="F76" s="8">
        <f>F72</f>
        <v>550</v>
      </c>
      <c r="G76" s="6">
        <f>+F76-E76</f>
        <v>-113</v>
      </c>
      <c r="H76" s="7">
        <f>(F76-E76)/ABS(E76)</f>
        <v>-0.17043740573152338</v>
      </c>
      <c r="I76" s="8">
        <v>929.94594594594582</v>
      </c>
      <c r="J76" s="9">
        <f t="shared" si="17"/>
        <v>771.44837144837129</v>
      </c>
      <c r="K76" s="3">
        <f>J76-I76</f>
        <v>-158.49757449757453</v>
      </c>
      <c r="L76" s="7">
        <f>(J76-I76)/ABS(I76)</f>
        <v>-0.17043740573152344</v>
      </c>
      <c r="M76" t="s">
        <v>7</v>
      </c>
      <c r="O76" s="3">
        <f>E76-'315805 - P0824'!F76</f>
        <v>0</v>
      </c>
      <c r="P76" s="30">
        <f>I76-'315805 - P0824'!J76</f>
        <v>0</v>
      </c>
    </row>
    <row r="77" spans="1:16" x14ac:dyDescent="0.25">
      <c r="A77">
        <v>75</v>
      </c>
      <c r="D77" s="4" t="s">
        <v>81</v>
      </c>
      <c r="E77" s="8">
        <v>663</v>
      </c>
      <c r="F77" s="8">
        <f t="shared" ref="F77" si="20">F74</f>
        <v>550</v>
      </c>
      <c r="G77" s="6">
        <f t="shared" ref="G77" si="21">+F77-E77</f>
        <v>-113</v>
      </c>
      <c r="H77" s="7">
        <f t="shared" ref="H77" si="22">(F77-E77)/ABS(E77)</f>
        <v>-0.17043740573152338</v>
      </c>
      <c r="I77" s="8">
        <v>929.94594594594582</v>
      </c>
      <c r="J77" s="9">
        <f t="shared" si="17"/>
        <v>771.44837144837129</v>
      </c>
      <c r="K77" s="3">
        <f t="shared" ref="K77" si="23">J77-I77</f>
        <v>-158.49757449757453</v>
      </c>
      <c r="L77" s="7">
        <f t="shared" ref="L77" si="24">(J77-I77)/ABS(I77)</f>
        <v>-0.17043740573152344</v>
      </c>
      <c r="M77" t="s">
        <v>7</v>
      </c>
      <c r="O77" s="3">
        <f>E77-'315805 - P0824'!F77</f>
        <v>0</v>
      </c>
      <c r="P77" s="30">
        <f>I77-'315805 - P0824'!J77</f>
        <v>0</v>
      </c>
    </row>
    <row r="78" spans="1:16" x14ac:dyDescent="0.25">
      <c r="A78">
        <v>76</v>
      </c>
      <c r="D78" s="4" t="s">
        <v>82</v>
      </c>
      <c r="E78" s="5">
        <v>720</v>
      </c>
      <c r="F78" s="5">
        <v>738</v>
      </c>
      <c r="G78" s="6">
        <f>+F78-E78</f>
        <v>18</v>
      </c>
      <c r="H78" s="7">
        <f>(F78-E78)/ABS(E78)</f>
        <v>2.5000000000000001E-2</v>
      </c>
      <c r="I78" s="8">
        <v>911.49738219895301</v>
      </c>
      <c r="J78" s="9">
        <f t="shared" si="17"/>
        <v>934.28481675392686</v>
      </c>
      <c r="K78" s="3">
        <f>J78-I78</f>
        <v>22.787434554973856</v>
      </c>
      <c r="L78" s="7">
        <f>(J78-I78)/ABS(I78)</f>
        <v>2.5000000000000033E-2</v>
      </c>
      <c r="M78" t="s">
        <v>7</v>
      </c>
      <c r="O78" s="3">
        <f>E78-'315805 - P0824'!F78</f>
        <v>0</v>
      </c>
      <c r="P78" s="30">
        <f>I78-'315805 - P0824'!J78</f>
        <v>0</v>
      </c>
    </row>
    <row r="79" spans="1:16" x14ac:dyDescent="0.25">
      <c r="A79">
        <v>77</v>
      </c>
      <c r="D79" s="4" t="s">
        <v>83</v>
      </c>
      <c r="E79" s="8">
        <v>720</v>
      </c>
      <c r="F79" s="8">
        <f>F78</f>
        <v>738</v>
      </c>
      <c r="G79" s="6">
        <f>+F79-E79</f>
        <v>18</v>
      </c>
      <c r="H79" s="7">
        <f>(F79-E79)/ABS(E79)</f>
        <v>2.5000000000000001E-2</v>
      </c>
      <c r="I79" s="8">
        <v>911.49738219895301</v>
      </c>
      <c r="J79" s="9">
        <f t="shared" si="17"/>
        <v>934.28481675392686</v>
      </c>
      <c r="K79" s="3">
        <f>J79-I79</f>
        <v>22.787434554973856</v>
      </c>
      <c r="L79" s="7">
        <f>(J79-I79)/ABS(I79)</f>
        <v>2.5000000000000033E-2</v>
      </c>
      <c r="M79" t="s">
        <v>7</v>
      </c>
      <c r="O79" s="3">
        <f>E79-'315805 - P0824'!F79</f>
        <v>0</v>
      </c>
      <c r="P79" s="30">
        <f>I79-'315805 - P0824'!J79</f>
        <v>0</v>
      </c>
    </row>
    <row r="80" spans="1:16" x14ac:dyDescent="0.25">
      <c r="A80">
        <v>78</v>
      </c>
      <c r="D80" s="4" t="s">
        <v>84</v>
      </c>
      <c r="E80" s="8">
        <v>720</v>
      </c>
      <c r="F80" s="8">
        <f>F78</f>
        <v>738</v>
      </c>
      <c r="G80" s="6">
        <f>+F80-E80</f>
        <v>18</v>
      </c>
      <c r="H80" s="7">
        <f>(F80-E80)/ABS(E80)</f>
        <v>2.5000000000000001E-2</v>
      </c>
      <c r="I80" s="8">
        <v>911.49738219895301</v>
      </c>
      <c r="J80" s="9">
        <f t="shared" si="17"/>
        <v>934.28481675392686</v>
      </c>
      <c r="K80" s="3">
        <f>J80-I80</f>
        <v>22.787434554973856</v>
      </c>
      <c r="L80" s="7">
        <f>(J80-I80)/ABS(I80)</f>
        <v>2.5000000000000033E-2</v>
      </c>
      <c r="M80" t="s">
        <v>7</v>
      </c>
      <c r="O80" s="3">
        <f>E80-'315805 - P0824'!F80</f>
        <v>0</v>
      </c>
      <c r="P80" s="30">
        <f>I80-'315805 - P0824'!J80</f>
        <v>0</v>
      </c>
    </row>
    <row r="81" spans="1:16" x14ac:dyDescent="0.25">
      <c r="A81">
        <v>79</v>
      </c>
      <c r="D81" s="4" t="s">
        <v>85</v>
      </c>
      <c r="E81" s="8">
        <v>720</v>
      </c>
      <c r="F81" s="8">
        <f>F78</f>
        <v>738</v>
      </c>
      <c r="G81" s="6">
        <f>+F81-E81</f>
        <v>18</v>
      </c>
      <c r="H81" s="7">
        <f>(F81-E81)/ABS(E81)</f>
        <v>2.5000000000000001E-2</v>
      </c>
      <c r="I81" s="8">
        <v>911.49738219895301</v>
      </c>
      <c r="J81" s="9">
        <f t="shared" si="17"/>
        <v>934.28481675392686</v>
      </c>
      <c r="K81" s="3">
        <f>J81-I81</f>
        <v>22.787434554973856</v>
      </c>
      <c r="L81" s="7">
        <f>(J81-I81)/ABS(I81)</f>
        <v>2.5000000000000033E-2</v>
      </c>
      <c r="M81" t="s">
        <v>7</v>
      </c>
      <c r="O81" s="3">
        <f>E81-'315805 - P0824'!F81</f>
        <v>0</v>
      </c>
      <c r="P81" s="30">
        <f>I81-'315805 - P0824'!J81</f>
        <v>0</v>
      </c>
    </row>
    <row r="82" spans="1:16" x14ac:dyDescent="0.25">
      <c r="A82">
        <v>80</v>
      </c>
      <c r="D82" s="4" t="s">
        <v>86</v>
      </c>
      <c r="E82" s="8">
        <v>720</v>
      </c>
      <c r="F82" s="8">
        <f>F78</f>
        <v>738</v>
      </c>
      <c r="G82" s="6">
        <f>+F82-E82</f>
        <v>18</v>
      </c>
      <c r="H82" s="7">
        <f>(F82-E82)/ABS(E82)</f>
        <v>2.5000000000000001E-2</v>
      </c>
      <c r="I82" s="8">
        <v>911.49738219895301</v>
      </c>
      <c r="J82" s="9">
        <f t="shared" si="17"/>
        <v>934.28481675392686</v>
      </c>
      <c r="K82" s="3">
        <f>J82-I82</f>
        <v>22.787434554973856</v>
      </c>
      <c r="L82" s="7">
        <f>(J82-I82)/ABS(I82)</f>
        <v>2.5000000000000033E-2</v>
      </c>
      <c r="M82" t="s">
        <v>7</v>
      </c>
      <c r="O82" s="3">
        <f>E82-'315805 - P0824'!F82</f>
        <v>0</v>
      </c>
      <c r="P82" s="30">
        <f>I82-'315805 - P0824'!J82</f>
        <v>0</v>
      </c>
    </row>
    <row r="83" spans="1:16" x14ac:dyDescent="0.25">
      <c r="A83">
        <v>81</v>
      </c>
      <c r="D83" s="4" t="s">
        <v>87</v>
      </c>
      <c r="E83" s="8">
        <v>720</v>
      </c>
      <c r="F83" s="8">
        <f>F80</f>
        <v>738</v>
      </c>
      <c r="G83" s="6">
        <f t="shared" ref="G83" si="25">+F83-E83</f>
        <v>18</v>
      </c>
      <c r="H83" s="7">
        <f t="shared" ref="H83" si="26">(F83-E83)/ABS(E83)</f>
        <v>2.5000000000000001E-2</v>
      </c>
      <c r="I83" s="8">
        <v>911.49738219895301</v>
      </c>
      <c r="J83" s="9">
        <f t="shared" si="17"/>
        <v>934.28481675392686</v>
      </c>
      <c r="K83" s="3">
        <f t="shared" ref="K83" si="27">J83-I83</f>
        <v>22.787434554973856</v>
      </c>
      <c r="L83" s="7">
        <f t="shared" ref="L83" si="28">(J83-I83)/ABS(I83)</f>
        <v>2.5000000000000033E-2</v>
      </c>
      <c r="M83" t="s">
        <v>7</v>
      </c>
      <c r="O83" s="3">
        <f>E83-'315805 - P0824'!F83</f>
        <v>0</v>
      </c>
      <c r="P83" s="30">
        <f>I83-'315805 - P0824'!J83</f>
        <v>0</v>
      </c>
    </row>
    <row r="84" spans="1:16" x14ac:dyDescent="0.25">
      <c r="A84">
        <v>82</v>
      </c>
      <c r="D84" s="4" t="s">
        <v>493</v>
      </c>
      <c r="E84" s="5">
        <v>753</v>
      </c>
      <c r="F84" s="5">
        <v>823</v>
      </c>
      <c r="G84" s="6">
        <f>+F84-E84</f>
        <v>70</v>
      </c>
      <c r="H84" s="7">
        <f>(F84-E84)/ABS(E84)</f>
        <v>9.2961487383798141E-2</v>
      </c>
      <c r="I84" s="8">
        <v>964.57657633840051</v>
      </c>
      <c r="J84" s="9">
        <f t="shared" si="17"/>
        <v>1054.2450495703899</v>
      </c>
      <c r="K84" s="3">
        <f>J84-I84</f>
        <v>89.668473231989424</v>
      </c>
      <c r="L84" s="7">
        <f>(J84-I84)/ABS(I84)</f>
        <v>9.2961487383798141E-2</v>
      </c>
      <c r="M84" t="s">
        <v>7</v>
      </c>
      <c r="O84" s="3">
        <f>E84-'315805 - P0824'!F84</f>
        <v>0</v>
      </c>
      <c r="P84" s="30">
        <f>I84-'315805 - P0824'!J84</f>
        <v>0</v>
      </c>
    </row>
    <row r="85" spans="1:16" x14ac:dyDescent="0.25">
      <c r="A85">
        <v>83</v>
      </c>
      <c r="D85" s="4" t="s">
        <v>88</v>
      </c>
      <c r="E85" s="8">
        <v>753</v>
      </c>
      <c r="F85" s="8">
        <f>F84</f>
        <v>823</v>
      </c>
      <c r="G85" s="6">
        <f>+F85-E85</f>
        <v>70</v>
      </c>
      <c r="H85" s="7">
        <f>(F85-E85)/ABS(E85)</f>
        <v>9.2961487383798141E-2</v>
      </c>
      <c r="I85" s="8">
        <v>964.57657633840051</v>
      </c>
      <c r="J85" s="9">
        <f t="shared" si="17"/>
        <v>1054.2450495703899</v>
      </c>
      <c r="K85" s="3">
        <f>J85-I85</f>
        <v>89.668473231989424</v>
      </c>
      <c r="L85" s="7">
        <f>(J85-I85)/ABS(I85)</f>
        <v>9.2961487383798141E-2</v>
      </c>
      <c r="M85" t="s">
        <v>7</v>
      </c>
      <c r="O85" s="3">
        <f>E85-'315805 - P0824'!F85</f>
        <v>0</v>
      </c>
      <c r="P85" s="30">
        <f>I85-'315805 - P0824'!J85</f>
        <v>0</v>
      </c>
    </row>
    <row r="86" spans="1:16" x14ac:dyDescent="0.25">
      <c r="A86">
        <v>84</v>
      </c>
      <c r="D86" s="4" t="s">
        <v>89</v>
      </c>
      <c r="E86" s="8">
        <v>753</v>
      </c>
      <c r="F86" s="8">
        <f>F84</f>
        <v>823</v>
      </c>
      <c r="G86" s="6">
        <f>+F86-E86</f>
        <v>70</v>
      </c>
      <c r="H86" s="7">
        <f>(F86-E86)/ABS(E86)</f>
        <v>9.2961487383798141E-2</v>
      </c>
      <c r="I86" s="8">
        <v>964.57657633840051</v>
      </c>
      <c r="J86" s="9">
        <f t="shared" si="17"/>
        <v>1054.2450495703899</v>
      </c>
      <c r="K86" s="3">
        <f>J86-I86</f>
        <v>89.668473231989424</v>
      </c>
      <c r="L86" s="7">
        <f>(J86-I86)/ABS(I86)</f>
        <v>9.2961487383798141E-2</v>
      </c>
      <c r="M86" t="s">
        <v>7</v>
      </c>
      <c r="O86" s="3">
        <f>E86-'315805 - P0824'!F86</f>
        <v>0</v>
      </c>
      <c r="P86" s="30">
        <f>I86-'315805 - P0824'!J86</f>
        <v>0</v>
      </c>
    </row>
    <row r="87" spans="1:16" x14ac:dyDescent="0.25">
      <c r="A87">
        <v>85</v>
      </c>
      <c r="D87" s="4" t="s">
        <v>90</v>
      </c>
      <c r="E87" s="8">
        <v>753</v>
      </c>
      <c r="F87" s="8">
        <f>F84</f>
        <v>823</v>
      </c>
      <c r="G87" s="6">
        <f>+F87-E87</f>
        <v>70</v>
      </c>
      <c r="H87" s="7">
        <f>(F87-E87)/ABS(E87)</f>
        <v>9.2961487383798141E-2</v>
      </c>
      <c r="I87" s="8">
        <v>964.57657633840051</v>
      </c>
      <c r="J87" s="9">
        <f t="shared" si="17"/>
        <v>1054.2450495703899</v>
      </c>
      <c r="K87" s="3">
        <f>J87-I87</f>
        <v>89.668473231989424</v>
      </c>
      <c r="L87" s="7">
        <f>(J87-I87)/ABS(I87)</f>
        <v>9.2961487383798141E-2</v>
      </c>
      <c r="M87" t="s">
        <v>7</v>
      </c>
      <c r="O87" s="3">
        <f>E87-'315805 - P0824'!F87</f>
        <v>0</v>
      </c>
      <c r="P87" s="30">
        <f>I87-'315805 - P0824'!J87</f>
        <v>0</v>
      </c>
    </row>
    <row r="88" spans="1:16" x14ac:dyDescent="0.25">
      <c r="A88">
        <v>86</v>
      </c>
      <c r="D88" s="4" t="s">
        <v>91</v>
      </c>
      <c r="E88" s="8">
        <v>753</v>
      </c>
      <c r="F88" s="8">
        <f>F84</f>
        <v>823</v>
      </c>
      <c r="G88" s="6">
        <f>+F88-E88</f>
        <v>70</v>
      </c>
      <c r="H88" s="7">
        <f>(F88-E88)/ABS(E88)</f>
        <v>9.2961487383798141E-2</v>
      </c>
      <c r="I88" s="8">
        <v>964.57657633840051</v>
      </c>
      <c r="J88" s="9">
        <f t="shared" si="17"/>
        <v>1054.2450495703899</v>
      </c>
      <c r="K88" s="3">
        <f>J88-I88</f>
        <v>89.668473231989424</v>
      </c>
      <c r="L88" s="7">
        <f>(J88-I88)/ABS(I88)</f>
        <v>9.2961487383798141E-2</v>
      </c>
      <c r="M88" t="s">
        <v>7</v>
      </c>
      <c r="O88" s="3">
        <f>E88-'315805 - P0824'!F88</f>
        <v>0</v>
      </c>
      <c r="P88" s="30">
        <f>I88-'315805 - P0824'!J88</f>
        <v>0</v>
      </c>
    </row>
    <row r="89" spans="1:16" x14ac:dyDescent="0.25">
      <c r="A89">
        <v>87</v>
      </c>
      <c r="D89" s="4" t="s">
        <v>92</v>
      </c>
      <c r="E89" s="8">
        <v>753</v>
      </c>
      <c r="F89" s="8">
        <f t="shared" ref="F89" si="29">F86</f>
        <v>823</v>
      </c>
      <c r="G89" s="6">
        <f t="shared" ref="G89:G90" si="30">+F89-E89</f>
        <v>70</v>
      </c>
      <c r="H89" s="7">
        <f t="shared" ref="H89:H90" si="31">(F89-E89)/ABS(E89)</f>
        <v>9.2961487383798141E-2</v>
      </c>
      <c r="I89" s="8">
        <v>964.57657633840051</v>
      </c>
      <c r="J89" s="9">
        <f t="shared" si="17"/>
        <v>1054.2450495703899</v>
      </c>
      <c r="K89" s="3">
        <f t="shared" ref="K89:K90" si="32">J89-I89</f>
        <v>89.668473231989424</v>
      </c>
      <c r="L89" s="7">
        <f t="shared" ref="L89:L90" si="33">(J89-I89)/ABS(I89)</f>
        <v>9.2961487383798141E-2</v>
      </c>
      <c r="M89" t="s">
        <v>7</v>
      </c>
      <c r="O89" s="3">
        <f>E89-'315805 - P0824'!F89</f>
        <v>0</v>
      </c>
      <c r="P89" s="30">
        <f>I89-'315805 - P0824'!J89</f>
        <v>0</v>
      </c>
    </row>
    <row r="90" spans="1:16" x14ac:dyDescent="0.25">
      <c r="A90">
        <v>88</v>
      </c>
      <c r="C90" t="s">
        <v>8</v>
      </c>
      <c r="D90" s="4" t="s">
        <v>93</v>
      </c>
      <c r="E90" s="5">
        <v>12.85</v>
      </c>
      <c r="F90" s="5">
        <v>12.85</v>
      </c>
      <c r="G90" s="6">
        <f t="shared" si="30"/>
        <v>0</v>
      </c>
      <c r="H90" s="7">
        <f t="shared" si="31"/>
        <v>0</v>
      </c>
      <c r="I90" s="8">
        <v>2580.3146038322125</v>
      </c>
      <c r="J90" s="9">
        <f t="shared" si="17"/>
        <v>2580.3146038322125</v>
      </c>
      <c r="K90" s="3">
        <f t="shared" si="32"/>
        <v>0</v>
      </c>
      <c r="L90" s="7">
        <f t="shared" si="33"/>
        <v>0</v>
      </c>
      <c r="M90" t="s">
        <v>7</v>
      </c>
      <c r="O90" s="3">
        <f>E90-'315805 - P0824'!F90</f>
        <v>0</v>
      </c>
      <c r="P90" s="30">
        <f>I90-'315805 - P0824'!J90</f>
        <v>0</v>
      </c>
    </row>
    <row r="91" spans="1:16" x14ac:dyDescent="0.25">
      <c r="A91">
        <v>89</v>
      </c>
      <c r="D91" s="34" t="s">
        <v>94</v>
      </c>
      <c r="H91" s="10">
        <f>AVERAGE(H65:H90)</f>
        <v>3.4227170676847151E-3</v>
      </c>
      <c r="I91"/>
      <c r="L91" s="10">
        <f>AVERAGE(L65:L89)</f>
        <v>3.5596257503920682E-3</v>
      </c>
    </row>
    <row r="92" spans="1:16" x14ac:dyDescent="0.25">
      <c r="A92">
        <v>90</v>
      </c>
      <c r="D92" s="34" t="s">
        <v>95</v>
      </c>
      <c r="I92"/>
      <c r="M92" t="s">
        <v>7</v>
      </c>
      <c r="O92" s="3">
        <f>E92-'315805 - P0824'!F92</f>
        <v>0</v>
      </c>
      <c r="P92" s="30">
        <f>I92-'315805 - P0824'!J92</f>
        <v>0</v>
      </c>
    </row>
    <row r="93" spans="1:16" x14ac:dyDescent="0.25">
      <c r="A93">
        <v>91</v>
      </c>
      <c r="D93" s="4" t="s">
        <v>96</v>
      </c>
      <c r="E93" s="5">
        <v>395</v>
      </c>
      <c r="F93" s="5">
        <v>381</v>
      </c>
      <c r="G93" s="6">
        <f t="shared" ref="G93:G101" si="34">+F93-E93</f>
        <v>-14</v>
      </c>
      <c r="H93" s="7">
        <f t="shared" ref="H93:H101" si="35">(F93-E93)/ABS(E93)</f>
        <v>-3.5443037974683546E-2</v>
      </c>
      <c r="I93" s="8">
        <v>447.96089385474863</v>
      </c>
      <c r="J93" s="9">
        <f t="shared" ref="J93:J101" si="36">(I93*H93)+I93</f>
        <v>432.08379888268161</v>
      </c>
      <c r="K93" s="3">
        <f t="shared" ref="K93:K101" si="37">J93-I93</f>
        <v>-15.877094972067027</v>
      </c>
      <c r="L93" s="7">
        <f t="shared" ref="L93:L101" si="38">(J93-I93)/ABS(I93)</f>
        <v>-3.5443037974683518E-2</v>
      </c>
      <c r="M93" t="s">
        <v>7</v>
      </c>
      <c r="O93" s="3">
        <f>E93-'315805 - P0824'!F93</f>
        <v>0</v>
      </c>
      <c r="P93" s="30">
        <f>I93-'315805 - P0824'!J93</f>
        <v>0</v>
      </c>
    </row>
    <row r="94" spans="1:16" x14ac:dyDescent="0.25">
      <c r="A94">
        <v>92</v>
      </c>
      <c r="D94" s="4" t="s">
        <v>97</v>
      </c>
      <c r="E94" s="5">
        <v>415</v>
      </c>
      <c r="F94" s="5">
        <v>401</v>
      </c>
      <c r="G94" s="6">
        <f t="shared" si="34"/>
        <v>-14</v>
      </c>
      <c r="H94" s="7">
        <f t="shared" si="35"/>
        <v>-3.3734939759036145E-2</v>
      </c>
      <c r="I94" s="8">
        <v>477.59350091968122</v>
      </c>
      <c r="J94" s="9">
        <f t="shared" si="36"/>
        <v>461.48191293684857</v>
      </c>
      <c r="K94" s="3">
        <f t="shared" si="37"/>
        <v>-16.111587982832646</v>
      </c>
      <c r="L94" s="7">
        <f t="shared" si="38"/>
        <v>-3.37349397590362E-2</v>
      </c>
      <c r="M94" t="s">
        <v>7</v>
      </c>
      <c r="O94" s="3">
        <f>E94-'315805 - P0824'!F94</f>
        <v>0</v>
      </c>
      <c r="P94" s="30">
        <f>I94-'315805 - P0824'!J94</f>
        <v>0</v>
      </c>
    </row>
    <row r="95" spans="1:16" x14ac:dyDescent="0.25">
      <c r="A95">
        <v>93</v>
      </c>
      <c r="D95" s="4" t="s">
        <v>98</v>
      </c>
      <c r="E95" s="5">
        <v>415</v>
      </c>
      <c r="F95" s="5">
        <v>401</v>
      </c>
      <c r="G95" s="6">
        <f t="shared" si="34"/>
        <v>-14</v>
      </c>
      <c r="H95" s="7">
        <f t="shared" si="35"/>
        <v>-3.3734939759036145E-2</v>
      </c>
      <c r="I95" s="8">
        <v>474.79460453709356</v>
      </c>
      <c r="J95" s="9">
        <f t="shared" si="36"/>
        <v>458.77743715511934</v>
      </c>
      <c r="K95" s="3">
        <f t="shared" si="37"/>
        <v>-16.017167381974218</v>
      </c>
      <c r="L95" s="7">
        <f t="shared" si="38"/>
        <v>-3.3734939759036096E-2</v>
      </c>
      <c r="M95" t="s">
        <v>7</v>
      </c>
      <c r="O95" s="3">
        <f>E95-'315805 - P0824'!F95</f>
        <v>0</v>
      </c>
      <c r="P95" s="30">
        <f>I95-'315805 - P0824'!J95</f>
        <v>0</v>
      </c>
    </row>
    <row r="96" spans="1:16" x14ac:dyDescent="0.25">
      <c r="A96">
        <v>94</v>
      </c>
      <c r="D96" s="4" t="s">
        <v>99</v>
      </c>
      <c r="E96" s="5">
        <v>415</v>
      </c>
      <c r="F96" s="5">
        <v>406</v>
      </c>
      <c r="G96" s="6">
        <f t="shared" si="34"/>
        <v>-9</v>
      </c>
      <c r="H96" s="7">
        <f t="shared" si="35"/>
        <v>-2.1686746987951807E-2</v>
      </c>
      <c r="I96" s="8">
        <v>489.17021276595739</v>
      </c>
      <c r="J96" s="9">
        <f t="shared" si="36"/>
        <v>478.56170212765954</v>
      </c>
      <c r="K96" s="3">
        <f t="shared" si="37"/>
        <v>-10.608510638297844</v>
      </c>
      <c r="L96" s="7">
        <f t="shared" si="38"/>
        <v>-2.1686746987951751E-2</v>
      </c>
      <c r="M96" t="s">
        <v>7</v>
      </c>
      <c r="O96" s="3">
        <f>E96-'315805 - P0824'!F96</f>
        <v>0</v>
      </c>
      <c r="P96" s="30">
        <f>I96-'315805 - P0824'!J96</f>
        <v>0</v>
      </c>
    </row>
    <row r="97" spans="1:16" x14ac:dyDescent="0.25">
      <c r="A97">
        <v>95</v>
      </c>
      <c r="D97" s="4" t="s">
        <v>100</v>
      </c>
      <c r="E97" s="5">
        <v>633</v>
      </c>
      <c r="F97" s="5">
        <v>633</v>
      </c>
      <c r="G97" s="6">
        <f t="shared" si="34"/>
        <v>0</v>
      </c>
      <c r="H97" s="7">
        <f t="shared" si="35"/>
        <v>0</v>
      </c>
      <c r="I97" s="8">
        <v>744.59270516717322</v>
      </c>
      <c r="J97" s="9">
        <f t="shared" si="36"/>
        <v>744.59270516717322</v>
      </c>
      <c r="K97" s="3">
        <f t="shared" si="37"/>
        <v>0</v>
      </c>
      <c r="L97" s="7">
        <f>(J97-I97)/ABS(I97)</f>
        <v>0</v>
      </c>
      <c r="M97" t="s">
        <v>7</v>
      </c>
      <c r="O97" s="3">
        <f>E97-'315805 - P0824'!F97</f>
        <v>0</v>
      </c>
      <c r="P97" s="30">
        <f>I97-'315805 - P0824'!J97</f>
        <v>0</v>
      </c>
    </row>
    <row r="98" spans="1:16" x14ac:dyDescent="0.25">
      <c r="A98">
        <v>96</v>
      </c>
      <c r="C98" t="s">
        <v>8</v>
      </c>
      <c r="D98" s="29" t="s">
        <v>101</v>
      </c>
      <c r="E98" s="5">
        <v>930</v>
      </c>
      <c r="F98" s="5">
        <v>930</v>
      </c>
      <c r="G98" s="6">
        <f t="shared" si="34"/>
        <v>0</v>
      </c>
      <c r="H98" s="7">
        <f t="shared" si="35"/>
        <v>0</v>
      </c>
      <c r="I98" s="8">
        <v>1108.2901554404145</v>
      </c>
      <c r="J98" s="9">
        <f t="shared" si="36"/>
        <v>1108.2901554404145</v>
      </c>
      <c r="K98" s="3">
        <f t="shared" si="37"/>
        <v>0</v>
      </c>
      <c r="L98" s="7">
        <f t="shared" si="38"/>
        <v>0</v>
      </c>
      <c r="M98" t="s">
        <v>7</v>
      </c>
      <c r="O98" s="3">
        <f>E98-'315805 - P0824'!F98</f>
        <v>0</v>
      </c>
      <c r="P98" s="30">
        <f>I98-'315805 - P0824'!J98</f>
        <v>0</v>
      </c>
    </row>
    <row r="99" spans="1:16" x14ac:dyDescent="0.25">
      <c r="A99">
        <v>97</v>
      </c>
      <c r="C99" t="s">
        <v>8</v>
      </c>
      <c r="D99" s="4" t="s">
        <v>102</v>
      </c>
      <c r="E99" s="5">
        <v>1127</v>
      </c>
      <c r="F99" s="5">
        <v>1127</v>
      </c>
      <c r="G99" s="6">
        <f t="shared" si="34"/>
        <v>0</v>
      </c>
      <c r="H99" s="7">
        <f t="shared" si="35"/>
        <v>0</v>
      </c>
      <c r="I99" s="8">
        <v>1480.3326598207814</v>
      </c>
      <c r="J99" s="9">
        <f t="shared" si="36"/>
        <v>1480.3326598207814</v>
      </c>
      <c r="K99" s="3">
        <f t="shared" si="37"/>
        <v>0</v>
      </c>
      <c r="L99" s="7">
        <f t="shared" si="38"/>
        <v>0</v>
      </c>
      <c r="M99" t="s">
        <v>7</v>
      </c>
      <c r="O99" s="3">
        <f>E99-'315805 - P0824'!F99</f>
        <v>0</v>
      </c>
      <c r="P99" s="30">
        <f>I99-'315805 - P0824'!J99</f>
        <v>0</v>
      </c>
    </row>
    <row r="100" spans="1:16" x14ac:dyDescent="0.25">
      <c r="A100">
        <v>98</v>
      </c>
      <c r="D100" s="4" t="s">
        <v>103</v>
      </c>
      <c r="E100" s="5">
        <v>17.600000000000001</v>
      </c>
      <c r="F100" s="5">
        <v>17.600000000000001</v>
      </c>
      <c r="G100" s="6">
        <f t="shared" si="34"/>
        <v>0</v>
      </c>
      <c r="H100" s="7">
        <f t="shared" si="35"/>
        <v>0</v>
      </c>
      <c r="I100" s="8">
        <v>47.120192307692307</v>
      </c>
      <c r="J100" s="9">
        <f t="shared" si="36"/>
        <v>47.120192307692307</v>
      </c>
      <c r="K100" s="3">
        <f t="shared" si="37"/>
        <v>0</v>
      </c>
      <c r="L100" s="7">
        <f t="shared" si="38"/>
        <v>0</v>
      </c>
      <c r="M100" t="s">
        <v>7</v>
      </c>
      <c r="O100" s="3">
        <f>E100-'315805 - P0824'!F100</f>
        <v>0</v>
      </c>
      <c r="P100" s="30">
        <f>I100-'315805 - P0824'!J100</f>
        <v>0</v>
      </c>
    </row>
    <row r="101" spans="1:16" x14ac:dyDescent="0.25">
      <c r="A101">
        <v>99</v>
      </c>
      <c r="C101" t="s">
        <v>8</v>
      </c>
      <c r="D101" s="4" t="s">
        <v>104</v>
      </c>
      <c r="E101" s="5">
        <v>1620</v>
      </c>
      <c r="F101" s="5">
        <v>1606</v>
      </c>
      <c r="G101" s="6">
        <f t="shared" si="34"/>
        <v>-14</v>
      </c>
      <c r="H101" s="7">
        <f t="shared" si="35"/>
        <v>-8.6419753086419745E-3</v>
      </c>
      <c r="I101" s="8">
        <v>2678.3539445629003</v>
      </c>
      <c r="J101" s="9">
        <f t="shared" si="36"/>
        <v>2655.2076759061838</v>
      </c>
      <c r="K101" s="3">
        <f t="shared" si="37"/>
        <v>-23.146268656716529</v>
      </c>
      <c r="L101" s="7">
        <f t="shared" si="38"/>
        <v>-8.6419753086420144E-3</v>
      </c>
      <c r="M101" t="s">
        <v>7</v>
      </c>
      <c r="O101" s="3">
        <f>E101-'315805 - P0824'!F101</f>
        <v>0</v>
      </c>
      <c r="P101" s="30">
        <f>I101-'315805 - P0824'!J101</f>
        <v>0</v>
      </c>
    </row>
    <row r="102" spans="1:16" x14ac:dyDescent="0.25">
      <c r="A102">
        <v>100</v>
      </c>
      <c r="D102" s="34" t="s">
        <v>105</v>
      </c>
      <c r="H102" s="10">
        <f>AVERAGE(H93:H101)</f>
        <v>-1.4804626643261071E-2</v>
      </c>
      <c r="I102"/>
      <c r="L102" s="10">
        <f>AVERAGE(L93:L101)</f>
        <v>-1.4804626643261067E-2</v>
      </c>
    </row>
    <row r="103" spans="1:16" x14ac:dyDescent="0.25">
      <c r="A103">
        <v>101</v>
      </c>
      <c r="D103" s="34" t="s">
        <v>106</v>
      </c>
      <c r="G103" s="6"/>
      <c r="H103" s="7"/>
      <c r="I103"/>
      <c r="M103" t="s">
        <v>106</v>
      </c>
    </row>
    <row r="104" spans="1:16" x14ac:dyDescent="0.25">
      <c r="A104">
        <v>102</v>
      </c>
      <c r="C104" t="s">
        <v>8</v>
      </c>
      <c r="D104" s="4" t="s">
        <v>107</v>
      </c>
      <c r="E104" s="5">
        <v>36</v>
      </c>
      <c r="F104" s="5">
        <v>36</v>
      </c>
      <c r="G104" s="6">
        <f t="shared" ref="G104:G115" si="39">+F104-E104</f>
        <v>0</v>
      </c>
      <c r="H104" s="7">
        <f t="shared" ref="H104:H115" si="40">(F104-E104)/ABS(E104)</f>
        <v>0</v>
      </c>
      <c r="I104" s="8">
        <v>85.406538115384606</v>
      </c>
      <c r="J104" s="9">
        <f t="shared" ref="J104:J115" si="41">(I104*H104)+I104</f>
        <v>85.406538115384606</v>
      </c>
      <c r="K104" s="3">
        <f t="shared" ref="K104:K115" si="42">J104-I104</f>
        <v>0</v>
      </c>
      <c r="L104" s="7">
        <f t="shared" ref="L104:L115" si="43">(J104-I104)/ABS(I104)</f>
        <v>0</v>
      </c>
      <c r="M104" t="s">
        <v>106</v>
      </c>
      <c r="O104" s="3">
        <f>E104-'315805 - P0824'!F104</f>
        <v>0</v>
      </c>
      <c r="P104" s="30">
        <f>I104-'315805 - P0824'!J104</f>
        <v>0</v>
      </c>
    </row>
    <row r="105" spans="1:16" x14ac:dyDescent="0.25">
      <c r="A105">
        <v>103</v>
      </c>
      <c r="C105" t="s">
        <v>8</v>
      </c>
      <c r="D105" s="4" t="s">
        <v>108</v>
      </c>
      <c r="E105" s="5">
        <v>42</v>
      </c>
      <c r="F105" s="5">
        <v>42</v>
      </c>
      <c r="G105" s="6">
        <f t="shared" si="39"/>
        <v>0</v>
      </c>
      <c r="H105" s="7">
        <f t="shared" si="40"/>
        <v>0</v>
      </c>
      <c r="I105" s="8">
        <v>80.176901208617949</v>
      </c>
      <c r="J105" s="9">
        <f t="shared" si="41"/>
        <v>80.176901208617949</v>
      </c>
      <c r="K105" s="3">
        <f>J105-I105</f>
        <v>0</v>
      </c>
      <c r="L105" s="7">
        <f>(J105-I105)/ABS(I105)</f>
        <v>0</v>
      </c>
      <c r="M105" t="s">
        <v>106</v>
      </c>
      <c r="O105" s="3">
        <f>E105-'315805 - P0824'!F105</f>
        <v>0</v>
      </c>
      <c r="P105" s="30">
        <f>I105-'315805 - P0824'!J105</f>
        <v>0</v>
      </c>
    </row>
    <row r="106" spans="1:16" x14ac:dyDescent="0.25">
      <c r="A106">
        <v>104</v>
      </c>
      <c r="C106" t="s">
        <v>8</v>
      </c>
      <c r="D106" s="4" t="s">
        <v>109</v>
      </c>
      <c r="E106" s="12">
        <v>3.19</v>
      </c>
      <c r="F106" s="12">
        <v>3.19</v>
      </c>
      <c r="G106" s="6">
        <f t="shared" si="39"/>
        <v>0</v>
      </c>
      <c r="H106" s="7">
        <f t="shared" si="40"/>
        <v>0</v>
      </c>
      <c r="I106" s="8">
        <v>3.8745328209552197</v>
      </c>
      <c r="J106" s="9">
        <f t="shared" si="41"/>
        <v>3.8745328209552197</v>
      </c>
      <c r="K106" s="3">
        <f t="shared" si="42"/>
        <v>0</v>
      </c>
      <c r="L106" s="7">
        <f t="shared" si="43"/>
        <v>0</v>
      </c>
      <c r="M106" t="s">
        <v>106</v>
      </c>
      <c r="O106" s="3">
        <f>E106-'315805 - P0824'!F106</f>
        <v>0</v>
      </c>
      <c r="P106" s="30">
        <f>I106-'315805 - P0824'!J106</f>
        <v>0</v>
      </c>
    </row>
    <row r="107" spans="1:16" x14ac:dyDescent="0.25">
      <c r="A107">
        <v>105</v>
      </c>
      <c r="C107" t="s">
        <v>8</v>
      </c>
      <c r="D107" s="4" t="s">
        <v>110</v>
      </c>
      <c r="E107" s="12">
        <v>3.48</v>
      </c>
      <c r="F107" s="12">
        <v>3.48</v>
      </c>
      <c r="G107" s="6">
        <f t="shared" si="39"/>
        <v>0</v>
      </c>
      <c r="H107" s="7">
        <f t="shared" si="40"/>
        <v>0</v>
      </c>
      <c r="I107" s="8">
        <v>4.0655928193903108</v>
      </c>
      <c r="J107" s="9">
        <f t="shared" si="41"/>
        <v>4.0655928193903108</v>
      </c>
      <c r="K107" s="3">
        <f t="shared" si="42"/>
        <v>0</v>
      </c>
      <c r="L107" s="7">
        <f t="shared" si="43"/>
        <v>0</v>
      </c>
      <c r="M107" t="s">
        <v>106</v>
      </c>
      <c r="O107" s="3">
        <f>E107-'315805 - P0824'!F107</f>
        <v>0</v>
      </c>
      <c r="P107" s="30">
        <f>I107-'315805 - P0824'!J107</f>
        <v>0</v>
      </c>
    </row>
    <row r="108" spans="1:16" x14ac:dyDescent="0.25">
      <c r="A108">
        <v>106</v>
      </c>
      <c r="C108" t="s">
        <v>8</v>
      </c>
      <c r="D108" s="4" t="s">
        <v>111</v>
      </c>
      <c r="E108" s="12">
        <v>7.89</v>
      </c>
      <c r="F108" s="12">
        <v>7.89</v>
      </c>
      <c r="G108" s="6">
        <f t="shared" si="39"/>
        <v>0</v>
      </c>
      <c r="H108" s="7">
        <f t="shared" si="40"/>
        <v>0</v>
      </c>
      <c r="I108" s="8">
        <v>8.9203191080353719</v>
      </c>
      <c r="J108" s="9">
        <f t="shared" si="41"/>
        <v>8.9203191080353719</v>
      </c>
      <c r="K108" s="3">
        <f t="shared" si="42"/>
        <v>0</v>
      </c>
      <c r="L108" s="7">
        <f t="shared" si="43"/>
        <v>0</v>
      </c>
      <c r="M108" t="s">
        <v>106</v>
      </c>
      <c r="O108" s="3">
        <f>E108-'315805 - P0824'!F108</f>
        <v>0</v>
      </c>
      <c r="P108" s="30">
        <f>I108-'315805 - P0824'!J108</f>
        <v>0</v>
      </c>
    </row>
    <row r="109" spans="1:16" x14ac:dyDescent="0.25">
      <c r="A109">
        <v>107</v>
      </c>
      <c r="C109" t="s">
        <v>8</v>
      </c>
      <c r="D109" s="4" t="s">
        <v>112</v>
      </c>
      <c r="E109" s="12">
        <v>9.34</v>
      </c>
      <c r="F109" s="12">
        <v>9.34</v>
      </c>
      <c r="G109" s="6">
        <f t="shared" si="39"/>
        <v>0</v>
      </c>
      <c r="H109" s="7">
        <f t="shared" si="40"/>
        <v>0</v>
      </c>
      <c r="I109" s="8">
        <v>10.432893234927514</v>
      </c>
      <c r="J109" s="9">
        <f t="shared" si="41"/>
        <v>10.432893234927514</v>
      </c>
      <c r="K109" s="3">
        <f t="shared" si="42"/>
        <v>0</v>
      </c>
      <c r="L109" s="7">
        <f t="shared" si="43"/>
        <v>0</v>
      </c>
      <c r="M109" t="s">
        <v>106</v>
      </c>
      <c r="O109" s="3">
        <f>E109-'315805 - P0824'!F109</f>
        <v>0</v>
      </c>
      <c r="P109" s="30">
        <f>I109-'315805 - P0824'!J109</f>
        <v>0</v>
      </c>
    </row>
    <row r="110" spans="1:16" x14ac:dyDescent="0.25">
      <c r="A110">
        <v>108</v>
      </c>
      <c r="C110" t="s">
        <v>8</v>
      </c>
      <c r="D110" s="4" t="s">
        <v>113</v>
      </c>
      <c r="E110" s="12">
        <v>3.79</v>
      </c>
      <c r="F110" s="12">
        <v>3.79</v>
      </c>
      <c r="G110" s="6">
        <f t="shared" si="39"/>
        <v>0</v>
      </c>
      <c r="H110" s="7">
        <f t="shared" si="40"/>
        <v>0</v>
      </c>
      <c r="I110" s="8">
        <v>5.2944973572314407</v>
      </c>
      <c r="J110" s="9">
        <f t="shared" si="41"/>
        <v>5.2944973572314407</v>
      </c>
      <c r="K110" s="3">
        <f>J110-I110</f>
        <v>0</v>
      </c>
      <c r="L110" s="7">
        <f>(J110-I110)/ABS(I110)</f>
        <v>0</v>
      </c>
      <c r="M110" t="s">
        <v>106</v>
      </c>
      <c r="O110" s="3">
        <f>E110-'315805 - P0824'!F110</f>
        <v>0</v>
      </c>
      <c r="P110" s="30">
        <f>I110-'315805 - P0824'!J110</f>
        <v>0</v>
      </c>
    </row>
    <row r="111" spans="1:16" x14ac:dyDescent="0.25">
      <c r="A111">
        <v>109</v>
      </c>
      <c r="C111" t="s">
        <v>8</v>
      </c>
      <c r="D111" s="4" t="s">
        <v>114</v>
      </c>
      <c r="E111" s="12">
        <v>4.95</v>
      </c>
      <c r="F111" s="12">
        <v>4.95</v>
      </c>
      <c r="G111" s="6">
        <f t="shared" si="39"/>
        <v>0</v>
      </c>
      <c r="H111" s="7">
        <f t="shared" si="40"/>
        <v>0</v>
      </c>
      <c r="I111" s="8">
        <v>6.6523403553892901</v>
      </c>
      <c r="J111" s="9">
        <f t="shared" si="41"/>
        <v>6.6523403553892901</v>
      </c>
      <c r="K111" s="3">
        <f t="shared" si="42"/>
        <v>0</v>
      </c>
      <c r="L111" s="7">
        <f t="shared" si="43"/>
        <v>0</v>
      </c>
      <c r="M111" t="s">
        <v>106</v>
      </c>
      <c r="O111" s="3">
        <f>E111-'315805 - P0824'!F111</f>
        <v>0</v>
      </c>
      <c r="P111" s="30">
        <f>I111-'315805 - P0824'!J111</f>
        <v>0</v>
      </c>
    </row>
    <row r="112" spans="1:16" x14ac:dyDescent="0.25">
      <c r="A112">
        <v>110</v>
      </c>
      <c r="C112" t="s">
        <v>8</v>
      </c>
      <c r="D112" s="4" t="s">
        <v>115</v>
      </c>
      <c r="E112" s="12">
        <v>6.16</v>
      </c>
      <c r="F112" s="12">
        <v>6.16</v>
      </c>
      <c r="G112" s="6">
        <f t="shared" si="39"/>
        <v>0</v>
      </c>
      <c r="H112" s="7">
        <f t="shared" si="40"/>
        <v>0</v>
      </c>
      <c r="I112" s="8">
        <v>7.8767696532032376</v>
      </c>
      <c r="J112" s="9">
        <f t="shared" si="41"/>
        <v>7.8767696532032376</v>
      </c>
      <c r="K112" s="3">
        <f t="shared" si="42"/>
        <v>0</v>
      </c>
      <c r="L112" s="7">
        <f t="shared" si="43"/>
        <v>0</v>
      </c>
      <c r="M112" t="s">
        <v>106</v>
      </c>
      <c r="O112" s="3">
        <f>E112-'315805 - P0824'!F112</f>
        <v>0</v>
      </c>
      <c r="P112" s="30">
        <f>I112-'315805 - P0824'!J112</f>
        <v>0</v>
      </c>
    </row>
    <row r="113" spans="1:16" x14ac:dyDescent="0.25">
      <c r="A113">
        <v>111</v>
      </c>
      <c r="C113" t="s">
        <v>8</v>
      </c>
      <c r="D113" s="4" t="s">
        <v>116</v>
      </c>
      <c r="E113" s="12">
        <v>7.33</v>
      </c>
      <c r="F113" s="12">
        <v>7.33</v>
      </c>
      <c r="G113" s="6">
        <f t="shared" si="39"/>
        <v>0</v>
      </c>
      <c r="H113" s="7">
        <f t="shared" si="40"/>
        <v>0</v>
      </c>
      <c r="I113" s="8">
        <v>9.6975016766020872</v>
      </c>
      <c r="J113" s="9">
        <f t="shared" si="41"/>
        <v>9.6975016766020872</v>
      </c>
      <c r="K113" s="3">
        <f t="shared" si="42"/>
        <v>0</v>
      </c>
      <c r="L113" s="7">
        <f t="shared" si="43"/>
        <v>0</v>
      </c>
      <c r="M113" t="s">
        <v>106</v>
      </c>
      <c r="O113" s="3">
        <f>E113-'315805 - P0824'!F113</f>
        <v>0</v>
      </c>
      <c r="P113" s="30">
        <f>I113-'315805 - P0824'!J113</f>
        <v>0</v>
      </c>
    </row>
    <row r="114" spans="1:16" x14ac:dyDescent="0.25">
      <c r="A114">
        <v>112</v>
      </c>
      <c r="C114" t="s">
        <v>8</v>
      </c>
      <c r="D114" s="4" t="s">
        <v>117</v>
      </c>
      <c r="E114" s="12">
        <v>8.39</v>
      </c>
      <c r="F114" s="12">
        <v>8.39</v>
      </c>
      <c r="G114" s="6">
        <f t="shared" si="39"/>
        <v>0</v>
      </c>
      <c r="H114" s="7">
        <f t="shared" si="40"/>
        <v>0</v>
      </c>
      <c r="I114" s="8">
        <v>9.9493819659061415</v>
      </c>
      <c r="J114" s="9">
        <f t="shared" si="41"/>
        <v>9.9493819659061415</v>
      </c>
      <c r="K114" s="3">
        <f t="shared" si="42"/>
        <v>0</v>
      </c>
      <c r="L114" s="7">
        <f t="shared" si="43"/>
        <v>0</v>
      </c>
      <c r="M114" t="s">
        <v>106</v>
      </c>
      <c r="O114" s="3">
        <f>E114-'315805 - P0824'!F114</f>
        <v>0</v>
      </c>
      <c r="P114" s="30">
        <f>I114-'315805 - P0824'!J114</f>
        <v>0</v>
      </c>
    </row>
    <row r="115" spans="1:16" x14ac:dyDescent="0.25">
      <c r="A115">
        <v>113</v>
      </c>
      <c r="C115" t="s">
        <v>8</v>
      </c>
      <c r="D115" s="4" t="s">
        <v>118</v>
      </c>
      <c r="E115" s="12">
        <v>9.39</v>
      </c>
      <c r="F115" s="12">
        <v>9.39</v>
      </c>
      <c r="G115" s="6">
        <f t="shared" si="39"/>
        <v>0</v>
      </c>
      <c r="H115" s="7">
        <f t="shared" si="40"/>
        <v>0</v>
      </c>
      <c r="I115" s="8">
        <v>11.783981312354875</v>
      </c>
      <c r="J115" s="9">
        <f t="shared" si="41"/>
        <v>11.783981312354875</v>
      </c>
      <c r="K115" s="3">
        <f t="shared" si="42"/>
        <v>0</v>
      </c>
      <c r="L115" s="7">
        <f t="shared" si="43"/>
        <v>0</v>
      </c>
      <c r="M115" t="s">
        <v>106</v>
      </c>
      <c r="O115" s="3">
        <f>E115-'315805 - P0824'!F115</f>
        <v>0</v>
      </c>
      <c r="P115" s="30">
        <f>I115-'315805 - P0824'!J115</f>
        <v>0</v>
      </c>
    </row>
    <row r="116" spans="1:16" x14ac:dyDescent="0.25">
      <c r="A116">
        <v>114</v>
      </c>
      <c r="D116" s="34" t="s">
        <v>119</v>
      </c>
      <c r="H116" s="10">
        <f>AVERAGE(H104:H115)</f>
        <v>0</v>
      </c>
      <c r="I116"/>
      <c r="L116" s="10">
        <f>AVERAGE(L104:L115)</f>
        <v>0</v>
      </c>
    </row>
    <row r="117" spans="1:16" x14ac:dyDescent="0.25">
      <c r="A117">
        <v>115</v>
      </c>
      <c r="D117" s="34" t="s">
        <v>120</v>
      </c>
      <c r="I117"/>
      <c r="M117" t="s">
        <v>121</v>
      </c>
    </row>
    <row r="118" spans="1:16" x14ac:dyDescent="0.25">
      <c r="A118">
        <v>116</v>
      </c>
      <c r="C118" t="s">
        <v>8</v>
      </c>
      <c r="D118" s="4" t="s">
        <v>456</v>
      </c>
      <c r="E118" s="12">
        <v>6.3</v>
      </c>
      <c r="F118" s="12">
        <v>6.3</v>
      </c>
      <c r="G118" s="13">
        <f t="shared" ref="G118:G153" si="44">+F118-E118</f>
        <v>0</v>
      </c>
      <c r="H118" s="7">
        <f t="shared" ref="H118:H155" si="45">(F118-E118)/ABS(E118)</f>
        <v>0</v>
      </c>
      <c r="I118" s="8">
        <v>8.2214999999999989</v>
      </c>
      <c r="J118" s="9">
        <f t="shared" ref="J118:J155" si="46">(I118*H118)+I118</f>
        <v>8.2214999999999989</v>
      </c>
      <c r="K118" s="3">
        <f t="shared" ref="K118:K155" si="47">J118-I118</f>
        <v>0</v>
      </c>
      <c r="L118" s="7">
        <f t="shared" ref="L118:L155" si="48">(J118-I118)/ABS(I118)</f>
        <v>0</v>
      </c>
      <c r="M118" t="s">
        <v>121</v>
      </c>
      <c r="O118" s="3">
        <f>E118-'315805 - P0824'!F118</f>
        <v>0</v>
      </c>
      <c r="P118" s="30">
        <f>I118-'315805 - P0824'!J118</f>
        <v>0</v>
      </c>
    </row>
    <row r="119" spans="1:16" x14ac:dyDescent="0.25">
      <c r="A119">
        <v>117</v>
      </c>
      <c r="C119" t="s">
        <v>8</v>
      </c>
      <c r="D119" s="4" t="s">
        <v>457</v>
      </c>
      <c r="E119" s="12">
        <v>6.93</v>
      </c>
      <c r="F119" s="12">
        <v>6.93</v>
      </c>
      <c r="G119" s="13">
        <f t="shared" si="44"/>
        <v>0</v>
      </c>
      <c r="H119" s="7">
        <f t="shared" si="45"/>
        <v>0</v>
      </c>
      <c r="I119" s="8">
        <v>8.9245000000000001</v>
      </c>
      <c r="J119" s="9">
        <f t="shared" si="46"/>
        <v>8.9245000000000001</v>
      </c>
      <c r="K119" s="3">
        <f t="shared" si="47"/>
        <v>0</v>
      </c>
      <c r="L119" s="7">
        <f t="shared" si="48"/>
        <v>0</v>
      </c>
      <c r="M119" t="s">
        <v>121</v>
      </c>
      <c r="O119" s="3">
        <f>E119-'315805 - P0824'!F119</f>
        <v>0</v>
      </c>
      <c r="P119" s="30">
        <f>I119-'315805 - P0824'!J119</f>
        <v>0</v>
      </c>
    </row>
    <row r="120" spans="1:16" x14ac:dyDescent="0.25">
      <c r="A120">
        <v>118</v>
      </c>
      <c r="C120" t="s">
        <v>8</v>
      </c>
      <c r="D120" s="4" t="s">
        <v>458</v>
      </c>
      <c r="E120" s="12">
        <v>7.98</v>
      </c>
      <c r="F120" s="12">
        <v>7.98</v>
      </c>
      <c r="G120" s="13">
        <f t="shared" si="44"/>
        <v>0</v>
      </c>
      <c r="H120" s="7">
        <f t="shared" si="45"/>
        <v>0</v>
      </c>
      <c r="I120" s="8">
        <v>10.762500000000001</v>
      </c>
      <c r="J120" s="9">
        <f t="shared" si="46"/>
        <v>10.762500000000001</v>
      </c>
      <c r="K120" s="3">
        <f t="shared" si="47"/>
        <v>0</v>
      </c>
      <c r="L120" s="7">
        <f t="shared" si="48"/>
        <v>0</v>
      </c>
      <c r="M120" t="s">
        <v>121</v>
      </c>
      <c r="O120" s="3">
        <f>E120-'315805 - P0824'!F120</f>
        <v>0</v>
      </c>
      <c r="P120" s="30">
        <f>I120-'315805 - P0824'!J120</f>
        <v>0</v>
      </c>
    </row>
    <row r="121" spans="1:16" x14ac:dyDescent="0.25">
      <c r="A121">
        <v>119</v>
      </c>
      <c r="C121" t="s">
        <v>8</v>
      </c>
      <c r="D121" s="4" t="s">
        <v>460</v>
      </c>
      <c r="E121" s="12">
        <v>10.08</v>
      </c>
      <c r="F121" s="12">
        <v>10.08</v>
      </c>
      <c r="G121" s="6">
        <f t="shared" si="44"/>
        <v>0</v>
      </c>
      <c r="H121" s="7">
        <f t="shared" si="45"/>
        <v>0</v>
      </c>
      <c r="I121" s="8">
        <v>14.563499999999999</v>
      </c>
      <c r="J121" s="9">
        <f t="shared" si="46"/>
        <v>14.563499999999999</v>
      </c>
      <c r="K121" s="3">
        <f t="shared" si="47"/>
        <v>0</v>
      </c>
      <c r="L121" s="7">
        <f t="shared" si="48"/>
        <v>0</v>
      </c>
      <c r="M121" t="s">
        <v>121</v>
      </c>
      <c r="O121" s="3">
        <f>E121-'315805 - P0824'!F121</f>
        <v>0</v>
      </c>
      <c r="P121" s="30">
        <f>I121-'315805 - P0824'!J121</f>
        <v>0</v>
      </c>
    </row>
    <row r="122" spans="1:16" x14ac:dyDescent="0.25">
      <c r="A122">
        <v>120</v>
      </c>
      <c r="C122" t="s">
        <v>8</v>
      </c>
      <c r="D122" s="4" t="s">
        <v>459</v>
      </c>
      <c r="E122" s="14">
        <v>26.88</v>
      </c>
      <c r="F122" s="14">
        <v>26.88</v>
      </c>
      <c r="G122" s="6">
        <f t="shared" si="44"/>
        <v>0</v>
      </c>
      <c r="H122" s="7">
        <f t="shared" si="45"/>
        <v>0</v>
      </c>
      <c r="I122" s="8">
        <v>39.973499999999994</v>
      </c>
      <c r="J122" s="9">
        <f t="shared" si="46"/>
        <v>39.973499999999994</v>
      </c>
      <c r="K122" s="3">
        <f t="shared" si="47"/>
        <v>0</v>
      </c>
      <c r="L122" s="7">
        <f t="shared" si="48"/>
        <v>0</v>
      </c>
      <c r="M122" t="s">
        <v>121</v>
      </c>
      <c r="O122" s="3">
        <f>E122-'315805 - P0824'!F122</f>
        <v>0</v>
      </c>
      <c r="P122" s="30">
        <f>I122-'315805 - P0824'!J122</f>
        <v>0</v>
      </c>
    </row>
    <row r="123" spans="1:16" x14ac:dyDescent="0.25">
      <c r="A123">
        <v>121</v>
      </c>
      <c r="C123" t="s">
        <v>8</v>
      </c>
      <c r="D123" s="4" t="s">
        <v>122</v>
      </c>
      <c r="E123" s="12">
        <v>6.25</v>
      </c>
      <c r="F123" s="12">
        <v>6.25</v>
      </c>
      <c r="G123" s="6">
        <f t="shared" si="44"/>
        <v>0</v>
      </c>
      <c r="H123" s="7">
        <f t="shared" si="45"/>
        <v>0</v>
      </c>
      <c r="I123" s="8">
        <v>6.930903510039002</v>
      </c>
      <c r="J123" s="9">
        <f t="shared" si="46"/>
        <v>6.930903510039002</v>
      </c>
      <c r="K123" s="3">
        <f t="shared" si="47"/>
        <v>0</v>
      </c>
      <c r="L123" s="7">
        <f t="shared" si="48"/>
        <v>0</v>
      </c>
      <c r="M123" t="s">
        <v>121</v>
      </c>
      <c r="O123" s="3">
        <f>E123-'315805 - P0824'!F123</f>
        <v>0</v>
      </c>
      <c r="P123" s="30">
        <f>I123-'315805 - P0824'!J123</f>
        <v>0</v>
      </c>
    </row>
    <row r="124" spans="1:16" x14ac:dyDescent="0.25">
      <c r="A124">
        <v>122</v>
      </c>
      <c r="C124" t="s">
        <v>8</v>
      </c>
      <c r="D124" s="4" t="s">
        <v>123</v>
      </c>
      <c r="E124" s="12">
        <v>8.6300000000000008</v>
      </c>
      <c r="F124" s="12">
        <v>8.6300000000000008</v>
      </c>
      <c r="G124" s="13">
        <f t="shared" si="44"/>
        <v>0</v>
      </c>
      <c r="H124" s="7">
        <f t="shared" si="45"/>
        <v>0</v>
      </c>
      <c r="I124" s="8">
        <v>8.7073886883273168</v>
      </c>
      <c r="J124" s="9">
        <f t="shared" si="46"/>
        <v>8.7073886883273168</v>
      </c>
      <c r="K124" s="3">
        <f t="shared" si="47"/>
        <v>0</v>
      </c>
      <c r="L124" s="7">
        <f t="shared" si="48"/>
        <v>0</v>
      </c>
      <c r="M124" t="s">
        <v>121</v>
      </c>
      <c r="O124" s="3">
        <f>E124-'315805 - P0824'!F124</f>
        <v>0</v>
      </c>
      <c r="P124" s="30">
        <f>I124-'315805 - P0824'!J124</f>
        <v>0</v>
      </c>
    </row>
    <row r="125" spans="1:16" x14ac:dyDescent="0.25">
      <c r="A125">
        <v>123</v>
      </c>
      <c r="C125" t="s">
        <v>8</v>
      </c>
      <c r="D125" s="4" t="s">
        <v>124</v>
      </c>
      <c r="E125" s="12">
        <v>9.82</v>
      </c>
      <c r="F125" s="12">
        <v>9.82</v>
      </c>
      <c r="G125" s="13">
        <f t="shared" si="44"/>
        <v>0</v>
      </c>
      <c r="H125" s="7">
        <f t="shared" si="45"/>
        <v>0</v>
      </c>
      <c r="I125" s="8">
        <v>10.822370370370372</v>
      </c>
      <c r="J125" s="9">
        <f t="shared" si="46"/>
        <v>10.822370370370372</v>
      </c>
      <c r="K125" s="3">
        <f t="shared" si="47"/>
        <v>0</v>
      </c>
      <c r="L125" s="7">
        <f t="shared" si="48"/>
        <v>0</v>
      </c>
      <c r="M125" t="s">
        <v>121</v>
      </c>
      <c r="O125" s="3">
        <f>E125-'315805 - P0824'!F125</f>
        <v>0</v>
      </c>
      <c r="P125" s="30">
        <f>I125-'315805 - P0824'!J125</f>
        <v>0</v>
      </c>
    </row>
    <row r="126" spans="1:16" x14ac:dyDescent="0.25">
      <c r="A126">
        <v>124</v>
      </c>
      <c r="C126" t="s">
        <v>8</v>
      </c>
      <c r="D126" s="4" t="s">
        <v>125</v>
      </c>
      <c r="E126" s="12">
        <v>11.01</v>
      </c>
      <c r="F126" s="12">
        <v>11.01</v>
      </c>
      <c r="G126" s="13">
        <f t="shared" si="44"/>
        <v>0</v>
      </c>
      <c r="H126" s="7">
        <f t="shared" si="45"/>
        <v>0</v>
      </c>
      <c r="I126" s="8">
        <v>12.518858490566037</v>
      </c>
      <c r="J126" s="9">
        <f t="shared" si="46"/>
        <v>12.518858490566037</v>
      </c>
      <c r="K126" s="3">
        <f t="shared" si="47"/>
        <v>0</v>
      </c>
      <c r="L126" s="7">
        <f t="shared" si="48"/>
        <v>0</v>
      </c>
      <c r="M126" t="s">
        <v>121</v>
      </c>
      <c r="O126" s="3">
        <f>E126-'315805 - P0824'!F126</f>
        <v>0</v>
      </c>
      <c r="P126" s="30">
        <f>I126-'315805 - P0824'!J126</f>
        <v>0</v>
      </c>
    </row>
    <row r="127" spans="1:16" x14ac:dyDescent="0.25">
      <c r="A127">
        <v>125</v>
      </c>
      <c r="C127" t="s">
        <v>8</v>
      </c>
      <c r="D127" s="4" t="s">
        <v>126</v>
      </c>
      <c r="E127" s="12">
        <v>12.13</v>
      </c>
      <c r="F127" s="12">
        <v>12.13</v>
      </c>
      <c r="G127" s="6">
        <f t="shared" si="44"/>
        <v>0</v>
      </c>
      <c r="H127" s="7">
        <f t="shared" si="45"/>
        <v>0</v>
      </c>
      <c r="I127" s="8">
        <v>13.092551369863015</v>
      </c>
      <c r="J127" s="9">
        <f t="shared" si="46"/>
        <v>13.092551369863015</v>
      </c>
      <c r="K127" s="3">
        <f t="shared" si="47"/>
        <v>0</v>
      </c>
      <c r="L127" s="7">
        <f t="shared" si="48"/>
        <v>0</v>
      </c>
      <c r="M127" t="s">
        <v>121</v>
      </c>
      <c r="O127" s="3">
        <f>E127-'315805 - P0824'!F127</f>
        <v>0</v>
      </c>
      <c r="P127" s="30">
        <f>I127-'315805 - P0824'!J127</f>
        <v>0</v>
      </c>
    </row>
    <row r="128" spans="1:16" x14ac:dyDescent="0.25">
      <c r="A128">
        <v>126</v>
      </c>
      <c r="C128" t="s">
        <v>8</v>
      </c>
      <c r="D128" s="4" t="s">
        <v>127</v>
      </c>
      <c r="E128" s="12">
        <v>16.18</v>
      </c>
      <c r="F128" s="12">
        <v>16.18</v>
      </c>
      <c r="G128" s="6">
        <f t="shared" si="44"/>
        <v>0</v>
      </c>
      <c r="H128" s="7">
        <f t="shared" si="45"/>
        <v>0</v>
      </c>
      <c r="I128" s="8">
        <v>18.131712053429638</v>
      </c>
      <c r="J128" s="9">
        <f t="shared" si="46"/>
        <v>18.131712053429638</v>
      </c>
      <c r="K128" s="3">
        <f t="shared" si="47"/>
        <v>0</v>
      </c>
      <c r="L128" s="7">
        <f t="shared" si="48"/>
        <v>0</v>
      </c>
      <c r="M128" t="s">
        <v>121</v>
      </c>
      <c r="O128" s="3">
        <f>E128-'315805 - P0824'!F128</f>
        <v>0</v>
      </c>
      <c r="P128" s="30">
        <f>I128-'315805 - P0824'!J128</f>
        <v>0</v>
      </c>
    </row>
    <row r="129" spans="1:16" x14ac:dyDescent="0.25">
      <c r="A129">
        <v>127</v>
      </c>
      <c r="C129" t="s">
        <v>8</v>
      </c>
      <c r="D129" s="4" t="s">
        <v>128</v>
      </c>
      <c r="E129" s="12">
        <v>7.18</v>
      </c>
      <c r="F129" s="12">
        <v>7.18</v>
      </c>
      <c r="G129" s="6">
        <f t="shared" si="44"/>
        <v>0</v>
      </c>
      <c r="H129" s="7">
        <f t="shared" si="45"/>
        <v>0</v>
      </c>
      <c r="I129" s="8">
        <v>8.8881221902017273</v>
      </c>
      <c r="J129" s="9">
        <f t="shared" si="46"/>
        <v>8.8881221902017273</v>
      </c>
      <c r="K129" s="3">
        <f t="shared" si="47"/>
        <v>0</v>
      </c>
      <c r="L129" s="7">
        <f t="shared" si="48"/>
        <v>0</v>
      </c>
      <c r="M129" t="s">
        <v>121</v>
      </c>
      <c r="O129" s="3">
        <f>E129-'315805 - P0824'!F129</f>
        <v>0</v>
      </c>
      <c r="P129" s="30">
        <f>I129-'315805 - P0824'!J129</f>
        <v>0</v>
      </c>
    </row>
    <row r="130" spans="1:16" x14ac:dyDescent="0.25">
      <c r="A130">
        <v>128</v>
      </c>
      <c r="C130" t="s">
        <v>8</v>
      </c>
      <c r="D130" s="22" t="s">
        <v>504</v>
      </c>
      <c r="E130" s="12">
        <v>7.18</v>
      </c>
      <c r="F130" s="12">
        <v>7.18</v>
      </c>
      <c r="G130" s="6">
        <f t="shared" si="44"/>
        <v>0</v>
      </c>
      <c r="H130" s="7">
        <f t="shared" si="45"/>
        <v>0</v>
      </c>
      <c r="I130" s="8">
        <v>8.8881221902017273</v>
      </c>
      <c r="J130" s="9">
        <f t="shared" si="46"/>
        <v>8.8881221902017273</v>
      </c>
      <c r="K130" s="3">
        <f t="shared" si="47"/>
        <v>0</v>
      </c>
      <c r="L130" s="7">
        <f t="shared" si="48"/>
        <v>0</v>
      </c>
      <c r="M130" t="s">
        <v>121</v>
      </c>
      <c r="O130" s="3">
        <f>E130-'315805 - P0824'!F130</f>
        <v>0</v>
      </c>
      <c r="P130" s="30">
        <f>I130-'315805 - P0824'!J130</f>
        <v>0</v>
      </c>
    </row>
    <row r="131" spans="1:16" x14ac:dyDescent="0.25">
      <c r="A131">
        <v>129</v>
      </c>
      <c r="C131" t="s">
        <v>8</v>
      </c>
      <c r="D131" s="4" t="s">
        <v>129</v>
      </c>
      <c r="E131" s="12">
        <v>31.782399999999999</v>
      </c>
      <c r="F131" s="12">
        <v>31.782399999999999</v>
      </c>
      <c r="G131" s="6">
        <f t="shared" si="44"/>
        <v>0</v>
      </c>
      <c r="H131" s="7">
        <f t="shared" si="45"/>
        <v>0</v>
      </c>
      <c r="I131" s="8">
        <v>42.795999999999999</v>
      </c>
      <c r="J131" s="9">
        <f t="shared" si="46"/>
        <v>42.795999999999999</v>
      </c>
      <c r="K131" s="3">
        <f t="shared" si="47"/>
        <v>0</v>
      </c>
      <c r="L131" s="7">
        <f t="shared" si="48"/>
        <v>0</v>
      </c>
      <c r="M131" t="s">
        <v>121</v>
      </c>
      <c r="O131" s="3">
        <f>E131-'315805 - P0824'!F131</f>
        <v>0</v>
      </c>
      <c r="P131" s="30">
        <f>I131-'315805 - P0824'!J131</f>
        <v>0</v>
      </c>
    </row>
    <row r="132" spans="1:16" x14ac:dyDescent="0.25">
      <c r="A132">
        <v>130</v>
      </c>
      <c r="C132" t="s">
        <v>8</v>
      </c>
      <c r="D132" s="4" t="s">
        <v>130</v>
      </c>
      <c r="E132" s="14">
        <v>38.08</v>
      </c>
      <c r="F132" s="14">
        <v>38.08</v>
      </c>
      <c r="G132" s="6">
        <f t="shared" si="44"/>
        <v>0</v>
      </c>
      <c r="H132" s="7">
        <f t="shared" si="45"/>
        <v>0</v>
      </c>
      <c r="I132" s="8">
        <v>43.505252249795468</v>
      </c>
      <c r="J132" s="9">
        <f t="shared" si="46"/>
        <v>43.505252249795468</v>
      </c>
      <c r="K132" s="3">
        <f t="shared" si="47"/>
        <v>0</v>
      </c>
      <c r="L132" s="7">
        <f t="shared" si="48"/>
        <v>0</v>
      </c>
      <c r="M132" t="s">
        <v>121</v>
      </c>
      <c r="O132" s="3">
        <f>E132-'315805 - P0824'!F132</f>
        <v>0</v>
      </c>
      <c r="P132" s="30">
        <f>I132-'315805 - P0824'!J132</f>
        <v>0</v>
      </c>
    </row>
    <row r="133" spans="1:16" x14ac:dyDescent="0.25">
      <c r="A133">
        <v>131</v>
      </c>
      <c r="C133" t="s">
        <v>8</v>
      </c>
      <c r="D133" s="4" t="s">
        <v>131</v>
      </c>
      <c r="E133" s="14">
        <v>38.08</v>
      </c>
      <c r="F133" s="14">
        <v>38.08</v>
      </c>
      <c r="G133" s="6">
        <f t="shared" si="44"/>
        <v>0</v>
      </c>
      <c r="H133" s="7">
        <f t="shared" si="45"/>
        <v>0</v>
      </c>
      <c r="I133" s="8">
        <v>57.541818816471228</v>
      </c>
      <c r="J133" s="9">
        <f t="shared" si="46"/>
        <v>57.541818816471228</v>
      </c>
      <c r="K133" s="3">
        <f t="shared" si="47"/>
        <v>0</v>
      </c>
      <c r="L133" s="7">
        <f t="shared" si="48"/>
        <v>0</v>
      </c>
      <c r="M133" t="s">
        <v>121</v>
      </c>
      <c r="O133" s="3">
        <f>E133-'315805 - P0824'!F133</f>
        <v>0</v>
      </c>
      <c r="P133" s="30">
        <f>I133-'315805 - P0824'!J133</f>
        <v>0</v>
      </c>
    </row>
    <row r="134" spans="1:16" x14ac:dyDescent="0.25">
      <c r="A134">
        <v>132</v>
      </c>
      <c r="C134" t="s">
        <v>8</v>
      </c>
      <c r="D134" s="4" t="s">
        <v>132</v>
      </c>
      <c r="E134" s="12">
        <v>15.8436</v>
      </c>
      <c r="F134" s="12">
        <v>15.8436</v>
      </c>
      <c r="G134" s="6">
        <f t="shared" si="44"/>
        <v>0</v>
      </c>
      <c r="H134" s="7">
        <f t="shared" si="45"/>
        <v>0</v>
      </c>
      <c r="I134" s="8">
        <v>19.584000000000003</v>
      </c>
      <c r="J134" s="9">
        <f t="shared" si="46"/>
        <v>19.584000000000003</v>
      </c>
      <c r="K134" s="3">
        <f t="shared" si="47"/>
        <v>0</v>
      </c>
      <c r="L134" s="7">
        <f t="shared" si="48"/>
        <v>0</v>
      </c>
      <c r="M134" t="s">
        <v>121</v>
      </c>
      <c r="O134" s="3">
        <f>E134-'315805 - P0824'!F134</f>
        <v>0</v>
      </c>
      <c r="P134" s="30">
        <f>I134-'315805 - P0824'!J134</f>
        <v>0</v>
      </c>
    </row>
    <row r="135" spans="1:16" x14ac:dyDescent="0.25">
      <c r="A135">
        <v>133</v>
      </c>
      <c r="C135" t="s">
        <v>8</v>
      </c>
      <c r="D135" s="4" t="s">
        <v>133</v>
      </c>
      <c r="E135" s="12">
        <v>36.493200000000002</v>
      </c>
      <c r="F135" s="12">
        <v>36.493200000000002</v>
      </c>
      <c r="G135" s="6">
        <f t="shared" si="44"/>
        <v>0</v>
      </c>
      <c r="H135" s="7">
        <f t="shared" si="45"/>
        <v>0</v>
      </c>
      <c r="I135" s="8">
        <v>43.51</v>
      </c>
      <c r="J135" s="9">
        <f t="shared" si="46"/>
        <v>43.51</v>
      </c>
      <c r="K135" s="3">
        <f t="shared" si="47"/>
        <v>0</v>
      </c>
      <c r="L135" s="7">
        <f t="shared" si="48"/>
        <v>0</v>
      </c>
      <c r="M135" t="s">
        <v>121</v>
      </c>
      <c r="O135" s="3">
        <f>E135-'315805 - P0824'!F135</f>
        <v>0</v>
      </c>
      <c r="P135" s="30">
        <f>I135-'315805 - P0824'!J135</f>
        <v>0</v>
      </c>
    </row>
    <row r="136" spans="1:16" x14ac:dyDescent="0.25">
      <c r="A136">
        <v>134</v>
      </c>
      <c r="C136" t="s">
        <v>8</v>
      </c>
      <c r="D136" s="4" t="s">
        <v>134</v>
      </c>
      <c r="E136" s="12">
        <v>54.151200000000003</v>
      </c>
      <c r="F136" s="12">
        <v>54.151200000000003</v>
      </c>
      <c r="G136" s="6">
        <f t="shared" si="44"/>
        <v>0</v>
      </c>
      <c r="H136" s="7">
        <f t="shared" si="45"/>
        <v>0</v>
      </c>
      <c r="I136" s="8">
        <v>92.212972774869115</v>
      </c>
      <c r="J136" s="9">
        <f t="shared" si="46"/>
        <v>92.212972774869115</v>
      </c>
      <c r="K136" s="3">
        <f t="shared" si="47"/>
        <v>0</v>
      </c>
      <c r="L136" s="7">
        <f t="shared" si="48"/>
        <v>0</v>
      </c>
      <c r="M136" t="s">
        <v>121</v>
      </c>
      <c r="O136" s="3">
        <f>E136-'315805 - P0824'!F136</f>
        <v>0</v>
      </c>
      <c r="P136" s="30">
        <f>I136-'315805 - P0824'!J136</f>
        <v>0</v>
      </c>
    </row>
    <row r="137" spans="1:16" x14ac:dyDescent="0.25">
      <c r="A137">
        <v>135</v>
      </c>
      <c r="C137" t="s">
        <v>8</v>
      </c>
      <c r="D137" s="4" t="s">
        <v>135</v>
      </c>
      <c r="E137" s="12">
        <v>6.0588000000000006</v>
      </c>
      <c r="F137" s="12">
        <v>6.0588000000000006</v>
      </c>
      <c r="G137" s="6">
        <f t="shared" si="44"/>
        <v>0</v>
      </c>
      <c r="H137" s="7">
        <f t="shared" si="45"/>
        <v>0</v>
      </c>
      <c r="I137" s="8">
        <v>9.417600000000002</v>
      </c>
      <c r="J137" s="9">
        <f t="shared" si="46"/>
        <v>9.417600000000002</v>
      </c>
      <c r="K137" s="3">
        <f t="shared" si="47"/>
        <v>0</v>
      </c>
      <c r="L137" s="7">
        <f t="shared" si="48"/>
        <v>0</v>
      </c>
      <c r="M137" t="s">
        <v>121</v>
      </c>
      <c r="O137" s="3">
        <f>E137-'315805 - P0824'!F137</f>
        <v>0</v>
      </c>
      <c r="P137" s="30">
        <f>I137-'315805 - P0824'!J137</f>
        <v>0</v>
      </c>
    </row>
    <row r="138" spans="1:16" x14ac:dyDescent="0.25">
      <c r="A138">
        <v>136</v>
      </c>
      <c r="C138" t="s">
        <v>8</v>
      </c>
      <c r="D138" s="4" t="s">
        <v>136</v>
      </c>
      <c r="E138" s="12">
        <v>10.7028</v>
      </c>
      <c r="F138" s="12">
        <v>10.7028</v>
      </c>
      <c r="G138" s="6">
        <f t="shared" si="44"/>
        <v>0</v>
      </c>
      <c r="H138" s="7">
        <f t="shared" si="45"/>
        <v>0</v>
      </c>
      <c r="I138" s="8">
        <v>14.990400000000001</v>
      </c>
      <c r="J138" s="9">
        <f t="shared" si="46"/>
        <v>14.990400000000001</v>
      </c>
      <c r="K138" s="3">
        <f t="shared" si="47"/>
        <v>0</v>
      </c>
      <c r="L138" s="7">
        <f t="shared" si="48"/>
        <v>0</v>
      </c>
      <c r="M138" t="s">
        <v>121</v>
      </c>
      <c r="O138" s="3">
        <f>E138-'315805 - P0824'!F138</f>
        <v>0</v>
      </c>
      <c r="P138" s="30">
        <f>I138-'315805 - P0824'!J138</f>
        <v>0</v>
      </c>
    </row>
    <row r="139" spans="1:16" x14ac:dyDescent="0.25">
      <c r="A139">
        <v>137</v>
      </c>
      <c r="C139" t="s">
        <v>8</v>
      </c>
      <c r="D139" s="4" t="s">
        <v>137</v>
      </c>
      <c r="E139" s="12">
        <v>16.0488</v>
      </c>
      <c r="F139" s="12">
        <v>16.0488</v>
      </c>
      <c r="G139" s="6">
        <f t="shared" si="44"/>
        <v>0</v>
      </c>
      <c r="H139" s="7">
        <f t="shared" si="45"/>
        <v>0</v>
      </c>
      <c r="I139" s="8">
        <v>22.485600000000002</v>
      </c>
      <c r="J139" s="9">
        <f t="shared" si="46"/>
        <v>22.485600000000002</v>
      </c>
      <c r="K139" s="3">
        <f t="shared" si="47"/>
        <v>0</v>
      </c>
      <c r="L139" s="7">
        <f t="shared" si="48"/>
        <v>0</v>
      </c>
      <c r="M139" t="s">
        <v>121</v>
      </c>
      <c r="O139" s="3">
        <f>E139-'315805 - P0824'!F139</f>
        <v>0</v>
      </c>
      <c r="P139" s="30">
        <f>I139-'315805 - P0824'!J139</f>
        <v>0</v>
      </c>
    </row>
    <row r="140" spans="1:16" x14ac:dyDescent="0.25">
      <c r="A140">
        <v>138</v>
      </c>
      <c r="C140" t="s">
        <v>8</v>
      </c>
      <c r="D140" s="4" t="s">
        <v>138</v>
      </c>
      <c r="E140" s="12">
        <v>21.4056</v>
      </c>
      <c r="F140" s="12">
        <v>21.4056</v>
      </c>
      <c r="G140" s="6">
        <f t="shared" si="44"/>
        <v>0</v>
      </c>
      <c r="H140" s="7">
        <f t="shared" si="45"/>
        <v>0</v>
      </c>
      <c r="I140" s="8">
        <v>31.557599999999997</v>
      </c>
      <c r="J140" s="9">
        <f t="shared" si="46"/>
        <v>31.557599999999997</v>
      </c>
      <c r="K140" s="3">
        <f t="shared" si="47"/>
        <v>0</v>
      </c>
      <c r="L140" s="7">
        <f t="shared" si="48"/>
        <v>0</v>
      </c>
      <c r="M140" t="s">
        <v>121</v>
      </c>
      <c r="O140" s="3">
        <f>E140-'315805 - P0824'!F140</f>
        <v>0</v>
      </c>
      <c r="P140" s="30">
        <f>I140-'315805 - P0824'!J140</f>
        <v>0</v>
      </c>
    </row>
    <row r="141" spans="1:16" x14ac:dyDescent="0.25">
      <c r="A141">
        <v>139</v>
      </c>
      <c r="C141" t="s">
        <v>8</v>
      </c>
      <c r="D141" s="4" t="s">
        <v>139</v>
      </c>
      <c r="E141" s="12">
        <v>29.019600000000001</v>
      </c>
      <c r="F141" s="12">
        <v>29.019600000000001</v>
      </c>
      <c r="G141" s="6">
        <f>+F141-E141</f>
        <v>0</v>
      </c>
      <c r="H141" s="7">
        <f t="shared" si="45"/>
        <v>0</v>
      </c>
      <c r="I141" s="8">
        <v>45.165599999999998</v>
      </c>
      <c r="J141" s="9">
        <f t="shared" si="46"/>
        <v>45.165599999999998</v>
      </c>
      <c r="K141" s="3">
        <f t="shared" si="47"/>
        <v>0</v>
      </c>
      <c r="L141" s="7">
        <f t="shared" si="48"/>
        <v>0</v>
      </c>
      <c r="M141" t="s">
        <v>121</v>
      </c>
      <c r="O141" s="3">
        <f>E141-'315805 - P0824'!F141</f>
        <v>0</v>
      </c>
      <c r="P141" s="30">
        <f>I141-'315805 - P0824'!J141</f>
        <v>0</v>
      </c>
    </row>
    <row r="142" spans="1:16" x14ac:dyDescent="0.25">
      <c r="A142">
        <v>140</v>
      </c>
      <c r="C142" t="s">
        <v>8</v>
      </c>
      <c r="D142" s="4" t="s">
        <v>140</v>
      </c>
      <c r="E142" s="12">
        <v>34.819200000000002</v>
      </c>
      <c r="F142" s="12">
        <v>34.819200000000002</v>
      </c>
      <c r="G142" s="6">
        <f t="shared" si="44"/>
        <v>0</v>
      </c>
      <c r="H142" s="7">
        <f t="shared" si="45"/>
        <v>0</v>
      </c>
      <c r="I142" s="8">
        <v>54.205199999999998</v>
      </c>
      <c r="J142" s="9">
        <f t="shared" si="46"/>
        <v>54.205199999999998</v>
      </c>
      <c r="K142" s="3">
        <f t="shared" si="47"/>
        <v>0</v>
      </c>
      <c r="L142" s="7">
        <f t="shared" si="48"/>
        <v>0</v>
      </c>
      <c r="M142" t="s">
        <v>121</v>
      </c>
      <c r="O142" s="3">
        <f>E142-'315805 - P0824'!F142</f>
        <v>0</v>
      </c>
      <c r="P142" s="30">
        <f>I142-'315805 - P0824'!J142</f>
        <v>0</v>
      </c>
    </row>
    <row r="143" spans="1:16" x14ac:dyDescent="0.25">
      <c r="A143">
        <v>141</v>
      </c>
      <c r="C143" t="s">
        <v>8</v>
      </c>
      <c r="D143" s="4" t="s">
        <v>141</v>
      </c>
      <c r="E143" s="12">
        <v>7.7867999999999995</v>
      </c>
      <c r="F143" s="12">
        <v>7.7867999999999995</v>
      </c>
      <c r="G143" s="6">
        <f t="shared" si="44"/>
        <v>0</v>
      </c>
      <c r="H143" s="7">
        <f t="shared" si="45"/>
        <v>0</v>
      </c>
      <c r="I143" s="8">
        <v>11.102399999999999</v>
      </c>
      <c r="J143" s="9">
        <f t="shared" si="46"/>
        <v>11.102399999999999</v>
      </c>
      <c r="K143" s="3">
        <f t="shared" si="47"/>
        <v>0</v>
      </c>
      <c r="L143" s="7">
        <f t="shared" si="48"/>
        <v>0</v>
      </c>
      <c r="M143" t="s">
        <v>121</v>
      </c>
      <c r="O143" s="3">
        <f>E143-'315805 - P0824'!F143</f>
        <v>0</v>
      </c>
      <c r="P143" s="30">
        <f>I143-'315805 - P0824'!J143</f>
        <v>0</v>
      </c>
    </row>
    <row r="144" spans="1:16" x14ac:dyDescent="0.25">
      <c r="A144">
        <v>142</v>
      </c>
      <c r="C144" t="s">
        <v>8</v>
      </c>
      <c r="D144" s="4" t="s">
        <v>142</v>
      </c>
      <c r="E144" s="12">
        <v>12.0528</v>
      </c>
      <c r="F144" s="12">
        <v>12.0528</v>
      </c>
      <c r="G144" s="6">
        <f t="shared" si="44"/>
        <v>0</v>
      </c>
      <c r="H144" s="7">
        <f t="shared" si="45"/>
        <v>0</v>
      </c>
      <c r="I144" s="8">
        <v>16.880400000000002</v>
      </c>
      <c r="J144" s="9">
        <f t="shared" si="46"/>
        <v>16.880400000000002</v>
      </c>
      <c r="K144" s="3">
        <f t="shared" si="47"/>
        <v>0</v>
      </c>
      <c r="L144" s="7">
        <f t="shared" si="48"/>
        <v>0</v>
      </c>
      <c r="M144" t="s">
        <v>121</v>
      </c>
      <c r="O144" s="3">
        <f>E144-'315805 - P0824'!F144</f>
        <v>0</v>
      </c>
      <c r="P144" s="30">
        <f>I144-'315805 - P0824'!J144</f>
        <v>0</v>
      </c>
    </row>
    <row r="145" spans="1:16" x14ac:dyDescent="0.25">
      <c r="A145">
        <v>143</v>
      </c>
      <c r="C145" t="s">
        <v>8</v>
      </c>
      <c r="D145" s="4" t="s">
        <v>143</v>
      </c>
      <c r="E145" s="12">
        <v>18.0792</v>
      </c>
      <c r="F145" s="12">
        <v>18.0792</v>
      </c>
      <c r="G145" s="6">
        <f t="shared" si="44"/>
        <v>0</v>
      </c>
      <c r="H145" s="7">
        <f t="shared" si="45"/>
        <v>0</v>
      </c>
      <c r="I145" s="8">
        <v>25.315200000000004</v>
      </c>
      <c r="J145" s="9">
        <f t="shared" si="46"/>
        <v>25.315200000000004</v>
      </c>
      <c r="K145" s="3">
        <f t="shared" si="47"/>
        <v>0</v>
      </c>
      <c r="L145" s="7">
        <f t="shared" si="48"/>
        <v>0</v>
      </c>
      <c r="M145" t="s">
        <v>121</v>
      </c>
      <c r="O145" s="3">
        <f>E145-'315805 - P0824'!F145</f>
        <v>0</v>
      </c>
      <c r="P145" s="30">
        <f>I145-'315805 - P0824'!J145</f>
        <v>0</v>
      </c>
    </row>
    <row r="146" spans="1:16" x14ac:dyDescent="0.25">
      <c r="A146">
        <v>144</v>
      </c>
      <c r="C146" t="s">
        <v>8</v>
      </c>
      <c r="D146" s="4" t="s">
        <v>144</v>
      </c>
      <c r="E146" s="12">
        <v>24.094799999999999</v>
      </c>
      <c r="F146" s="12">
        <v>24.094799999999999</v>
      </c>
      <c r="G146" s="6">
        <f t="shared" si="44"/>
        <v>0</v>
      </c>
      <c r="H146" s="7">
        <f t="shared" si="45"/>
        <v>0</v>
      </c>
      <c r="I146" s="8">
        <v>35.531999999999996</v>
      </c>
      <c r="J146" s="9">
        <f t="shared" si="46"/>
        <v>35.531999999999996</v>
      </c>
      <c r="K146" s="3">
        <f t="shared" si="47"/>
        <v>0</v>
      </c>
      <c r="L146" s="7">
        <f t="shared" si="48"/>
        <v>0</v>
      </c>
      <c r="M146" t="s">
        <v>121</v>
      </c>
      <c r="O146" s="3">
        <f>E146-'315805 - P0824'!F146</f>
        <v>0</v>
      </c>
      <c r="P146" s="30">
        <f>I146-'315805 - P0824'!J146</f>
        <v>0</v>
      </c>
    </row>
    <row r="147" spans="1:16" x14ac:dyDescent="0.25">
      <c r="A147">
        <v>145</v>
      </c>
      <c r="C147" t="s">
        <v>8</v>
      </c>
      <c r="D147" s="4" t="s">
        <v>145</v>
      </c>
      <c r="E147" s="12">
        <v>33.706800000000001</v>
      </c>
      <c r="F147" s="12">
        <v>33.706800000000001</v>
      </c>
      <c r="G147" s="6">
        <f t="shared" si="44"/>
        <v>0</v>
      </c>
      <c r="H147" s="7">
        <f t="shared" si="45"/>
        <v>0</v>
      </c>
      <c r="I147" s="8">
        <v>52.433999999999997</v>
      </c>
      <c r="J147" s="9">
        <f t="shared" si="46"/>
        <v>52.433999999999997</v>
      </c>
      <c r="K147" s="3">
        <f t="shared" si="47"/>
        <v>0</v>
      </c>
      <c r="L147" s="7">
        <f t="shared" si="48"/>
        <v>0</v>
      </c>
      <c r="M147" t="s">
        <v>121</v>
      </c>
      <c r="O147" s="3">
        <f>E147-'315805 - P0824'!F147</f>
        <v>0</v>
      </c>
      <c r="P147" s="30">
        <f>I147-'315805 - P0824'!J147</f>
        <v>0</v>
      </c>
    </row>
    <row r="148" spans="1:16" x14ac:dyDescent="0.25">
      <c r="A148">
        <v>146</v>
      </c>
      <c r="C148" t="s">
        <v>8</v>
      </c>
      <c r="D148" s="4" t="s">
        <v>146</v>
      </c>
      <c r="E148" s="12">
        <v>40.456800000000001</v>
      </c>
      <c r="F148" s="12">
        <v>40.456800000000001</v>
      </c>
      <c r="G148" s="6">
        <f t="shared" si="44"/>
        <v>0</v>
      </c>
      <c r="H148" s="7">
        <f t="shared" si="45"/>
        <v>0</v>
      </c>
      <c r="I148" s="8">
        <v>62.91</v>
      </c>
      <c r="J148" s="9">
        <f t="shared" si="46"/>
        <v>62.91</v>
      </c>
      <c r="K148" s="3">
        <f t="shared" si="47"/>
        <v>0</v>
      </c>
      <c r="L148" s="7">
        <f t="shared" si="48"/>
        <v>0</v>
      </c>
      <c r="M148" t="s">
        <v>121</v>
      </c>
      <c r="O148" s="3">
        <f>E148-'315805 - P0824'!F148</f>
        <v>0</v>
      </c>
      <c r="P148" s="30">
        <f>I148-'315805 - P0824'!J148</f>
        <v>0</v>
      </c>
    </row>
    <row r="149" spans="1:16" x14ac:dyDescent="0.25">
      <c r="A149">
        <v>147</v>
      </c>
      <c r="C149" t="s">
        <v>8</v>
      </c>
      <c r="D149" s="4" t="s">
        <v>147</v>
      </c>
      <c r="E149" s="12">
        <v>7.0091999999999999</v>
      </c>
      <c r="F149" s="12">
        <v>7.0091999999999999</v>
      </c>
      <c r="G149" s="6">
        <f t="shared" si="44"/>
        <v>0</v>
      </c>
      <c r="H149" s="7">
        <f t="shared" si="45"/>
        <v>0</v>
      </c>
      <c r="I149" s="8">
        <v>10.471083890410959</v>
      </c>
      <c r="J149" s="9">
        <f t="shared" si="46"/>
        <v>10.471083890410959</v>
      </c>
      <c r="K149" s="3">
        <f t="shared" si="47"/>
        <v>0</v>
      </c>
      <c r="L149" s="7">
        <f t="shared" si="48"/>
        <v>0</v>
      </c>
      <c r="M149" t="s">
        <v>121</v>
      </c>
      <c r="O149" s="3">
        <f>E149-'315805 - P0824'!F149</f>
        <v>0</v>
      </c>
      <c r="P149" s="30">
        <f>I149-'315805 - P0824'!J149</f>
        <v>0</v>
      </c>
    </row>
    <row r="150" spans="1:16" x14ac:dyDescent="0.25">
      <c r="A150">
        <v>148</v>
      </c>
      <c r="C150" t="s">
        <v>8</v>
      </c>
      <c r="D150" s="4" t="s">
        <v>448</v>
      </c>
      <c r="E150" s="12">
        <v>6.97</v>
      </c>
      <c r="F150" s="12">
        <v>6.97</v>
      </c>
      <c r="G150" s="6">
        <f t="shared" si="44"/>
        <v>0</v>
      </c>
      <c r="H150" s="7">
        <f t="shared" si="45"/>
        <v>0</v>
      </c>
      <c r="I150" s="8">
        <v>8.7200000000000006</v>
      </c>
      <c r="J150" s="9">
        <f t="shared" si="46"/>
        <v>8.7200000000000006</v>
      </c>
      <c r="K150" s="3">
        <f t="shared" si="47"/>
        <v>0</v>
      </c>
      <c r="L150" s="7">
        <f t="shared" si="48"/>
        <v>0</v>
      </c>
      <c r="M150" t="s">
        <v>121</v>
      </c>
      <c r="O150" s="3">
        <f>E150-'315805 - P0824'!F150</f>
        <v>0</v>
      </c>
      <c r="P150" s="30">
        <f>I150-'315805 - P0824'!J150</f>
        <v>0</v>
      </c>
    </row>
    <row r="151" spans="1:16" x14ac:dyDescent="0.25">
      <c r="A151">
        <v>149</v>
      </c>
      <c r="C151" t="s">
        <v>8</v>
      </c>
      <c r="D151" s="4" t="s">
        <v>449</v>
      </c>
      <c r="E151" s="12">
        <v>8.33</v>
      </c>
      <c r="F151" s="12">
        <v>8.33</v>
      </c>
      <c r="G151" s="6">
        <f t="shared" si="44"/>
        <v>0</v>
      </c>
      <c r="H151" s="7">
        <f t="shared" si="45"/>
        <v>0</v>
      </c>
      <c r="I151" s="8">
        <v>10.42</v>
      </c>
      <c r="J151" s="9">
        <f t="shared" si="46"/>
        <v>10.42</v>
      </c>
      <c r="K151" s="3">
        <f t="shared" si="47"/>
        <v>0</v>
      </c>
      <c r="L151" s="7">
        <f t="shared" si="48"/>
        <v>0</v>
      </c>
      <c r="M151" t="s">
        <v>121</v>
      </c>
      <c r="O151" s="3">
        <f>E151-'315805 - P0824'!F151</f>
        <v>0</v>
      </c>
      <c r="P151" s="30">
        <f>I151-'315805 - P0824'!J151</f>
        <v>0</v>
      </c>
    </row>
    <row r="152" spans="1:16" x14ac:dyDescent="0.25">
      <c r="A152">
        <v>150</v>
      </c>
      <c r="C152" t="s">
        <v>8</v>
      </c>
      <c r="D152" s="4" t="s">
        <v>450</v>
      </c>
      <c r="E152" s="12">
        <v>12.49</v>
      </c>
      <c r="F152" s="12">
        <v>12.49</v>
      </c>
      <c r="G152" s="6">
        <f t="shared" si="44"/>
        <v>0</v>
      </c>
      <c r="H152" s="7">
        <f t="shared" si="45"/>
        <v>0</v>
      </c>
      <c r="I152" s="8">
        <v>15.62</v>
      </c>
      <c r="J152" s="9">
        <f t="shared" si="46"/>
        <v>15.62</v>
      </c>
      <c r="K152" s="3">
        <f t="shared" si="47"/>
        <v>0</v>
      </c>
      <c r="L152" s="7">
        <f t="shared" si="48"/>
        <v>0</v>
      </c>
      <c r="M152" t="s">
        <v>121</v>
      </c>
      <c r="O152" s="3">
        <f>E152-'315805 - P0824'!F152</f>
        <v>0</v>
      </c>
      <c r="P152" s="30">
        <f>I152-'315805 - P0824'!J152</f>
        <v>0</v>
      </c>
    </row>
    <row r="153" spans="1:16" x14ac:dyDescent="0.25">
      <c r="A153">
        <v>151</v>
      </c>
      <c r="C153" t="s">
        <v>8</v>
      </c>
      <c r="D153" s="4" t="s">
        <v>451</v>
      </c>
      <c r="E153" s="12">
        <v>16.27</v>
      </c>
      <c r="F153" s="12">
        <v>16.27</v>
      </c>
      <c r="G153" s="6">
        <f t="shared" si="44"/>
        <v>0</v>
      </c>
      <c r="H153" s="7">
        <f t="shared" si="45"/>
        <v>0</v>
      </c>
      <c r="I153" s="8">
        <v>21.41</v>
      </c>
      <c r="J153" s="9">
        <f t="shared" si="46"/>
        <v>21.41</v>
      </c>
      <c r="K153" s="3">
        <f t="shared" si="47"/>
        <v>0</v>
      </c>
      <c r="L153" s="7">
        <f t="shared" si="48"/>
        <v>0</v>
      </c>
      <c r="M153" t="s">
        <v>121</v>
      </c>
      <c r="O153" s="3">
        <f>E153-'315805 - P0824'!F153</f>
        <v>0</v>
      </c>
      <c r="P153" s="30">
        <f>I153-'315805 - P0824'!J153</f>
        <v>0</v>
      </c>
    </row>
    <row r="154" spans="1:16" x14ac:dyDescent="0.25">
      <c r="A154">
        <v>152</v>
      </c>
      <c r="C154" t="s">
        <v>8</v>
      </c>
      <c r="D154" s="4" t="s">
        <v>452</v>
      </c>
      <c r="E154" s="12">
        <v>20.329999999999998</v>
      </c>
      <c r="F154" s="12">
        <v>20.329999999999998</v>
      </c>
      <c r="G154" s="6">
        <f>+F154-E154</f>
        <v>0</v>
      </c>
      <c r="H154" s="7">
        <f t="shared" si="45"/>
        <v>0</v>
      </c>
      <c r="I154" s="8">
        <v>28.24</v>
      </c>
      <c r="J154" s="9">
        <f t="shared" si="46"/>
        <v>28.24</v>
      </c>
      <c r="K154" s="3">
        <f t="shared" si="47"/>
        <v>0</v>
      </c>
      <c r="L154" s="7">
        <f t="shared" si="48"/>
        <v>0</v>
      </c>
      <c r="M154" t="s">
        <v>121</v>
      </c>
      <c r="O154" s="3">
        <f>E154-'315805 - P0824'!F154</f>
        <v>0</v>
      </c>
      <c r="P154" s="30">
        <f>I154-'315805 - P0824'!J154</f>
        <v>0</v>
      </c>
    </row>
    <row r="155" spans="1:16" x14ac:dyDescent="0.25">
      <c r="A155">
        <v>153</v>
      </c>
      <c r="C155" t="s">
        <v>8</v>
      </c>
      <c r="D155" s="4" t="s">
        <v>453</v>
      </c>
      <c r="E155" s="12">
        <v>24.4</v>
      </c>
      <c r="F155" s="12">
        <v>24.4</v>
      </c>
      <c r="G155" s="6">
        <f t="shared" ref="G155" si="49">+F155-E155</f>
        <v>0</v>
      </c>
      <c r="H155" s="7">
        <f t="shared" si="45"/>
        <v>0</v>
      </c>
      <c r="I155" s="8">
        <v>33.89</v>
      </c>
      <c r="J155" s="9">
        <f t="shared" si="46"/>
        <v>33.89</v>
      </c>
      <c r="K155" s="3">
        <f t="shared" si="47"/>
        <v>0</v>
      </c>
      <c r="L155" s="7">
        <f t="shared" si="48"/>
        <v>0</v>
      </c>
      <c r="M155" t="s">
        <v>121</v>
      </c>
      <c r="O155" s="3">
        <f>E155-'315805 - P0824'!F155</f>
        <v>0</v>
      </c>
      <c r="P155" s="30">
        <f>I155-'315805 - P0824'!J155</f>
        <v>0</v>
      </c>
    </row>
    <row r="156" spans="1:16" x14ac:dyDescent="0.25">
      <c r="A156">
        <v>154</v>
      </c>
      <c r="D156" s="34" t="s">
        <v>148</v>
      </c>
      <c r="F156" s="15"/>
      <c r="H156" s="10">
        <f>AVERAGE(H123:H149)</f>
        <v>0</v>
      </c>
      <c r="I156"/>
    </row>
    <row r="157" spans="1:16" x14ac:dyDescent="0.25">
      <c r="A157">
        <v>155</v>
      </c>
      <c r="D157" s="34" t="s">
        <v>149</v>
      </c>
      <c r="I157"/>
      <c r="M157" t="s">
        <v>150</v>
      </c>
    </row>
    <row r="158" spans="1:16" x14ac:dyDescent="0.25">
      <c r="A158">
        <v>156</v>
      </c>
      <c r="C158" t="s">
        <v>8</v>
      </c>
      <c r="D158" s="4" t="s">
        <v>151</v>
      </c>
      <c r="E158" s="12">
        <v>37.49</v>
      </c>
      <c r="F158" s="12">
        <v>37.49</v>
      </c>
      <c r="G158" s="6">
        <f t="shared" ref="G158:G164" si="50">+F158-E158</f>
        <v>0</v>
      </c>
      <c r="H158" s="7">
        <f t="shared" ref="H158:H164" si="51">(F158-E158)/ABS(E158)</f>
        <v>0</v>
      </c>
      <c r="I158" s="12">
        <v>40.250769230769222</v>
      </c>
      <c r="J158" s="12">
        <f t="shared" ref="J158:J164" si="52">(I158*H158)+I158</f>
        <v>40.250769230769222</v>
      </c>
      <c r="K158" s="3">
        <f t="shared" ref="K158:K164" si="53">J158-I158</f>
        <v>0</v>
      </c>
      <c r="L158" s="7">
        <f t="shared" ref="L158:L164" si="54">(J158-I158)/ABS(I158)</f>
        <v>0</v>
      </c>
      <c r="M158" t="s">
        <v>150</v>
      </c>
      <c r="O158" s="3">
        <f>E158-'315805 - P0824'!F158</f>
        <v>0</v>
      </c>
      <c r="P158" s="30">
        <f>I158-'315805 - P0824'!J158</f>
        <v>0</v>
      </c>
    </row>
    <row r="159" spans="1:16" x14ac:dyDescent="0.25">
      <c r="A159">
        <v>157</v>
      </c>
      <c r="C159" t="s">
        <v>8</v>
      </c>
      <c r="D159" s="4" t="s">
        <v>152</v>
      </c>
      <c r="E159" s="12">
        <v>6.1</v>
      </c>
      <c r="F159" s="12">
        <v>6.1</v>
      </c>
      <c r="G159" s="6">
        <f t="shared" si="50"/>
        <v>0</v>
      </c>
      <c r="H159" s="7">
        <f t="shared" si="51"/>
        <v>0</v>
      </c>
      <c r="I159" s="12">
        <v>13.248680851063828</v>
      </c>
      <c r="J159" s="12">
        <f t="shared" si="52"/>
        <v>13.248680851063828</v>
      </c>
      <c r="K159" s="3">
        <f t="shared" si="53"/>
        <v>0</v>
      </c>
      <c r="L159" s="7">
        <f t="shared" si="54"/>
        <v>0</v>
      </c>
      <c r="M159" t="s">
        <v>150</v>
      </c>
      <c r="O159" s="3">
        <f>E159-'315805 - P0824'!F159</f>
        <v>0</v>
      </c>
      <c r="P159" s="30">
        <f>I159-'315805 - P0824'!J159</f>
        <v>0</v>
      </c>
    </row>
    <row r="160" spans="1:16" x14ac:dyDescent="0.25">
      <c r="A160">
        <v>158</v>
      </c>
      <c r="C160" t="s">
        <v>8</v>
      </c>
      <c r="D160" s="4" t="s">
        <v>153</v>
      </c>
      <c r="E160" s="12">
        <v>11.16</v>
      </c>
      <c r="F160" s="12">
        <v>11.16</v>
      </c>
      <c r="G160" s="6">
        <f t="shared" si="50"/>
        <v>0</v>
      </c>
      <c r="H160" s="7">
        <f t="shared" si="51"/>
        <v>0</v>
      </c>
      <c r="I160" s="12">
        <v>22.971018518518513</v>
      </c>
      <c r="J160" s="12">
        <f t="shared" si="52"/>
        <v>22.971018518518513</v>
      </c>
      <c r="K160" s="3">
        <f t="shared" si="53"/>
        <v>0</v>
      </c>
      <c r="L160" s="7">
        <f t="shared" si="54"/>
        <v>0</v>
      </c>
      <c r="M160" t="s">
        <v>150</v>
      </c>
      <c r="O160" s="3">
        <f>E160-'315805 - P0824'!F160</f>
        <v>0</v>
      </c>
      <c r="P160" s="30">
        <f>I160-'315805 - P0824'!J160</f>
        <v>0</v>
      </c>
    </row>
    <row r="161" spans="1:16" x14ac:dyDescent="0.25">
      <c r="A161">
        <v>159</v>
      </c>
      <c r="D161" s="4" t="s">
        <v>154</v>
      </c>
      <c r="E161" s="12">
        <v>6.8040000000000003</v>
      </c>
      <c r="F161" s="12">
        <v>6.8040000000000003</v>
      </c>
      <c r="G161" s="6">
        <f t="shared" si="50"/>
        <v>0</v>
      </c>
      <c r="H161" s="7">
        <f t="shared" si="51"/>
        <v>0</v>
      </c>
      <c r="I161" s="12">
        <v>22.285410234150319</v>
      </c>
      <c r="J161" s="12">
        <f t="shared" si="52"/>
        <v>22.285410234150319</v>
      </c>
      <c r="K161" s="3">
        <f t="shared" si="53"/>
        <v>0</v>
      </c>
      <c r="L161" s="7">
        <f t="shared" si="54"/>
        <v>0</v>
      </c>
      <c r="M161" t="s">
        <v>150</v>
      </c>
      <c r="O161" s="3">
        <f>E161-'315805 - P0824'!F161</f>
        <v>0</v>
      </c>
      <c r="P161" s="30">
        <f>I161-'315805 - P0824'!J161</f>
        <v>0</v>
      </c>
    </row>
    <row r="162" spans="1:16" x14ac:dyDescent="0.25">
      <c r="A162">
        <v>160</v>
      </c>
      <c r="C162" t="s">
        <v>8</v>
      </c>
      <c r="D162" s="4" t="s">
        <v>155</v>
      </c>
      <c r="E162" s="12">
        <v>18.05</v>
      </c>
      <c r="F162" s="12">
        <v>18.05</v>
      </c>
      <c r="G162" s="6">
        <f t="shared" si="50"/>
        <v>0</v>
      </c>
      <c r="H162" s="7">
        <f t="shared" si="51"/>
        <v>0</v>
      </c>
      <c r="I162" s="12">
        <v>28.933702479338844</v>
      </c>
      <c r="J162" s="12">
        <f t="shared" si="52"/>
        <v>28.933702479338844</v>
      </c>
      <c r="K162" s="3">
        <f t="shared" si="53"/>
        <v>0</v>
      </c>
      <c r="L162" s="7">
        <f t="shared" si="54"/>
        <v>0</v>
      </c>
      <c r="M162" t="s">
        <v>150</v>
      </c>
      <c r="O162" s="3">
        <f>E162-'315805 - P0824'!F162</f>
        <v>0</v>
      </c>
      <c r="P162" s="30">
        <f>I162-'315805 - P0824'!J162</f>
        <v>0</v>
      </c>
    </row>
    <row r="163" spans="1:16" x14ac:dyDescent="0.25">
      <c r="A163">
        <v>161</v>
      </c>
      <c r="D163" s="4" t="s">
        <v>156</v>
      </c>
      <c r="E163" s="12">
        <v>0.4</v>
      </c>
      <c r="F163" s="12">
        <v>0.4</v>
      </c>
      <c r="G163" s="6">
        <f t="shared" si="50"/>
        <v>0</v>
      </c>
      <c r="H163" s="7">
        <f t="shared" si="51"/>
        <v>0</v>
      </c>
      <c r="I163" s="12">
        <v>1.1076923076923078</v>
      </c>
      <c r="J163" s="12">
        <f t="shared" si="52"/>
        <v>1.1076923076923078</v>
      </c>
      <c r="K163" s="3">
        <f t="shared" si="53"/>
        <v>0</v>
      </c>
      <c r="L163" s="7">
        <f t="shared" si="54"/>
        <v>0</v>
      </c>
      <c r="M163" t="s">
        <v>150</v>
      </c>
      <c r="O163" s="3">
        <f>E163-'315805 - P0824'!F163</f>
        <v>0</v>
      </c>
      <c r="P163" s="30">
        <f>I163-'315805 - P0824'!J163</f>
        <v>0</v>
      </c>
    </row>
    <row r="164" spans="1:16" x14ac:dyDescent="0.25">
      <c r="A164">
        <v>162</v>
      </c>
      <c r="C164" t="s">
        <v>8</v>
      </c>
      <c r="D164" s="4" t="s">
        <v>157</v>
      </c>
      <c r="E164" s="12">
        <v>5.99</v>
      </c>
      <c r="F164" s="12">
        <v>5.99</v>
      </c>
      <c r="G164" s="6">
        <f t="shared" si="50"/>
        <v>0</v>
      </c>
      <c r="H164" s="7">
        <f t="shared" si="51"/>
        <v>0</v>
      </c>
      <c r="I164" s="12">
        <v>10.65</v>
      </c>
      <c r="J164" s="12">
        <f t="shared" si="52"/>
        <v>10.65</v>
      </c>
      <c r="K164" s="3">
        <f t="shared" si="53"/>
        <v>0</v>
      </c>
      <c r="L164" s="7">
        <f t="shared" si="54"/>
        <v>0</v>
      </c>
      <c r="M164" t="s">
        <v>150</v>
      </c>
      <c r="O164" s="3">
        <f>E164-'315805 - P0824'!F164</f>
        <v>0</v>
      </c>
      <c r="P164" s="30">
        <f>I164-'315805 - P0824'!J164</f>
        <v>0</v>
      </c>
    </row>
    <row r="165" spans="1:16" x14ac:dyDescent="0.25">
      <c r="A165">
        <v>163</v>
      </c>
      <c r="D165" s="34" t="s">
        <v>158</v>
      </c>
      <c r="H165" s="10">
        <f>AVERAGE(H158:H163)</f>
        <v>0</v>
      </c>
      <c r="I165"/>
    </row>
    <row r="166" spans="1:16" x14ac:dyDescent="0.25">
      <c r="A166">
        <v>164</v>
      </c>
      <c r="D166" s="34" t="s">
        <v>159</v>
      </c>
      <c r="I166"/>
    </row>
    <row r="167" spans="1:16" x14ac:dyDescent="0.25">
      <c r="A167">
        <v>165</v>
      </c>
      <c r="C167" t="s">
        <v>8</v>
      </c>
      <c r="D167" s="4" t="s">
        <v>160</v>
      </c>
      <c r="E167" s="5">
        <v>3.34</v>
      </c>
      <c r="F167" s="5">
        <v>3.34</v>
      </c>
      <c r="G167" s="6">
        <f t="shared" ref="G167:G191" si="55">+F167-E167</f>
        <v>0</v>
      </c>
      <c r="H167" s="7">
        <f t="shared" ref="H167:H191" si="56">(F167-E167)/ABS(E167)</f>
        <v>0</v>
      </c>
      <c r="I167" s="8">
        <v>6.1290657389972267</v>
      </c>
      <c r="J167" s="9">
        <f t="shared" ref="J167:J191" si="57">(I167*H167)+I167</f>
        <v>6.1290657389972267</v>
      </c>
      <c r="K167" s="3">
        <f t="shared" ref="K167:K191" si="58">J167-I167</f>
        <v>0</v>
      </c>
      <c r="L167" s="7">
        <f t="shared" ref="L167:L191" si="59">(J167-I167)/ABS(I167)</f>
        <v>0</v>
      </c>
      <c r="M167" t="s">
        <v>150</v>
      </c>
      <c r="O167" s="3">
        <f>E167-'315805 - P0824'!F167</f>
        <v>0</v>
      </c>
      <c r="P167" s="30">
        <f>I167-'315805 - P0824'!J167</f>
        <v>0</v>
      </c>
    </row>
    <row r="168" spans="1:16" x14ac:dyDescent="0.25">
      <c r="A168">
        <v>166</v>
      </c>
      <c r="C168" t="s">
        <v>8</v>
      </c>
      <c r="D168" s="4" t="s">
        <v>161</v>
      </c>
      <c r="E168" s="5">
        <v>5.01</v>
      </c>
      <c r="F168" s="5">
        <v>5.01</v>
      </c>
      <c r="G168" s="6">
        <f t="shared" si="55"/>
        <v>0</v>
      </c>
      <c r="H168" s="7">
        <f t="shared" si="56"/>
        <v>0</v>
      </c>
      <c r="I168" s="8">
        <v>10.644195465054626</v>
      </c>
      <c r="J168" s="9">
        <f t="shared" si="57"/>
        <v>10.644195465054626</v>
      </c>
      <c r="K168" s="3">
        <f t="shared" si="58"/>
        <v>0</v>
      </c>
      <c r="L168" s="7">
        <f t="shared" si="59"/>
        <v>0</v>
      </c>
      <c r="M168" t="s">
        <v>150</v>
      </c>
      <c r="O168" s="3">
        <f>E168-'315805 - P0824'!F168</f>
        <v>0</v>
      </c>
      <c r="P168" s="30">
        <f>I168-'315805 - P0824'!J168</f>
        <v>0</v>
      </c>
    </row>
    <row r="169" spans="1:16" x14ac:dyDescent="0.25">
      <c r="A169">
        <v>167</v>
      </c>
      <c r="C169" t="s">
        <v>8</v>
      </c>
      <c r="D169" s="4" t="s">
        <v>162</v>
      </c>
      <c r="E169" s="5">
        <v>3.47</v>
      </c>
      <c r="F169" s="5">
        <v>3.47</v>
      </c>
      <c r="G169" s="6">
        <f t="shared" si="55"/>
        <v>0</v>
      </c>
      <c r="H169" s="7">
        <f t="shared" si="56"/>
        <v>0</v>
      </c>
      <c r="I169" s="8">
        <v>4.7733355738018091</v>
      </c>
      <c r="J169" s="9">
        <f t="shared" si="57"/>
        <v>4.7733355738018091</v>
      </c>
      <c r="K169" s="3">
        <f t="shared" si="58"/>
        <v>0</v>
      </c>
      <c r="L169" s="7">
        <f t="shared" si="59"/>
        <v>0</v>
      </c>
      <c r="M169" t="s">
        <v>150</v>
      </c>
      <c r="O169" s="3">
        <f>E169-'315805 - P0824'!F169</f>
        <v>0</v>
      </c>
      <c r="P169" s="30">
        <f>I169-'315805 - P0824'!J169</f>
        <v>0</v>
      </c>
    </row>
    <row r="170" spans="1:16" x14ac:dyDescent="0.25">
      <c r="A170">
        <v>168</v>
      </c>
      <c r="C170" t="s">
        <v>8</v>
      </c>
      <c r="D170" s="4" t="s">
        <v>163</v>
      </c>
      <c r="E170" s="5">
        <v>13.87</v>
      </c>
      <c r="F170" s="5">
        <v>13.87</v>
      </c>
      <c r="G170" s="6">
        <f t="shared" si="55"/>
        <v>0</v>
      </c>
      <c r="H170" s="7">
        <f t="shared" si="56"/>
        <v>0</v>
      </c>
      <c r="I170" s="8">
        <v>18.526710428216624</v>
      </c>
      <c r="J170" s="9">
        <f t="shared" si="57"/>
        <v>18.526710428216624</v>
      </c>
      <c r="K170" s="3">
        <f t="shared" si="58"/>
        <v>0</v>
      </c>
      <c r="L170" s="7">
        <f t="shared" si="59"/>
        <v>0</v>
      </c>
      <c r="M170" t="s">
        <v>150</v>
      </c>
      <c r="O170" s="3">
        <f>E170-'315805 - P0824'!F170</f>
        <v>0</v>
      </c>
      <c r="P170" s="30">
        <f>I170-'315805 - P0824'!J170</f>
        <v>0</v>
      </c>
    </row>
    <row r="171" spans="1:16" x14ac:dyDescent="0.25">
      <c r="A171">
        <v>169</v>
      </c>
      <c r="C171" t="s">
        <v>8</v>
      </c>
      <c r="D171" s="4" t="s">
        <v>164</v>
      </c>
      <c r="E171" s="5">
        <v>1300</v>
      </c>
      <c r="F171" s="5">
        <v>1300</v>
      </c>
      <c r="G171" s="6">
        <f t="shared" si="55"/>
        <v>0</v>
      </c>
      <c r="H171" s="7">
        <f t="shared" si="56"/>
        <v>0</v>
      </c>
      <c r="I171" s="8">
        <v>29.247408939808338</v>
      </c>
      <c r="J171" s="9">
        <f t="shared" si="57"/>
        <v>29.247408939808338</v>
      </c>
      <c r="K171" s="3">
        <f t="shared" si="58"/>
        <v>0</v>
      </c>
      <c r="L171" s="7">
        <f t="shared" si="59"/>
        <v>0</v>
      </c>
      <c r="M171" t="s">
        <v>150</v>
      </c>
      <c r="O171" s="3">
        <f>E171-'315805 - P0824'!F171</f>
        <v>0</v>
      </c>
      <c r="P171" s="30">
        <f>I171-'315805 - P0824'!J171</f>
        <v>0</v>
      </c>
    </row>
    <row r="172" spans="1:16" x14ac:dyDescent="0.25">
      <c r="A172">
        <v>170</v>
      </c>
      <c r="C172" t="s">
        <v>8</v>
      </c>
      <c r="D172" s="4" t="s">
        <v>165</v>
      </c>
      <c r="E172" s="5">
        <v>1300</v>
      </c>
      <c r="F172" s="5">
        <v>1300</v>
      </c>
      <c r="G172" s="6">
        <f t="shared" si="55"/>
        <v>0</v>
      </c>
      <c r="H172" s="7">
        <f t="shared" si="56"/>
        <v>0</v>
      </c>
      <c r="I172" s="8">
        <v>1874.2587429242276</v>
      </c>
      <c r="J172" s="9">
        <f t="shared" si="57"/>
        <v>1874.2587429242276</v>
      </c>
      <c r="K172" s="3">
        <f t="shared" si="58"/>
        <v>0</v>
      </c>
      <c r="L172" s="7">
        <f t="shared" si="59"/>
        <v>0</v>
      </c>
      <c r="M172" t="s">
        <v>150</v>
      </c>
      <c r="O172" s="3">
        <f>E172-'315805 - P0824'!F172</f>
        <v>0</v>
      </c>
      <c r="P172" s="30">
        <f>I172-'315805 - P0824'!J172</f>
        <v>0</v>
      </c>
    </row>
    <row r="173" spans="1:16" x14ac:dyDescent="0.25">
      <c r="A173">
        <v>171</v>
      </c>
      <c r="C173" t="s">
        <v>8</v>
      </c>
      <c r="D173" s="4" t="s">
        <v>166</v>
      </c>
      <c r="E173" s="5">
        <v>18.45</v>
      </c>
      <c r="F173" s="5">
        <v>18.45</v>
      </c>
      <c r="G173" s="6">
        <f t="shared" si="55"/>
        <v>0</v>
      </c>
      <c r="H173" s="7">
        <f t="shared" si="56"/>
        <v>0</v>
      </c>
      <c r="I173" s="8">
        <v>28.75</v>
      </c>
      <c r="J173" s="9">
        <f t="shared" si="57"/>
        <v>28.75</v>
      </c>
      <c r="K173" s="3">
        <f t="shared" si="58"/>
        <v>0</v>
      </c>
      <c r="L173" s="7">
        <f t="shared" si="59"/>
        <v>0</v>
      </c>
      <c r="M173" t="s">
        <v>150</v>
      </c>
      <c r="O173" s="3">
        <f>E173-'315805 - P0824'!F173</f>
        <v>0</v>
      </c>
      <c r="P173" s="30">
        <f>I173-'315805 - P0824'!J173</f>
        <v>0</v>
      </c>
    </row>
    <row r="174" spans="1:16" x14ac:dyDescent="0.25">
      <c r="A174">
        <v>172</v>
      </c>
      <c r="C174" t="s">
        <v>8</v>
      </c>
      <c r="D174" s="4" t="s">
        <v>167</v>
      </c>
      <c r="E174" s="11">
        <v>4.0199999999999996</v>
      </c>
      <c r="F174" s="11">
        <v>4.0199999999999996</v>
      </c>
      <c r="G174" s="6">
        <f t="shared" si="55"/>
        <v>0</v>
      </c>
      <c r="H174" s="7">
        <f t="shared" si="56"/>
        <v>0</v>
      </c>
      <c r="I174" s="8">
        <v>15.098612891135524</v>
      </c>
      <c r="J174" s="9">
        <f t="shared" si="57"/>
        <v>15.098612891135524</v>
      </c>
      <c r="K174" s="3">
        <f t="shared" si="58"/>
        <v>0</v>
      </c>
      <c r="L174" s="7">
        <f t="shared" si="59"/>
        <v>0</v>
      </c>
      <c r="M174" t="s">
        <v>150</v>
      </c>
      <c r="O174" s="3">
        <f>E174-'315805 - P0824'!F174</f>
        <v>0</v>
      </c>
      <c r="P174" s="30">
        <f>I174-'315805 - P0824'!J174</f>
        <v>0</v>
      </c>
    </row>
    <row r="175" spans="1:16" x14ac:dyDescent="0.25">
      <c r="A175">
        <v>173</v>
      </c>
      <c r="C175" t="s">
        <v>8</v>
      </c>
      <c r="D175" s="4" t="s">
        <v>168</v>
      </c>
      <c r="E175" s="11">
        <v>0.59</v>
      </c>
      <c r="F175" s="11">
        <v>0.59</v>
      </c>
      <c r="G175" s="6">
        <f t="shared" si="55"/>
        <v>0</v>
      </c>
      <c r="H175" s="7">
        <f t="shared" si="56"/>
        <v>0</v>
      </c>
      <c r="I175" s="8">
        <v>2.1049549224666428</v>
      </c>
      <c r="J175" s="9">
        <f t="shared" si="57"/>
        <v>2.1049549224666428</v>
      </c>
      <c r="K175" s="3">
        <f t="shared" si="58"/>
        <v>0</v>
      </c>
      <c r="L175" s="7">
        <f t="shared" si="59"/>
        <v>0</v>
      </c>
      <c r="M175" t="s">
        <v>150</v>
      </c>
      <c r="O175" s="3">
        <f>E175-'315805 - P0824'!F175</f>
        <v>0</v>
      </c>
      <c r="P175" s="30">
        <f>I175-'315805 - P0824'!J175</f>
        <v>0</v>
      </c>
    </row>
    <row r="176" spans="1:16" x14ac:dyDescent="0.25">
      <c r="A176">
        <v>174</v>
      </c>
      <c r="C176" t="s">
        <v>8</v>
      </c>
      <c r="D176" s="4" t="s">
        <v>169</v>
      </c>
      <c r="E176" s="11">
        <v>0.63</v>
      </c>
      <c r="F176" s="11">
        <v>0.63</v>
      </c>
      <c r="G176" s="6">
        <f t="shared" si="55"/>
        <v>0</v>
      </c>
      <c r="H176" s="7">
        <f t="shared" si="56"/>
        <v>0</v>
      </c>
      <c r="I176" s="8">
        <v>1.9152</v>
      </c>
      <c r="J176" s="9">
        <f t="shared" si="57"/>
        <v>1.9152</v>
      </c>
      <c r="K176" s="3">
        <f t="shared" si="58"/>
        <v>0</v>
      </c>
      <c r="L176" s="7">
        <f t="shared" si="59"/>
        <v>0</v>
      </c>
      <c r="M176" t="s">
        <v>150</v>
      </c>
      <c r="O176" s="3">
        <f>E176-'315805 - P0824'!F176</f>
        <v>0</v>
      </c>
      <c r="P176" s="30">
        <f>I176-'315805 - P0824'!J176</f>
        <v>0</v>
      </c>
    </row>
    <row r="177" spans="1:16" x14ac:dyDescent="0.25">
      <c r="A177">
        <v>175</v>
      </c>
      <c r="C177" t="s">
        <v>8</v>
      </c>
      <c r="D177" s="4" t="s">
        <v>461</v>
      </c>
      <c r="E177" s="11">
        <v>29</v>
      </c>
      <c r="F177" s="11">
        <v>29</v>
      </c>
      <c r="G177" s="6">
        <f t="shared" si="55"/>
        <v>0</v>
      </c>
      <c r="H177" s="7">
        <f t="shared" si="56"/>
        <v>0</v>
      </c>
      <c r="I177" s="8">
        <v>45.490196078431374</v>
      </c>
      <c r="J177" s="9">
        <f t="shared" si="57"/>
        <v>45.490196078431374</v>
      </c>
      <c r="K177" s="3">
        <f t="shared" si="58"/>
        <v>0</v>
      </c>
      <c r="L177" s="7">
        <f t="shared" si="59"/>
        <v>0</v>
      </c>
      <c r="M177" t="s">
        <v>150</v>
      </c>
      <c r="O177" s="3">
        <f>E177-'315805 - P0824'!F177</f>
        <v>0</v>
      </c>
      <c r="P177" s="30">
        <f>I177-'315805 - P0824'!J177</f>
        <v>0</v>
      </c>
    </row>
    <row r="178" spans="1:16" x14ac:dyDescent="0.25">
      <c r="A178">
        <v>176</v>
      </c>
      <c r="C178" t="s">
        <v>8</v>
      </c>
      <c r="D178" s="4" t="s">
        <v>170</v>
      </c>
      <c r="E178" s="11">
        <v>35.4</v>
      </c>
      <c r="F178" s="11">
        <v>35.4</v>
      </c>
      <c r="G178" s="6">
        <f t="shared" si="55"/>
        <v>0</v>
      </c>
      <c r="H178" s="7">
        <f t="shared" si="56"/>
        <v>0</v>
      </c>
      <c r="I178" s="8">
        <v>21.717791411042946</v>
      </c>
      <c r="J178" s="9">
        <f t="shared" si="57"/>
        <v>21.717791411042946</v>
      </c>
      <c r="K178" s="3">
        <f t="shared" si="58"/>
        <v>0</v>
      </c>
      <c r="L178" s="7">
        <f t="shared" si="59"/>
        <v>0</v>
      </c>
      <c r="M178" t="s">
        <v>150</v>
      </c>
      <c r="O178" s="3">
        <f>E178-'315805 - P0824'!F178</f>
        <v>0</v>
      </c>
      <c r="P178" s="30">
        <f>I178-'315805 - P0824'!J178</f>
        <v>0</v>
      </c>
    </row>
    <row r="179" spans="1:16" x14ac:dyDescent="0.25">
      <c r="A179">
        <v>177</v>
      </c>
      <c r="C179" t="s">
        <v>8</v>
      </c>
      <c r="D179" s="4" t="s">
        <v>171</v>
      </c>
      <c r="E179" s="11">
        <v>29.3</v>
      </c>
      <c r="F179" s="11">
        <v>29.3</v>
      </c>
      <c r="G179" s="6">
        <f t="shared" si="55"/>
        <v>0</v>
      </c>
      <c r="H179" s="7">
        <f t="shared" si="56"/>
        <v>0</v>
      </c>
      <c r="I179" s="8">
        <v>20</v>
      </c>
      <c r="J179" s="9">
        <f t="shared" si="57"/>
        <v>20</v>
      </c>
      <c r="K179" s="3">
        <f t="shared" si="58"/>
        <v>0</v>
      </c>
      <c r="L179" s="7">
        <f t="shared" si="59"/>
        <v>0</v>
      </c>
      <c r="M179" t="s">
        <v>150</v>
      </c>
      <c r="O179" s="3">
        <f>E179-'315805 - P0824'!F179</f>
        <v>0</v>
      </c>
      <c r="P179" s="30">
        <f>I179-'315805 - P0824'!J179</f>
        <v>0</v>
      </c>
    </row>
    <row r="180" spans="1:16" x14ac:dyDescent="0.25">
      <c r="A180">
        <v>178</v>
      </c>
      <c r="C180" t="s">
        <v>8</v>
      </c>
      <c r="D180" s="4" t="s">
        <v>172</v>
      </c>
      <c r="E180" s="11">
        <v>24.2</v>
      </c>
      <c r="F180" s="11">
        <v>24.2</v>
      </c>
      <c r="G180" s="6">
        <f t="shared" si="55"/>
        <v>0</v>
      </c>
      <c r="H180" s="7">
        <f t="shared" si="56"/>
        <v>0</v>
      </c>
      <c r="I180" s="8">
        <v>20</v>
      </c>
      <c r="J180" s="9">
        <f t="shared" si="57"/>
        <v>20</v>
      </c>
      <c r="K180" s="3">
        <f t="shared" si="58"/>
        <v>0</v>
      </c>
      <c r="L180" s="7">
        <f t="shared" si="59"/>
        <v>0</v>
      </c>
      <c r="M180" t="s">
        <v>150</v>
      </c>
      <c r="O180" s="3">
        <f>E180-'315805 - P0824'!F180</f>
        <v>0</v>
      </c>
      <c r="P180" s="30">
        <f>I180-'315805 - P0824'!J180</f>
        <v>0</v>
      </c>
    </row>
    <row r="181" spans="1:16" x14ac:dyDescent="0.25">
      <c r="A181">
        <v>179</v>
      </c>
      <c r="C181" t="s">
        <v>8</v>
      </c>
      <c r="D181" s="4" t="s">
        <v>173</v>
      </c>
      <c r="E181" s="12">
        <v>116</v>
      </c>
      <c r="F181" s="12">
        <v>116</v>
      </c>
      <c r="G181" s="6">
        <f t="shared" si="55"/>
        <v>0</v>
      </c>
      <c r="H181" s="7">
        <f t="shared" si="56"/>
        <v>0</v>
      </c>
      <c r="I181" s="8">
        <v>153.29999999999998</v>
      </c>
      <c r="J181" s="9">
        <f t="shared" si="57"/>
        <v>153.29999999999998</v>
      </c>
      <c r="K181" s="3">
        <f t="shared" si="58"/>
        <v>0</v>
      </c>
      <c r="L181" s="7">
        <f t="shared" si="59"/>
        <v>0</v>
      </c>
      <c r="M181" t="s">
        <v>121</v>
      </c>
      <c r="O181" s="3">
        <f>E181-'315805 - P0824'!F181</f>
        <v>0</v>
      </c>
      <c r="P181" s="30">
        <f>I181-'315805 - P0824'!J181</f>
        <v>0</v>
      </c>
    </row>
    <row r="182" spans="1:16" x14ac:dyDescent="0.25">
      <c r="A182">
        <v>180</v>
      </c>
      <c r="C182" t="s">
        <v>8</v>
      </c>
      <c r="D182" s="4" t="s">
        <v>174</v>
      </c>
      <c r="E182" s="12">
        <v>9.98</v>
      </c>
      <c r="F182" s="12">
        <v>9.98</v>
      </c>
      <c r="G182" s="6">
        <f t="shared" si="55"/>
        <v>0</v>
      </c>
      <c r="H182" s="7">
        <f t="shared" si="56"/>
        <v>0</v>
      </c>
      <c r="I182" s="8">
        <v>13.625326315789476</v>
      </c>
      <c r="J182" s="9">
        <f t="shared" si="57"/>
        <v>13.625326315789476</v>
      </c>
      <c r="K182" s="3">
        <f t="shared" si="58"/>
        <v>0</v>
      </c>
      <c r="L182" s="7">
        <f t="shared" si="59"/>
        <v>0</v>
      </c>
      <c r="M182" t="s">
        <v>121</v>
      </c>
      <c r="O182" s="3">
        <f>E182-'315805 - P0824'!F182</f>
        <v>0</v>
      </c>
      <c r="P182" s="30">
        <f>I182-'315805 - P0824'!J182</f>
        <v>0</v>
      </c>
    </row>
    <row r="183" spans="1:16" x14ac:dyDescent="0.25">
      <c r="A183">
        <v>181</v>
      </c>
      <c r="C183" t="s">
        <v>8</v>
      </c>
      <c r="D183" s="4" t="s">
        <v>175</v>
      </c>
      <c r="E183" s="12">
        <v>190.995</v>
      </c>
      <c r="F183" s="12">
        <v>190.995</v>
      </c>
      <c r="G183" s="6">
        <f t="shared" si="55"/>
        <v>0</v>
      </c>
      <c r="H183" s="7">
        <f t="shared" si="56"/>
        <v>0</v>
      </c>
      <c r="I183" s="8">
        <v>251</v>
      </c>
      <c r="J183" s="9">
        <f t="shared" si="57"/>
        <v>251</v>
      </c>
      <c r="K183" s="3">
        <f t="shared" si="58"/>
        <v>0</v>
      </c>
      <c r="L183" s="7">
        <f t="shared" si="59"/>
        <v>0</v>
      </c>
      <c r="M183" t="s">
        <v>121</v>
      </c>
      <c r="O183" s="3">
        <f>E183-'315805 - P0824'!F183</f>
        <v>0</v>
      </c>
      <c r="P183" s="30">
        <f>I183-'315805 - P0824'!J183</f>
        <v>0</v>
      </c>
    </row>
    <row r="184" spans="1:16" x14ac:dyDescent="0.25">
      <c r="A184">
        <v>182</v>
      </c>
      <c r="C184" t="s">
        <v>8</v>
      </c>
      <c r="D184" s="4" t="s">
        <v>176</v>
      </c>
      <c r="E184" s="12">
        <v>14.01</v>
      </c>
      <c r="F184" s="12">
        <v>14.01</v>
      </c>
      <c r="G184" s="6">
        <f t="shared" si="55"/>
        <v>0</v>
      </c>
      <c r="H184" s="7">
        <f t="shared" si="56"/>
        <v>0</v>
      </c>
      <c r="I184" s="8">
        <v>19.616308543063266</v>
      </c>
      <c r="J184" s="9">
        <f t="shared" si="57"/>
        <v>19.616308543063266</v>
      </c>
      <c r="K184" s="3">
        <f t="shared" si="58"/>
        <v>0</v>
      </c>
      <c r="L184" s="7">
        <f t="shared" si="59"/>
        <v>0</v>
      </c>
      <c r="M184" t="s">
        <v>121</v>
      </c>
      <c r="O184" s="3">
        <f>E184-'315805 - P0824'!F184</f>
        <v>0</v>
      </c>
      <c r="P184" s="30">
        <f>I184-'315805 - P0824'!J184</f>
        <v>0</v>
      </c>
    </row>
    <row r="185" spans="1:16" x14ac:dyDescent="0.25">
      <c r="A185">
        <v>183</v>
      </c>
      <c r="C185" t="s">
        <v>8</v>
      </c>
      <c r="D185" s="4" t="s">
        <v>177</v>
      </c>
      <c r="E185" s="12">
        <v>33.25</v>
      </c>
      <c r="F185" s="12">
        <v>33.25</v>
      </c>
      <c r="G185" s="6">
        <f t="shared" si="55"/>
        <v>0</v>
      </c>
      <c r="H185" s="7">
        <f t="shared" si="56"/>
        <v>0</v>
      </c>
      <c r="I185" s="8">
        <v>49.869393819571762</v>
      </c>
      <c r="J185" s="9">
        <f t="shared" si="57"/>
        <v>49.869393819571762</v>
      </c>
      <c r="K185" s="3">
        <f t="shared" si="58"/>
        <v>0</v>
      </c>
      <c r="L185" s="7">
        <f t="shared" si="59"/>
        <v>0</v>
      </c>
      <c r="M185" t="s">
        <v>121</v>
      </c>
      <c r="O185" s="3">
        <f>E185-'315805 - P0824'!F185</f>
        <v>0</v>
      </c>
      <c r="P185" s="30">
        <f>I185-'315805 - P0824'!J185</f>
        <v>0</v>
      </c>
    </row>
    <row r="186" spans="1:16" x14ac:dyDescent="0.25">
      <c r="A186">
        <v>184</v>
      </c>
      <c r="C186" t="s">
        <v>8</v>
      </c>
      <c r="D186" s="4" t="s">
        <v>178</v>
      </c>
      <c r="E186" s="12">
        <v>44.04</v>
      </c>
      <c r="F186" s="12">
        <v>44.04</v>
      </c>
      <c r="G186" s="6">
        <f t="shared" si="55"/>
        <v>0</v>
      </c>
      <c r="H186" s="7">
        <f t="shared" si="56"/>
        <v>0</v>
      </c>
      <c r="I186" s="8">
        <v>61.644476622337386</v>
      </c>
      <c r="J186" s="9">
        <f t="shared" si="57"/>
        <v>61.644476622337386</v>
      </c>
      <c r="K186" s="3">
        <f t="shared" si="58"/>
        <v>0</v>
      </c>
      <c r="L186" s="7">
        <f t="shared" si="59"/>
        <v>0</v>
      </c>
      <c r="M186" t="s">
        <v>121</v>
      </c>
      <c r="O186" s="3">
        <f>E186-'315805 - P0824'!F186</f>
        <v>0</v>
      </c>
      <c r="P186" s="30">
        <f>I186-'315805 - P0824'!J186</f>
        <v>0</v>
      </c>
    </row>
    <row r="187" spans="1:16" x14ac:dyDescent="0.25">
      <c r="A187">
        <v>185</v>
      </c>
      <c r="C187" t="s">
        <v>8</v>
      </c>
      <c r="D187" s="4" t="s">
        <v>179</v>
      </c>
      <c r="E187" s="12">
        <v>144.85</v>
      </c>
      <c r="F187" s="12">
        <v>144.85</v>
      </c>
      <c r="G187" s="6">
        <f t="shared" si="55"/>
        <v>0</v>
      </c>
      <c r="H187" s="7">
        <f t="shared" si="56"/>
        <v>0</v>
      </c>
      <c r="I187" s="8">
        <v>241.42</v>
      </c>
      <c r="J187" s="9">
        <f t="shared" si="57"/>
        <v>241.42</v>
      </c>
      <c r="K187" s="3">
        <f t="shared" si="58"/>
        <v>0</v>
      </c>
      <c r="L187" s="7">
        <f t="shared" si="59"/>
        <v>0</v>
      </c>
      <c r="M187" t="s">
        <v>121</v>
      </c>
      <c r="O187" s="3">
        <f>E187-'315805 - P0824'!F187</f>
        <v>0</v>
      </c>
      <c r="P187" s="30">
        <f>I187-'315805 - P0824'!J187</f>
        <v>0</v>
      </c>
    </row>
    <row r="188" spans="1:16" x14ac:dyDescent="0.25">
      <c r="A188">
        <v>186</v>
      </c>
      <c r="C188" t="s">
        <v>8</v>
      </c>
      <c r="D188" s="4" t="s">
        <v>180</v>
      </c>
      <c r="E188" s="11">
        <v>21.42</v>
      </c>
      <c r="F188" s="11">
        <v>21.42</v>
      </c>
      <c r="G188" s="6">
        <f t="shared" si="55"/>
        <v>0</v>
      </c>
      <c r="H188" s="7">
        <f t="shared" si="56"/>
        <v>0</v>
      </c>
      <c r="I188" s="8">
        <v>36.651079812206568</v>
      </c>
      <c r="J188" s="9">
        <f t="shared" si="57"/>
        <v>36.651079812206568</v>
      </c>
      <c r="K188" s="3">
        <f t="shared" si="58"/>
        <v>0</v>
      </c>
      <c r="L188" s="7">
        <f t="shared" si="59"/>
        <v>0</v>
      </c>
      <c r="M188" t="s">
        <v>150</v>
      </c>
      <c r="O188" s="3">
        <f>E188-'315805 - P0824'!F188</f>
        <v>0</v>
      </c>
      <c r="P188" s="30">
        <f>I188-'315805 - P0824'!J188</f>
        <v>0</v>
      </c>
    </row>
    <row r="189" spans="1:16" x14ac:dyDescent="0.25">
      <c r="A189">
        <v>187</v>
      </c>
      <c r="C189" t="s">
        <v>8</v>
      </c>
      <c r="D189" s="4" t="s">
        <v>181</v>
      </c>
      <c r="E189" s="11">
        <v>32.67</v>
      </c>
      <c r="F189" s="11">
        <v>32.67</v>
      </c>
      <c r="G189" s="6">
        <f t="shared" si="55"/>
        <v>0</v>
      </c>
      <c r="H189" s="7">
        <f t="shared" si="56"/>
        <v>0</v>
      </c>
      <c r="I189" s="8">
        <v>45.558072000000003</v>
      </c>
      <c r="J189" s="9">
        <f t="shared" si="57"/>
        <v>45.558072000000003</v>
      </c>
      <c r="K189" s="3">
        <f t="shared" si="58"/>
        <v>0</v>
      </c>
      <c r="L189" s="7">
        <f t="shared" si="59"/>
        <v>0</v>
      </c>
      <c r="M189" t="s">
        <v>150</v>
      </c>
      <c r="O189" s="3">
        <f>E189-'315805 - P0824'!F189</f>
        <v>0</v>
      </c>
      <c r="P189" s="30">
        <f>I189-'315805 - P0824'!J189</f>
        <v>0</v>
      </c>
    </row>
    <row r="190" spans="1:16" x14ac:dyDescent="0.25">
      <c r="A190">
        <v>188</v>
      </c>
      <c r="C190" t="s">
        <v>8</v>
      </c>
      <c r="D190" s="4" t="s">
        <v>182</v>
      </c>
      <c r="E190" s="11">
        <v>43</v>
      </c>
      <c r="F190" s="11">
        <v>43</v>
      </c>
      <c r="G190" s="13">
        <f t="shared" si="55"/>
        <v>0</v>
      </c>
      <c r="H190" s="7">
        <f t="shared" si="56"/>
        <v>0</v>
      </c>
      <c r="I190" s="8">
        <v>91.806916426512956</v>
      </c>
      <c r="J190" s="9">
        <f t="shared" si="57"/>
        <v>91.806916426512956</v>
      </c>
      <c r="K190" s="3">
        <f t="shared" si="58"/>
        <v>0</v>
      </c>
      <c r="L190" s="7">
        <f t="shared" si="59"/>
        <v>0</v>
      </c>
      <c r="M190" t="s">
        <v>150</v>
      </c>
      <c r="O190" s="3">
        <f>E190-'315805 - P0824'!F190</f>
        <v>0</v>
      </c>
      <c r="P190" s="30">
        <f>I190-'315805 - P0824'!J190</f>
        <v>0</v>
      </c>
    </row>
    <row r="191" spans="1:16" x14ac:dyDescent="0.25">
      <c r="A191">
        <v>189</v>
      </c>
      <c r="C191" t="s">
        <v>8</v>
      </c>
      <c r="D191" s="4" t="s">
        <v>183</v>
      </c>
      <c r="E191" s="11">
        <v>4.24</v>
      </c>
      <c r="F191" s="11">
        <v>4.24</v>
      </c>
      <c r="G191" s="6">
        <f t="shared" si="55"/>
        <v>0</v>
      </c>
      <c r="H191" s="7">
        <f t="shared" si="56"/>
        <v>0</v>
      </c>
      <c r="I191" s="8">
        <v>7.5095819935691317</v>
      </c>
      <c r="J191" s="9">
        <f t="shared" si="57"/>
        <v>7.5095819935691317</v>
      </c>
      <c r="K191" s="3">
        <f t="shared" si="58"/>
        <v>0</v>
      </c>
      <c r="L191" s="7">
        <f t="shared" si="59"/>
        <v>0</v>
      </c>
      <c r="M191" t="s">
        <v>150</v>
      </c>
      <c r="O191" s="3">
        <f>E191-'315805 - P0824'!F191</f>
        <v>0</v>
      </c>
      <c r="P191" s="30">
        <f>I191-'315805 - P0824'!J191</f>
        <v>0</v>
      </c>
    </row>
    <row r="192" spans="1:16" x14ac:dyDescent="0.25">
      <c r="A192">
        <v>190</v>
      </c>
      <c r="D192" s="34" t="s">
        <v>184</v>
      </c>
      <c r="H192" s="10">
        <f>AVERAGE(H167:H191)</f>
        <v>0</v>
      </c>
      <c r="I192"/>
    </row>
    <row r="193" spans="1:16" x14ac:dyDescent="0.25">
      <c r="A193">
        <v>191</v>
      </c>
      <c r="D193" s="34" t="s">
        <v>185</v>
      </c>
      <c r="I193"/>
    </row>
    <row r="194" spans="1:16" x14ac:dyDescent="0.25">
      <c r="A194">
        <v>192</v>
      </c>
      <c r="C194" t="s">
        <v>8</v>
      </c>
      <c r="D194" s="4" t="s">
        <v>186</v>
      </c>
      <c r="E194" s="12">
        <v>1.79</v>
      </c>
      <c r="F194" s="12">
        <v>1.79</v>
      </c>
      <c r="G194" s="6">
        <f t="shared" ref="G194:G241" si="60">+F194-E194</f>
        <v>0</v>
      </c>
      <c r="H194" s="7">
        <f t="shared" ref="H194:H241" si="61">(F194-E194)/ABS(E194)</f>
        <v>0</v>
      </c>
      <c r="I194" s="8">
        <v>2.3437962240000001</v>
      </c>
      <c r="J194" s="9">
        <f t="shared" ref="J194:J241" si="62">(I194*H194)+I194</f>
        <v>2.3437962240000001</v>
      </c>
      <c r="K194" s="3">
        <f t="shared" ref="K194:K241" si="63">J194-I194</f>
        <v>0</v>
      </c>
      <c r="L194" s="7">
        <f t="shared" ref="L194:L241" si="64">(J194-I194)/ABS(I194)</f>
        <v>0</v>
      </c>
      <c r="M194" t="s">
        <v>187</v>
      </c>
      <c r="O194" s="3">
        <f>E194-'315805 - P0824'!F194</f>
        <v>0</v>
      </c>
      <c r="P194" s="30">
        <f>I194-'315805 - P0824'!J194</f>
        <v>0</v>
      </c>
    </row>
    <row r="195" spans="1:16" x14ac:dyDescent="0.25">
      <c r="A195">
        <v>193</v>
      </c>
      <c r="C195" t="s">
        <v>8</v>
      </c>
      <c r="D195" s="4" t="s">
        <v>188</v>
      </c>
      <c r="E195" s="12">
        <v>0.46</v>
      </c>
      <c r="F195" s="12">
        <v>0.46</v>
      </c>
      <c r="G195" s="6">
        <f t="shared" si="60"/>
        <v>0</v>
      </c>
      <c r="H195" s="7">
        <f t="shared" si="61"/>
        <v>0</v>
      </c>
      <c r="I195" s="8">
        <v>0.70471188480000002</v>
      </c>
      <c r="J195" s="9">
        <f t="shared" si="62"/>
        <v>0.70471188480000002</v>
      </c>
      <c r="K195" s="3">
        <f t="shared" si="63"/>
        <v>0</v>
      </c>
      <c r="L195" s="7">
        <f t="shared" si="64"/>
        <v>0</v>
      </c>
      <c r="M195" t="s">
        <v>187</v>
      </c>
      <c r="O195" s="3">
        <f>E195-'315805 - P0824'!F195</f>
        <v>0</v>
      </c>
      <c r="P195" s="30">
        <f>I195-'315805 - P0824'!J195</f>
        <v>0</v>
      </c>
    </row>
    <row r="196" spans="1:16" x14ac:dyDescent="0.25">
      <c r="A196">
        <v>194</v>
      </c>
      <c r="C196" t="s">
        <v>8</v>
      </c>
      <c r="D196" s="4" t="s">
        <v>462</v>
      </c>
      <c r="E196" s="12">
        <v>0.6</v>
      </c>
      <c r="F196" s="12">
        <v>0.6</v>
      </c>
      <c r="G196" s="6">
        <f t="shared" si="60"/>
        <v>0</v>
      </c>
      <c r="H196" s="7">
        <f t="shared" si="61"/>
        <v>0</v>
      </c>
      <c r="I196" s="8">
        <v>1.04</v>
      </c>
      <c r="J196" s="9">
        <f t="shared" si="62"/>
        <v>1.04</v>
      </c>
      <c r="K196" s="3">
        <f t="shared" si="63"/>
        <v>0</v>
      </c>
      <c r="L196" s="7">
        <f t="shared" si="64"/>
        <v>0</v>
      </c>
      <c r="M196" t="s">
        <v>187</v>
      </c>
      <c r="O196" s="3">
        <f>E196-'315805 - P0824'!F196</f>
        <v>0</v>
      </c>
      <c r="P196" s="30">
        <f>I196-'315805 - P0824'!J196</f>
        <v>0</v>
      </c>
    </row>
    <row r="197" spans="1:16" x14ac:dyDescent="0.25">
      <c r="A197">
        <v>195</v>
      </c>
      <c r="C197" t="s">
        <v>8</v>
      </c>
      <c r="D197" s="4" t="s">
        <v>189</v>
      </c>
      <c r="E197" s="12">
        <v>17.88</v>
      </c>
      <c r="F197" s="12">
        <v>17.88</v>
      </c>
      <c r="G197" s="6">
        <f t="shared" si="60"/>
        <v>0</v>
      </c>
      <c r="H197" s="7">
        <f t="shared" si="61"/>
        <v>0</v>
      </c>
      <c r="I197" s="8">
        <v>35.219578060799989</v>
      </c>
      <c r="J197" s="9">
        <f t="shared" si="62"/>
        <v>35.219578060799989</v>
      </c>
      <c r="K197" s="3">
        <f t="shared" si="63"/>
        <v>0</v>
      </c>
      <c r="L197" s="7">
        <f t="shared" si="64"/>
        <v>0</v>
      </c>
      <c r="M197" t="s">
        <v>187</v>
      </c>
      <c r="O197" s="3">
        <f>E197-'315805 - P0824'!F197</f>
        <v>0</v>
      </c>
      <c r="P197" s="30">
        <f>I197-'315805 - P0824'!J197</f>
        <v>0</v>
      </c>
    </row>
    <row r="198" spans="1:16" x14ac:dyDescent="0.25">
      <c r="A198">
        <v>196</v>
      </c>
      <c r="C198" t="s">
        <v>8</v>
      </c>
      <c r="D198" s="4" t="s">
        <v>190</v>
      </c>
      <c r="E198" s="12">
        <v>36.299999999999997</v>
      </c>
      <c r="F198" s="12">
        <v>36.299999999999997</v>
      </c>
      <c r="G198" s="6">
        <f t="shared" si="60"/>
        <v>0</v>
      </c>
      <c r="H198" s="7">
        <f t="shared" si="61"/>
        <v>0</v>
      </c>
      <c r="I198" s="8">
        <v>82.49</v>
      </c>
      <c r="J198" s="9">
        <f t="shared" si="62"/>
        <v>82.49</v>
      </c>
      <c r="K198" s="3">
        <f t="shared" si="63"/>
        <v>0</v>
      </c>
      <c r="L198" s="7">
        <f t="shared" si="64"/>
        <v>0</v>
      </c>
      <c r="M198" t="s">
        <v>187</v>
      </c>
      <c r="O198" s="3">
        <f>E198-'315805 - P0824'!F198</f>
        <v>0</v>
      </c>
      <c r="P198" s="30">
        <f>I198-'315805 - P0824'!J198</f>
        <v>0</v>
      </c>
    </row>
    <row r="199" spans="1:16" x14ac:dyDescent="0.25">
      <c r="A199">
        <v>197</v>
      </c>
      <c r="C199" t="s">
        <v>8</v>
      </c>
      <c r="D199" s="4" t="s">
        <v>487</v>
      </c>
      <c r="E199" s="12">
        <v>5.18</v>
      </c>
      <c r="F199" s="12">
        <v>5.18</v>
      </c>
      <c r="G199" s="6">
        <f t="shared" si="60"/>
        <v>0</v>
      </c>
      <c r="H199" s="7">
        <f t="shared" si="61"/>
        <v>0</v>
      </c>
      <c r="I199" s="8">
        <v>7.13</v>
      </c>
      <c r="J199" s="9">
        <f t="shared" si="62"/>
        <v>7.13</v>
      </c>
      <c r="K199" s="3">
        <f t="shared" si="63"/>
        <v>0</v>
      </c>
      <c r="L199" s="7">
        <f t="shared" si="64"/>
        <v>0</v>
      </c>
      <c r="M199" t="s">
        <v>187</v>
      </c>
      <c r="O199" s="3">
        <f>E199-'315805 - P0824'!F199</f>
        <v>0</v>
      </c>
      <c r="P199" s="30">
        <f>I199-'315805 - P0824'!J199</f>
        <v>0</v>
      </c>
    </row>
    <row r="200" spans="1:16" x14ac:dyDescent="0.25">
      <c r="A200">
        <v>198</v>
      </c>
      <c r="C200" t="s">
        <v>8</v>
      </c>
      <c r="D200" s="4" t="s">
        <v>191</v>
      </c>
      <c r="E200" s="12">
        <v>8.2200000000000006</v>
      </c>
      <c r="F200" s="12">
        <v>8.2200000000000006</v>
      </c>
      <c r="G200" s="6">
        <f t="shared" si="60"/>
        <v>0</v>
      </c>
      <c r="H200" s="7">
        <f t="shared" si="61"/>
        <v>0</v>
      </c>
      <c r="I200" s="8">
        <v>18.68</v>
      </c>
      <c r="J200" s="9">
        <f t="shared" si="62"/>
        <v>18.68</v>
      </c>
      <c r="K200" s="3">
        <f t="shared" si="63"/>
        <v>0</v>
      </c>
      <c r="L200" s="7">
        <f t="shared" si="64"/>
        <v>0</v>
      </c>
      <c r="M200" t="s">
        <v>187</v>
      </c>
      <c r="O200" s="3">
        <f>E200-'315805 - P0824'!F200</f>
        <v>0</v>
      </c>
      <c r="P200" s="30">
        <f>I200-'315805 - P0824'!J200</f>
        <v>0</v>
      </c>
    </row>
    <row r="201" spans="1:16" x14ac:dyDescent="0.25">
      <c r="A201">
        <v>199</v>
      </c>
      <c r="C201" t="s">
        <v>8</v>
      </c>
      <c r="D201" s="4" t="s">
        <v>192</v>
      </c>
      <c r="E201" s="12">
        <v>137.77000000000001</v>
      </c>
      <c r="F201" s="12">
        <v>137.77000000000001</v>
      </c>
      <c r="G201" s="6">
        <f t="shared" si="60"/>
        <v>0</v>
      </c>
      <c r="H201" s="7">
        <f t="shared" si="61"/>
        <v>0</v>
      </c>
      <c r="I201" s="8">
        <v>207.19</v>
      </c>
      <c r="J201" s="9">
        <f t="shared" si="62"/>
        <v>207.19</v>
      </c>
      <c r="K201" s="3">
        <f t="shared" si="63"/>
        <v>0</v>
      </c>
      <c r="L201" s="7">
        <f t="shared" si="64"/>
        <v>0</v>
      </c>
      <c r="M201" t="s">
        <v>187</v>
      </c>
      <c r="O201" s="3">
        <f>E201-'315805 - P0824'!F201</f>
        <v>0</v>
      </c>
      <c r="P201" s="30">
        <f>I201-'315805 - P0824'!J201</f>
        <v>0</v>
      </c>
    </row>
    <row r="202" spans="1:16" x14ac:dyDescent="0.25">
      <c r="A202">
        <v>200</v>
      </c>
      <c r="C202" t="s">
        <v>8</v>
      </c>
      <c r="D202" s="4" t="s">
        <v>193</v>
      </c>
      <c r="E202" s="12">
        <v>123.36</v>
      </c>
      <c r="F202" s="12">
        <v>123.36</v>
      </c>
      <c r="G202" s="6">
        <f t="shared" si="60"/>
        <v>0</v>
      </c>
      <c r="H202" s="7">
        <f t="shared" si="61"/>
        <v>0</v>
      </c>
      <c r="I202" s="8">
        <v>168.12183306239999</v>
      </c>
      <c r="J202" s="9">
        <f t="shared" si="62"/>
        <v>168.12183306239999</v>
      </c>
      <c r="K202" s="3">
        <f t="shared" si="63"/>
        <v>0</v>
      </c>
      <c r="L202" s="7">
        <f t="shared" si="64"/>
        <v>0</v>
      </c>
      <c r="M202" t="s">
        <v>187</v>
      </c>
      <c r="O202" s="3">
        <f>E202-'315805 - P0824'!F202</f>
        <v>0</v>
      </c>
      <c r="P202" s="30">
        <f>I202-'315805 - P0824'!J202</f>
        <v>0</v>
      </c>
    </row>
    <row r="203" spans="1:16" x14ac:dyDescent="0.25">
      <c r="A203">
        <v>201</v>
      </c>
      <c r="C203" t="s">
        <v>8</v>
      </c>
      <c r="D203" s="4" t="s">
        <v>194</v>
      </c>
      <c r="E203" s="12">
        <v>36.909999999999997</v>
      </c>
      <c r="F203" s="12">
        <v>36.909999999999997</v>
      </c>
      <c r="G203" s="6">
        <f t="shared" si="60"/>
        <v>0</v>
      </c>
      <c r="H203" s="7">
        <f t="shared" si="61"/>
        <v>0</v>
      </c>
      <c r="I203" s="8">
        <v>77.662452940799994</v>
      </c>
      <c r="J203" s="9">
        <f t="shared" si="62"/>
        <v>77.662452940799994</v>
      </c>
      <c r="K203" s="3">
        <f t="shared" si="63"/>
        <v>0</v>
      </c>
      <c r="L203" s="7">
        <f t="shared" si="64"/>
        <v>0</v>
      </c>
      <c r="M203" t="s">
        <v>187</v>
      </c>
      <c r="O203" s="3">
        <f>E203-'315805 - P0824'!F203</f>
        <v>0</v>
      </c>
      <c r="P203" s="30">
        <f>I203-'315805 - P0824'!J203</f>
        <v>0</v>
      </c>
    </row>
    <row r="204" spans="1:16" x14ac:dyDescent="0.25">
      <c r="A204">
        <v>202</v>
      </c>
      <c r="C204" t="s">
        <v>8</v>
      </c>
      <c r="D204" s="4" t="s">
        <v>195</v>
      </c>
      <c r="E204" s="12">
        <v>25.49</v>
      </c>
      <c r="F204" s="12">
        <v>25.49</v>
      </c>
      <c r="G204" s="6">
        <f>+F204-E204</f>
        <v>0</v>
      </c>
      <c r="H204" s="7">
        <f>(F204-E204)/ABS(E204)</f>
        <v>0</v>
      </c>
      <c r="I204" s="8">
        <v>39.21</v>
      </c>
      <c r="J204" s="9">
        <f>(I204*H204)+I204</f>
        <v>39.21</v>
      </c>
      <c r="K204" s="3">
        <f>J204-I204</f>
        <v>0</v>
      </c>
      <c r="L204" s="7">
        <f>(J204-I204)/ABS(I204)</f>
        <v>0</v>
      </c>
      <c r="M204" t="s">
        <v>187</v>
      </c>
      <c r="O204" s="3">
        <f>E204-'315805 - P0824'!F204</f>
        <v>0</v>
      </c>
      <c r="P204" s="30">
        <f>I204-'315805 - P0824'!J204</f>
        <v>0</v>
      </c>
    </row>
    <row r="205" spans="1:16" x14ac:dyDescent="0.25">
      <c r="A205">
        <v>203</v>
      </c>
      <c r="C205" t="s">
        <v>8</v>
      </c>
      <c r="D205" s="4" t="s">
        <v>196</v>
      </c>
      <c r="E205" s="12">
        <v>5.72</v>
      </c>
      <c r="F205" s="12">
        <v>5.72</v>
      </c>
      <c r="G205" s="6">
        <f t="shared" si="60"/>
        <v>0</v>
      </c>
      <c r="H205" s="7">
        <f t="shared" si="61"/>
        <v>0</v>
      </c>
      <c r="I205" s="8">
        <v>8.6487367680000027</v>
      </c>
      <c r="J205" s="9">
        <f t="shared" si="62"/>
        <v>8.6487367680000027</v>
      </c>
      <c r="K205" s="3">
        <f t="shared" si="63"/>
        <v>0</v>
      </c>
      <c r="L205" s="7">
        <f t="shared" si="64"/>
        <v>0</v>
      </c>
      <c r="M205" t="s">
        <v>187</v>
      </c>
      <c r="O205" s="3">
        <f>E205-'315805 - P0824'!F205</f>
        <v>0</v>
      </c>
      <c r="P205" s="30">
        <f>I205-'315805 - P0824'!J205</f>
        <v>0</v>
      </c>
    </row>
    <row r="206" spans="1:16" x14ac:dyDescent="0.25">
      <c r="A206">
        <v>204</v>
      </c>
      <c r="C206" t="s">
        <v>8</v>
      </c>
      <c r="D206" s="4" t="s">
        <v>197</v>
      </c>
      <c r="E206" s="12">
        <v>21.44</v>
      </c>
      <c r="F206" s="12">
        <v>21.44</v>
      </c>
      <c r="G206" s="6">
        <f t="shared" si="60"/>
        <v>0</v>
      </c>
      <c r="H206" s="7">
        <f t="shared" si="61"/>
        <v>0</v>
      </c>
      <c r="I206" s="8">
        <v>57.90134784</v>
      </c>
      <c r="J206" s="9">
        <f t="shared" si="62"/>
        <v>57.90134784</v>
      </c>
      <c r="K206" s="3">
        <f t="shared" si="63"/>
        <v>0</v>
      </c>
      <c r="L206" s="7">
        <f t="shared" si="64"/>
        <v>0</v>
      </c>
      <c r="M206" t="s">
        <v>187</v>
      </c>
      <c r="O206" s="3">
        <f>E206-'315805 - P0824'!F206</f>
        <v>0</v>
      </c>
      <c r="P206" s="30">
        <f>I206-'315805 - P0824'!J206</f>
        <v>0</v>
      </c>
    </row>
    <row r="207" spans="1:16" x14ac:dyDescent="0.25">
      <c r="A207">
        <v>205</v>
      </c>
      <c r="C207" t="s">
        <v>8</v>
      </c>
      <c r="D207" s="4" t="s">
        <v>198</v>
      </c>
      <c r="E207" s="12">
        <v>8.5399999999999991</v>
      </c>
      <c r="F207" s="12">
        <v>8.5399999999999991</v>
      </c>
      <c r="G207" s="6">
        <f t="shared" si="60"/>
        <v>0</v>
      </c>
      <c r="H207" s="7">
        <f t="shared" si="61"/>
        <v>0</v>
      </c>
      <c r="I207" s="8">
        <v>17.61</v>
      </c>
      <c r="J207" s="9">
        <f t="shared" si="62"/>
        <v>17.61</v>
      </c>
      <c r="K207" s="3">
        <f t="shared" si="63"/>
        <v>0</v>
      </c>
      <c r="L207" s="7">
        <f t="shared" si="64"/>
        <v>0</v>
      </c>
      <c r="M207" t="s">
        <v>187</v>
      </c>
      <c r="O207" s="3">
        <f>E207-'315805 - P0824'!F207</f>
        <v>0</v>
      </c>
      <c r="P207" s="30">
        <f>I207-'315805 - P0824'!J207</f>
        <v>0</v>
      </c>
    </row>
    <row r="208" spans="1:16" x14ac:dyDescent="0.25">
      <c r="A208">
        <v>206</v>
      </c>
      <c r="C208" t="s">
        <v>8</v>
      </c>
      <c r="D208" s="4" t="s">
        <v>199</v>
      </c>
      <c r="E208" s="12">
        <v>2.2400000000000002</v>
      </c>
      <c r="F208" s="12">
        <v>2.2400000000000002</v>
      </c>
      <c r="G208" s="6">
        <f t="shared" si="60"/>
        <v>0</v>
      </c>
      <c r="H208" s="7">
        <f t="shared" si="61"/>
        <v>0</v>
      </c>
      <c r="I208" s="8">
        <v>3.2169142539130431</v>
      </c>
      <c r="J208" s="9">
        <f t="shared" si="62"/>
        <v>3.2169142539130431</v>
      </c>
      <c r="K208" s="3">
        <f t="shared" si="63"/>
        <v>0</v>
      </c>
      <c r="L208" s="7">
        <f t="shared" si="64"/>
        <v>0</v>
      </c>
      <c r="M208" t="s">
        <v>187</v>
      </c>
      <c r="O208" s="3">
        <f>E208-'315805 - P0824'!F208</f>
        <v>0</v>
      </c>
      <c r="P208" s="30">
        <f>I208-'315805 - P0824'!J208</f>
        <v>0</v>
      </c>
    </row>
    <row r="209" spans="1:16" x14ac:dyDescent="0.25">
      <c r="A209">
        <v>207</v>
      </c>
      <c r="C209" t="s">
        <v>8</v>
      </c>
      <c r="D209" s="4" t="s">
        <v>200</v>
      </c>
      <c r="E209" s="12">
        <v>12.54</v>
      </c>
      <c r="F209" s="12">
        <v>12.54</v>
      </c>
      <c r="G209" s="6">
        <f t="shared" si="60"/>
        <v>0</v>
      </c>
      <c r="H209" s="7">
        <f t="shared" si="61"/>
        <v>0</v>
      </c>
      <c r="I209" s="8">
        <v>18.163175635862068</v>
      </c>
      <c r="J209" s="9">
        <f t="shared" si="62"/>
        <v>18.163175635862068</v>
      </c>
      <c r="K209" s="3">
        <f t="shared" si="63"/>
        <v>0</v>
      </c>
      <c r="L209" s="7">
        <f t="shared" si="64"/>
        <v>0</v>
      </c>
      <c r="M209" t="s">
        <v>187</v>
      </c>
      <c r="O209" s="3">
        <f>E209-'315805 - P0824'!F209</f>
        <v>0</v>
      </c>
      <c r="P209" s="30">
        <f>I209-'315805 - P0824'!J209</f>
        <v>0</v>
      </c>
    </row>
    <row r="210" spans="1:16" x14ac:dyDescent="0.25">
      <c r="A210">
        <v>208</v>
      </c>
      <c r="C210" t="s">
        <v>8</v>
      </c>
      <c r="D210" s="4" t="s">
        <v>201</v>
      </c>
      <c r="E210" s="12">
        <v>13.2</v>
      </c>
      <c r="F210" s="12">
        <v>13.2</v>
      </c>
      <c r="G210" s="6">
        <f t="shared" si="60"/>
        <v>0</v>
      </c>
      <c r="H210" s="7">
        <f t="shared" si="61"/>
        <v>0</v>
      </c>
      <c r="I210" s="8">
        <v>33.770000000000003</v>
      </c>
      <c r="J210" s="9">
        <f t="shared" si="62"/>
        <v>33.770000000000003</v>
      </c>
      <c r="K210" s="3">
        <f t="shared" si="63"/>
        <v>0</v>
      </c>
      <c r="L210" s="7">
        <f t="shared" si="64"/>
        <v>0</v>
      </c>
      <c r="M210" t="s">
        <v>187</v>
      </c>
      <c r="O210" s="3">
        <f>E210-'315805 - P0824'!F210</f>
        <v>0</v>
      </c>
      <c r="P210" s="30">
        <f>I210-'315805 - P0824'!J210</f>
        <v>0</v>
      </c>
    </row>
    <row r="211" spans="1:16" x14ac:dyDescent="0.25">
      <c r="A211">
        <v>209</v>
      </c>
      <c r="C211" t="s">
        <v>8</v>
      </c>
      <c r="D211" s="4" t="s">
        <v>202</v>
      </c>
      <c r="E211" s="12">
        <v>20.100000000000001</v>
      </c>
      <c r="F211" s="12">
        <v>20.100000000000001</v>
      </c>
      <c r="G211" s="6">
        <f t="shared" si="60"/>
        <v>0</v>
      </c>
      <c r="H211" s="7">
        <f t="shared" si="61"/>
        <v>0</v>
      </c>
      <c r="I211" s="8">
        <v>54.326307840000005</v>
      </c>
      <c r="J211" s="9">
        <f t="shared" si="62"/>
        <v>54.326307840000005</v>
      </c>
      <c r="K211" s="3">
        <f t="shared" si="63"/>
        <v>0</v>
      </c>
      <c r="L211" s="7">
        <f t="shared" si="64"/>
        <v>0</v>
      </c>
      <c r="M211" t="s">
        <v>187</v>
      </c>
      <c r="O211" s="3">
        <f>E211-'315805 - P0824'!F211</f>
        <v>0</v>
      </c>
      <c r="P211" s="30">
        <f>I211-'315805 - P0824'!J211</f>
        <v>0</v>
      </c>
    </row>
    <row r="212" spans="1:16" x14ac:dyDescent="0.25">
      <c r="A212">
        <v>210</v>
      </c>
      <c r="C212" t="s">
        <v>8</v>
      </c>
      <c r="D212" s="4" t="s">
        <v>203</v>
      </c>
      <c r="E212" s="12">
        <v>38.64</v>
      </c>
      <c r="F212" s="12">
        <v>38.64</v>
      </c>
      <c r="G212" s="6">
        <f t="shared" si="60"/>
        <v>0</v>
      </c>
      <c r="H212" s="7">
        <f t="shared" si="61"/>
        <v>0</v>
      </c>
      <c r="I212" s="8">
        <v>85.68</v>
      </c>
      <c r="J212" s="9">
        <f t="shared" si="62"/>
        <v>85.68</v>
      </c>
      <c r="K212" s="3">
        <f t="shared" si="63"/>
        <v>0</v>
      </c>
      <c r="L212" s="7">
        <f t="shared" si="64"/>
        <v>0</v>
      </c>
      <c r="M212" t="s">
        <v>187</v>
      </c>
      <c r="O212" s="3">
        <f>E212-'315805 - P0824'!F212</f>
        <v>0</v>
      </c>
      <c r="P212" s="30">
        <f>I212-'315805 - P0824'!J212</f>
        <v>0</v>
      </c>
    </row>
    <row r="213" spans="1:16" x14ac:dyDescent="0.25">
      <c r="A213">
        <v>211</v>
      </c>
      <c r="C213" t="s">
        <v>8</v>
      </c>
      <c r="D213" s="4" t="s">
        <v>204</v>
      </c>
      <c r="E213" s="12">
        <v>17.16</v>
      </c>
      <c r="F213" s="12">
        <v>17.16</v>
      </c>
      <c r="G213" s="6">
        <f t="shared" si="60"/>
        <v>0</v>
      </c>
      <c r="H213" s="7">
        <f t="shared" si="61"/>
        <v>0</v>
      </c>
      <c r="I213" s="8">
        <v>26.391854075214955</v>
      </c>
      <c r="J213" s="9">
        <f t="shared" si="62"/>
        <v>26.391854075214955</v>
      </c>
      <c r="K213" s="3">
        <f t="shared" si="63"/>
        <v>0</v>
      </c>
      <c r="L213" s="7">
        <f t="shared" si="64"/>
        <v>0</v>
      </c>
      <c r="M213" t="s">
        <v>187</v>
      </c>
      <c r="O213" s="3">
        <f>E213-'315805 - P0824'!F213</f>
        <v>0</v>
      </c>
      <c r="P213" s="30">
        <f>I213-'315805 - P0824'!J213</f>
        <v>0</v>
      </c>
    </row>
    <row r="214" spans="1:16" x14ac:dyDescent="0.25">
      <c r="A214">
        <v>212</v>
      </c>
      <c r="C214" t="s">
        <v>8</v>
      </c>
      <c r="D214" s="4" t="s">
        <v>205</v>
      </c>
      <c r="E214" s="12">
        <v>30.07</v>
      </c>
      <c r="F214" s="12">
        <v>30.07</v>
      </c>
      <c r="G214" s="6">
        <f t="shared" si="60"/>
        <v>0</v>
      </c>
      <c r="H214" s="7">
        <f t="shared" si="61"/>
        <v>0</v>
      </c>
      <c r="I214" s="8">
        <v>35.416393485128204</v>
      </c>
      <c r="J214" s="9">
        <f t="shared" si="62"/>
        <v>35.416393485128204</v>
      </c>
      <c r="K214" s="3">
        <f t="shared" si="63"/>
        <v>0</v>
      </c>
      <c r="L214" s="7">
        <f t="shared" si="64"/>
        <v>0</v>
      </c>
      <c r="M214" t="s">
        <v>187</v>
      </c>
      <c r="O214" s="3">
        <f>E214-'315805 - P0824'!F214</f>
        <v>0</v>
      </c>
      <c r="P214" s="30">
        <f>I214-'315805 - P0824'!J214</f>
        <v>0</v>
      </c>
    </row>
    <row r="215" spans="1:16" x14ac:dyDescent="0.25">
      <c r="A215">
        <v>213</v>
      </c>
      <c r="C215" t="s">
        <v>8</v>
      </c>
      <c r="D215" s="4" t="s">
        <v>206</v>
      </c>
      <c r="E215" s="12">
        <v>30.42</v>
      </c>
      <c r="F215" s="12">
        <v>30.42</v>
      </c>
      <c r="G215" s="6">
        <f t="shared" si="60"/>
        <v>0</v>
      </c>
      <c r="H215" s="7">
        <f t="shared" si="61"/>
        <v>0</v>
      </c>
      <c r="I215" s="8">
        <v>42.49</v>
      </c>
      <c r="J215" s="9">
        <f t="shared" si="62"/>
        <v>42.49</v>
      </c>
      <c r="K215" s="3">
        <f t="shared" si="63"/>
        <v>0</v>
      </c>
      <c r="L215" s="7">
        <f t="shared" si="64"/>
        <v>0</v>
      </c>
      <c r="M215" t="s">
        <v>187</v>
      </c>
      <c r="O215" s="3">
        <f>E215-'315805 - P0824'!F215</f>
        <v>0</v>
      </c>
      <c r="P215" s="30">
        <f>I215-'315805 - P0824'!J215</f>
        <v>0</v>
      </c>
    </row>
    <row r="216" spans="1:16" x14ac:dyDescent="0.25">
      <c r="A216">
        <v>214</v>
      </c>
      <c r="C216" t="s">
        <v>8</v>
      </c>
      <c r="D216" s="4" t="s">
        <v>207</v>
      </c>
      <c r="E216" s="12">
        <v>2.4</v>
      </c>
      <c r="F216" s="12">
        <v>2.4</v>
      </c>
      <c r="G216" s="6">
        <f t="shared" si="60"/>
        <v>0</v>
      </c>
      <c r="H216" s="7">
        <f t="shared" si="61"/>
        <v>0</v>
      </c>
      <c r="I216" s="8">
        <v>4.84</v>
      </c>
      <c r="J216" s="9">
        <f t="shared" si="62"/>
        <v>4.84</v>
      </c>
      <c r="K216" s="3">
        <f t="shared" si="63"/>
        <v>0</v>
      </c>
      <c r="L216" s="7">
        <f t="shared" si="64"/>
        <v>0</v>
      </c>
      <c r="M216" t="s">
        <v>187</v>
      </c>
      <c r="O216" s="3">
        <f>E216-'315805 - P0824'!F216</f>
        <v>0</v>
      </c>
      <c r="P216" s="30">
        <f>I216-'315805 - P0824'!J216</f>
        <v>0</v>
      </c>
    </row>
    <row r="217" spans="1:16" x14ac:dyDescent="0.25">
      <c r="A217">
        <v>215</v>
      </c>
      <c r="C217" t="s">
        <v>8</v>
      </c>
      <c r="D217" s="4" t="s">
        <v>208</v>
      </c>
      <c r="E217" s="12">
        <v>3.66</v>
      </c>
      <c r="F217" s="12">
        <v>3.66</v>
      </c>
      <c r="G217" s="6">
        <f t="shared" si="60"/>
        <v>0</v>
      </c>
      <c r="H217" s="7">
        <f t="shared" si="61"/>
        <v>0</v>
      </c>
      <c r="I217" s="8">
        <v>5.4831979136563875</v>
      </c>
      <c r="J217" s="9">
        <f t="shared" si="62"/>
        <v>5.4831979136563875</v>
      </c>
      <c r="K217" s="3">
        <f t="shared" si="63"/>
        <v>0</v>
      </c>
      <c r="L217" s="7">
        <f t="shared" si="64"/>
        <v>0</v>
      </c>
      <c r="M217" t="s">
        <v>187</v>
      </c>
      <c r="O217" s="3">
        <f>E217-'315805 - P0824'!F217</f>
        <v>0</v>
      </c>
      <c r="P217" s="30">
        <f>I217-'315805 - P0824'!J217</f>
        <v>0</v>
      </c>
    </row>
    <row r="218" spans="1:16" x14ac:dyDescent="0.25">
      <c r="A218">
        <v>216</v>
      </c>
      <c r="C218" t="s">
        <v>8</v>
      </c>
      <c r="D218" s="4" t="s">
        <v>209</v>
      </c>
      <c r="E218" s="12">
        <v>3.26</v>
      </c>
      <c r="F218" s="12">
        <v>3.26</v>
      </c>
      <c r="G218" s="13">
        <f t="shared" si="60"/>
        <v>0</v>
      </c>
      <c r="H218" s="7">
        <f t="shared" si="61"/>
        <v>0</v>
      </c>
      <c r="I218" s="8">
        <v>5.48</v>
      </c>
      <c r="J218" s="9">
        <f t="shared" si="62"/>
        <v>5.48</v>
      </c>
      <c r="K218" s="3">
        <f t="shared" si="63"/>
        <v>0</v>
      </c>
      <c r="L218" s="7">
        <f t="shared" si="64"/>
        <v>0</v>
      </c>
      <c r="M218" t="s">
        <v>187</v>
      </c>
      <c r="O218" s="3">
        <f>E218-'315805 - P0824'!F218</f>
        <v>0</v>
      </c>
      <c r="P218" s="30">
        <f>I218-'315805 - P0824'!J218</f>
        <v>0</v>
      </c>
    </row>
    <row r="219" spans="1:16" x14ac:dyDescent="0.25">
      <c r="A219">
        <v>217</v>
      </c>
      <c r="C219" t="s">
        <v>8</v>
      </c>
      <c r="D219" s="4" t="s">
        <v>210</v>
      </c>
      <c r="E219" s="12">
        <v>4.46</v>
      </c>
      <c r="F219" s="12">
        <v>4.46</v>
      </c>
      <c r="G219" s="6">
        <f t="shared" si="60"/>
        <v>0</v>
      </c>
      <c r="H219" s="7">
        <f t="shared" si="61"/>
        <v>0</v>
      </c>
      <c r="I219" s="8">
        <v>6.8717173187003597</v>
      </c>
      <c r="J219" s="9">
        <f t="shared" si="62"/>
        <v>6.8717173187003597</v>
      </c>
      <c r="K219" s="3">
        <f t="shared" si="63"/>
        <v>0</v>
      </c>
      <c r="L219" s="7">
        <f t="shared" si="64"/>
        <v>0</v>
      </c>
      <c r="M219" t="s">
        <v>187</v>
      </c>
      <c r="O219" s="3">
        <f>E219-'315805 - P0824'!F219</f>
        <v>0</v>
      </c>
      <c r="P219" s="30">
        <f>I219-'315805 - P0824'!J219</f>
        <v>0</v>
      </c>
    </row>
    <row r="220" spans="1:16" x14ac:dyDescent="0.25">
      <c r="A220">
        <v>218</v>
      </c>
      <c r="C220" t="s">
        <v>8</v>
      </c>
      <c r="D220" s="4" t="s">
        <v>211</v>
      </c>
      <c r="E220" s="12">
        <v>1.78</v>
      </c>
      <c r="F220" s="12">
        <v>1.78</v>
      </c>
      <c r="G220" s="6">
        <f t="shared" si="60"/>
        <v>0</v>
      </c>
      <c r="H220" s="7">
        <f t="shared" si="61"/>
        <v>0</v>
      </c>
      <c r="I220" s="8">
        <v>3.6982813789090896</v>
      </c>
      <c r="J220" s="9">
        <f t="shared" si="62"/>
        <v>3.6982813789090896</v>
      </c>
      <c r="K220" s="3">
        <f t="shared" si="63"/>
        <v>0</v>
      </c>
      <c r="L220" s="7">
        <f t="shared" si="64"/>
        <v>0</v>
      </c>
      <c r="M220" t="s">
        <v>187</v>
      </c>
      <c r="O220" s="3">
        <f>E220-'315805 - P0824'!F220</f>
        <v>0</v>
      </c>
      <c r="P220" s="30">
        <f>I220-'315805 - P0824'!J220</f>
        <v>0</v>
      </c>
    </row>
    <row r="221" spans="1:16" x14ac:dyDescent="0.25">
      <c r="A221">
        <v>219</v>
      </c>
      <c r="C221" t="s">
        <v>8</v>
      </c>
      <c r="D221" s="4" t="s">
        <v>212</v>
      </c>
      <c r="E221" s="12">
        <v>2.66</v>
      </c>
      <c r="F221" s="12">
        <v>2.66</v>
      </c>
      <c r="G221" s="6">
        <f t="shared" si="60"/>
        <v>0</v>
      </c>
      <c r="H221" s="7">
        <f t="shared" si="61"/>
        <v>0</v>
      </c>
      <c r="I221" s="8">
        <v>4.4491697803636372</v>
      </c>
      <c r="J221" s="9">
        <f t="shared" si="62"/>
        <v>4.4491697803636372</v>
      </c>
      <c r="K221" s="3">
        <f t="shared" si="63"/>
        <v>0</v>
      </c>
      <c r="L221" s="7">
        <f t="shared" si="64"/>
        <v>0</v>
      </c>
      <c r="M221" t="s">
        <v>187</v>
      </c>
      <c r="O221" s="3">
        <f>E221-'315805 - P0824'!F221</f>
        <v>0</v>
      </c>
      <c r="P221" s="30">
        <f>I221-'315805 - P0824'!J221</f>
        <v>0</v>
      </c>
    </row>
    <row r="222" spans="1:16" x14ac:dyDescent="0.25">
      <c r="A222">
        <v>220</v>
      </c>
      <c r="C222" t="s">
        <v>8</v>
      </c>
      <c r="D222" s="4" t="s">
        <v>213</v>
      </c>
      <c r="E222" s="12">
        <v>2.85</v>
      </c>
      <c r="F222" s="12">
        <v>2.85</v>
      </c>
      <c r="G222" s="6">
        <f t="shared" si="60"/>
        <v>0</v>
      </c>
      <c r="H222" s="7">
        <f t="shared" si="61"/>
        <v>0</v>
      </c>
      <c r="I222" s="8">
        <v>7.25</v>
      </c>
      <c r="J222" s="9">
        <f t="shared" si="62"/>
        <v>7.25</v>
      </c>
      <c r="K222" s="3">
        <f t="shared" si="63"/>
        <v>0</v>
      </c>
      <c r="L222" s="7">
        <f t="shared" si="64"/>
        <v>0</v>
      </c>
      <c r="M222" t="s">
        <v>187</v>
      </c>
      <c r="O222" s="3">
        <f>E222-'315805 - P0824'!F222</f>
        <v>0</v>
      </c>
      <c r="P222" s="30">
        <f>I222-'315805 - P0824'!J222</f>
        <v>0</v>
      </c>
    </row>
    <row r="223" spans="1:16" x14ac:dyDescent="0.25">
      <c r="A223">
        <v>221</v>
      </c>
      <c r="C223" t="s">
        <v>8</v>
      </c>
      <c r="D223" s="4" t="s">
        <v>465</v>
      </c>
      <c r="E223" s="12">
        <v>2.5099999999999998</v>
      </c>
      <c r="F223" s="12">
        <v>2.5099999999999998</v>
      </c>
      <c r="G223" s="6">
        <f t="shared" si="60"/>
        <v>0</v>
      </c>
      <c r="H223" s="7">
        <f t="shared" si="61"/>
        <v>0</v>
      </c>
      <c r="I223" s="8">
        <v>4.32</v>
      </c>
      <c r="J223" s="9">
        <f t="shared" si="62"/>
        <v>4.32</v>
      </c>
      <c r="K223" s="3">
        <f t="shared" si="63"/>
        <v>0</v>
      </c>
      <c r="L223" s="7">
        <f t="shared" si="64"/>
        <v>0</v>
      </c>
      <c r="M223" t="s">
        <v>187</v>
      </c>
      <c r="O223" s="3">
        <f>E223-'315805 - P0824'!F223</f>
        <v>0</v>
      </c>
      <c r="P223" s="30">
        <f>I223-'315805 - P0824'!J223</f>
        <v>0</v>
      </c>
    </row>
    <row r="224" spans="1:16" x14ac:dyDescent="0.25">
      <c r="A224">
        <v>222</v>
      </c>
      <c r="C224" t="s">
        <v>8</v>
      </c>
      <c r="D224" s="4" t="s">
        <v>214</v>
      </c>
      <c r="E224" s="12">
        <v>2.69</v>
      </c>
      <c r="F224" s="12">
        <v>2.69</v>
      </c>
      <c r="G224" s="6">
        <f t="shared" si="60"/>
        <v>0</v>
      </c>
      <c r="H224" s="7">
        <f t="shared" si="61"/>
        <v>0</v>
      </c>
      <c r="I224" s="8">
        <v>4.49</v>
      </c>
      <c r="J224" s="9">
        <f t="shared" si="62"/>
        <v>4.49</v>
      </c>
      <c r="K224" s="3">
        <f t="shared" si="63"/>
        <v>0</v>
      </c>
      <c r="L224" s="7">
        <f t="shared" si="64"/>
        <v>0</v>
      </c>
      <c r="M224" t="s">
        <v>187</v>
      </c>
      <c r="O224" s="3">
        <f>E224-'315805 - P0824'!F224</f>
        <v>0</v>
      </c>
      <c r="P224" s="30">
        <f>I224-'315805 - P0824'!J224</f>
        <v>0</v>
      </c>
    </row>
    <row r="225" spans="1:16" x14ac:dyDescent="0.25">
      <c r="A225">
        <v>223</v>
      </c>
      <c r="C225" t="s">
        <v>8</v>
      </c>
      <c r="D225" s="4" t="s">
        <v>215</v>
      </c>
      <c r="E225" s="12">
        <v>0.45</v>
      </c>
      <c r="F225" s="12">
        <v>0.45</v>
      </c>
      <c r="G225" s="6">
        <f t="shared" si="60"/>
        <v>0</v>
      </c>
      <c r="H225" s="7">
        <f t="shared" si="61"/>
        <v>0</v>
      </c>
      <c r="I225" s="8">
        <v>0.70471188480000002</v>
      </c>
      <c r="J225" s="9">
        <f t="shared" si="62"/>
        <v>0.70471188480000002</v>
      </c>
      <c r="K225" s="3">
        <f t="shared" si="63"/>
        <v>0</v>
      </c>
      <c r="L225" s="7">
        <f t="shared" si="64"/>
        <v>0</v>
      </c>
      <c r="M225" t="s">
        <v>187</v>
      </c>
      <c r="O225" s="3">
        <f>E225-'315805 - P0824'!F225</f>
        <v>0</v>
      </c>
      <c r="P225" s="30">
        <f>I225-'315805 - P0824'!J225</f>
        <v>0</v>
      </c>
    </row>
    <row r="226" spans="1:16" x14ac:dyDescent="0.25">
      <c r="A226">
        <v>224</v>
      </c>
      <c r="C226" t="s">
        <v>8</v>
      </c>
      <c r="D226" s="4" t="s">
        <v>216</v>
      </c>
      <c r="E226" s="12">
        <v>1.1000000000000001</v>
      </c>
      <c r="F226" s="12">
        <v>1.1000000000000001</v>
      </c>
      <c r="G226" s="6">
        <f t="shared" si="60"/>
        <v>0</v>
      </c>
      <c r="H226" s="7">
        <f t="shared" si="61"/>
        <v>0</v>
      </c>
      <c r="I226" s="8">
        <v>1.23</v>
      </c>
      <c r="J226" s="9">
        <f t="shared" si="62"/>
        <v>1.23</v>
      </c>
      <c r="K226" s="3">
        <f t="shared" si="63"/>
        <v>0</v>
      </c>
      <c r="L226" s="7">
        <f t="shared" si="64"/>
        <v>0</v>
      </c>
      <c r="M226" t="s">
        <v>187</v>
      </c>
      <c r="O226" s="3">
        <f>E226-'315805 - P0824'!F226</f>
        <v>0</v>
      </c>
      <c r="P226" s="30">
        <f>I226-'315805 - P0824'!J226</f>
        <v>0</v>
      </c>
    </row>
    <row r="227" spans="1:16" x14ac:dyDescent="0.25">
      <c r="A227">
        <v>225</v>
      </c>
      <c r="C227" t="s">
        <v>8</v>
      </c>
      <c r="D227" s="4" t="s">
        <v>217</v>
      </c>
      <c r="E227" s="12">
        <v>1.1000000000000001</v>
      </c>
      <c r="F227" s="12">
        <v>1.1000000000000001</v>
      </c>
      <c r="G227" s="6">
        <f t="shared" si="60"/>
        <v>0</v>
      </c>
      <c r="H227" s="7">
        <f t="shared" si="61"/>
        <v>0</v>
      </c>
      <c r="I227" s="8">
        <v>1.8621752470588233</v>
      </c>
      <c r="J227" s="9">
        <f t="shared" si="62"/>
        <v>1.8621752470588233</v>
      </c>
      <c r="K227" s="3">
        <f t="shared" si="63"/>
        <v>0</v>
      </c>
      <c r="L227" s="7">
        <f t="shared" si="64"/>
        <v>0</v>
      </c>
      <c r="M227" t="s">
        <v>187</v>
      </c>
      <c r="O227" s="3">
        <f>E227-'315805 - P0824'!F227</f>
        <v>0</v>
      </c>
      <c r="P227" s="30">
        <f>I227-'315805 - P0824'!J227</f>
        <v>0</v>
      </c>
    </row>
    <row r="228" spans="1:16" x14ac:dyDescent="0.25">
      <c r="A228">
        <v>226</v>
      </c>
      <c r="C228" t="s">
        <v>8</v>
      </c>
      <c r="D228" s="4" t="s">
        <v>218</v>
      </c>
      <c r="E228" s="12">
        <v>1.28</v>
      </c>
      <c r="F228" s="12">
        <v>1.28</v>
      </c>
      <c r="G228" s="6">
        <f t="shared" si="60"/>
        <v>0</v>
      </c>
      <c r="H228" s="7">
        <f t="shared" si="61"/>
        <v>0</v>
      </c>
      <c r="I228" s="8">
        <v>2.3682151048101265</v>
      </c>
      <c r="J228" s="9">
        <f t="shared" si="62"/>
        <v>2.3682151048101265</v>
      </c>
      <c r="K228" s="3">
        <f t="shared" si="63"/>
        <v>0</v>
      </c>
      <c r="L228" s="7">
        <f t="shared" si="64"/>
        <v>0</v>
      </c>
      <c r="M228" t="s">
        <v>187</v>
      </c>
      <c r="O228" s="3">
        <f>E228-'315805 - P0824'!F228</f>
        <v>0</v>
      </c>
      <c r="P228" s="30">
        <f>I228-'315805 - P0824'!J228</f>
        <v>0</v>
      </c>
    </row>
    <row r="229" spans="1:16" x14ac:dyDescent="0.25">
      <c r="A229">
        <v>227</v>
      </c>
      <c r="C229" t="s">
        <v>8</v>
      </c>
      <c r="D229" s="4" t="s">
        <v>219</v>
      </c>
      <c r="E229" s="12">
        <v>2.64</v>
      </c>
      <c r="F229" s="12">
        <v>2.64</v>
      </c>
      <c r="G229" s="6">
        <f t="shared" si="60"/>
        <v>0</v>
      </c>
      <c r="H229" s="7">
        <f t="shared" si="61"/>
        <v>0</v>
      </c>
      <c r="I229" s="8">
        <v>5.58</v>
      </c>
      <c r="J229" s="9">
        <f t="shared" si="62"/>
        <v>5.58</v>
      </c>
      <c r="K229" s="3">
        <f t="shared" si="63"/>
        <v>0</v>
      </c>
      <c r="L229" s="7">
        <f t="shared" si="64"/>
        <v>0</v>
      </c>
      <c r="M229" t="s">
        <v>187</v>
      </c>
      <c r="O229" s="3">
        <f>E229-'315805 - P0824'!F229</f>
        <v>0</v>
      </c>
      <c r="P229" s="30">
        <f>I229-'315805 - P0824'!J229</f>
        <v>0</v>
      </c>
    </row>
    <row r="230" spans="1:16" x14ac:dyDescent="0.25">
      <c r="A230">
        <v>228</v>
      </c>
      <c r="C230" t="s">
        <v>8</v>
      </c>
      <c r="D230" s="4" t="s">
        <v>220</v>
      </c>
      <c r="E230" s="12">
        <v>0.09</v>
      </c>
      <c r="F230" s="12">
        <v>0.09</v>
      </c>
      <c r="G230" s="6">
        <f t="shared" si="60"/>
        <v>0</v>
      </c>
      <c r="H230" s="7">
        <f t="shared" si="61"/>
        <v>0</v>
      </c>
      <c r="I230" s="8">
        <v>0.19219415040000001</v>
      </c>
      <c r="J230" s="9">
        <f t="shared" si="62"/>
        <v>0.19219415040000001</v>
      </c>
      <c r="K230" s="3">
        <f t="shared" si="63"/>
        <v>0</v>
      </c>
      <c r="L230" s="7">
        <f t="shared" si="64"/>
        <v>0</v>
      </c>
      <c r="M230" t="s">
        <v>187</v>
      </c>
      <c r="O230" s="3">
        <f>E230-'315805 - P0824'!F230</f>
        <v>0</v>
      </c>
      <c r="P230" s="30">
        <f>I230-'315805 - P0824'!J230</f>
        <v>0</v>
      </c>
    </row>
    <row r="231" spans="1:16" x14ac:dyDescent="0.25">
      <c r="A231">
        <v>229</v>
      </c>
      <c r="C231" t="s">
        <v>8</v>
      </c>
      <c r="D231" s="4" t="s">
        <v>221</v>
      </c>
      <c r="E231" s="12">
        <v>1.01</v>
      </c>
      <c r="F231" s="12">
        <v>1.01</v>
      </c>
      <c r="G231" s="6">
        <f t="shared" si="60"/>
        <v>0</v>
      </c>
      <c r="H231" s="7">
        <f t="shared" si="61"/>
        <v>0</v>
      </c>
      <c r="I231" s="8">
        <v>1.6874188799999998</v>
      </c>
      <c r="J231" s="9">
        <f t="shared" si="62"/>
        <v>1.6874188799999998</v>
      </c>
      <c r="K231" s="3">
        <f t="shared" si="63"/>
        <v>0</v>
      </c>
      <c r="L231" s="7">
        <f t="shared" si="64"/>
        <v>0</v>
      </c>
      <c r="M231" t="s">
        <v>187</v>
      </c>
      <c r="O231" s="3">
        <f>E231-'315805 - P0824'!F231</f>
        <v>0</v>
      </c>
      <c r="P231" s="30">
        <f>I231-'315805 - P0824'!J231</f>
        <v>0</v>
      </c>
    </row>
    <row r="232" spans="1:16" x14ac:dyDescent="0.25">
      <c r="A232">
        <v>230</v>
      </c>
      <c r="C232" t="s">
        <v>8</v>
      </c>
      <c r="D232" s="4" t="s">
        <v>222</v>
      </c>
      <c r="E232" s="12">
        <v>0.06</v>
      </c>
      <c r="F232" s="12">
        <v>0.06</v>
      </c>
      <c r="G232" s="6">
        <f t="shared" si="60"/>
        <v>0</v>
      </c>
      <c r="H232" s="7">
        <f t="shared" si="61"/>
        <v>0</v>
      </c>
      <c r="I232" s="8">
        <v>2.29</v>
      </c>
      <c r="J232" s="9">
        <f t="shared" si="62"/>
        <v>2.29</v>
      </c>
      <c r="K232" s="3">
        <f t="shared" si="63"/>
        <v>0</v>
      </c>
      <c r="L232" s="7">
        <f t="shared" si="64"/>
        <v>0</v>
      </c>
      <c r="M232" t="s">
        <v>187</v>
      </c>
      <c r="O232" s="3">
        <f>E232-'315805 - P0824'!F232</f>
        <v>0</v>
      </c>
      <c r="P232" s="30">
        <f>I232-'315805 - P0824'!J232</f>
        <v>0</v>
      </c>
    </row>
    <row r="233" spans="1:16" x14ac:dyDescent="0.25">
      <c r="A233">
        <v>231</v>
      </c>
      <c r="C233" t="s">
        <v>8</v>
      </c>
      <c r="D233" s="4" t="s">
        <v>223</v>
      </c>
      <c r="E233" s="12">
        <v>4.1399999999999997</v>
      </c>
      <c r="F233" s="12">
        <v>4.1399999999999997</v>
      </c>
      <c r="G233" s="6">
        <f t="shared" si="60"/>
        <v>0</v>
      </c>
      <c r="H233" s="7">
        <f t="shared" si="61"/>
        <v>0</v>
      </c>
      <c r="I233" s="8">
        <v>6.49</v>
      </c>
      <c r="J233" s="9">
        <f t="shared" si="62"/>
        <v>6.49</v>
      </c>
      <c r="K233" s="3">
        <f t="shared" si="63"/>
        <v>0</v>
      </c>
      <c r="L233" s="7">
        <f t="shared" si="64"/>
        <v>0</v>
      </c>
      <c r="M233" t="s">
        <v>187</v>
      </c>
      <c r="O233" s="3">
        <f>E233-'315805 - P0824'!F233</f>
        <v>0</v>
      </c>
      <c r="P233" s="30">
        <f>I233-'315805 - P0824'!J233</f>
        <v>0</v>
      </c>
    </row>
    <row r="234" spans="1:16" x14ac:dyDescent="0.25">
      <c r="A234">
        <v>232</v>
      </c>
      <c r="C234" t="s">
        <v>8</v>
      </c>
      <c r="D234" s="4" t="s">
        <v>224</v>
      </c>
      <c r="E234" s="12">
        <v>24.6</v>
      </c>
      <c r="F234" s="12">
        <v>24.6</v>
      </c>
      <c r="G234" s="6">
        <f t="shared" si="60"/>
        <v>0</v>
      </c>
      <c r="H234" s="7">
        <f t="shared" si="61"/>
        <v>0</v>
      </c>
      <c r="I234" s="8">
        <v>37.85520480000001</v>
      </c>
      <c r="J234" s="9">
        <f t="shared" si="62"/>
        <v>37.85520480000001</v>
      </c>
      <c r="K234" s="3">
        <f t="shared" si="63"/>
        <v>0</v>
      </c>
      <c r="L234" s="7">
        <f t="shared" si="64"/>
        <v>0</v>
      </c>
      <c r="M234" t="s">
        <v>187</v>
      </c>
      <c r="O234" s="3">
        <f>E234-'315805 - P0824'!F234</f>
        <v>0</v>
      </c>
      <c r="P234" s="30">
        <f>I234-'315805 - P0824'!J234</f>
        <v>0</v>
      </c>
    </row>
    <row r="235" spans="1:16" x14ac:dyDescent="0.25">
      <c r="A235">
        <v>233</v>
      </c>
      <c r="C235" t="s">
        <v>8</v>
      </c>
      <c r="D235" s="4" t="s">
        <v>225</v>
      </c>
      <c r="E235" s="12">
        <v>8.41</v>
      </c>
      <c r="F235" s="12">
        <v>8.41</v>
      </c>
      <c r="G235" s="6">
        <f t="shared" si="60"/>
        <v>0</v>
      </c>
      <c r="H235" s="7">
        <f t="shared" si="61"/>
        <v>0</v>
      </c>
      <c r="I235" s="8">
        <v>17.605379996335873</v>
      </c>
      <c r="J235" s="9">
        <f t="shared" si="62"/>
        <v>17.605379996335873</v>
      </c>
      <c r="K235" s="3">
        <f t="shared" si="63"/>
        <v>0</v>
      </c>
      <c r="L235" s="7">
        <f t="shared" si="64"/>
        <v>0</v>
      </c>
      <c r="M235" t="s">
        <v>187</v>
      </c>
      <c r="O235" s="3">
        <f>E235-'315805 - P0824'!F235</f>
        <v>0</v>
      </c>
      <c r="P235" s="30">
        <f>I235-'315805 - P0824'!J235</f>
        <v>0</v>
      </c>
    </row>
    <row r="236" spans="1:16" x14ac:dyDescent="0.25">
      <c r="A236">
        <v>234</v>
      </c>
      <c r="C236" t="s">
        <v>8</v>
      </c>
      <c r="D236" s="4" t="s">
        <v>226</v>
      </c>
      <c r="E236" s="12">
        <v>19.87</v>
      </c>
      <c r="F236" s="12">
        <v>19.87</v>
      </c>
      <c r="G236" s="6">
        <f t="shared" si="60"/>
        <v>0</v>
      </c>
      <c r="H236" s="7">
        <f t="shared" si="61"/>
        <v>0</v>
      </c>
      <c r="I236" s="8">
        <v>37.722017205436892</v>
      </c>
      <c r="J236" s="9">
        <f t="shared" si="62"/>
        <v>37.722017205436892</v>
      </c>
      <c r="K236" s="3">
        <f t="shared" si="63"/>
        <v>0</v>
      </c>
      <c r="L236" s="7">
        <f t="shared" si="64"/>
        <v>0</v>
      </c>
      <c r="M236" t="s">
        <v>187</v>
      </c>
      <c r="O236" s="3">
        <f>E236-'315805 - P0824'!F236</f>
        <v>0</v>
      </c>
      <c r="P236" s="30">
        <f>I236-'315805 - P0824'!J236</f>
        <v>0</v>
      </c>
    </row>
    <row r="237" spans="1:16" x14ac:dyDescent="0.25">
      <c r="A237">
        <v>235</v>
      </c>
      <c r="C237" t="s">
        <v>8</v>
      </c>
      <c r="D237" s="4" t="s">
        <v>227</v>
      </c>
      <c r="E237" s="12">
        <v>19.89</v>
      </c>
      <c r="F237" s="12">
        <v>19.89</v>
      </c>
      <c r="G237" s="6">
        <f t="shared" si="60"/>
        <v>0</v>
      </c>
      <c r="H237" s="7">
        <f t="shared" si="61"/>
        <v>0</v>
      </c>
      <c r="I237" s="8">
        <v>39.222494967342996</v>
      </c>
      <c r="J237" s="9">
        <f t="shared" si="62"/>
        <v>39.222494967342996</v>
      </c>
      <c r="K237" s="3">
        <f t="shared" si="63"/>
        <v>0</v>
      </c>
      <c r="L237" s="7">
        <f t="shared" si="64"/>
        <v>0</v>
      </c>
      <c r="M237" t="s">
        <v>187</v>
      </c>
      <c r="O237" s="3">
        <f>E237-'315805 - P0824'!F237</f>
        <v>0</v>
      </c>
      <c r="P237" s="30">
        <f>I237-'315805 - P0824'!J237</f>
        <v>0</v>
      </c>
    </row>
    <row r="238" spans="1:16" x14ac:dyDescent="0.25">
      <c r="A238">
        <v>236</v>
      </c>
      <c r="C238" t="s">
        <v>8</v>
      </c>
      <c r="D238" s="4" t="s">
        <v>228</v>
      </c>
      <c r="E238" s="12">
        <v>4.71</v>
      </c>
      <c r="F238" s="12">
        <v>4.71</v>
      </c>
      <c r="G238" s="6">
        <f t="shared" si="60"/>
        <v>0</v>
      </c>
      <c r="H238" s="7">
        <f t="shared" si="61"/>
        <v>0</v>
      </c>
      <c r="I238" s="8">
        <v>11.98</v>
      </c>
      <c r="J238" s="9">
        <f t="shared" si="62"/>
        <v>11.98</v>
      </c>
      <c r="K238" s="3">
        <f t="shared" si="63"/>
        <v>0</v>
      </c>
      <c r="L238" s="7">
        <f t="shared" si="64"/>
        <v>0</v>
      </c>
      <c r="M238" t="s">
        <v>187</v>
      </c>
      <c r="O238" s="3">
        <f>E238-'315805 - P0824'!F238</f>
        <v>0</v>
      </c>
      <c r="P238" s="30">
        <f>I238-'315805 - P0824'!J238</f>
        <v>0</v>
      </c>
    </row>
    <row r="239" spans="1:16" x14ac:dyDescent="0.25">
      <c r="A239">
        <v>237</v>
      </c>
      <c r="C239" t="s">
        <v>8</v>
      </c>
      <c r="D239" s="4" t="s">
        <v>229</v>
      </c>
      <c r="E239" s="12">
        <v>51.79</v>
      </c>
      <c r="F239" s="12">
        <v>51.79</v>
      </c>
      <c r="G239" s="6">
        <f t="shared" si="60"/>
        <v>0</v>
      </c>
      <c r="H239" s="7">
        <f t="shared" si="61"/>
        <v>0</v>
      </c>
      <c r="I239" s="8">
        <v>79.680000000000007</v>
      </c>
      <c r="J239" s="9">
        <f t="shared" si="62"/>
        <v>79.680000000000007</v>
      </c>
      <c r="K239" s="3">
        <f t="shared" si="63"/>
        <v>0</v>
      </c>
      <c r="L239" s="7">
        <f t="shared" si="64"/>
        <v>0</v>
      </c>
      <c r="M239" t="s">
        <v>187</v>
      </c>
      <c r="O239" s="3">
        <f>E239-'315805 - P0824'!F239</f>
        <v>0</v>
      </c>
      <c r="P239" s="30">
        <f>I239-'315805 - P0824'!J239</f>
        <v>0</v>
      </c>
    </row>
    <row r="240" spans="1:16" x14ac:dyDescent="0.25">
      <c r="A240">
        <v>238</v>
      </c>
      <c r="C240" t="s">
        <v>8</v>
      </c>
      <c r="D240" s="4" t="s">
        <v>230</v>
      </c>
      <c r="E240" s="12">
        <v>9.76</v>
      </c>
      <c r="F240" s="12">
        <v>9.76</v>
      </c>
      <c r="G240" s="6">
        <f t="shared" si="60"/>
        <v>0</v>
      </c>
      <c r="H240" s="7">
        <f t="shared" si="61"/>
        <v>0</v>
      </c>
      <c r="I240" s="8">
        <v>19.82</v>
      </c>
      <c r="J240" s="9">
        <f t="shared" si="62"/>
        <v>19.82</v>
      </c>
      <c r="K240" s="3">
        <f t="shared" si="63"/>
        <v>0</v>
      </c>
      <c r="L240" s="7">
        <f t="shared" si="64"/>
        <v>0</v>
      </c>
      <c r="M240" t="s">
        <v>187</v>
      </c>
      <c r="O240" s="3">
        <f>E240-'315805 - P0824'!F240</f>
        <v>0</v>
      </c>
      <c r="P240" s="30">
        <f>I240-'315805 - P0824'!J240</f>
        <v>0</v>
      </c>
    </row>
    <row r="241" spans="1:16" x14ac:dyDescent="0.25">
      <c r="A241">
        <v>239</v>
      </c>
      <c r="C241" t="s">
        <v>8</v>
      </c>
      <c r="D241" s="4" t="s">
        <v>231</v>
      </c>
      <c r="E241" s="12">
        <v>2.87</v>
      </c>
      <c r="F241" s="12">
        <v>2.87</v>
      </c>
      <c r="G241" s="6">
        <f t="shared" si="60"/>
        <v>0</v>
      </c>
      <c r="H241" s="7">
        <f t="shared" si="61"/>
        <v>0</v>
      </c>
      <c r="I241" s="8">
        <v>5.82</v>
      </c>
      <c r="J241" s="9">
        <f t="shared" si="62"/>
        <v>5.82</v>
      </c>
      <c r="K241" s="3">
        <f t="shared" si="63"/>
        <v>0</v>
      </c>
      <c r="L241" s="7">
        <f t="shared" si="64"/>
        <v>0</v>
      </c>
      <c r="M241" t="s">
        <v>187</v>
      </c>
      <c r="O241" s="3">
        <f>E241-'315805 - P0824'!F241</f>
        <v>0</v>
      </c>
      <c r="P241" s="30">
        <f>I241-'315805 - P0824'!J241</f>
        <v>0</v>
      </c>
    </row>
    <row r="242" spans="1:16" x14ac:dyDescent="0.25">
      <c r="A242">
        <v>240</v>
      </c>
      <c r="D242" s="34" t="s">
        <v>232</v>
      </c>
      <c r="H242" s="10">
        <f>AVERAGE(H194:H237)</f>
        <v>0</v>
      </c>
      <c r="I242"/>
    </row>
    <row r="243" spans="1:16" x14ac:dyDescent="0.25">
      <c r="A243">
        <v>241</v>
      </c>
      <c r="D243" s="34" t="s">
        <v>233</v>
      </c>
      <c r="I243"/>
      <c r="M243" t="s">
        <v>234</v>
      </c>
      <c r="O243" s="3">
        <f>E243-'315805 - P0824'!F243</f>
        <v>0</v>
      </c>
      <c r="P243" s="30">
        <f>I243-'315805 - P0824'!J243</f>
        <v>0</v>
      </c>
    </row>
    <row r="244" spans="1:16" x14ac:dyDescent="0.25">
      <c r="A244">
        <v>242</v>
      </c>
      <c r="C244" t="s">
        <v>8</v>
      </c>
      <c r="D244" s="4" t="s">
        <v>235</v>
      </c>
      <c r="E244" s="12">
        <v>19.32</v>
      </c>
      <c r="F244" s="12">
        <v>19.32</v>
      </c>
      <c r="G244" s="6">
        <f t="shared" ref="G244:G248" si="65">+F244-E244</f>
        <v>0</v>
      </c>
      <c r="H244" s="7">
        <f t="shared" ref="H244:H248" si="66">(F244-E244)/ABS(E244)</f>
        <v>0</v>
      </c>
      <c r="I244" s="8">
        <v>43.363738242210459</v>
      </c>
      <c r="J244" s="9">
        <f t="shared" ref="J244:J248" si="67">(I244*H244)+I244</f>
        <v>43.363738242210459</v>
      </c>
      <c r="K244" s="3">
        <f t="shared" ref="K244:K248" si="68">J244-I244</f>
        <v>0</v>
      </c>
      <c r="L244" s="7">
        <f t="shared" ref="L244:L248" si="69">(J244-I244)/ABS(I244)</f>
        <v>0</v>
      </c>
      <c r="M244" t="s">
        <v>234</v>
      </c>
      <c r="O244" s="3">
        <f>E244-'315805 - P0824'!F244</f>
        <v>0</v>
      </c>
      <c r="P244" s="30">
        <f>I244-'315805 - P0824'!J244</f>
        <v>0</v>
      </c>
    </row>
    <row r="245" spans="1:16" x14ac:dyDescent="0.25">
      <c r="A245">
        <v>243</v>
      </c>
      <c r="C245" t="s">
        <v>8</v>
      </c>
      <c r="D245" s="4" t="s">
        <v>236</v>
      </c>
      <c r="E245" s="12">
        <v>25.76</v>
      </c>
      <c r="F245" s="12">
        <v>25.76</v>
      </c>
      <c r="G245" s="6">
        <f t="shared" si="65"/>
        <v>0</v>
      </c>
      <c r="H245" s="7">
        <f t="shared" si="66"/>
        <v>0</v>
      </c>
      <c r="I245" s="8">
        <v>54.72</v>
      </c>
      <c r="J245" s="9">
        <f t="shared" si="67"/>
        <v>54.72</v>
      </c>
      <c r="K245" s="3">
        <f t="shared" si="68"/>
        <v>0</v>
      </c>
      <c r="L245" s="7">
        <f t="shared" si="69"/>
        <v>0</v>
      </c>
      <c r="M245" t="s">
        <v>234</v>
      </c>
      <c r="O245" s="3">
        <f>E245-'315805 - P0824'!F245</f>
        <v>0</v>
      </c>
      <c r="P245" s="30">
        <f>I245-'315805 - P0824'!J245</f>
        <v>0</v>
      </c>
    </row>
    <row r="246" spans="1:16" x14ac:dyDescent="0.25">
      <c r="A246">
        <v>244</v>
      </c>
      <c r="C246" t="s">
        <v>8</v>
      </c>
      <c r="D246" s="4" t="s">
        <v>237</v>
      </c>
      <c r="E246" s="12">
        <v>26.28</v>
      </c>
      <c r="F246" s="12">
        <v>26.28</v>
      </c>
      <c r="G246" s="6">
        <f t="shared" si="65"/>
        <v>0</v>
      </c>
      <c r="H246" s="7">
        <f t="shared" si="66"/>
        <v>0</v>
      </c>
      <c r="I246" s="8">
        <v>41.047300934300516</v>
      </c>
      <c r="J246" s="9">
        <f t="shared" si="67"/>
        <v>41.047300934300516</v>
      </c>
      <c r="K246" s="3">
        <f t="shared" si="68"/>
        <v>0</v>
      </c>
      <c r="L246" s="7">
        <f t="shared" si="69"/>
        <v>0</v>
      </c>
      <c r="M246" t="s">
        <v>234</v>
      </c>
      <c r="O246" s="3">
        <f>E246-'315805 - P0824'!F246</f>
        <v>0</v>
      </c>
      <c r="P246" s="30">
        <f>I246-'315805 - P0824'!J246</f>
        <v>0</v>
      </c>
    </row>
    <row r="247" spans="1:16" x14ac:dyDescent="0.25">
      <c r="A247">
        <v>245</v>
      </c>
      <c r="C247" t="s">
        <v>8</v>
      </c>
      <c r="D247" s="4" t="s">
        <v>238</v>
      </c>
      <c r="E247" s="12">
        <v>35.04</v>
      </c>
      <c r="F247" s="12">
        <v>35.04</v>
      </c>
      <c r="G247" s="6">
        <f t="shared" si="65"/>
        <v>0</v>
      </c>
      <c r="H247" s="7">
        <f t="shared" si="66"/>
        <v>0</v>
      </c>
      <c r="I247" s="8">
        <v>54.724364707150258</v>
      </c>
      <c r="J247" s="9">
        <f t="shared" si="67"/>
        <v>54.724364707150258</v>
      </c>
      <c r="K247" s="3">
        <f t="shared" si="68"/>
        <v>0</v>
      </c>
      <c r="L247" s="7">
        <f t="shared" si="69"/>
        <v>0</v>
      </c>
      <c r="M247" t="s">
        <v>234</v>
      </c>
      <c r="O247" s="3">
        <f>E247-'315805 - P0824'!F247</f>
        <v>0</v>
      </c>
      <c r="P247" s="30">
        <f>I247-'315805 - P0824'!J247</f>
        <v>0</v>
      </c>
    </row>
    <row r="248" spans="1:16" x14ac:dyDescent="0.25">
      <c r="A248">
        <v>246</v>
      </c>
      <c r="C248" t="s">
        <v>8</v>
      </c>
      <c r="D248" s="4" t="s">
        <v>239</v>
      </c>
      <c r="E248" s="12">
        <v>43.8</v>
      </c>
      <c r="F248" s="12">
        <v>43.8</v>
      </c>
      <c r="G248" s="6">
        <f t="shared" si="65"/>
        <v>0</v>
      </c>
      <c r="H248" s="7">
        <f t="shared" si="66"/>
        <v>0</v>
      </c>
      <c r="I248" s="8">
        <v>68.401428479999993</v>
      </c>
      <c r="J248" s="9">
        <f t="shared" si="67"/>
        <v>68.401428479999993</v>
      </c>
      <c r="K248" s="3">
        <f t="shared" si="68"/>
        <v>0</v>
      </c>
      <c r="L248" s="7">
        <f t="shared" si="69"/>
        <v>0</v>
      </c>
      <c r="M248" t="s">
        <v>234</v>
      </c>
      <c r="O248" s="3">
        <f>E248-'315805 - P0824'!F248</f>
        <v>0</v>
      </c>
      <c r="P248" s="30">
        <f>I248-'315805 - P0824'!J248</f>
        <v>0</v>
      </c>
    </row>
    <row r="249" spans="1:16" x14ac:dyDescent="0.25">
      <c r="A249">
        <v>247</v>
      </c>
      <c r="D249" s="34" t="s">
        <v>240</v>
      </c>
      <c r="H249" s="10">
        <f>AVERAGE(H244:H248)</f>
        <v>0</v>
      </c>
      <c r="I249"/>
    </row>
    <row r="250" spans="1:16" x14ac:dyDescent="0.25">
      <c r="A250">
        <v>248</v>
      </c>
      <c r="D250" s="34" t="s">
        <v>241</v>
      </c>
      <c r="I250"/>
    </row>
    <row r="251" spans="1:16" x14ac:dyDescent="0.25">
      <c r="A251">
        <v>249</v>
      </c>
      <c r="C251" t="s">
        <v>8</v>
      </c>
      <c r="D251" s="4" t="s">
        <v>242</v>
      </c>
      <c r="E251" s="12">
        <v>8.2200000000000006</v>
      </c>
      <c r="F251" s="11">
        <v>8.2200000000000006</v>
      </c>
      <c r="G251" s="6">
        <f t="shared" ref="G251:G295" si="70">+F251-E251</f>
        <v>0</v>
      </c>
      <c r="H251" s="7">
        <f t="shared" ref="H251:H295" si="71">(F251-E251)/ABS(E251)</f>
        <v>0</v>
      </c>
      <c r="I251" s="8">
        <v>28.54202272220985</v>
      </c>
      <c r="J251" s="9">
        <f t="shared" ref="J251:J295" si="72">(I251*H251)+I251</f>
        <v>28.54202272220985</v>
      </c>
      <c r="K251" s="3">
        <f t="shared" ref="K251:K295" si="73">J251-I251</f>
        <v>0</v>
      </c>
      <c r="L251" s="7">
        <f t="shared" ref="L251:L295" si="74">(J251-I251)/ABS(I251)</f>
        <v>0</v>
      </c>
      <c r="M251" t="s">
        <v>150</v>
      </c>
      <c r="O251" s="3">
        <f>E251-'315805 - P0824'!F251</f>
        <v>0</v>
      </c>
      <c r="P251" s="30">
        <f>I251-'315805 - P0824'!J251</f>
        <v>0</v>
      </c>
    </row>
    <row r="252" spans="1:16" x14ac:dyDescent="0.25">
      <c r="A252">
        <v>250</v>
      </c>
      <c r="C252" t="s">
        <v>8</v>
      </c>
      <c r="D252" s="4" t="s">
        <v>243</v>
      </c>
      <c r="E252" s="12">
        <v>7.68</v>
      </c>
      <c r="F252" s="11">
        <v>7.68</v>
      </c>
      <c r="G252" s="6">
        <f t="shared" si="70"/>
        <v>0</v>
      </c>
      <c r="H252" s="7">
        <f t="shared" si="71"/>
        <v>0</v>
      </c>
      <c r="I252" s="8">
        <v>16.421831032972253</v>
      </c>
      <c r="J252" s="9">
        <f t="shared" si="72"/>
        <v>16.421831032972253</v>
      </c>
      <c r="K252" s="3">
        <f t="shared" si="73"/>
        <v>0</v>
      </c>
      <c r="L252" s="7">
        <f t="shared" si="74"/>
        <v>0</v>
      </c>
      <c r="M252" t="s">
        <v>150</v>
      </c>
      <c r="O252" s="3">
        <f>E252-'315805 - P0824'!F252</f>
        <v>0</v>
      </c>
      <c r="P252" s="30">
        <f>I252-'315805 - P0824'!J252</f>
        <v>0</v>
      </c>
    </row>
    <row r="253" spans="1:16" x14ac:dyDescent="0.25">
      <c r="A253">
        <v>251</v>
      </c>
      <c r="C253" t="s">
        <v>8</v>
      </c>
      <c r="D253" s="4" t="s">
        <v>244</v>
      </c>
      <c r="E253" s="12">
        <v>58.2</v>
      </c>
      <c r="F253" s="12">
        <v>58.2</v>
      </c>
      <c r="G253" s="6">
        <f t="shared" si="70"/>
        <v>0</v>
      </c>
      <c r="H253" s="7">
        <f t="shared" si="71"/>
        <v>0</v>
      </c>
      <c r="I253" s="8">
        <v>83.610119999999995</v>
      </c>
      <c r="J253" s="9">
        <f t="shared" si="72"/>
        <v>83.610119999999995</v>
      </c>
      <c r="K253" s="3">
        <f t="shared" si="73"/>
        <v>0</v>
      </c>
      <c r="L253" s="7">
        <f t="shared" si="74"/>
        <v>0</v>
      </c>
      <c r="M253" t="s">
        <v>150</v>
      </c>
      <c r="O253" s="3">
        <f>E253-'315805 - P0824'!F253</f>
        <v>0</v>
      </c>
      <c r="P253" s="30">
        <f>I253-'315805 - P0824'!J253</f>
        <v>0</v>
      </c>
    </row>
    <row r="254" spans="1:16" x14ac:dyDescent="0.25">
      <c r="A254">
        <v>252</v>
      </c>
      <c r="C254" t="s">
        <v>8</v>
      </c>
      <c r="D254" s="4" t="s">
        <v>245</v>
      </c>
      <c r="E254" s="12">
        <v>3.75</v>
      </c>
      <c r="F254" s="12">
        <v>3.75</v>
      </c>
      <c r="G254" s="6">
        <f t="shared" si="70"/>
        <v>0</v>
      </c>
      <c r="H254" s="7">
        <f t="shared" si="71"/>
        <v>0</v>
      </c>
      <c r="I254" s="8">
        <v>7.7840909090909092</v>
      </c>
      <c r="J254" s="9">
        <f t="shared" si="72"/>
        <v>7.7840909090909092</v>
      </c>
      <c r="K254" s="3">
        <f t="shared" si="73"/>
        <v>0</v>
      </c>
      <c r="L254" s="7">
        <f t="shared" si="74"/>
        <v>0</v>
      </c>
      <c r="M254" t="s">
        <v>150</v>
      </c>
      <c r="O254" s="3">
        <f>E254-'315805 - P0824'!F254</f>
        <v>0</v>
      </c>
      <c r="P254" s="30">
        <f>I254-'315805 - P0824'!J254</f>
        <v>0</v>
      </c>
    </row>
    <row r="255" spans="1:16" x14ac:dyDescent="0.25">
      <c r="A255">
        <v>253</v>
      </c>
      <c r="C255" t="s">
        <v>8</v>
      </c>
      <c r="D255" s="4" t="s">
        <v>246</v>
      </c>
      <c r="E255" s="12">
        <v>7.34</v>
      </c>
      <c r="F255" s="11">
        <v>7.34</v>
      </c>
      <c r="G255" s="6">
        <f t="shared" si="70"/>
        <v>0</v>
      </c>
      <c r="H255" s="7">
        <f t="shared" si="71"/>
        <v>0</v>
      </c>
      <c r="I255" s="8">
        <v>27.961904761904762</v>
      </c>
      <c r="J255" s="9">
        <f t="shared" si="72"/>
        <v>27.961904761904762</v>
      </c>
      <c r="K255" s="3">
        <f t="shared" si="73"/>
        <v>0</v>
      </c>
      <c r="L255" s="7">
        <f t="shared" si="74"/>
        <v>0</v>
      </c>
      <c r="M255" t="s">
        <v>150</v>
      </c>
      <c r="O255" s="3">
        <f>E255-'315805 - P0824'!F255</f>
        <v>0</v>
      </c>
      <c r="P255" s="30">
        <f>I255-'315805 - P0824'!J255</f>
        <v>0</v>
      </c>
    </row>
    <row r="256" spans="1:16" x14ac:dyDescent="0.25">
      <c r="A256">
        <v>254</v>
      </c>
      <c r="C256" t="s">
        <v>8</v>
      </c>
      <c r="D256" s="4" t="s">
        <v>247</v>
      </c>
      <c r="E256" s="12">
        <v>13.75</v>
      </c>
      <c r="F256" s="12">
        <v>13.75</v>
      </c>
      <c r="G256" s="6">
        <f t="shared" si="70"/>
        <v>0</v>
      </c>
      <c r="H256" s="7">
        <f t="shared" si="71"/>
        <v>0</v>
      </c>
      <c r="I256" s="8">
        <v>17.348837209302324</v>
      </c>
      <c r="J256" s="9">
        <f t="shared" si="72"/>
        <v>17.348837209302324</v>
      </c>
      <c r="K256" s="3">
        <f t="shared" si="73"/>
        <v>0</v>
      </c>
      <c r="L256" s="7">
        <f t="shared" si="74"/>
        <v>0</v>
      </c>
      <c r="M256" t="s">
        <v>150</v>
      </c>
      <c r="O256" s="3">
        <f>E256-'315805 - P0824'!F256</f>
        <v>0</v>
      </c>
      <c r="P256" s="30">
        <f>I256-'315805 - P0824'!J256</f>
        <v>0</v>
      </c>
    </row>
    <row r="257" spans="1:16" x14ac:dyDescent="0.25">
      <c r="A257">
        <v>255</v>
      </c>
      <c r="C257" t="s">
        <v>8</v>
      </c>
      <c r="D257" s="4" t="s">
        <v>248</v>
      </c>
      <c r="E257" s="12">
        <v>10.25</v>
      </c>
      <c r="F257" s="12">
        <v>10.25</v>
      </c>
      <c r="G257" s="6">
        <f t="shared" si="70"/>
        <v>0</v>
      </c>
      <c r="H257" s="7">
        <f t="shared" si="71"/>
        <v>0</v>
      </c>
      <c r="I257" s="8">
        <v>13.461538461538462</v>
      </c>
      <c r="J257" s="9">
        <f t="shared" si="72"/>
        <v>13.461538461538462</v>
      </c>
      <c r="K257" s="3">
        <f t="shared" si="73"/>
        <v>0</v>
      </c>
      <c r="L257" s="7">
        <f t="shared" si="74"/>
        <v>0</v>
      </c>
      <c r="M257" t="s">
        <v>150</v>
      </c>
      <c r="O257" s="3">
        <f>E257-'315805 - P0824'!F257</f>
        <v>0</v>
      </c>
      <c r="P257" s="30">
        <f>I257-'315805 - P0824'!J257</f>
        <v>0</v>
      </c>
    </row>
    <row r="258" spans="1:16" x14ac:dyDescent="0.25">
      <c r="A258">
        <v>256</v>
      </c>
      <c r="C258" t="s">
        <v>8</v>
      </c>
      <c r="D258" s="4" t="s">
        <v>249</v>
      </c>
      <c r="E258" s="12">
        <v>5.75</v>
      </c>
      <c r="F258" s="12">
        <v>5.75</v>
      </c>
      <c r="G258" s="6">
        <f t="shared" si="70"/>
        <v>0</v>
      </c>
      <c r="H258" s="7">
        <f t="shared" si="71"/>
        <v>0</v>
      </c>
      <c r="I258" s="8">
        <v>15.717408000000002</v>
      </c>
      <c r="J258" s="9">
        <f t="shared" si="72"/>
        <v>15.717408000000002</v>
      </c>
      <c r="K258" s="3">
        <f t="shared" si="73"/>
        <v>0</v>
      </c>
      <c r="L258" s="7">
        <f t="shared" si="74"/>
        <v>0</v>
      </c>
      <c r="M258" t="s">
        <v>187</v>
      </c>
      <c r="O258" s="3">
        <f>E258-'315805 - P0824'!F258</f>
        <v>0</v>
      </c>
      <c r="P258" s="30">
        <f>I258-'315805 - P0824'!J258</f>
        <v>0</v>
      </c>
    </row>
    <row r="259" spans="1:16" x14ac:dyDescent="0.25">
      <c r="A259">
        <v>257</v>
      </c>
      <c r="C259" t="s">
        <v>8</v>
      </c>
      <c r="D259" s="4" t="s">
        <v>250</v>
      </c>
      <c r="E259" s="12">
        <v>18.22</v>
      </c>
      <c r="F259" s="5">
        <v>18.22</v>
      </c>
      <c r="G259" s="6">
        <f t="shared" si="70"/>
        <v>0</v>
      </c>
      <c r="H259" s="7">
        <f t="shared" si="71"/>
        <v>0</v>
      </c>
      <c r="I259" s="8">
        <v>36.44</v>
      </c>
      <c r="J259" s="9">
        <f t="shared" si="72"/>
        <v>36.44</v>
      </c>
      <c r="K259" s="3">
        <f t="shared" si="73"/>
        <v>0</v>
      </c>
      <c r="L259" s="7">
        <f t="shared" si="74"/>
        <v>0</v>
      </c>
      <c r="M259" t="s">
        <v>150</v>
      </c>
      <c r="O259" s="3">
        <f>E259-'315805 - P0824'!F259</f>
        <v>0</v>
      </c>
      <c r="P259" s="30">
        <f>I259-'315805 - P0824'!J259</f>
        <v>0</v>
      </c>
    </row>
    <row r="260" spans="1:16" x14ac:dyDescent="0.25">
      <c r="A260">
        <v>258</v>
      </c>
      <c r="C260" t="s">
        <v>8</v>
      </c>
      <c r="D260" s="4" t="s">
        <v>251</v>
      </c>
      <c r="E260" s="12">
        <v>2.21</v>
      </c>
      <c r="F260" s="5">
        <v>2.21</v>
      </c>
      <c r="G260" s="6">
        <f t="shared" si="70"/>
        <v>0</v>
      </c>
      <c r="H260" s="7">
        <f t="shared" si="71"/>
        <v>0</v>
      </c>
      <c r="I260" s="8">
        <v>4.5939072847682123</v>
      </c>
      <c r="J260" s="9">
        <f t="shared" si="72"/>
        <v>4.5939072847682123</v>
      </c>
      <c r="K260" s="3">
        <f t="shared" si="73"/>
        <v>0</v>
      </c>
      <c r="L260" s="7">
        <f t="shared" si="74"/>
        <v>0</v>
      </c>
      <c r="M260" t="s">
        <v>150</v>
      </c>
      <c r="O260" s="3">
        <f>E260-'315805 - P0824'!F260</f>
        <v>0</v>
      </c>
      <c r="P260" s="30">
        <f>I260-'315805 - P0824'!J260</f>
        <v>0</v>
      </c>
    </row>
    <row r="261" spans="1:16" x14ac:dyDescent="0.25">
      <c r="A261">
        <v>259</v>
      </c>
      <c r="C261" t="s">
        <v>8</v>
      </c>
      <c r="D261" s="4" t="s">
        <v>252</v>
      </c>
      <c r="E261" s="12">
        <v>3.3</v>
      </c>
      <c r="F261" s="5">
        <v>3.3</v>
      </c>
      <c r="G261" s="6">
        <f t="shared" si="70"/>
        <v>0</v>
      </c>
      <c r="H261" s="7">
        <f t="shared" si="71"/>
        <v>0</v>
      </c>
      <c r="I261" s="8">
        <v>7.177170731707319</v>
      </c>
      <c r="J261" s="9">
        <f t="shared" si="72"/>
        <v>7.177170731707319</v>
      </c>
      <c r="K261" s="3">
        <f t="shared" si="73"/>
        <v>0</v>
      </c>
      <c r="L261" s="7">
        <f t="shared" si="74"/>
        <v>0</v>
      </c>
      <c r="M261" t="s">
        <v>150</v>
      </c>
      <c r="O261" s="3">
        <f>E261-'315805 - P0824'!F261</f>
        <v>0</v>
      </c>
      <c r="P261" s="30">
        <f>I261-'315805 - P0824'!J261</f>
        <v>0</v>
      </c>
    </row>
    <row r="262" spans="1:16" x14ac:dyDescent="0.25">
      <c r="A262">
        <v>260</v>
      </c>
      <c r="C262" t="s">
        <v>8</v>
      </c>
      <c r="D262" s="4" t="s">
        <v>253</v>
      </c>
      <c r="E262" s="12">
        <v>123.23</v>
      </c>
      <c r="F262" s="12">
        <v>123.23</v>
      </c>
      <c r="G262" s="6">
        <f t="shared" si="70"/>
        <v>0</v>
      </c>
      <c r="H262" s="7">
        <f t="shared" si="71"/>
        <v>0</v>
      </c>
      <c r="I262" s="8">
        <v>262.95999999999998</v>
      </c>
      <c r="J262" s="9">
        <f t="shared" si="72"/>
        <v>262.95999999999998</v>
      </c>
      <c r="K262" s="3">
        <f t="shared" si="73"/>
        <v>0</v>
      </c>
      <c r="L262" s="7">
        <f t="shared" si="74"/>
        <v>0</v>
      </c>
      <c r="M262" t="s">
        <v>150</v>
      </c>
      <c r="O262" s="3">
        <f>E262-'315805 - P0824'!F262</f>
        <v>0</v>
      </c>
      <c r="P262" s="30">
        <f>I262-'315805 - P0824'!J262</f>
        <v>0</v>
      </c>
    </row>
    <row r="263" spans="1:16" x14ac:dyDescent="0.25">
      <c r="A263">
        <v>261</v>
      </c>
      <c r="C263" t="s">
        <v>8</v>
      </c>
      <c r="D263" s="4" t="s">
        <v>254</v>
      </c>
      <c r="E263" s="12">
        <v>121.84</v>
      </c>
      <c r="F263" s="12">
        <v>121.84</v>
      </c>
      <c r="G263" s="6">
        <f t="shared" si="70"/>
        <v>0</v>
      </c>
      <c r="H263" s="7">
        <f t="shared" si="71"/>
        <v>0</v>
      </c>
      <c r="I263" s="8">
        <v>219.99</v>
      </c>
      <c r="J263" s="9">
        <f t="shared" si="72"/>
        <v>219.99</v>
      </c>
      <c r="K263" s="3">
        <f t="shared" si="73"/>
        <v>0</v>
      </c>
      <c r="L263" s="7">
        <f t="shared" si="74"/>
        <v>0</v>
      </c>
      <c r="M263" t="s">
        <v>150</v>
      </c>
      <c r="O263" s="3">
        <f>E263-'315805 - P0824'!F263</f>
        <v>0</v>
      </c>
      <c r="P263" s="30">
        <f>I263-'315805 - P0824'!J263</f>
        <v>0</v>
      </c>
    </row>
    <row r="264" spans="1:16" x14ac:dyDescent="0.25">
      <c r="A264">
        <v>262</v>
      </c>
      <c r="C264" t="s">
        <v>8</v>
      </c>
      <c r="D264" s="4" t="s">
        <v>255</v>
      </c>
      <c r="E264" s="5">
        <v>10.8</v>
      </c>
      <c r="F264" s="5">
        <v>10.8</v>
      </c>
      <c r="G264" s="6">
        <f t="shared" si="70"/>
        <v>0</v>
      </c>
      <c r="H264" s="7">
        <f t="shared" si="71"/>
        <v>0</v>
      </c>
      <c r="I264" s="8">
        <v>23.043154761904759</v>
      </c>
      <c r="J264" s="9">
        <f t="shared" si="72"/>
        <v>23.043154761904759</v>
      </c>
      <c r="K264" s="3">
        <f t="shared" si="73"/>
        <v>0</v>
      </c>
      <c r="L264" s="7">
        <f t="shared" si="74"/>
        <v>0</v>
      </c>
      <c r="M264" s="7" t="s">
        <v>150</v>
      </c>
      <c r="O264" s="3">
        <f>E264-'315805 - P0824'!F264</f>
        <v>0</v>
      </c>
      <c r="P264" s="30">
        <f>I264-'315805 - P0824'!J264</f>
        <v>0</v>
      </c>
    </row>
    <row r="265" spans="1:16" x14ac:dyDescent="0.25">
      <c r="A265">
        <v>263</v>
      </c>
      <c r="C265" t="s">
        <v>8</v>
      </c>
      <c r="D265" s="4" t="s">
        <v>256</v>
      </c>
      <c r="E265" s="5">
        <v>12.96</v>
      </c>
      <c r="F265" s="5">
        <v>12.96</v>
      </c>
      <c r="G265" s="6">
        <f t="shared" si="70"/>
        <v>0</v>
      </c>
      <c r="H265" s="7">
        <f t="shared" si="71"/>
        <v>0</v>
      </c>
      <c r="I265" s="8">
        <v>30.49</v>
      </c>
      <c r="J265" s="9">
        <f t="shared" si="72"/>
        <v>30.49</v>
      </c>
      <c r="K265" s="3">
        <f t="shared" si="73"/>
        <v>0</v>
      </c>
      <c r="L265" s="7">
        <f t="shared" si="74"/>
        <v>0</v>
      </c>
      <c r="M265" s="7" t="s">
        <v>150</v>
      </c>
      <c r="O265" s="3">
        <f>E265-'315805 - P0824'!F265</f>
        <v>0</v>
      </c>
      <c r="P265" s="30">
        <f>I265-'315805 - P0824'!J265</f>
        <v>0</v>
      </c>
    </row>
    <row r="266" spans="1:16" x14ac:dyDescent="0.25">
      <c r="A266">
        <v>264</v>
      </c>
      <c r="C266" t="s">
        <v>8</v>
      </c>
      <c r="D266" s="4" t="s">
        <v>257</v>
      </c>
      <c r="E266" s="5">
        <v>8.35</v>
      </c>
      <c r="F266" s="5">
        <v>8.35</v>
      </c>
      <c r="G266" s="6">
        <f t="shared" si="70"/>
        <v>0</v>
      </c>
      <c r="H266" s="7">
        <f t="shared" si="71"/>
        <v>0</v>
      </c>
      <c r="I266" s="8">
        <v>17.815772431657845</v>
      </c>
      <c r="J266" s="9">
        <f t="shared" si="72"/>
        <v>17.815772431657845</v>
      </c>
      <c r="K266" s="3">
        <f t="shared" si="73"/>
        <v>0</v>
      </c>
      <c r="L266" s="7">
        <f t="shared" si="74"/>
        <v>0</v>
      </c>
      <c r="M266" t="s">
        <v>150</v>
      </c>
      <c r="O266" s="3">
        <f>E266-'315805 - P0824'!F266</f>
        <v>0</v>
      </c>
      <c r="P266" s="30">
        <f>I266-'315805 - P0824'!J266</f>
        <v>0</v>
      </c>
    </row>
    <row r="267" spans="1:16" x14ac:dyDescent="0.25">
      <c r="A267">
        <v>265</v>
      </c>
      <c r="C267" t="s">
        <v>8</v>
      </c>
      <c r="D267" s="4" t="s">
        <v>258</v>
      </c>
      <c r="E267" s="5">
        <v>3.44</v>
      </c>
      <c r="F267" s="5">
        <v>3.44</v>
      </c>
      <c r="G267" s="6">
        <f t="shared" si="70"/>
        <v>0</v>
      </c>
      <c r="H267" s="7">
        <f t="shared" si="71"/>
        <v>0</v>
      </c>
      <c r="I267" s="8">
        <v>6.5289583333333336</v>
      </c>
      <c r="J267" s="9">
        <f t="shared" si="72"/>
        <v>6.5289583333333336</v>
      </c>
      <c r="K267" s="3">
        <f t="shared" si="73"/>
        <v>0</v>
      </c>
      <c r="L267" s="7">
        <f t="shared" si="74"/>
        <v>0</v>
      </c>
      <c r="M267" t="s">
        <v>150</v>
      </c>
      <c r="O267" s="3">
        <f>E267-'315805 - P0824'!F267</f>
        <v>0</v>
      </c>
      <c r="P267" s="30">
        <f>I267-'315805 - P0824'!J267</f>
        <v>0</v>
      </c>
    </row>
    <row r="268" spans="1:16" x14ac:dyDescent="0.25">
      <c r="A268">
        <v>266</v>
      </c>
      <c r="C268" t="s">
        <v>8</v>
      </c>
      <c r="D268" s="4" t="s">
        <v>259</v>
      </c>
      <c r="E268" s="5">
        <v>2.64</v>
      </c>
      <c r="F268" s="5">
        <v>2.64</v>
      </c>
      <c r="G268" s="6">
        <f t="shared" si="70"/>
        <v>0</v>
      </c>
      <c r="H268" s="7">
        <f t="shared" si="71"/>
        <v>0</v>
      </c>
      <c r="I268" s="8">
        <v>5.9648076923076916</v>
      </c>
      <c r="J268" s="9">
        <f t="shared" si="72"/>
        <v>5.9648076923076916</v>
      </c>
      <c r="K268" s="3">
        <f t="shared" si="73"/>
        <v>0</v>
      </c>
      <c r="L268" s="7">
        <f t="shared" si="74"/>
        <v>0</v>
      </c>
      <c r="M268" t="s">
        <v>150</v>
      </c>
      <c r="O268" s="3">
        <f>E268-'315805 - P0824'!F268</f>
        <v>0</v>
      </c>
      <c r="P268" s="30">
        <f>I268-'315805 - P0824'!J268</f>
        <v>0</v>
      </c>
    </row>
    <row r="269" spans="1:16" x14ac:dyDescent="0.25">
      <c r="A269">
        <v>267</v>
      </c>
      <c r="C269" t="s">
        <v>8</v>
      </c>
      <c r="D269" s="4" t="s">
        <v>260</v>
      </c>
      <c r="E269" s="5">
        <v>2.64</v>
      </c>
      <c r="F269" s="5">
        <v>2.64</v>
      </c>
      <c r="G269" s="6">
        <f t="shared" si="70"/>
        <v>0</v>
      </c>
      <c r="H269" s="7">
        <f t="shared" si="71"/>
        <v>0</v>
      </c>
      <c r="I269" s="8">
        <v>4.9814285714285704</v>
      </c>
      <c r="J269" s="9">
        <f t="shared" si="72"/>
        <v>4.9814285714285704</v>
      </c>
      <c r="K269" s="3">
        <f t="shared" si="73"/>
        <v>0</v>
      </c>
      <c r="L269" s="7">
        <f t="shared" si="74"/>
        <v>0</v>
      </c>
      <c r="M269" t="s">
        <v>150</v>
      </c>
      <c r="O269" s="3">
        <f>E269-'315805 - P0824'!F269</f>
        <v>0</v>
      </c>
      <c r="P269" s="30">
        <f>I269-'315805 - P0824'!J269</f>
        <v>0</v>
      </c>
    </row>
    <row r="270" spans="1:16" x14ac:dyDescent="0.25">
      <c r="A270">
        <v>268</v>
      </c>
      <c r="C270" t="s">
        <v>8</v>
      </c>
      <c r="D270" s="4" t="s">
        <v>261</v>
      </c>
      <c r="E270" s="5">
        <v>1.98</v>
      </c>
      <c r="F270" s="5">
        <v>1.98</v>
      </c>
      <c r="G270" s="6">
        <f t="shared" si="70"/>
        <v>0</v>
      </c>
      <c r="H270" s="7">
        <f t="shared" si="71"/>
        <v>0</v>
      </c>
      <c r="I270" s="8">
        <v>3.5054288194444445</v>
      </c>
      <c r="J270" s="9">
        <f t="shared" si="72"/>
        <v>3.5054288194444445</v>
      </c>
      <c r="K270" s="3">
        <f t="shared" si="73"/>
        <v>0</v>
      </c>
      <c r="L270" s="7">
        <f t="shared" si="74"/>
        <v>0</v>
      </c>
      <c r="M270" t="s">
        <v>150</v>
      </c>
      <c r="O270" s="3">
        <f>E270-'315805 - P0824'!F270</f>
        <v>0</v>
      </c>
      <c r="P270" s="30">
        <f>I270-'315805 - P0824'!J270</f>
        <v>0</v>
      </c>
    </row>
    <row r="271" spans="1:16" x14ac:dyDescent="0.25">
      <c r="A271">
        <v>269</v>
      </c>
      <c r="C271" t="s">
        <v>8</v>
      </c>
      <c r="D271" s="4" t="s">
        <v>262</v>
      </c>
      <c r="E271" s="5">
        <v>3.2</v>
      </c>
      <c r="F271" s="5">
        <v>3.2</v>
      </c>
      <c r="G271" s="6">
        <f t="shared" si="70"/>
        <v>0</v>
      </c>
      <c r="H271" s="7">
        <f t="shared" si="71"/>
        <v>0</v>
      </c>
      <c r="I271" s="8">
        <v>9.5772187500000001</v>
      </c>
      <c r="J271" s="9">
        <f t="shared" si="72"/>
        <v>9.5772187500000001</v>
      </c>
      <c r="K271" s="3">
        <f t="shared" si="73"/>
        <v>0</v>
      </c>
      <c r="L271" s="7">
        <f t="shared" si="74"/>
        <v>0</v>
      </c>
      <c r="M271" t="s">
        <v>150</v>
      </c>
      <c r="O271" s="3">
        <f>E271-'315805 - P0824'!F271</f>
        <v>0</v>
      </c>
      <c r="P271" s="30">
        <f>I271-'315805 - P0824'!J271</f>
        <v>0</v>
      </c>
    </row>
    <row r="272" spans="1:16" x14ac:dyDescent="0.25">
      <c r="A272">
        <v>270</v>
      </c>
      <c r="C272" t="s">
        <v>8</v>
      </c>
      <c r="D272" s="4" t="s">
        <v>263</v>
      </c>
      <c r="E272" s="5">
        <v>2.56</v>
      </c>
      <c r="F272" s="5">
        <v>2.56</v>
      </c>
      <c r="G272" s="6">
        <f t="shared" si="70"/>
        <v>0</v>
      </c>
      <c r="H272" s="7">
        <f t="shared" si="71"/>
        <v>0</v>
      </c>
      <c r="I272" s="8">
        <v>5.0988055555555549</v>
      </c>
      <c r="J272" s="9">
        <f t="shared" si="72"/>
        <v>5.0988055555555549</v>
      </c>
      <c r="K272" s="3">
        <f t="shared" si="73"/>
        <v>0</v>
      </c>
      <c r="L272" s="7">
        <f t="shared" si="74"/>
        <v>0</v>
      </c>
      <c r="M272" t="s">
        <v>150</v>
      </c>
      <c r="O272" s="3">
        <f>E272-'315805 - P0824'!F272</f>
        <v>0</v>
      </c>
      <c r="P272" s="30">
        <f>I272-'315805 - P0824'!J272</f>
        <v>0</v>
      </c>
    </row>
    <row r="273" spans="1:16" x14ac:dyDescent="0.25">
      <c r="A273">
        <v>271</v>
      </c>
      <c r="C273" t="s">
        <v>8</v>
      </c>
      <c r="D273" s="4" t="s">
        <v>264</v>
      </c>
      <c r="E273" s="12">
        <v>34.130000000000003</v>
      </c>
      <c r="F273" s="11">
        <v>34.130000000000003</v>
      </c>
      <c r="G273" s="6">
        <f t="shared" si="70"/>
        <v>0</v>
      </c>
      <c r="H273" s="7">
        <f t="shared" si="71"/>
        <v>0</v>
      </c>
      <c r="I273" s="8">
        <v>83.99904491032467</v>
      </c>
      <c r="J273" s="9">
        <f t="shared" si="72"/>
        <v>83.99904491032467</v>
      </c>
      <c r="K273" s="3">
        <f t="shared" si="73"/>
        <v>0</v>
      </c>
      <c r="L273" s="7">
        <f t="shared" si="74"/>
        <v>0</v>
      </c>
      <c r="M273" t="s">
        <v>150</v>
      </c>
      <c r="O273" s="3">
        <f>E273-'315805 - P0824'!F273</f>
        <v>0</v>
      </c>
      <c r="P273" s="30">
        <f>I273-'315805 - P0824'!J273</f>
        <v>0</v>
      </c>
    </row>
    <row r="274" spans="1:16" x14ac:dyDescent="0.25">
      <c r="A274">
        <v>272</v>
      </c>
      <c r="C274" t="s">
        <v>8</v>
      </c>
      <c r="D274" s="4" t="s">
        <v>265</v>
      </c>
      <c r="E274" s="12">
        <v>40.14</v>
      </c>
      <c r="F274" s="11">
        <v>40.14</v>
      </c>
      <c r="G274" s="6">
        <f t="shared" si="70"/>
        <v>0</v>
      </c>
      <c r="H274" s="7">
        <f t="shared" si="71"/>
        <v>0</v>
      </c>
      <c r="I274" s="8">
        <v>100.73811614890289</v>
      </c>
      <c r="J274" s="9">
        <f t="shared" si="72"/>
        <v>100.73811614890289</v>
      </c>
      <c r="K274" s="3">
        <f t="shared" si="73"/>
        <v>0</v>
      </c>
      <c r="L274" s="7">
        <f t="shared" si="74"/>
        <v>0</v>
      </c>
      <c r="M274" t="s">
        <v>150</v>
      </c>
      <c r="O274" s="3">
        <f>E274-'315805 - P0824'!F274</f>
        <v>0</v>
      </c>
      <c r="P274" s="30">
        <f>I274-'315805 - P0824'!J274</f>
        <v>0</v>
      </c>
    </row>
    <row r="275" spans="1:16" x14ac:dyDescent="0.25">
      <c r="A275">
        <v>273</v>
      </c>
      <c r="C275" t="s">
        <v>8</v>
      </c>
      <c r="D275" s="4" t="s">
        <v>266</v>
      </c>
      <c r="E275" s="12">
        <v>0.71</v>
      </c>
      <c r="F275" s="11">
        <v>0.71</v>
      </c>
      <c r="G275" s="6">
        <f t="shared" si="70"/>
        <v>0</v>
      </c>
      <c r="H275" s="7">
        <f t="shared" si="71"/>
        <v>0</v>
      </c>
      <c r="I275" s="8">
        <v>1.3974603174603173</v>
      </c>
      <c r="J275" s="9">
        <f t="shared" si="72"/>
        <v>1.3974603174603173</v>
      </c>
      <c r="K275" s="3">
        <f t="shared" si="73"/>
        <v>0</v>
      </c>
      <c r="L275" s="7">
        <f t="shared" si="74"/>
        <v>0</v>
      </c>
      <c r="M275" t="s">
        <v>150</v>
      </c>
      <c r="O275" s="3">
        <f>E275-'315805 - P0824'!F275</f>
        <v>0</v>
      </c>
      <c r="P275" s="30">
        <f>I275-'315805 - P0824'!J275</f>
        <v>0</v>
      </c>
    </row>
    <row r="276" spans="1:16" x14ac:dyDescent="0.25">
      <c r="A276">
        <v>274</v>
      </c>
      <c r="C276" t="s">
        <v>8</v>
      </c>
      <c r="D276" s="4" t="s">
        <v>267</v>
      </c>
      <c r="E276" s="12">
        <v>15.02</v>
      </c>
      <c r="F276" s="11">
        <v>15.02</v>
      </c>
      <c r="G276" s="6">
        <f t="shared" si="70"/>
        <v>0</v>
      </c>
      <c r="H276" s="7">
        <f t="shared" si="71"/>
        <v>0</v>
      </c>
      <c r="I276" s="8">
        <v>39.554925957158105</v>
      </c>
      <c r="J276" s="9">
        <f t="shared" si="72"/>
        <v>39.554925957158105</v>
      </c>
      <c r="K276" s="3">
        <f t="shared" si="73"/>
        <v>0</v>
      </c>
      <c r="L276" s="7">
        <f t="shared" si="74"/>
        <v>0</v>
      </c>
      <c r="M276" t="s">
        <v>150</v>
      </c>
      <c r="O276" s="3">
        <f>E276-'315805 - P0824'!F276</f>
        <v>0</v>
      </c>
      <c r="P276" s="30">
        <f>I276-'315805 - P0824'!J276</f>
        <v>0</v>
      </c>
    </row>
    <row r="277" spans="1:16" x14ac:dyDescent="0.25">
      <c r="A277">
        <v>275</v>
      </c>
      <c r="C277" t="s">
        <v>8</v>
      </c>
      <c r="D277" s="4" t="s">
        <v>268</v>
      </c>
      <c r="E277" s="12">
        <v>12.5</v>
      </c>
      <c r="F277" s="11">
        <v>12.5</v>
      </c>
      <c r="G277" s="6">
        <f t="shared" si="70"/>
        <v>0</v>
      </c>
      <c r="H277" s="7">
        <f t="shared" si="71"/>
        <v>0</v>
      </c>
      <c r="I277" s="8">
        <v>21.214819136522753</v>
      </c>
      <c r="J277" s="9">
        <f t="shared" si="72"/>
        <v>21.214819136522753</v>
      </c>
      <c r="K277" s="3">
        <f t="shared" si="73"/>
        <v>0</v>
      </c>
      <c r="L277" s="7">
        <f t="shared" si="74"/>
        <v>0</v>
      </c>
      <c r="M277" t="s">
        <v>187</v>
      </c>
      <c r="O277" s="3">
        <f>E277-'315805 - P0824'!F277</f>
        <v>0</v>
      </c>
      <c r="P277" s="30">
        <f>I277-'315805 - P0824'!J277</f>
        <v>0</v>
      </c>
    </row>
    <row r="278" spans="1:16" x14ac:dyDescent="0.25">
      <c r="A278">
        <v>276</v>
      </c>
      <c r="C278" t="s">
        <v>8</v>
      </c>
      <c r="D278" s="4" t="s">
        <v>269</v>
      </c>
      <c r="E278" s="12">
        <v>12</v>
      </c>
      <c r="F278" s="12">
        <v>12</v>
      </c>
      <c r="G278" s="6">
        <f>+F278-E278</f>
        <v>0</v>
      </c>
      <c r="H278" s="7">
        <f>(F278-E278)/ABS(E278)</f>
        <v>0</v>
      </c>
      <c r="I278" s="8">
        <v>18.47</v>
      </c>
      <c r="J278" s="9">
        <f>(I278*H278)+I278</f>
        <v>18.47</v>
      </c>
      <c r="K278" s="3">
        <f>J278-I278</f>
        <v>0</v>
      </c>
      <c r="L278" s="7">
        <f>(J278-I278)/ABS(I278)</f>
        <v>0</v>
      </c>
      <c r="M278" t="s">
        <v>187</v>
      </c>
      <c r="O278" s="3">
        <f>E278-'315805 - P0824'!F278</f>
        <v>0</v>
      </c>
      <c r="P278" s="30">
        <f>I278-'315805 - P0824'!J278</f>
        <v>0</v>
      </c>
    </row>
    <row r="279" spans="1:16" x14ac:dyDescent="0.25">
      <c r="A279">
        <v>277</v>
      </c>
      <c r="C279" t="s">
        <v>8</v>
      </c>
      <c r="D279" s="4" t="s">
        <v>270</v>
      </c>
      <c r="E279" s="12">
        <v>8.9499999999999993</v>
      </c>
      <c r="F279" s="11">
        <v>8.9499999999999993</v>
      </c>
      <c r="G279" s="6">
        <f t="shared" si="70"/>
        <v>0</v>
      </c>
      <c r="H279" s="7">
        <f t="shared" si="71"/>
        <v>0</v>
      </c>
      <c r="I279" s="8">
        <v>29.456687862360731</v>
      </c>
      <c r="J279" s="9">
        <f t="shared" si="72"/>
        <v>29.456687862360731</v>
      </c>
      <c r="K279" s="3">
        <f t="shared" si="73"/>
        <v>0</v>
      </c>
      <c r="L279" s="7">
        <f t="shared" si="74"/>
        <v>0</v>
      </c>
      <c r="M279" t="s">
        <v>187</v>
      </c>
      <c r="O279" s="3">
        <f>E279-'315805 - P0824'!F279</f>
        <v>0</v>
      </c>
      <c r="P279" s="30">
        <f>I279-'315805 - P0824'!J279</f>
        <v>0</v>
      </c>
    </row>
    <row r="280" spans="1:16" x14ac:dyDescent="0.25">
      <c r="A280">
        <v>278</v>
      </c>
      <c r="C280" t="s">
        <v>8</v>
      </c>
      <c r="D280" s="4" t="s">
        <v>271</v>
      </c>
      <c r="E280" s="16">
        <v>46.13</v>
      </c>
      <c r="F280" s="12">
        <v>46.13</v>
      </c>
      <c r="G280" s="6">
        <f t="shared" si="70"/>
        <v>0</v>
      </c>
      <c r="H280" s="7">
        <f t="shared" si="71"/>
        <v>0</v>
      </c>
      <c r="I280" s="8">
        <v>71.680000000000007</v>
      </c>
      <c r="J280" s="9">
        <f t="shared" si="72"/>
        <v>71.680000000000007</v>
      </c>
      <c r="K280" s="3">
        <f t="shared" si="73"/>
        <v>0</v>
      </c>
      <c r="L280" s="7">
        <f t="shared" si="74"/>
        <v>0</v>
      </c>
      <c r="M280" t="s">
        <v>187</v>
      </c>
      <c r="O280" s="3">
        <f>E280-'315805 - P0824'!F280</f>
        <v>0</v>
      </c>
      <c r="P280" s="30">
        <f>I280-'315805 - P0824'!J280</f>
        <v>0</v>
      </c>
    </row>
    <row r="281" spans="1:16" x14ac:dyDescent="0.25">
      <c r="A281">
        <v>279</v>
      </c>
      <c r="C281" t="s">
        <v>8</v>
      </c>
      <c r="D281" s="4" t="s">
        <v>272</v>
      </c>
      <c r="E281" s="5">
        <v>5.85</v>
      </c>
      <c r="F281" s="5">
        <v>5.85</v>
      </c>
      <c r="G281" s="6">
        <f t="shared" si="70"/>
        <v>0</v>
      </c>
      <c r="H281" s="7">
        <f t="shared" si="71"/>
        <v>0</v>
      </c>
      <c r="I281" s="8">
        <v>6.9</v>
      </c>
      <c r="J281" s="9">
        <f t="shared" si="72"/>
        <v>6.9</v>
      </c>
      <c r="K281" s="3">
        <f t="shared" si="73"/>
        <v>0</v>
      </c>
      <c r="L281" s="7">
        <f t="shared" si="74"/>
        <v>0</v>
      </c>
      <c r="M281" t="s">
        <v>150</v>
      </c>
      <c r="O281" s="3">
        <f>E281-'315805 - P0824'!F281</f>
        <v>0</v>
      </c>
      <c r="P281" s="30">
        <f>I281-'315805 - P0824'!J281</f>
        <v>0</v>
      </c>
    </row>
    <row r="282" spans="1:16" x14ac:dyDescent="0.25">
      <c r="A282">
        <v>280</v>
      </c>
      <c r="C282" t="s">
        <v>8</v>
      </c>
      <c r="D282" s="4" t="s">
        <v>273</v>
      </c>
      <c r="E282" s="5">
        <v>6.93</v>
      </c>
      <c r="F282" s="5">
        <v>6.93</v>
      </c>
      <c r="G282" s="6">
        <f t="shared" si="70"/>
        <v>0</v>
      </c>
      <c r="H282" s="7">
        <f t="shared" si="71"/>
        <v>0</v>
      </c>
      <c r="I282" s="8">
        <v>13.99</v>
      </c>
      <c r="J282" s="9">
        <f t="shared" si="72"/>
        <v>13.99</v>
      </c>
      <c r="K282" s="3">
        <f t="shared" si="73"/>
        <v>0</v>
      </c>
      <c r="L282" s="7">
        <f t="shared" si="74"/>
        <v>0</v>
      </c>
      <c r="M282" t="s">
        <v>150</v>
      </c>
      <c r="O282" s="3">
        <f>E282-'315805 - P0824'!F282</f>
        <v>0</v>
      </c>
      <c r="P282" s="30">
        <f>I282-'315805 - P0824'!J282</f>
        <v>0</v>
      </c>
    </row>
    <row r="283" spans="1:16" x14ac:dyDescent="0.25">
      <c r="A283">
        <v>281</v>
      </c>
      <c r="C283" t="s">
        <v>8</v>
      </c>
      <c r="D283" s="4" t="s">
        <v>274</v>
      </c>
      <c r="E283" s="5">
        <v>6.93</v>
      </c>
      <c r="F283" s="5">
        <v>6.93</v>
      </c>
      <c r="G283" s="6">
        <f t="shared" si="70"/>
        <v>0</v>
      </c>
      <c r="H283" s="7">
        <f t="shared" si="71"/>
        <v>0</v>
      </c>
      <c r="I283" s="8">
        <v>7.9</v>
      </c>
      <c r="J283" s="9">
        <f t="shared" si="72"/>
        <v>7.9</v>
      </c>
      <c r="K283" s="3">
        <f t="shared" si="73"/>
        <v>0</v>
      </c>
      <c r="L283" s="7">
        <f t="shared" si="74"/>
        <v>0</v>
      </c>
      <c r="M283" t="s">
        <v>150</v>
      </c>
      <c r="O283" s="3">
        <f>E283-'315805 - P0824'!F283</f>
        <v>0</v>
      </c>
      <c r="P283" s="30">
        <f>I283-'315805 - P0824'!J283</f>
        <v>0</v>
      </c>
    </row>
    <row r="284" spans="1:16" x14ac:dyDescent="0.25">
      <c r="A284">
        <v>282</v>
      </c>
      <c r="C284" t="s">
        <v>8</v>
      </c>
      <c r="D284" s="4" t="s">
        <v>275</v>
      </c>
      <c r="E284" s="12">
        <v>2.56</v>
      </c>
      <c r="F284" s="11">
        <v>2.56</v>
      </c>
      <c r="G284" s="6">
        <f t="shared" si="70"/>
        <v>0</v>
      </c>
      <c r="H284" s="7">
        <f t="shared" si="71"/>
        <v>0</v>
      </c>
      <c r="I284" s="8">
        <v>8.0228714375055841</v>
      </c>
      <c r="J284" s="9">
        <f t="shared" si="72"/>
        <v>8.0228714375055841</v>
      </c>
      <c r="K284" s="3">
        <f t="shared" si="73"/>
        <v>0</v>
      </c>
      <c r="L284" s="7">
        <f t="shared" si="74"/>
        <v>0</v>
      </c>
      <c r="M284" t="s">
        <v>150</v>
      </c>
      <c r="O284" s="3">
        <f>E284-'315805 - P0824'!F284</f>
        <v>0</v>
      </c>
      <c r="P284" s="30">
        <f>I284-'315805 - P0824'!J284</f>
        <v>0</v>
      </c>
    </row>
    <row r="285" spans="1:16" x14ac:dyDescent="0.25">
      <c r="A285">
        <v>283</v>
      </c>
      <c r="C285" t="s">
        <v>8</v>
      </c>
      <c r="D285" s="4" t="s">
        <v>276</v>
      </c>
      <c r="E285" s="12">
        <v>3.71</v>
      </c>
      <c r="F285" s="11">
        <v>3.71</v>
      </c>
      <c r="G285" s="6">
        <f t="shared" si="70"/>
        <v>0</v>
      </c>
      <c r="H285" s="7">
        <f t="shared" si="71"/>
        <v>0</v>
      </c>
      <c r="I285" s="8">
        <v>9.2527255216693405</v>
      </c>
      <c r="J285" s="9">
        <f t="shared" si="72"/>
        <v>9.2527255216693405</v>
      </c>
      <c r="K285" s="3">
        <f t="shared" si="73"/>
        <v>0</v>
      </c>
      <c r="L285" s="7">
        <f t="shared" si="74"/>
        <v>0</v>
      </c>
      <c r="M285" t="s">
        <v>150</v>
      </c>
      <c r="O285" s="3">
        <f>E285-'315805 - P0824'!F285</f>
        <v>0</v>
      </c>
      <c r="P285" s="30">
        <f>I285-'315805 - P0824'!J285</f>
        <v>0</v>
      </c>
    </row>
    <row r="286" spans="1:16" x14ac:dyDescent="0.25">
      <c r="A286">
        <v>284</v>
      </c>
      <c r="C286" t="s">
        <v>277</v>
      </c>
      <c r="D286" s="4" t="s">
        <v>278</v>
      </c>
      <c r="E286" s="11">
        <v>85.35</v>
      </c>
      <c r="F286" s="11">
        <v>85.35</v>
      </c>
      <c r="G286" s="6">
        <f t="shared" si="70"/>
        <v>0</v>
      </c>
      <c r="H286" s="7">
        <f t="shared" si="71"/>
        <v>0</v>
      </c>
      <c r="I286" s="8">
        <v>129.08106565176024</v>
      </c>
      <c r="J286" s="9">
        <f t="shared" si="72"/>
        <v>129.08106565176024</v>
      </c>
      <c r="K286" s="3">
        <f t="shared" si="73"/>
        <v>0</v>
      </c>
      <c r="L286" s="7">
        <f t="shared" si="74"/>
        <v>0</v>
      </c>
      <c r="M286" t="s">
        <v>150</v>
      </c>
      <c r="O286" s="3">
        <f>E286-'315805 - P0824'!F286</f>
        <v>0</v>
      </c>
      <c r="P286" s="30">
        <f>I286-'315805 - P0824'!J286</f>
        <v>0</v>
      </c>
    </row>
    <row r="287" spans="1:16" x14ac:dyDescent="0.25">
      <c r="A287">
        <v>285</v>
      </c>
      <c r="C287" t="s">
        <v>8</v>
      </c>
      <c r="D287" s="4" t="s">
        <v>279</v>
      </c>
      <c r="E287" s="12">
        <v>3.47</v>
      </c>
      <c r="F287" s="12">
        <v>3.47</v>
      </c>
      <c r="G287" s="6">
        <f t="shared" si="70"/>
        <v>0</v>
      </c>
      <c r="H287" s="7">
        <f t="shared" si="71"/>
        <v>0</v>
      </c>
      <c r="I287" s="8">
        <v>9.272871621621622</v>
      </c>
      <c r="J287" s="9">
        <f t="shared" si="72"/>
        <v>9.272871621621622</v>
      </c>
      <c r="K287" s="3">
        <f t="shared" si="73"/>
        <v>0</v>
      </c>
      <c r="L287" s="7">
        <f t="shared" si="74"/>
        <v>0</v>
      </c>
      <c r="M287" t="s">
        <v>150</v>
      </c>
      <c r="O287" s="3">
        <f>E287-'315805 - P0824'!F287</f>
        <v>0</v>
      </c>
      <c r="P287" s="30">
        <f>I287-'315805 - P0824'!J287</f>
        <v>0</v>
      </c>
    </row>
    <row r="288" spans="1:16" x14ac:dyDescent="0.25">
      <c r="A288">
        <v>286</v>
      </c>
      <c r="C288" t="s">
        <v>8</v>
      </c>
      <c r="D288" s="4" t="s">
        <v>280</v>
      </c>
      <c r="E288" s="12">
        <v>3.03</v>
      </c>
      <c r="F288" s="12">
        <v>3.03</v>
      </c>
      <c r="G288" s="6">
        <f t="shared" si="70"/>
        <v>0</v>
      </c>
      <c r="H288" s="7">
        <f t="shared" si="71"/>
        <v>0</v>
      </c>
      <c r="I288" s="8">
        <v>6.4226640926640925</v>
      </c>
      <c r="J288" s="9">
        <f t="shared" si="72"/>
        <v>6.4226640926640925</v>
      </c>
      <c r="K288" s="3">
        <f t="shared" si="73"/>
        <v>0</v>
      </c>
      <c r="L288" s="7">
        <f t="shared" si="74"/>
        <v>0</v>
      </c>
      <c r="M288" t="s">
        <v>150</v>
      </c>
      <c r="O288" s="3">
        <f>E288-'315805 - P0824'!F288</f>
        <v>0</v>
      </c>
      <c r="P288" s="30">
        <f>I288-'315805 - P0824'!J288</f>
        <v>0</v>
      </c>
    </row>
    <row r="289" spans="1:16" x14ac:dyDescent="0.25">
      <c r="A289">
        <v>287</v>
      </c>
      <c r="C289" t="s">
        <v>8</v>
      </c>
      <c r="D289" s="4" t="s">
        <v>281</v>
      </c>
      <c r="E289" s="12">
        <v>12.95</v>
      </c>
      <c r="F289" s="12">
        <v>12.95</v>
      </c>
      <c r="G289" s="6">
        <f t="shared" si="70"/>
        <v>0</v>
      </c>
      <c r="H289" s="7">
        <f t="shared" si="71"/>
        <v>0</v>
      </c>
      <c r="I289" s="8">
        <v>25.9</v>
      </c>
      <c r="J289" s="9">
        <f t="shared" si="72"/>
        <v>25.9</v>
      </c>
      <c r="K289" s="3">
        <f t="shared" si="73"/>
        <v>0</v>
      </c>
      <c r="L289" s="7">
        <f t="shared" si="74"/>
        <v>0</v>
      </c>
      <c r="M289" t="s">
        <v>150</v>
      </c>
      <c r="O289" s="3">
        <f>E289-'315805 - P0824'!F289</f>
        <v>0</v>
      </c>
      <c r="P289" s="30">
        <f>I289-'315805 - P0824'!J289</f>
        <v>0</v>
      </c>
    </row>
    <row r="290" spans="1:16" x14ac:dyDescent="0.25">
      <c r="A290">
        <v>288</v>
      </c>
      <c r="C290" t="s">
        <v>8</v>
      </c>
      <c r="D290" s="4" t="s">
        <v>282</v>
      </c>
      <c r="E290" s="12">
        <v>9.27</v>
      </c>
      <c r="F290" s="12">
        <v>9.27</v>
      </c>
      <c r="G290" s="6">
        <f t="shared" si="70"/>
        <v>0</v>
      </c>
      <c r="H290" s="7">
        <f t="shared" si="71"/>
        <v>0</v>
      </c>
      <c r="I290" s="8">
        <v>18.54</v>
      </c>
      <c r="J290" s="9">
        <f t="shared" si="72"/>
        <v>18.54</v>
      </c>
      <c r="K290" s="3">
        <f t="shared" si="73"/>
        <v>0</v>
      </c>
      <c r="L290" s="7">
        <f t="shared" si="74"/>
        <v>0</v>
      </c>
      <c r="M290" t="s">
        <v>150</v>
      </c>
      <c r="O290" s="3">
        <f>E290-'315805 - P0824'!F290</f>
        <v>0</v>
      </c>
      <c r="P290" s="30">
        <f>I290-'315805 - P0824'!J290</f>
        <v>0</v>
      </c>
    </row>
    <row r="291" spans="1:16" x14ac:dyDescent="0.25">
      <c r="A291">
        <v>289</v>
      </c>
      <c r="C291" t="s">
        <v>8</v>
      </c>
      <c r="D291" s="4" t="s">
        <v>283</v>
      </c>
      <c r="E291" s="12">
        <v>4.38</v>
      </c>
      <c r="F291" s="12">
        <v>4.38</v>
      </c>
      <c r="G291" s="6">
        <f t="shared" si="70"/>
        <v>0</v>
      </c>
      <c r="H291" s="7">
        <f t="shared" si="71"/>
        <v>0</v>
      </c>
      <c r="I291" s="8">
        <v>19.878299999999999</v>
      </c>
      <c r="J291" s="9">
        <f t="shared" si="72"/>
        <v>19.878299999999999</v>
      </c>
      <c r="K291" s="3">
        <f t="shared" si="73"/>
        <v>0</v>
      </c>
      <c r="L291" s="7">
        <f t="shared" si="74"/>
        <v>0</v>
      </c>
      <c r="M291" t="s">
        <v>150</v>
      </c>
      <c r="O291" s="3">
        <f>E291-'315805 - P0824'!F291</f>
        <v>0</v>
      </c>
      <c r="P291" s="30">
        <f>I291-'315805 - P0824'!J291</f>
        <v>0</v>
      </c>
    </row>
    <row r="292" spans="1:16" x14ac:dyDescent="0.25">
      <c r="A292">
        <v>290</v>
      </c>
      <c r="C292" t="s">
        <v>8</v>
      </c>
      <c r="D292" s="4" t="s">
        <v>284</v>
      </c>
      <c r="E292" s="12">
        <v>7.78</v>
      </c>
      <c r="F292" s="12">
        <v>7.78</v>
      </c>
      <c r="G292" s="6">
        <f t="shared" si="70"/>
        <v>0</v>
      </c>
      <c r="H292" s="7">
        <f t="shared" si="71"/>
        <v>0</v>
      </c>
      <c r="I292" s="8">
        <v>20.218751857355123</v>
      </c>
      <c r="J292" s="9">
        <f t="shared" si="72"/>
        <v>20.218751857355123</v>
      </c>
      <c r="K292" s="3">
        <f t="shared" si="73"/>
        <v>0</v>
      </c>
      <c r="L292" s="7">
        <f t="shared" si="74"/>
        <v>0</v>
      </c>
      <c r="M292" t="s">
        <v>150</v>
      </c>
      <c r="O292" s="3">
        <f>E292-'315805 - P0824'!F292</f>
        <v>0</v>
      </c>
      <c r="P292" s="30">
        <f>I292-'315805 - P0824'!J292</f>
        <v>0</v>
      </c>
    </row>
    <row r="293" spans="1:16" x14ac:dyDescent="0.25">
      <c r="A293">
        <v>291</v>
      </c>
      <c r="C293" t="s">
        <v>8</v>
      </c>
      <c r="D293" s="4" t="s">
        <v>285</v>
      </c>
      <c r="E293" s="12">
        <v>0.98</v>
      </c>
      <c r="F293" s="12">
        <v>0.98</v>
      </c>
      <c r="G293" s="6">
        <f t="shared" si="70"/>
        <v>0</v>
      </c>
      <c r="H293" s="7">
        <f t="shared" si="71"/>
        <v>0</v>
      </c>
      <c r="I293" s="8">
        <v>2.0746808510638299</v>
      </c>
      <c r="J293" s="9">
        <f t="shared" si="72"/>
        <v>2.0746808510638299</v>
      </c>
      <c r="K293" s="3">
        <f t="shared" si="73"/>
        <v>0</v>
      </c>
      <c r="L293" s="7">
        <f t="shared" si="74"/>
        <v>0</v>
      </c>
      <c r="M293" t="s">
        <v>150</v>
      </c>
      <c r="O293" s="3">
        <f>E293-'315805 - P0824'!F293</f>
        <v>0</v>
      </c>
      <c r="P293" s="30">
        <f>I293-'315805 - P0824'!J293</f>
        <v>0</v>
      </c>
    </row>
    <row r="294" spans="1:16" x14ac:dyDescent="0.25">
      <c r="A294">
        <v>292</v>
      </c>
      <c r="C294" t="s">
        <v>8</v>
      </c>
      <c r="D294" s="4" t="s">
        <v>286</v>
      </c>
      <c r="E294" s="12">
        <v>0.56999999999999995</v>
      </c>
      <c r="F294" s="12">
        <v>0.56999999999999995</v>
      </c>
      <c r="G294" s="6">
        <f t="shared" si="70"/>
        <v>0</v>
      </c>
      <c r="H294" s="7">
        <f t="shared" si="71"/>
        <v>0</v>
      </c>
      <c r="I294" s="8">
        <v>1.29</v>
      </c>
      <c r="J294" s="9">
        <f t="shared" si="72"/>
        <v>1.29</v>
      </c>
      <c r="K294" s="3">
        <f t="shared" si="73"/>
        <v>0</v>
      </c>
      <c r="L294" s="7">
        <f t="shared" si="74"/>
        <v>0</v>
      </c>
      <c r="M294" t="s">
        <v>150</v>
      </c>
      <c r="O294" s="3">
        <f>E294-'315805 - P0824'!F294</f>
        <v>0</v>
      </c>
      <c r="P294" s="30">
        <f>I294-'315805 - P0824'!J294</f>
        <v>0</v>
      </c>
    </row>
    <row r="295" spans="1:16" x14ac:dyDescent="0.25">
      <c r="A295">
        <v>293</v>
      </c>
      <c r="C295" t="s">
        <v>8</v>
      </c>
      <c r="D295" s="4" t="s">
        <v>287</v>
      </c>
      <c r="E295" s="12">
        <v>3.2</v>
      </c>
      <c r="F295" s="12">
        <v>3.2</v>
      </c>
      <c r="G295" s="6">
        <f t="shared" si="70"/>
        <v>0</v>
      </c>
      <c r="H295" s="7">
        <f t="shared" si="71"/>
        <v>0</v>
      </c>
      <c r="I295" s="8">
        <v>9.2899999999999991</v>
      </c>
      <c r="J295" s="9">
        <f t="shared" si="72"/>
        <v>9.2899999999999991</v>
      </c>
      <c r="K295" s="3">
        <f t="shared" si="73"/>
        <v>0</v>
      </c>
      <c r="L295" s="7">
        <f t="shared" si="74"/>
        <v>0</v>
      </c>
      <c r="M295" t="s">
        <v>150</v>
      </c>
      <c r="O295" s="3">
        <f>E295-'315805 - P0824'!F295</f>
        <v>0</v>
      </c>
      <c r="P295" s="30">
        <f>I295-'315805 - P0824'!J295</f>
        <v>0</v>
      </c>
    </row>
    <row r="296" spans="1:16" x14ac:dyDescent="0.25">
      <c r="A296">
        <v>294</v>
      </c>
      <c r="D296" s="34" t="s">
        <v>288</v>
      </c>
      <c r="H296" s="10">
        <f>AVERAGE(H251:H290)</f>
        <v>0</v>
      </c>
      <c r="I296"/>
    </row>
    <row r="297" spans="1:16" x14ac:dyDescent="0.25">
      <c r="A297">
        <v>295</v>
      </c>
      <c r="D297" s="34" t="s">
        <v>289</v>
      </c>
      <c r="I297"/>
      <c r="M297" t="s">
        <v>187</v>
      </c>
    </row>
    <row r="298" spans="1:16" x14ac:dyDescent="0.25">
      <c r="A298">
        <v>296</v>
      </c>
      <c r="B298" t="s">
        <v>468</v>
      </c>
      <c r="C298" t="s">
        <v>291</v>
      </c>
      <c r="D298" s="4" t="s">
        <v>292</v>
      </c>
      <c r="E298" s="12">
        <v>83.45</v>
      </c>
      <c r="F298" s="12">
        <v>83.45</v>
      </c>
      <c r="G298" s="6">
        <f t="shared" ref="G298:G331" si="75">+F298-E298</f>
        <v>0</v>
      </c>
      <c r="H298" s="7">
        <f t="shared" ref="H298:H331" si="76">(F298-E298)/ABS(E298)</f>
        <v>0</v>
      </c>
      <c r="I298" s="8">
        <v>116.82130707692306</v>
      </c>
      <c r="J298" s="9">
        <f t="shared" ref="J298:J331" si="77">(I298*H298)+I298</f>
        <v>116.82130707692306</v>
      </c>
      <c r="K298" s="3">
        <f t="shared" ref="K298:K331" si="78">J298-I298</f>
        <v>0</v>
      </c>
      <c r="L298" s="7">
        <f t="shared" ref="L298:L331" si="79">(J298-I298)/ABS(I298)</f>
        <v>0</v>
      </c>
      <c r="M298" t="s">
        <v>187</v>
      </c>
      <c r="O298" s="3">
        <f>E298-'315805 - P0824'!F298</f>
        <v>0</v>
      </c>
      <c r="P298" s="30">
        <f>I298-'315805 - P0824'!J298</f>
        <v>0</v>
      </c>
    </row>
    <row r="299" spans="1:16" x14ac:dyDescent="0.25">
      <c r="A299">
        <v>297</v>
      </c>
      <c r="B299" t="s">
        <v>471</v>
      </c>
      <c r="C299" t="s">
        <v>291</v>
      </c>
      <c r="D299" s="4" t="s">
        <v>293</v>
      </c>
      <c r="E299" s="12">
        <v>17.16</v>
      </c>
      <c r="F299" s="12">
        <v>17.16</v>
      </c>
      <c r="G299" s="6">
        <f t="shared" si="75"/>
        <v>0</v>
      </c>
      <c r="H299" s="7">
        <f t="shared" si="76"/>
        <v>0</v>
      </c>
      <c r="I299" s="8">
        <v>23.58</v>
      </c>
      <c r="J299" s="9">
        <f t="shared" si="77"/>
        <v>23.58</v>
      </c>
      <c r="K299" s="3">
        <f t="shared" si="78"/>
        <v>0</v>
      </c>
      <c r="L299" s="7">
        <f t="shared" si="79"/>
        <v>0</v>
      </c>
      <c r="M299" t="s">
        <v>187</v>
      </c>
      <c r="O299" s="3">
        <f>E299-'315805 - P0824'!F299</f>
        <v>0</v>
      </c>
      <c r="P299" s="30">
        <f>I299-'315805 - P0824'!J299</f>
        <v>0</v>
      </c>
    </row>
    <row r="300" spans="1:16" x14ac:dyDescent="0.25">
      <c r="A300">
        <v>298</v>
      </c>
      <c r="B300" t="s">
        <v>468</v>
      </c>
      <c r="C300" t="s">
        <v>291</v>
      </c>
      <c r="D300" s="4" t="s">
        <v>295</v>
      </c>
      <c r="E300" s="12">
        <v>20.45</v>
      </c>
      <c r="F300" s="12">
        <v>20.45</v>
      </c>
      <c r="G300" s="6">
        <f t="shared" si="75"/>
        <v>0</v>
      </c>
      <c r="H300" s="7">
        <f t="shared" si="76"/>
        <v>0</v>
      </c>
      <c r="I300" s="8">
        <v>28.117117241379304</v>
      </c>
      <c r="J300" s="9">
        <f t="shared" si="77"/>
        <v>28.117117241379304</v>
      </c>
      <c r="K300" s="3">
        <f t="shared" si="78"/>
        <v>0</v>
      </c>
      <c r="L300" s="7">
        <f t="shared" si="79"/>
        <v>0</v>
      </c>
      <c r="M300" t="s">
        <v>187</v>
      </c>
      <c r="O300" s="3">
        <f>E300-'315805 - P0824'!F300</f>
        <v>0</v>
      </c>
      <c r="P300" s="30">
        <f>I300-'315805 - P0824'!J300</f>
        <v>0</v>
      </c>
    </row>
    <row r="301" spans="1:16" x14ac:dyDescent="0.25">
      <c r="A301">
        <v>299</v>
      </c>
      <c r="B301" t="s">
        <v>471</v>
      </c>
      <c r="C301" t="s">
        <v>291</v>
      </c>
      <c r="D301" s="4" t="s">
        <v>296</v>
      </c>
      <c r="E301" s="12">
        <v>35.15</v>
      </c>
      <c r="F301" s="12">
        <v>35.15</v>
      </c>
      <c r="G301" s="6">
        <f t="shared" si="75"/>
        <v>0</v>
      </c>
      <c r="H301" s="7">
        <f t="shared" si="76"/>
        <v>0</v>
      </c>
      <c r="I301" s="8">
        <v>48.263872071910107</v>
      </c>
      <c r="J301" s="9">
        <f t="shared" si="77"/>
        <v>48.263872071910107</v>
      </c>
      <c r="K301" s="3">
        <f t="shared" si="78"/>
        <v>0</v>
      </c>
      <c r="L301" s="7">
        <f t="shared" si="79"/>
        <v>0</v>
      </c>
      <c r="M301" t="s">
        <v>187</v>
      </c>
      <c r="O301" s="3">
        <f>E301-'315805 - P0824'!F301</f>
        <v>0</v>
      </c>
      <c r="P301" s="30">
        <f>I301-'315805 - P0824'!J301</f>
        <v>0</v>
      </c>
    </row>
    <row r="302" spans="1:16" x14ac:dyDescent="0.25">
      <c r="A302">
        <v>300</v>
      </c>
      <c r="B302" t="s">
        <v>472</v>
      </c>
      <c r="C302" t="s">
        <v>291</v>
      </c>
      <c r="D302" s="4" t="s">
        <v>297</v>
      </c>
      <c r="E302" s="12">
        <v>7.16</v>
      </c>
      <c r="F302" s="12">
        <v>7.16</v>
      </c>
      <c r="G302" s="6">
        <f t="shared" si="75"/>
        <v>0</v>
      </c>
      <c r="H302" s="7">
        <f t="shared" si="76"/>
        <v>0</v>
      </c>
      <c r="I302" s="8">
        <v>9.85</v>
      </c>
      <c r="J302" s="9">
        <f t="shared" si="77"/>
        <v>9.85</v>
      </c>
      <c r="K302" s="3">
        <f t="shared" si="78"/>
        <v>0</v>
      </c>
      <c r="L302" s="7">
        <f t="shared" si="79"/>
        <v>0</v>
      </c>
      <c r="M302" t="s">
        <v>187</v>
      </c>
      <c r="O302" s="3">
        <f>E302-'315805 - P0824'!F302</f>
        <v>0</v>
      </c>
      <c r="P302" s="30">
        <f>I302-'315805 - P0824'!J302</f>
        <v>0</v>
      </c>
    </row>
    <row r="303" spans="1:16" x14ac:dyDescent="0.25">
      <c r="A303">
        <v>301</v>
      </c>
      <c r="B303" t="s">
        <v>486</v>
      </c>
      <c r="C303" t="s">
        <v>291</v>
      </c>
      <c r="D303" s="4" t="s">
        <v>298</v>
      </c>
      <c r="E303" s="12">
        <v>0.49</v>
      </c>
      <c r="F303" s="12">
        <v>0.49</v>
      </c>
      <c r="G303" s="6">
        <f t="shared" si="75"/>
        <v>0</v>
      </c>
      <c r="H303" s="7">
        <f t="shared" si="76"/>
        <v>0</v>
      </c>
      <c r="I303" s="8">
        <v>0.69</v>
      </c>
      <c r="J303" s="9">
        <f t="shared" si="77"/>
        <v>0.69</v>
      </c>
      <c r="K303" s="3">
        <f t="shared" si="78"/>
        <v>0</v>
      </c>
      <c r="L303" s="7">
        <f t="shared" si="79"/>
        <v>0</v>
      </c>
      <c r="M303" t="s">
        <v>187</v>
      </c>
      <c r="O303" s="3">
        <f>E303-'315805 - P0824'!F303</f>
        <v>0</v>
      </c>
      <c r="P303" s="30">
        <f>I303-'315805 - P0824'!J303</f>
        <v>0</v>
      </c>
    </row>
    <row r="304" spans="1:16" x14ac:dyDescent="0.25">
      <c r="A304">
        <v>302</v>
      </c>
      <c r="B304" t="s">
        <v>471</v>
      </c>
      <c r="C304" t="s">
        <v>291</v>
      </c>
      <c r="D304" s="4" t="s">
        <v>299</v>
      </c>
      <c r="E304" s="12">
        <v>21.81</v>
      </c>
      <c r="F304" s="12">
        <v>21.81</v>
      </c>
      <c r="G304" s="6">
        <f t="shared" si="75"/>
        <v>0</v>
      </c>
      <c r="H304" s="7">
        <f t="shared" si="76"/>
        <v>0</v>
      </c>
      <c r="I304" s="8">
        <v>29.968966617429842</v>
      </c>
      <c r="J304" s="9">
        <f t="shared" si="77"/>
        <v>29.968966617429842</v>
      </c>
      <c r="K304" s="3">
        <f t="shared" si="78"/>
        <v>0</v>
      </c>
      <c r="L304" s="7">
        <f t="shared" si="79"/>
        <v>0</v>
      </c>
      <c r="M304" t="s">
        <v>187</v>
      </c>
      <c r="O304" s="3">
        <f>E304-'315805 - P0824'!F304</f>
        <v>0</v>
      </c>
      <c r="P304" s="30">
        <f>I304-'315805 - P0824'!J304</f>
        <v>0</v>
      </c>
    </row>
    <row r="305" spans="1:16" x14ac:dyDescent="0.25">
      <c r="A305">
        <v>303</v>
      </c>
      <c r="B305" s="28" t="s">
        <v>471</v>
      </c>
      <c r="C305" t="s">
        <v>291</v>
      </c>
      <c r="D305" s="4" t="s">
        <v>300</v>
      </c>
      <c r="E305" s="12">
        <v>2.2000000000000002</v>
      </c>
      <c r="F305" s="12">
        <v>2.2000000000000002</v>
      </c>
      <c r="G305" s="6">
        <f t="shared" si="75"/>
        <v>0</v>
      </c>
      <c r="H305" s="7">
        <f t="shared" si="76"/>
        <v>0</v>
      </c>
      <c r="I305" s="8">
        <v>3.0480105109489042</v>
      </c>
      <c r="J305" s="9">
        <f t="shared" si="77"/>
        <v>3.0480105109489042</v>
      </c>
      <c r="K305" s="3">
        <f t="shared" si="78"/>
        <v>0</v>
      </c>
      <c r="L305" s="7">
        <f t="shared" si="79"/>
        <v>0</v>
      </c>
      <c r="M305" t="s">
        <v>187</v>
      </c>
      <c r="O305" s="3">
        <f>E305-'315805 - P0824'!F305</f>
        <v>0</v>
      </c>
      <c r="P305" s="30">
        <f>I305-'315805 - P0824'!J305</f>
        <v>0</v>
      </c>
    </row>
    <row r="306" spans="1:16" x14ac:dyDescent="0.25">
      <c r="A306">
        <v>304</v>
      </c>
      <c r="B306" t="s">
        <v>471</v>
      </c>
      <c r="C306" t="s">
        <v>291</v>
      </c>
      <c r="D306" s="4" t="s">
        <v>301</v>
      </c>
      <c r="E306" s="12">
        <v>2.73</v>
      </c>
      <c r="F306" s="12">
        <v>2.73</v>
      </c>
      <c r="G306" s="6">
        <f t="shared" si="75"/>
        <v>0</v>
      </c>
      <c r="H306" s="7">
        <f t="shared" si="76"/>
        <v>0</v>
      </c>
      <c r="I306" s="8">
        <v>3.751827692307693</v>
      </c>
      <c r="J306" s="9">
        <f t="shared" si="77"/>
        <v>3.751827692307693</v>
      </c>
      <c r="K306" s="3">
        <f t="shared" si="78"/>
        <v>0</v>
      </c>
      <c r="L306" s="7">
        <f t="shared" si="79"/>
        <v>0</v>
      </c>
      <c r="M306" t="s">
        <v>187</v>
      </c>
      <c r="O306" s="3">
        <f>E306-'315805 - P0824'!F306</f>
        <v>0</v>
      </c>
      <c r="P306" s="30">
        <f>I306-'315805 - P0824'!J306</f>
        <v>0</v>
      </c>
    </row>
    <row r="307" spans="1:16" x14ac:dyDescent="0.25">
      <c r="A307">
        <v>305</v>
      </c>
      <c r="B307" t="s">
        <v>469</v>
      </c>
      <c r="C307" t="s">
        <v>291</v>
      </c>
      <c r="D307" s="4" t="s">
        <v>302</v>
      </c>
      <c r="E307" s="12">
        <v>0.9</v>
      </c>
      <c r="F307" s="12">
        <v>0.9</v>
      </c>
      <c r="G307" s="6">
        <f t="shared" si="75"/>
        <v>0</v>
      </c>
      <c r="H307" s="7">
        <f t="shared" si="76"/>
        <v>0</v>
      </c>
      <c r="I307" s="8">
        <v>1.7875199999999998</v>
      </c>
      <c r="J307" s="9">
        <f t="shared" si="77"/>
        <v>1.7875199999999998</v>
      </c>
      <c r="K307" s="3">
        <f t="shared" si="78"/>
        <v>0</v>
      </c>
      <c r="L307" s="7">
        <f t="shared" si="79"/>
        <v>0</v>
      </c>
      <c r="M307" t="s">
        <v>187</v>
      </c>
      <c r="O307" s="3">
        <f>E307-'315805 - P0824'!F307</f>
        <v>0</v>
      </c>
      <c r="P307" s="30">
        <f>I307-'315805 - P0824'!J307</f>
        <v>0</v>
      </c>
    </row>
    <row r="308" spans="1:16" x14ac:dyDescent="0.25">
      <c r="A308">
        <v>306</v>
      </c>
      <c r="B308" t="s">
        <v>303</v>
      </c>
      <c r="C308" t="s">
        <v>291</v>
      </c>
      <c r="D308" s="4" t="s">
        <v>304</v>
      </c>
      <c r="E308" s="12">
        <v>66.48</v>
      </c>
      <c r="F308" s="12">
        <v>66.48</v>
      </c>
      <c r="G308" s="6">
        <f t="shared" si="75"/>
        <v>0</v>
      </c>
      <c r="H308" s="7">
        <f t="shared" si="76"/>
        <v>0</v>
      </c>
      <c r="I308" s="8">
        <v>91.32</v>
      </c>
      <c r="J308" s="9">
        <f t="shared" si="77"/>
        <v>91.32</v>
      </c>
      <c r="K308" s="3">
        <f t="shared" si="78"/>
        <v>0</v>
      </c>
      <c r="L308" s="7">
        <f t="shared" si="79"/>
        <v>0</v>
      </c>
      <c r="M308" t="s">
        <v>187</v>
      </c>
      <c r="O308" s="3">
        <f>E308-'315805 - P0824'!F308</f>
        <v>0</v>
      </c>
      <c r="P308" s="30">
        <f>I308-'315805 - P0824'!J308</f>
        <v>0</v>
      </c>
    </row>
    <row r="309" spans="1:16" x14ac:dyDescent="0.25">
      <c r="A309">
        <v>307</v>
      </c>
      <c r="B309" t="s">
        <v>305</v>
      </c>
      <c r="C309" t="s">
        <v>291</v>
      </c>
      <c r="D309" s="4" t="s">
        <v>306</v>
      </c>
      <c r="E309" s="12">
        <v>26.81</v>
      </c>
      <c r="F309" s="12">
        <v>26.81</v>
      </c>
      <c r="G309" s="13">
        <f t="shared" si="75"/>
        <v>0</v>
      </c>
      <c r="H309" s="7">
        <f t="shared" si="76"/>
        <v>0</v>
      </c>
      <c r="I309" s="8">
        <v>41.25</v>
      </c>
      <c r="J309" s="9">
        <f t="shared" si="77"/>
        <v>41.25</v>
      </c>
      <c r="K309" s="3">
        <f t="shared" si="78"/>
        <v>0</v>
      </c>
      <c r="L309" s="7">
        <f t="shared" si="79"/>
        <v>0</v>
      </c>
      <c r="M309" t="s">
        <v>187</v>
      </c>
      <c r="O309" s="3">
        <f>E309-'315805 - P0824'!F309</f>
        <v>0</v>
      </c>
      <c r="P309" s="30">
        <f>I309-'315805 - P0824'!J309</f>
        <v>0</v>
      </c>
    </row>
    <row r="310" spans="1:16" x14ac:dyDescent="0.25">
      <c r="A310">
        <v>308</v>
      </c>
      <c r="B310" t="s">
        <v>303</v>
      </c>
      <c r="C310" t="s">
        <v>291</v>
      </c>
      <c r="D310" s="4" t="s">
        <v>307</v>
      </c>
      <c r="E310" s="12">
        <v>38.020000000000003</v>
      </c>
      <c r="F310" s="12">
        <v>38.020000000000003</v>
      </c>
      <c r="G310" s="6">
        <f t="shared" si="75"/>
        <v>0</v>
      </c>
      <c r="H310" s="7">
        <f t="shared" si="76"/>
        <v>0</v>
      </c>
      <c r="I310" s="8">
        <v>52.23</v>
      </c>
      <c r="J310" s="9">
        <f t="shared" si="77"/>
        <v>52.23</v>
      </c>
      <c r="K310" s="3">
        <f t="shared" si="78"/>
        <v>0</v>
      </c>
      <c r="L310" s="7">
        <f t="shared" si="79"/>
        <v>0</v>
      </c>
      <c r="M310" t="s">
        <v>187</v>
      </c>
      <c r="O310" s="3">
        <f>E310-'315805 - P0824'!F310</f>
        <v>0</v>
      </c>
      <c r="P310" s="30">
        <f>I310-'315805 - P0824'!J310</f>
        <v>0</v>
      </c>
    </row>
    <row r="311" spans="1:16" x14ac:dyDescent="0.25">
      <c r="A311">
        <v>309</v>
      </c>
      <c r="B311" t="s">
        <v>303</v>
      </c>
      <c r="C311" t="s">
        <v>291</v>
      </c>
      <c r="D311" s="4" t="s">
        <v>308</v>
      </c>
      <c r="E311" s="12">
        <v>95.36</v>
      </c>
      <c r="F311" s="12">
        <v>95.36</v>
      </c>
      <c r="G311" s="6">
        <f t="shared" si="75"/>
        <v>0</v>
      </c>
      <c r="H311" s="7">
        <f t="shared" si="76"/>
        <v>0</v>
      </c>
      <c r="I311" s="8">
        <v>130.96011922503726</v>
      </c>
      <c r="J311" s="9">
        <f t="shared" si="77"/>
        <v>130.96011922503726</v>
      </c>
      <c r="K311" s="3">
        <f t="shared" si="78"/>
        <v>0</v>
      </c>
      <c r="L311" s="7">
        <f t="shared" si="79"/>
        <v>0</v>
      </c>
      <c r="M311" t="s">
        <v>187</v>
      </c>
      <c r="O311" s="3">
        <f>E311-'315805 - P0824'!F311</f>
        <v>0</v>
      </c>
      <c r="P311" s="30">
        <f>I311-'315805 - P0824'!J311</f>
        <v>0</v>
      </c>
    </row>
    <row r="312" spans="1:16" x14ac:dyDescent="0.25">
      <c r="A312">
        <v>310</v>
      </c>
      <c r="B312" t="s">
        <v>303</v>
      </c>
      <c r="C312" t="s">
        <v>291</v>
      </c>
      <c r="D312" s="4" t="s">
        <v>309</v>
      </c>
      <c r="E312" s="12">
        <v>15.89</v>
      </c>
      <c r="F312" s="12">
        <v>15.89</v>
      </c>
      <c r="G312" s="6">
        <f t="shared" si="75"/>
        <v>0</v>
      </c>
      <c r="H312" s="7">
        <f t="shared" si="76"/>
        <v>0</v>
      </c>
      <c r="I312" s="8">
        <v>21.821258516129031</v>
      </c>
      <c r="J312" s="9">
        <f t="shared" si="77"/>
        <v>21.821258516129031</v>
      </c>
      <c r="K312" s="3">
        <f t="shared" si="78"/>
        <v>0</v>
      </c>
      <c r="L312" s="7">
        <f t="shared" si="79"/>
        <v>0</v>
      </c>
      <c r="M312" t="s">
        <v>187</v>
      </c>
      <c r="O312" s="3">
        <f>E312-'315805 - P0824'!F312</f>
        <v>0</v>
      </c>
      <c r="P312" s="30">
        <f>I312-'315805 - P0824'!J312</f>
        <v>0</v>
      </c>
    </row>
    <row r="313" spans="1:16" x14ac:dyDescent="0.25">
      <c r="A313">
        <v>311</v>
      </c>
      <c r="B313" t="s">
        <v>303</v>
      </c>
      <c r="C313" t="s">
        <v>291</v>
      </c>
      <c r="D313" s="4" t="s">
        <v>310</v>
      </c>
      <c r="E313" s="12">
        <v>8.59</v>
      </c>
      <c r="F313" s="12">
        <v>8.59</v>
      </c>
      <c r="G313" s="6">
        <f t="shared" si="75"/>
        <v>0</v>
      </c>
      <c r="H313" s="7">
        <f t="shared" si="76"/>
        <v>0</v>
      </c>
      <c r="I313" s="8">
        <v>11.8</v>
      </c>
      <c r="J313" s="9">
        <f t="shared" si="77"/>
        <v>11.8</v>
      </c>
      <c r="K313" s="3">
        <f t="shared" si="78"/>
        <v>0</v>
      </c>
      <c r="L313" s="7">
        <f t="shared" si="79"/>
        <v>0</v>
      </c>
      <c r="M313" t="s">
        <v>187</v>
      </c>
      <c r="O313" s="3">
        <f>E313-'315805 - P0824'!F313</f>
        <v>0</v>
      </c>
      <c r="P313" s="30">
        <f>I313-'315805 - P0824'!J313</f>
        <v>0</v>
      </c>
    </row>
    <row r="314" spans="1:16" x14ac:dyDescent="0.25">
      <c r="A314">
        <v>312</v>
      </c>
      <c r="B314" t="s">
        <v>319</v>
      </c>
      <c r="C314" t="s">
        <v>291</v>
      </c>
      <c r="D314" s="4" t="s">
        <v>311</v>
      </c>
      <c r="E314" s="12">
        <v>11.51</v>
      </c>
      <c r="F314" s="12">
        <v>11.51</v>
      </c>
      <c r="G314" s="6">
        <f t="shared" si="75"/>
        <v>0</v>
      </c>
      <c r="H314" s="7">
        <f t="shared" si="76"/>
        <v>0</v>
      </c>
      <c r="I314" s="8">
        <v>21.72</v>
      </c>
      <c r="J314" s="9">
        <f t="shared" si="77"/>
        <v>21.72</v>
      </c>
      <c r="K314" s="3">
        <f t="shared" si="78"/>
        <v>0</v>
      </c>
      <c r="L314" s="7">
        <f t="shared" si="79"/>
        <v>0</v>
      </c>
      <c r="M314" t="s">
        <v>187</v>
      </c>
      <c r="O314" s="3">
        <f>E314-'315805 - P0824'!F314</f>
        <v>0</v>
      </c>
      <c r="P314" s="30">
        <f>I314-'315805 - P0824'!J314</f>
        <v>0</v>
      </c>
    </row>
    <row r="315" spans="1:16" x14ac:dyDescent="0.25">
      <c r="A315">
        <v>313</v>
      </c>
      <c r="B315" t="s">
        <v>303</v>
      </c>
      <c r="C315" t="s">
        <v>291</v>
      </c>
      <c r="D315" s="4" t="s">
        <v>312</v>
      </c>
      <c r="E315" s="12">
        <v>175</v>
      </c>
      <c r="F315" s="12">
        <v>175</v>
      </c>
      <c r="G315" s="6">
        <f t="shared" si="75"/>
        <v>0</v>
      </c>
      <c r="H315" s="7">
        <f t="shared" si="76"/>
        <v>0</v>
      </c>
      <c r="I315" s="8">
        <v>284.09826122118881</v>
      </c>
      <c r="J315" s="9">
        <f t="shared" si="77"/>
        <v>284.09826122118881</v>
      </c>
      <c r="K315" s="3">
        <f t="shared" si="78"/>
        <v>0</v>
      </c>
      <c r="L315" s="7">
        <f t="shared" si="79"/>
        <v>0</v>
      </c>
      <c r="M315" t="s">
        <v>187</v>
      </c>
      <c r="O315" s="3">
        <f>E315-'315805 - P0824'!F315</f>
        <v>0</v>
      </c>
      <c r="P315" s="30">
        <f>I315-'315805 - P0824'!J315</f>
        <v>0</v>
      </c>
    </row>
    <row r="316" spans="1:16" x14ac:dyDescent="0.25">
      <c r="A316">
        <v>314</v>
      </c>
      <c r="B316" t="s">
        <v>470</v>
      </c>
      <c r="C316" t="s">
        <v>291</v>
      </c>
      <c r="D316" s="4" t="s">
        <v>313</v>
      </c>
      <c r="E316" s="12">
        <v>175</v>
      </c>
      <c r="F316" s="12">
        <v>175</v>
      </c>
      <c r="G316" s="6">
        <f t="shared" si="75"/>
        <v>0</v>
      </c>
      <c r="H316" s="7">
        <f t="shared" si="76"/>
        <v>0</v>
      </c>
      <c r="I316" s="8">
        <v>284.09826122118881</v>
      </c>
      <c r="J316" s="9">
        <f t="shared" si="77"/>
        <v>284.09826122118881</v>
      </c>
      <c r="K316" s="3">
        <f t="shared" si="78"/>
        <v>0</v>
      </c>
      <c r="L316" s="7">
        <f t="shared" si="79"/>
        <v>0</v>
      </c>
      <c r="M316" t="s">
        <v>187</v>
      </c>
      <c r="O316" s="3">
        <f>E316-'315805 - P0824'!F316</f>
        <v>0</v>
      </c>
      <c r="P316" s="30">
        <f>I316-'315805 - P0824'!J316</f>
        <v>0</v>
      </c>
    </row>
    <row r="317" spans="1:16" x14ac:dyDescent="0.25">
      <c r="A317">
        <v>315</v>
      </c>
      <c r="B317" t="s">
        <v>303</v>
      </c>
      <c r="C317" t="s">
        <v>291</v>
      </c>
      <c r="D317" s="4" t="s">
        <v>314</v>
      </c>
      <c r="E317" s="12">
        <v>20.73</v>
      </c>
      <c r="F317" s="12">
        <v>20.73</v>
      </c>
      <c r="G317" s="6">
        <f t="shared" si="75"/>
        <v>0</v>
      </c>
      <c r="H317" s="7">
        <f t="shared" si="76"/>
        <v>0</v>
      </c>
      <c r="I317" s="8">
        <v>33.65</v>
      </c>
      <c r="J317" s="9">
        <f t="shared" si="77"/>
        <v>33.65</v>
      </c>
      <c r="K317" s="3">
        <f t="shared" si="78"/>
        <v>0</v>
      </c>
      <c r="L317" s="7">
        <f t="shared" si="79"/>
        <v>0</v>
      </c>
      <c r="M317" t="s">
        <v>187</v>
      </c>
      <c r="O317" s="3">
        <f>E317-'315805 - P0824'!F317</f>
        <v>0</v>
      </c>
      <c r="P317" s="30">
        <f>I317-'315805 - P0824'!J317</f>
        <v>0</v>
      </c>
    </row>
    <row r="318" spans="1:16" x14ac:dyDescent="0.25">
      <c r="A318">
        <v>316</v>
      </c>
      <c r="B318" t="s">
        <v>470</v>
      </c>
      <c r="C318" t="s">
        <v>291</v>
      </c>
      <c r="D318" s="4" t="s">
        <v>315</v>
      </c>
      <c r="E318" s="12">
        <v>11.34</v>
      </c>
      <c r="F318" s="12">
        <v>11.34</v>
      </c>
      <c r="G318" s="6">
        <f t="shared" si="75"/>
        <v>0</v>
      </c>
      <c r="H318" s="7">
        <f t="shared" si="76"/>
        <v>0</v>
      </c>
      <c r="I318" s="8">
        <v>17.673479758926415</v>
      </c>
      <c r="J318" s="9">
        <f t="shared" si="77"/>
        <v>17.673479758926415</v>
      </c>
      <c r="K318" s="3">
        <f t="shared" si="78"/>
        <v>0</v>
      </c>
      <c r="L318" s="7">
        <f t="shared" si="79"/>
        <v>0</v>
      </c>
      <c r="M318" t="s">
        <v>187</v>
      </c>
      <c r="O318" s="3">
        <f>E318-'315805 - P0824'!F318</f>
        <v>0</v>
      </c>
      <c r="P318" s="30">
        <f>I318-'315805 - P0824'!J318</f>
        <v>0</v>
      </c>
    </row>
    <row r="319" spans="1:16" x14ac:dyDescent="0.25">
      <c r="A319">
        <v>317</v>
      </c>
      <c r="B319" t="s">
        <v>473</v>
      </c>
      <c r="C319" t="s">
        <v>291</v>
      </c>
      <c r="D319" s="4" t="s">
        <v>316</v>
      </c>
      <c r="E319" s="12">
        <v>36.4</v>
      </c>
      <c r="F319" s="12">
        <v>36.4</v>
      </c>
      <c r="G319" s="6">
        <f t="shared" si="75"/>
        <v>0</v>
      </c>
      <c r="H319" s="7">
        <f t="shared" si="76"/>
        <v>0</v>
      </c>
      <c r="I319" s="8">
        <v>56</v>
      </c>
      <c r="J319" s="9">
        <f t="shared" si="77"/>
        <v>56</v>
      </c>
      <c r="K319" s="3">
        <f t="shared" si="78"/>
        <v>0</v>
      </c>
      <c r="L319" s="7">
        <f t="shared" si="79"/>
        <v>0</v>
      </c>
      <c r="M319" t="s">
        <v>187</v>
      </c>
      <c r="O319" s="3">
        <f>E319-'315805 - P0824'!F319</f>
        <v>0</v>
      </c>
      <c r="P319" s="30">
        <f>I319-'315805 - P0824'!J319</f>
        <v>0</v>
      </c>
    </row>
    <row r="320" spans="1:16" x14ac:dyDescent="0.25">
      <c r="A320">
        <v>318</v>
      </c>
      <c r="B320" t="s">
        <v>470</v>
      </c>
      <c r="C320" t="s">
        <v>291</v>
      </c>
      <c r="D320" s="4" t="s">
        <v>317</v>
      </c>
      <c r="E320" s="12">
        <v>32.81</v>
      </c>
      <c r="F320" s="12">
        <v>32.81</v>
      </c>
      <c r="G320" s="6">
        <f t="shared" si="75"/>
        <v>0</v>
      </c>
      <c r="H320" s="7">
        <f t="shared" si="76"/>
        <v>0</v>
      </c>
      <c r="I320" s="8">
        <v>85.12</v>
      </c>
      <c r="J320" s="9">
        <f t="shared" si="77"/>
        <v>85.12</v>
      </c>
      <c r="K320" s="3">
        <f t="shared" si="78"/>
        <v>0</v>
      </c>
      <c r="L320" s="7">
        <f t="shared" si="79"/>
        <v>0</v>
      </c>
      <c r="M320" t="s">
        <v>187</v>
      </c>
      <c r="O320" s="3">
        <f>E320-'315805 - P0824'!F320</f>
        <v>0</v>
      </c>
      <c r="P320" s="30">
        <f>I320-'315805 - P0824'!J320</f>
        <v>0</v>
      </c>
    </row>
    <row r="321" spans="1:16" x14ac:dyDescent="0.25">
      <c r="A321">
        <v>319</v>
      </c>
      <c r="B321" t="s">
        <v>473</v>
      </c>
      <c r="C321" t="s">
        <v>291</v>
      </c>
      <c r="D321" s="4" t="s">
        <v>318</v>
      </c>
      <c r="E321" s="12">
        <v>21.15</v>
      </c>
      <c r="F321" s="12">
        <v>21.15</v>
      </c>
      <c r="G321" s="6">
        <f t="shared" si="75"/>
        <v>0</v>
      </c>
      <c r="H321" s="7">
        <f t="shared" si="76"/>
        <v>0</v>
      </c>
      <c r="I321" s="8">
        <v>32.590000000000003</v>
      </c>
      <c r="J321" s="9">
        <f t="shared" si="77"/>
        <v>32.590000000000003</v>
      </c>
      <c r="K321" s="3">
        <f t="shared" si="78"/>
        <v>0</v>
      </c>
      <c r="L321" s="7">
        <f t="shared" si="79"/>
        <v>0</v>
      </c>
      <c r="M321" t="s">
        <v>187</v>
      </c>
      <c r="O321" s="3">
        <f>E321-'315805 - P0824'!F321</f>
        <v>0</v>
      </c>
      <c r="P321" s="30">
        <f>I321-'315805 - P0824'!J321</f>
        <v>0</v>
      </c>
    </row>
    <row r="322" spans="1:16" x14ac:dyDescent="0.25">
      <c r="A322">
        <v>320</v>
      </c>
      <c r="B322" t="s">
        <v>319</v>
      </c>
      <c r="C322" t="s">
        <v>291</v>
      </c>
      <c r="D322" s="4" t="s">
        <v>320</v>
      </c>
      <c r="E322" s="12">
        <v>1.34</v>
      </c>
      <c r="F322" s="12">
        <v>1.34</v>
      </c>
      <c r="G322" s="6">
        <f t="shared" si="75"/>
        <v>0</v>
      </c>
      <c r="H322" s="7">
        <f t="shared" si="76"/>
        <v>0</v>
      </c>
      <c r="I322" s="8">
        <v>2.5299999999999998</v>
      </c>
      <c r="J322" s="9">
        <f t="shared" si="77"/>
        <v>2.5299999999999998</v>
      </c>
      <c r="K322" s="3">
        <f t="shared" si="78"/>
        <v>0</v>
      </c>
      <c r="L322" s="7">
        <f t="shared" si="79"/>
        <v>0</v>
      </c>
      <c r="M322" t="s">
        <v>187</v>
      </c>
      <c r="O322" s="3">
        <f>E322-'315805 - P0824'!F322</f>
        <v>0</v>
      </c>
      <c r="P322" s="30">
        <f>I322-'315805 - P0824'!J322</f>
        <v>0</v>
      </c>
    </row>
    <row r="323" spans="1:16" x14ac:dyDescent="0.25">
      <c r="A323">
        <v>321</v>
      </c>
      <c r="B323" t="s">
        <v>473</v>
      </c>
      <c r="C323" t="s">
        <v>291</v>
      </c>
      <c r="D323" s="4" t="s">
        <v>321</v>
      </c>
      <c r="E323" s="12">
        <v>1.7</v>
      </c>
      <c r="F323" s="12">
        <v>1.7</v>
      </c>
      <c r="G323" s="6">
        <f t="shared" si="75"/>
        <v>0</v>
      </c>
      <c r="H323" s="7">
        <f t="shared" si="76"/>
        <v>0</v>
      </c>
      <c r="I323" s="8">
        <v>2.62</v>
      </c>
      <c r="J323" s="9">
        <f t="shared" si="77"/>
        <v>2.62</v>
      </c>
      <c r="K323" s="3">
        <f t="shared" si="78"/>
        <v>0</v>
      </c>
      <c r="L323" s="7">
        <f t="shared" si="79"/>
        <v>0</v>
      </c>
      <c r="M323" t="s">
        <v>187</v>
      </c>
      <c r="O323" s="3">
        <f>E323-'315805 - P0824'!F323</f>
        <v>0</v>
      </c>
      <c r="P323" s="30">
        <f>I323-'315805 - P0824'!J323</f>
        <v>0</v>
      </c>
    </row>
    <row r="324" spans="1:16" x14ac:dyDescent="0.25">
      <c r="A324">
        <v>322</v>
      </c>
      <c r="B324" t="s">
        <v>474</v>
      </c>
      <c r="C324" t="s">
        <v>291</v>
      </c>
      <c r="D324" s="4" t="s">
        <v>323</v>
      </c>
      <c r="E324" s="16">
        <v>35.229999999999997</v>
      </c>
      <c r="F324" s="12">
        <v>35.229999999999997</v>
      </c>
      <c r="G324" s="6">
        <f t="shared" si="75"/>
        <v>0</v>
      </c>
      <c r="H324" s="7">
        <f t="shared" si="76"/>
        <v>0</v>
      </c>
      <c r="I324" s="8">
        <v>54.21</v>
      </c>
      <c r="J324" s="9">
        <f t="shared" si="77"/>
        <v>54.21</v>
      </c>
      <c r="K324" s="3">
        <f t="shared" si="78"/>
        <v>0</v>
      </c>
      <c r="L324" s="7">
        <f t="shared" si="79"/>
        <v>0</v>
      </c>
      <c r="M324" t="s">
        <v>187</v>
      </c>
      <c r="O324" s="3">
        <f>E324-'315805 - P0824'!F324</f>
        <v>0</v>
      </c>
      <c r="P324" s="30">
        <f>I324-'315805 - P0824'!J324</f>
        <v>0</v>
      </c>
    </row>
    <row r="325" spans="1:16" x14ac:dyDescent="0.25">
      <c r="A325">
        <v>323</v>
      </c>
      <c r="B325" t="s">
        <v>474</v>
      </c>
      <c r="C325" t="s">
        <v>291</v>
      </c>
      <c r="D325" s="4" t="s">
        <v>324</v>
      </c>
      <c r="E325" s="16">
        <v>19.350000000000001</v>
      </c>
      <c r="F325" s="12">
        <v>19.350000000000001</v>
      </c>
      <c r="G325" s="6">
        <f t="shared" si="75"/>
        <v>0</v>
      </c>
      <c r="H325" s="7">
        <f t="shared" si="76"/>
        <v>0</v>
      </c>
      <c r="I325" s="8">
        <v>34.01</v>
      </c>
      <c r="J325" s="9">
        <f t="shared" si="77"/>
        <v>34.01</v>
      </c>
      <c r="K325" s="3">
        <f t="shared" si="78"/>
        <v>0</v>
      </c>
      <c r="L325" s="7">
        <f t="shared" si="79"/>
        <v>0</v>
      </c>
      <c r="M325" t="s">
        <v>187</v>
      </c>
      <c r="O325" s="3">
        <f>E325-'315805 - P0824'!F325</f>
        <v>0</v>
      </c>
      <c r="P325" s="30">
        <f>I325-'315805 - P0824'!J325</f>
        <v>0</v>
      </c>
    </row>
    <row r="326" spans="1:16" x14ac:dyDescent="0.25">
      <c r="A326">
        <v>324</v>
      </c>
      <c r="B326" t="s">
        <v>474</v>
      </c>
      <c r="C326" t="s">
        <v>291</v>
      </c>
      <c r="D326" s="4" t="s">
        <v>325</v>
      </c>
      <c r="E326" s="16">
        <v>13.97</v>
      </c>
      <c r="F326" s="12">
        <v>13.97</v>
      </c>
      <c r="G326" s="6">
        <f t="shared" si="75"/>
        <v>0</v>
      </c>
      <c r="H326" s="7">
        <f t="shared" si="76"/>
        <v>0</v>
      </c>
      <c r="I326" s="8">
        <v>21.5</v>
      </c>
      <c r="J326" s="9">
        <f t="shared" si="77"/>
        <v>21.5</v>
      </c>
      <c r="K326" s="3">
        <f t="shared" si="78"/>
        <v>0</v>
      </c>
      <c r="L326" s="7">
        <f t="shared" si="79"/>
        <v>0</v>
      </c>
      <c r="M326" t="s">
        <v>187</v>
      </c>
      <c r="O326" s="3">
        <f>E326-'315805 - P0824'!F326</f>
        <v>0</v>
      </c>
      <c r="P326" s="30">
        <f>I326-'315805 - P0824'!J326</f>
        <v>0</v>
      </c>
    </row>
    <row r="327" spans="1:16" x14ac:dyDescent="0.25">
      <c r="A327">
        <v>325</v>
      </c>
      <c r="B327" t="s">
        <v>474</v>
      </c>
      <c r="C327" t="s">
        <v>291</v>
      </c>
      <c r="D327" s="4" t="s">
        <v>326</v>
      </c>
      <c r="E327" s="16">
        <v>4.5599999999999996</v>
      </c>
      <c r="F327" s="12">
        <v>4.5599999999999996</v>
      </c>
      <c r="G327" s="6">
        <f t="shared" si="75"/>
        <v>0</v>
      </c>
      <c r="H327" s="7">
        <f t="shared" si="76"/>
        <v>0</v>
      </c>
      <c r="I327" s="8">
        <v>9.14</v>
      </c>
      <c r="J327" s="9">
        <f t="shared" si="77"/>
        <v>9.14</v>
      </c>
      <c r="K327" s="3">
        <f t="shared" si="78"/>
        <v>0</v>
      </c>
      <c r="L327" s="7">
        <f t="shared" si="79"/>
        <v>0</v>
      </c>
      <c r="M327" t="s">
        <v>187</v>
      </c>
      <c r="O327" s="3">
        <f>E327-'315805 - P0824'!F327</f>
        <v>0</v>
      </c>
      <c r="P327" s="30">
        <f>I327-'315805 - P0824'!J327</f>
        <v>0</v>
      </c>
    </row>
    <row r="328" spans="1:16" x14ac:dyDescent="0.25">
      <c r="A328">
        <v>326</v>
      </c>
      <c r="B328" t="s">
        <v>475</v>
      </c>
      <c r="C328" t="s">
        <v>291</v>
      </c>
      <c r="D328" s="4" t="s">
        <v>327</v>
      </c>
      <c r="E328" s="16">
        <v>3.49</v>
      </c>
      <c r="F328" s="12">
        <v>3.49</v>
      </c>
      <c r="G328" s="6">
        <f t="shared" si="75"/>
        <v>0</v>
      </c>
      <c r="H328" s="7">
        <f t="shared" si="76"/>
        <v>0</v>
      </c>
      <c r="I328" s="8">
        <v>6.59</v>
      </c>
      <c r="J328" s="9">
        <f t="shared" si="77"/>
        <v>6.59</v>
      </c>
      <c r="K328" s="3">
        <f t="shared" si="78"/>
        <v>0</v>
      </c>
      <c r="L328" s="7">
        <f t="shared" si="79"/>
        <v>0</v>
      </c>
      <c r="M328" t="s">
        <v>187</v>
      </c>
      <c r="O328" s="3">
        <f>E328-'315805 - P0824'!F328</f>
        <v>0</v>
      </c>
      <c r="P328" s="30">
        <f>I328-'315805 - P0824'!J328</f>
        <v>0</v>
      </c>
    </row>
    <row r="329" spans="1:16" x14ac:dyDescent="0.25">
      <c r="A329">
        <v>327</v>
      </c>
      <c r="B329" t="s">
        <v>474</v>
      </c>
      <c r="C329" t="s">
        <v>291</v>
      </c>
      <c r="D329" s="4" t="s">
        <v>328</v>
      </c>
      <c r="E329" s="16">
        <v>5.68</v>
      </c>
      <c r="F329" s="12">
        <v>5.68</v>
      </c>
      <c r="G329" s="6">
        <f t="shared" si="75"/>
        <v>0</v>
      </c>
      <c r="H329" s="7">
        <f t="shared" si="76"/>
        <v>0</v>
      </c>
      <c r="I329" s="8">
        <v>8.77</v>
      </c>
      <c r="J329" s="9">
        <f t="shared" si="77"/>
        <v>8.77</v>
      </c>
      <c r="K329" s="3">
        <f t="shared" si="78"/>
        <v>0</v>
      </c>
      <c r="L329" s="7">
        <f t="shared" si="79"/>
        <v>0</v>
      </c>
      <c r="M329" t="s">
        <v>187</v>
      </c>
      <c r="O329" s="3">
        <f>E329-'315805 - P0824'!F329</f>
        <v>0</v>
      </c>
      <c r="P329" s="30">
        <f>I329-'315805 - P0824'!J329</f>
        <v>0</v>
      </c>
    </row>
    <row r="330" spans="1:16" x14ac:dyDescent="0.25">
      <c r="A330">
        <v>328</v>
      </c>
      <c r="B330" t="s">
        <v>473</v>
      </c>
      <c r="C330" t="s">
        <v>291</v>
      </c>
      <c r="D330" s="4" t="s">
        <v>329</v>
      </c>
      <c r="E330" s="16">
        <v>5.22</v>
      </c>
      <c r="F330" s="12">
        <v>5.22</v>
      </c>
      <c r="G330" s="6">
        <f t="shared" si="75"/>
        <v>0</v>
      </c>
      <c r="H330" s="7">
        <f t="shared" si="76"/>
        <v>0</v>
      </c>
      <c r="I330" s="8">
        <v>8.0399999999999991</v>
      </c>
      <c r="J330" s="9">
        <f t="shared" si="77"/>
        <v>8.0399999999999991</v>
      </c>
      <c r="K330" s="3">
        <f t="shared" si="78"/>
        <v>0</v>
      </c>
      <c r="L330" s="7">
        <f t="shared" si="79"/>
        <v>0</v>
      </c>
      <c r="M330" t="s">
        <v>187</v>
      </c>
      <c r="O330" s="3">
        <f>E330-'315805 - P0824'!F330</f>
        <v>0</v>
      </c>
      <c r="P330" s="30">
        <f>I330-'315805 - P0824'!J330</f>
        <v>0</v>
      </c>
    </row>
    <row r="331" spans="1:16" x14ac:dyDescent="0.25">
      <c r="A331">
        <v>329</v>
      </c>
      <c r="B331" t="s">
        <v>474</v>
      </c>
      <c r="C331" t="s">
        <v>291</v>
      </c>
      <c r="D331" s="4" t="s">
        <v>330</v>
      </c>
      <c r="E331" s="16">
        <v>34.32</v>
      </c>
      <c r="F331" s="12">
        <v>34.32</v>
      </c>
      <c r="G331" s="6">
        <f t="shared" si="75"/>
        <v>0</v>
      </c>
      <c r="H331" s="7">
        <f t="shared" si="76"/>
        <v>0</v>
      </c>
      <c r="I331" s="8">
        <v>52.8</v>
      </c>
      <c r="J331" s="9">
        <f t="shared" si="77"/>
        <v>52.8</v>
      </c>
      <c r="K331" s="3">
        <f t="shared" si="78"/>
        <v>0</v>
      </c>
      <c r="L331" s="7">
        <f t="shared" si="79"/>
        <v>0</v>
      </c>
      <c r="M331" t="s">
        <v>187</v>
      </c>
      <c r="O331" s="3">
        <f>E331-'315805 - P0824'!F331</f>
        <v>0</v>
      </c>
      <c r="P331" s="30">
        <f>I331-'315805 - P0824'!J331</f>
        <v>0</v>
      </c>
    </row>
    <row r="332" spans="1:16" x14ac:dyDescent="0.25">
      <c r="A332">
        <v>330</v>
      </c>
      <c r="B332" t="s">
        <v>474</v>
      </c>
      <c r="C332" t="s">
        <v>291</v>
      </c>
      <c r="D332" s="4" t="s">
        <v>331</v>
      </c>
      <c r="E332" s="16">
        <v>2.96</v>
      </c>
      <c r="F332" s="12">
        <v>2.96</v>
      </c>
      <c r="G332" s="6">
        <f>+F332-E332</f>
        <v>0</v>
      </c>
      <c r="H332" s="7">
        <f>(F332-E332)/ABS(E332)</f>
        <v>0</v>
      </c>
      <c r="I332" s="8">
        <v>4.5599999999999996</v>
      </c>
      <c r="J332" s="9">
        <f>(I332*H332)+I332</f>
        <v>4.5599999999999996</v>
      </c>
      <c r="K332" s="3">
        <f>J332-I332</f>
        <v>0</v>
      </c>
      <c r="L332" s="7">
        <f>(J332-I332)/ABS(I332)</f>
        <v>0</v>
      </c>
      <c r="M332" t="s">
        <v>187</v>
      </c>
      <c r="O332" s="3">
        <f>E332-'315805 - P0824'!F332</f>
        <v>0</v>
      </c>
      <c r="P332" s="30">
        <f>I332-'315805 - P0824'!J332</f>
        <v>0</v>
      </c>
    </row>
    <row r="333" spans="1:16" x14ac:dyDescent="0.25">
      <c r="A333">
        <v>331</v>
      </c>
      <c r="B333" t="s">
        <v>473</v>
      </c>
      <c r="C333" t="s">
        <v>291</v>
      </c>
      <c r="D333" s="4" t="s">
        <v>332</v>
      </c>
      <c r="E333" s="12">
        <v>197</v>
      </c>
      <c r="F333" s="12">
        <v>197</v>
      </c>
      <c r="G333" s="6">
        <f t="shared" ref="G333:G345" si="80">+F333-E333</f>
        <v>0</v>
      </c>
      <c r="H333" s="7">
        <f t="shared" ref="H333:H345" si="81">(F333-E333)/ABS(E333)</f>
        <v>0</v>
      </c>
      <c r="I333" s="8">
        <v>303.08</v>
      </c>
      <c r="J333" s="9">
        <f t="shared" ref="J333:J345" si="82">(I333*H333)+I333</f>
        <v>303.08</v>
      </c>
      <c r="K333" s="3">
        <f t="shared" ref="K333:K345" si="83">J333-I333</f>
        <v>0</v>
      </c>
      <c r="L333" s="7">
        <f t="shared" ref="L333:L345" si="84">(J333-I333)/ABS(I333)</f>
        <v>0</v>
      </c>
      <c r="M333" t="s">
        <v>187</v>
      </c>
      <c r="O333" s="3">
        <f>E333-'315805 - P0824'!F333</f>
        <v>0</v>
      </c>
      <c r="P333" s="30">
        <f>I333-'315805 - P0824'!J333</f>
        <v>0</v>
      </c>
    </row>
    <row r="334" spans="1:16" x14ac:dyDescent="0.25">
      <c r="A334">
        <v>332</v>
      </c>
      <c r="B334" t="s">
        <v>319</v>
      </c>
      <c r="C334" t="s">
        <v>291</v>
      </c>
      <c r="D334" s="4" t="s">
        <v>333</v>
      </c>
      <c r="E334" s="12">
        <v>83</v>
      </c>
      <c r="F334" s="12">
        <v>83</v>
      </c>
      <c r="G334" s="6">
        <f t="shared" si="80"/>
        <v>0</v>
      </c>
      <c r="H334" s="7">
        <f t="shared" si="81"/>
        <v>0</v>
      </c>
      <c r="I334" s="8">
        <v>100.7</v>
      </c>
      <c r="J334" s="9">
        <f t="shared" si="82"/>
        <v>100.7</v>
      </c>
      <c r="K334" s="3">
        <f t="shared" si="83"/>
        <v>0</v>
      </c>
      <c r="L334" s="7">
        <f t="shared" si="84"/>
        <v>0</v>
      </c>
      <c r="M334" t="s">
        <v>187</v>
      </c>
      <c r="O334" s="3">
        <f>E334-'315805 - P0824'!F334</f>
        <v>0</v>
      </c>
      <c r="P334" s="30">
        <f>I334-'315805 - P0824'!J334</f>
        <v>0</v>
      </c>
    </row>
    <row r="335" spans="1:16" x14ac:dyDescent="0.25">
      <c r="A335">
        <v>333</v>
      </c>
      <c r="B335" t="s">
        <v>305</v>
      </c>
      <c r="C335" t="s">
        <v>291</v>
      </c>
      <c r="D335" s="4" t="s">
        <v>334</v>
      </c>
      <c r="E335" s="12">
        <v>10</v>
      </c>
      <c r="F335" s="12">
        <v>10</v>
      </c>
      <c r="G335" s="6">
        <f t="shared" si="80"/>
        <v>0</v>
      </c>
      <c r="H335" s="7">
        <f t="shared" si="81"/>
        <v>0</v>
      </c>
      <c r="I335" s="8">
        <v>15.39</v>
      </c>
      <c r="J335" s="9">
        <f t="shared" si="82"/>
        <v>15.39</v>
      </c>
      <c r="K335" s="3">
        <f t="shared" si="83"/>
        <v>0</v>
      </c>
      <c r="L335" s="7">
        <f t="shared" si="84"/>
        <v>0</v>
      </c>
      <c r="M335" t="s">
        <v>187</v>
      </c>
      <c r="O335" s="3">
        <f>E335-'315805 - P0824'!F335</f>
        <v>0</v>
      </c>
      <c r="P335" s="30">
        <f>I335-'315805 - P0824'!J335</f>
        <v>0</v>
      </c>
    </row>
    <row r="336" spans="1:16" x14ac:dyDescent="0.25">
      <c r="A336">
        <v>334</v>
      </c>
      <c r="B336" t="s">
        <v>476</v>
      </c>
      <c r="C336" t="s">
        <v>291</v>
      </c>
      <c r="D336" s="4" t="s">
        <v>335</v>
      </c>
      <c r="E336" s="12">
        <v>2.5099999999999998</v>
      </c>
      <c r="F336" s="12">
        <v>2.5099999999999998</v>
      </c>
      <c r="G336" s="6">
        <f t="shared" si="80"/>
        <v>0</v>
      </c>
      <c r="H336" s="7">
        <f t="shared" si="81"/>
        <v>0</v>
      </c>
      <c r="I336" s="8">
        <v>5.14</v>
      </c>
      <c r="J336" s="9">
        <f t="shared" si="82"/>
        <v>5.14</v>
      </c>
      <c r="K336" s="3">
        <f t="shared" si="83"/>
        <v>0</v>
      </c>
      <c r="L336" s="7">
        <f t="shared" si="84"/>
        <v>0</v>
      </c>
      <c r="M336" t="s">
        <v>187</v>
      </c>
      <c r="O336" s="3">
        <f>E336-'315805 - P0824'!F336</f>
        <v>0</v>
      </c>
      <c r="P336" s="30">
        <f>I336-'315805 - P0824'!J336</f>
        <v>0</v>
      </c>
    </row>
    <row r="337" spans="1:16" x14ac:dyDescent="0.25">
      <c r="A337">
        <v>335</v>
      </c>
      <c r="B337" t="s">
        <v>477</v>
      </c>
      <c r="C337" t="s">
        <v>291</v>
      </c>
      <c r="D337" s="4" t="s">
        <v>336</v>
      </c>
      <c r="E337" s="12">
        <v>5.44</v>
      </c>
      <c r="F337" s="12">
        <v>5.44</v>
      </c>
      <c r="G337" s="6">
        <f t="shared" si="80"/>
        <v>0</v>
      </c>
      <c r="H337" s="7">
        <f t="shared" si="81"/>
        <v>0</v>
      </c>
      <c r="I337" s="8">
        <v>9.49</v>
      </c>
      <c r="J337" s="9">
        <f t="shared" si="82"/>
        <v>9.49</v>
      </c>
      <c r="K337" s="3">
        <f t="shared" si="83"/>
        <v>0</v>
      </c>
      <c r="L337" s="7">
        <f t="shared" si="84"/>
        <v>0</v>
      </c>
      <c r="M337" t="s">
        <v>187</v>
      </c>
      <c r="O337" s="3">
        <f>E337-'315805 - P0824'!F337</f>
        <v>0</v>
      </c>
      <c r="P337" s="30">
        <f>I337-'315805 - P0824'!J337</f>
        <v>0</v>
      </c>
    </row>
    <row r="338" spans="1:16" x14ac:dyDescent="0.25">
      <c r="A338">
        <v>336</v>
      </c>
      <c r="B338" t="s">
        <v>463</v>
      </c>
      <c r="C338" t="s">
        <v>291</v>
      </c>
      <c r="D338" s="4" t="s">
        <v>337</v>
      </c>
      <c r="E338" s="12">
        <v>115.32</v>
      </c>
      <c r="F338" s="12">
        <v>115.32</v>
      </c>
      <c r="G338" s="6">
        <f t="shared" si="80"/>
        <v>0</v>
      </c>
      <c r="H338" s="7">
        <f t="shared" si="81"/>
        <v>0</v>
      </c>
      <c r="I338" s="8">
        <v>177.42</v>
      </c>
      <c r="J338" s="9">
        <f t="shared" si="82"/>
        <v>177.42</v>
      </c>
      <c r="K338" s="3">
        <f t="shared" si="83"/>
        <v>0</v>
      </c>
      <c r="L338" s="7">
        <f t="shared" si="84"/>
        <v>0</v>
      </c>
      <c r="M338" t="s">
        <v>187</v>
      </c>
      <c r="O338" s="3">
        <f>E338-'315805 - P0824'!F338</f>
        <v>0</v>
      </c>
      <c r="P338" s="30">
        <f>I338-'315805 - P0824'!J338</f>
        <v>0</v>
      </c>
    </row>
    <row r="339" spans="1:16" x14ac:dyDescent="0.25">
      <c r="A339">
        <v>337</v>
      </c>
      <c r="B339" t="s">
        <v>463</v>
      </c>
      <c r="C339" t="s">
        <v>291</v>
      </c>
      <c r="D339" s="4" t="s">
        <v>338</v>
      </c>
      <c r="E339" s="12">
        <v>0.89</v>
      </c>
      <c r="F339" s="12">
        <v>0.89</v>
      </c>
      <c r="G339" s="6">
        <f t="shared" si="80"/>
        <v>0</v>
      </c>
      <c r="H339" s="7">
        <f t="shared" si="81"/>
        <v>0</v>
      </c>
      <c r="I339" s="8">
        <v>1.37</v>
      </c>
      <c r="J339" s="9">
        <f t="shared" si="82"/>
        <v>1.37</v>
      </c>
      <c r="K339" s="3">
        <f t="shared" si="83"/>
        <v>0</v>
      </c>
      <c r="L339" s="7">
        <f t="shared" si="84"/>
        <v>0</v>
      </c>
      <c r="M339" t="s">
        <v>187</v>
      </c>
      <c r="O339" s="3">
        <f>E339-'315805 - P0824'!F339</f>
        <v>0</v>
      </c>
      <c r="P339" s="30">
        <f>I339-'315805 - P0824'!J339</f>
        <v>0</v>
      </c>
    </row>
    <row r="340" spans="1:16" x14ac:dyDescent="0.25">
      <c r="A340">
        <v>338</v>
      </c>
      <c r="B340" t="s">
        <v>463</v>
      </c>
      <c r="C340" t="s">
        <v>291</v>
      </c>
      <c r="D340" s="4" t="s">
        <v>339</v>
      </c>
      <c r="E340" s="12">
        <v>33.590000000000003</v>
      </c>
      <c r="F340" s="12">
        <v>33.590000000000003</v>
      </c>
      <c r="G340" s="6">
        <f t="shared" si="80"/>
        <v>0</v>
      </c>
      <c r="H340" s="7">
        <f t="shared" si="81"/>
        <v>0</v>
      </c>
      <c r="I340" s="8">
        <v>51.68</v>
      </c>
      <c r="J340" s="9">
        <f t="shared" si="82"/>
        <v>51.68</v>
      </c>
      <c r="K340" s="3">
        <f t="shared" si="83"/>
        <v>0</v>
      </c>
      <c r="L340" s="7">
        <f t="shared" si="84"/>
        <v>0</v>
      </c>
      <c r="M340" t="s">
        <v>187</v>
      </c>
      <c r="O340" s="3">
        <f>E340-'315805 - P0824'!F340</f>
        <v>0</v>
      </c>
      <c r="P340" s="30">
        <f>I340-'315805 - P0824'!J340</f>
        <v>0</v>
      </c>
    </row>
    <row r="341" spans="1:16" x14ac:dyDescent="0.25">
      <c r="A341">
        <v>339</v>
      </c>
      <c r="B341" t="s">
        <v>463</v>
      </c>
      <c r="C341" t="s">
        <v>291</v>
      </c>
      <c r="D341" s="4" t="s">
        <v>464</v>
      </c>
      <c r="E341" s="12">
        <v>14.78</v>
      </c>
      <c r="F341" s="12">
        <v>14.78</v>
      </c>
      <c r="G341" s="6">
        <f t="shared" si="80"/>
        <v>0</v>
      </c>
      <c r="H341" s="7">
        <f t="shared" si="81"/>
        <v>0</v>
      </c>
      <c r="I341" s="8">
        <v>22.74</v>
      </c>
      <c r="J341" s="9">
        <f t="shared" si="82"/>
        <v>22.74</v>
      </c>
      <c r="K341" s="3">
        <f t="shared" si="83"/>
        <v>0</v>
      </c>
      <c r="L341" s="7">
        <f t="shared" si="84"/>
        <v>0</v>
      </c>
      <c r="M341" t="s">
        <v>187</v>
      </c>
      <c r="O341" s="3">
        <f>E341-'315805 - P0824'!F341</f>
        <v>0</v>
      </c>
      <c r="P341" s="30">
        <f>I341-'315805 - P0824'!J341</f>
        <v>0</v>
      </c>
    </row>
    <row r="342" spans="1:16" x14ac:dyDescent="0.25">
      <c r="A342">
        <v>340</v>
      </c>
      <c r="B342" t="s">
        <v>463</v>
      </c>
      <c r="C342" t="s">
        <v>291</v>
      </c>
      <c r="D342" s="4" t="s">
        <v>466</v>
      </c>
      <c r="E342" s="12">
        <v>2.21</v>
      </c>
      <c r="F342" s="12">
        <v>2.21</v>
      </c>
      <c r="G342" s="6">
        <f t="shared" si="80"/>
        <v>0</v>
      </c>
      <c r="H342" s="7">
        <f t="shared" si="81"/>
        <v>0</v>
      </c>
      <c r="I342" s="8">
        <v>3.8</v>
      </c>
      <c r="J342" s="9">
        <f t="shared" si="82"/>
        <v>3.8</v>
      </c>
      <c r="K342" s="3">
        <f t="shared" si="83"/>
        <v>0</v>
      </c>
      <c r="L342" s="7">
        <f t="shared" si="84"/>
        <v>0</v>
      </c>
      <c r="M342" t="s">
        <v>187</v>
      </c>
      <c r="O342" s="3">
        <f>E342-'315805 - P0824'!F342</f>
        <v>0</v>
      </c>
      <c r="P342" s="30">
        <f>I342-'315805 - P0824'!J342</f>
        <v>0</v>
      </c>
    </row>
    <row r="343" spans="1:16" x14ac:dyDescent="0.25">
      <c r="A343">
        <v>341</v>
      </c>
      <c r="B343" t="s">
        <v>463</v>
      </c>
      <c r="C343" t="s">
        <v>291</v>
      </c>
      <c r="D343" s="4" t="s">
        <v>467</v>
      </c>
      <c r="E343" s="12">
        <v>30.62</v>
      </c>
      <c r="F343" s="12">
        <v>30.62</v>
      </c>
      <c r="G343" s="6">
        <f t="shared" si="80"/>
        <v>0</v>
      </c>
      <c r="H343" s="7">
        <f t="shared" si="81"/>
        <v>0</v>
      </c>
      <c r="I343" s="8">
        <v>52.76</v>
      </c>
      <c r="J343" s="9">
        <f t="shared" si="82"/>
        <v>52.76</v>
      </c>
      <c r="K343" s="3">
        <f t="shared" si="83"/>
        <v>0</v>
      </c>
      <c r="L343" s="7">
        <f t="shared" si="84"/>
        <v>0</v>
      </c>
      <c r="M343" t="s">
        <v>187</v>
      </c>
      <c r="O343" s="3">
        <f>E343-'315805 - P0824'!F343</f>
        <v>0</v>
      </c>
      <c r="P343" s="30">
        <f>I343-'315805 - P0824'!J343</f>
        <v>0</v>
      </c>
    </row>
    <row r="344" spans="1:16" x14ac:dyDescent="0.25">
      <c r="A344">
        <v>342</v>
      </c>
      <c r="B344" t="s">
        <v>485</v>
      </c>
      <c r="C344" t="s">
        <v>291</v>
      </c>
      <c r="D344" s="4" t="s">
        <v>488</v>
      </c>
      <c r="E344" s="12">
        <v>147</v>
      </c>
      <c r="F344" s="12">
        <v>147</v>
      </c>
      <c r="G344" s="6">
        <f t="shared" si="80"/>
        <v>0</v>
      </c>
      <c r="H344" s="7">
        <f t="shared" si="81"/>
        <v>0</v>
      </c>
      <c r="I344" s="8">
        <v>226.16</v>
      </c>
      <c r="J344" s="9">
        <f t="shared" si="82"/>
        <v>226.16</v>
      </c>
      <c r="K344" s="3">
        <f t="shared" si="83"/>
        <v>0</v>
      </c>
      <c r="L344" s="7">
        <f t="shared" si="84"/>
        <v>0</v>
      </c>
      <c r="M344" t="s">
        <v>187</v>
      </c>
      <c r="O344" s="3">
        <f>E344-'315805 - P0824'!F344</f>
        <v>0</v>
      </c>
      <c r="P344" s="30">
        <f>I344-'315805 - P0824'!J344</f>
        <v>0</v>
      </c>
    </row>
    <row r="345" spans="1:16" x14ac:dyDescent="0.25">
      <c r="A345">
        <v>343</v>
      </c>
      <c r="B345" t="s">
        <v>290</v>
      </c>
      <c r="C345" t="s">
        <v>291</v>
      </c>
      <c r="D345" s="4" t="s">
        <v>489</v>
      </c>
      <c r="E345" s="12">
        <v>66.349999999999994</v>
      </c>
      <c r="F345" s="12">
        <v>66.349999999999994</v>
      </c>
      <c r="G345" s="6">
        <f t="shared" si="80"/>
        <v>0</v>
      </c>
      <c r="H345" s="7">
        <f t="shared" si="81"/>
        <v>0</v>
      </c>
      <c r="I345" s="8">
        <v>102.08</v>
      </c>
      <c r="J345" s="9">
        <f t="shared" si="82"/>
        <v>102.08</v>
      </c>
      <c r="K345" s="3">
        <f t="shared" si="83"/>
        <v>0</v>
      </c>
      <c r="L345" s="7">
        <f t="shared" si="84"/>
        <v>0</v>
      </c>
      <c r="M345" t="s">
        <v>187</v>
      </c>
      <c r="O345" s="3">
        <f>E345-'315805 - P0824'!F345</f>
        <v>0</v>
      </c>
      <c r="P345" s="30">
        <f>I345-'315805 - P0824'!J345</f>
        <v>0</v>
      </c>
    </row>
    <row r="346" spans="1:16" x14ac:dyDescent="0.25">
      <c r="A346">
        <v>344</v>
      </c>
      <c r="D346" s="34" t="s">
        <v>340</v>
      </c>
      <c r="H346" s="10">
        <f>AVERAGE(H298:H343)</f>
        <v>0</v>
      </c>
      <c r="I346"/>
    </row>
    <row r="347" spans="1:16" x14ac:dyDescent="0.25">
      <c r="A347">
        <v>345</v>
      </c>
      <c r="D347" s="34" t="s">
        <v>341</v>
      </c>
      <c r="I347"/>
      <c r="M347" t="s">
        <v>7</v>
      </c>
    </row>
    <row r="348" spans="1:16" x14ac:dyDescent="0.25">
      <c r="A348">
        <v>346</v>
      </c>
      <c r="D348" s="34" t="s">
        <v>342</v>
      </c>
      <c r="I348"/>
      <c r="O348" s="3">
        <f>E348-'315805 - P0824'!F348</f>
        <v>0</v>
      </c>
      <c r="P348" s="30">
        <f>I348-'315805 - P0824'!J348</f>
        <v>0</v>
      </c>
    </row>
    <row r="349" spans="1:16" x14ac:dyDescent="0.25">
      <c r="A349">
        <v>347</v>
      </c>
      <c r="B349" t="s">
        <v>470</v>
      </c>
      <c r="C349" s="28" t="s">
        <v>454</v>
      </c>
      <c r="D349" s="4" t="s">
        <v>497</v>
      </c>
      <c r="E349" s="11">
        <v>1450</v>
      </c>
      <c r="F349" s="11">
        <v>1450</v>
      </c>
      <c r="G349" s="6">
        <f t="shared" ref="G349:G356" si="85">+F349-E349</f>
        <v>0</v>
      </c>
      <c r="H349" s="7">
        <f t="shared" ref="H349:H356" si="86">(F349-E349)/ABS(E349)</f>
        <v>0</v>
      </c>
      <c r="I349" s="8">
        <v>118.24570098910753</v>
      </c>
      <c r="J349" s="9">
        <f t="shared" ref="J349:J356" si="87">(I349*H349)+I349</f>
        <v>118.24570098910753</v>
      </c>
      <c r="K349" s="3">
        <f t="shared" ref="K349:K356" si="88">J349-I349</f>
        <v>0</v>
      </c>
      <c r="L349" s="7">
        <f t="shared" ref="L349:L356" si="89">(J349-I349)/ABS(I349)</f>
        <v>0</v>
      </c>
      <c r="M349" t="s">
        <v>7</v>
      </c>
      <c r="O349" s="3">
        <f>E349-'315805 - P0824'!F349</f>
        <v>0</v>
      </c>
      <c r="P349" s="30">
        <f>I349-'315805 - P0824'!J349</f>
        <v>0</v>
      </c>
    </row>
    <row r="350" spans="1:16" x14ac:dyDescent="0.25">
      <c r="A350">
        <v>348</v>
      </c>
      <c r="B350" t="s">
        <v>290</v>
      </c>
      <c r="C350" s="28" t="s">
        <v>344</v>
      </c>
      <c r="D350" s="4" t="s">
        <v>345</v>
      </c>
      <c r="E350" s="11">
        <v>4.93</v>
      </c>
      <c r="F350" s="11">
        <v>4.93</v>
      </c>
      <c r="G350" s="6">
        <f t="shared" si="85"/>
        <v>0</v>
      </c>
      <c r="H350" s="7">
        <f t="shared" si="86"/>
        <v>0</v>
      </c>
      <c r="I350" s="8">
        <v>10.18301417057406</v>
      </c>
      <c r="J350" s="9">
        <f t="shared" si="87"/>
        <v>10.18301417057406</v>
      </c>
      <c r="K350" s="3">
        <f t="shared" si="88"/>
        <v>0</v>
      </c>
      <c r="L350" s="7">
        <f t="shared" si="89"/>
        <v>0</v>
      </c>
      <c r="M350" t="s">
        <v>7</v>
      </c>
      <c r="O350" s="3">
        <f>E350-'315805 - P0824'!F350</f>
        <v>0</v>
      </c>
      <c r="P350" s="30">
        <f>I350-'315805 - P0824'!J350</f>
        <v>0</v>
      </c>
    </row>
    <row r="351" spans="1:16" x14ac:dyDescent="0.25">
      <c r="A351">
        <v>349</v>
      </c>
      <c r="B351" t="s">
        <v>463</v>
      </c>
      <c r="C351" s="28" t="s">
        <v>344</v>
      </c>
      <c r="D351" s="4" t="s">
        <v>346</v>
      </c>
      <c r="E351" s="11">
        <v>6.5</v>
      </c>
      <c r="F351" s="11">
        <v>6.5</v>
      </c>
      <c r="G351" s="6">
        <f t="shared" si="85"/>
        <v>0</v>
      </c>
      <c r="H351" s="7">
        <f t="shared" si="86"/>
        <v>0</v>
      </c>
      <c r="I351" s="8">
        <v>11.46</v>
      </c>
      <c r="J351" s="9">
        <f t="shared" si="87"/>
        <v>11.46</v>
      </c>
      <c r="K351" s="3">
        <f t="shared" si="88"/>
        <v>0</v>
      </c>
      <c r="L351" s="7">
        <f t="shared" si="89"/>
        <v>0</v>
      </c>
      <c r="M351" t="s">
        <v>7</v>
      </c>
      <c r="O351" s="3">
        <f>E351-'315805 - P0824'!F351</f>
        <v>0</v>
      </c>
      <c r="P351" s="30">
        <f>I351-'315805 - P0824'!J351</f>
        <v>0</v>
      </c>
    </row>
    <row r="352" spans="1:16" x14ac:dyDescent="0.25">
      <c r="A352">
        <v>350</v>
      </c>
      <c r="B352" t="s">
        <v>463</v>
      </c>
      <c r="C352" s="28" t="s">
        <v>347</v>
      </c>
      <c r="D352" s="4" t="s">
        <v>348</v>
      </c>
      <c r="E352" s="11">
        <v>4.7699999999999996</v>
      </c>
      <c r="F352" s="11">
        <v>4.7699999999999996</v>
      </c>
      <c r="G352" s="6">
        <f t="shared" si="85"/>
        <v>0</v>
      </c>
      <c r="H352" s="7">
        <f t="shared" si="86"/>
        <v>0</v>
      </c>
      <c r="I352" s="8">
        <v>6.82</v>
      </c>
      <c r="J352" s="9">
        <f t="shared" si="87"/>
        <v>6.82</v>
      </c>
      <c r="K352" s="3">
        <f t="shared" si="88"/>
        <v>0</v>
      </c>
      <c r="L352" s="7">
        <f t="shared" si="89"/>
        <v>0</v>
      </c>
      <c r="M352" t="s">
        <v>7</v>
      </c>
      <c r="O352" s="3">
        <f>E352-'315805 - P0824'!F352</f>
        <v>0</v>
      </c>
      <c r="P352" s="30">
        <f>I352-'315805 - P0824'!J352</f>
        <v>0</v>
      </c>
    </row>
    <row r="353" spans="1:16" x14ac:dyDescent="0.25">
      <c r="A353">
        <v>351</v>
      </c>
      <c r="B353" t="s">
        <v>463</v>
      </c>
      <c r="C353" s="28" t="s">
        <v>347</v>
      </c>
      <c r="D353" s="4" t="s">
        <v>349</v>
      </c>
      <c r="E353" s="11">
        <v>104</v>
      </c>
      <c r="F353" s="11">
        <v>104</v>
      </c>
      <c r="G353" s="6">
        <f t="shared" si="85"/>
        <v>0</v>
      </c>
      <c r="H353" s="7">
        <f t="shared" si="86"/>
        <v>0</v>
      </c>
      <c r="I353" s="8">
        <v>159.78</v>
      </c>
      <c r="J353" s="9">
        <f t="shared" si="87"/>
        <v>159.78</v>
      </c>
      <c r="K353" s="3">
        <f t="shared" si="88"/>
        <v>0</v>
      </c>
      <c r="L353" s="7">
        <f t="shared" si="89"/>
        <v>0</v>
      </c>
      <c r="M353" t="s">
        <v>7</v>
      </c>
      <c r="O353" s="3">
        <f>E353-'315805 - P0824'!F353</f>
        <v>0</v>
      </c>
      <c r="P353" s="30">
        <f>I353-'315805 - P0824'!J353</f>
        <v>0</v>
      </c>
    </row>
    <row r="354" spans="1:16" x14ac:dyDescent="0.25">
      <c r="A354">
        <v>352</v>
      </c>
      <c r="B354" t="s">
        <v>445</v>
      </c>
      <c r="C354" s="28" t="s">
        <v>343</v>
      </c>
      <c r="D354" s="4" t="s">
        <v>446</v>
      </c>
      <c r="E354" s="11">
        <v>49.89</v>
      </c>
      <c r="F354" s="11">
        <v>49.89</v>
      </c>
      <c r="G354" s="6">
        <f t="shared" si="85"/>
        <v>0</v>
      </c>
      <c r="H354" s="7">
        <f t="shared" si="86"/>
        <v>0</v>
      </c>
      <c r="I354" s="8">
        <v>66.30376269809021</v>
      </c>
      <c r="J354" s="9">
        <f t="shared" si="87"/>
        <v>66.30376269809021</v>
      </c>
      <c r="K354" s="3">
        <f t="shared" si="88"/>
        <v>0</v>
      </c>
      <c r="L354" s="7">
        <f t="shared" si="89"/>
        <v>0</v>
      </c>
      <c r="M354" t="s">
        <v>7</v>
      </c>
      <c r="O354" s="3">
        <f>E354-'315805 - P0824'!F354</f>
        <v>0</v>
      </c>
      <c r="P354" s="30">
        <f>I354-'315805 - P0824'!J354</f>
        <v>0</v>
      </c>
    </row>
    <row r="355" spans="1:16" x14ac:dyDescent="0.25">
      <c r="A355">
        <v>353</v>
      </c>
      <c r="B355" t="s">
        <v>303</v>
      </c>
      <c r="C355" s="28" t="s">
        <v>343</v>
      </c>
      <c r="D355" s="4" t="s">
        <v>350</v>
      </c>
      <c r="E355" s="11">
        <v>28.21</v>
      </c>
      <c r="F355" s="11">
        <v>28.21</v>
      </c>
      <c r="G355" s="6">
        <f t="shared" si="85"/>
        <v>0</v>
      </c>
      <c r="H355" s="7">
        <f t="shared" si="86"/>
        <v>0</v>
      </c>
      <c r="I355" s="8">
        <v>60.400819101768519</v>
      </c>
      <c r="J355" s="9">
        <f t="shared" si="87"/>
        <v>60.400819101768519</v>
      </c>
      <c r="K355" s="3">
        <f t="shared" si="88"/>
        <v>0</v>
      </c>
      <c r="L355" s="7">
        <f t="shared" si="89"/>
        <v>0</v>
      </c>
      <c r="M355" t="s">
        <v>7</v>
      </c>
      <c r="O355" s="3">
        <f>E355-'315805 - P0824'!F355</f>
        <v>0</v>
      </c>
      <c r="P355" s="30">
        <f>I355-'315805 - P0824'!J355</f>
        <v>0</v>
      </c>
    </row>
    <row r="356" spans="1:16" x14ac:dyDescent="0.25">
      <c r="A356">
        <v>354</v>
      </c>
      <c r="B356" t="s">
        <v>303</v>
      </c>
      <c r="C356" s="28" t="s">
        <v>351</v>
      </c>
      <c r="D356" s="4" t="s">
        <v>352</v>
      </c>
      <c r="E356" s="11">
        <v>20.36</v>
      </c>
      <c r="F356" s="11">
        <v>20.36</v>
      </c>
      <c r="G356" s="6">
        <f t="shared" si="85"/>
        <v>0</v>
      </c>
      <c r="H356" s="7">
        <f t="shared" si="86"/>
        <v>0</v>
      </c>
      <c r="I356" s="8">
        <v>33.75</v>
      </c>
      <c r="J356" s="9">
        <f t="shared" si="87"/>
        <v>33.75</v>
      </c>
      <c r="K356" s="3">
        <f t="shared" si="88"/>
        <v>0</v>
      </c>
      <c r="L356" s="7">
        <f t="shared" si="89"/>
        <v>0</v>
      </c>
      <c r="M356" t="s">
        <v>7</v>
      </c>
      <c r="O356" s="3">
        <f>E356-'315805 - P0824'!F356</f>
        <v>0</v>
      </c>
      <c r="P356" s="30">
        <f>I356-'315805 - P0824'!J356</f>
        <v>0</v>
      </c>
    </row>
    <row r="357" spans="1:16" x14ac:dyDescent="0.25">
      <c r="A357">
        <v>355</v>
      </c>
      <c r="C357" s="28"/>
      <c r="D357" s="34" t="s">
        <v>353</v>
      </c>
      <c r="I357"/>
    </row>
    <row r="358" spans="1:16" x14ac:dyDescent="0.25">
      <c r="A358">
        <v>356</v>
      </c>
      <c r="B358" t="s">
        <v>294</v>
      </c>
      <c r="C358" s="28" t="s">
        <v>354</v>
      </c>
      <c r="D358" s="4" t="s">
        <v>355</v>
      </c>
      <c r="E358" s="12">
        <v>5.98</v>
      </c>
      <c r="F358" s="12">
        <v>5.98</v>
      </c>
      <c r="G358" s="6">
        <f>+F358-E358</f>
        <v>0</v>
      </c>
      <c r="H358" s="7">
        <f>(F358-E358)/ABS(E358)</f>
        <v>0</v>
      </c>
      <c r="I358" s="12">
        <v>10.64931506849315</v>
      </c>
      <c r="J358" s="12">
        <f>(I358*H358)+I358</f>
        <v>10.64931506849315</v>
      </c>
      <c r="K358" s="3">
        <f>J358-I358</f>
        <v>0</v>
      </c>
      <c r="L358" s="7">
        <f>(J358-I358)/ABS(I358)</f>
        <v>0</v>
      </c>
      <c r="M358" t="s">
        <v>150</v>
      </c>
      <c r="O358" s="3">
        <f>E358-'315805 - P0824'!F358</f>
        <v>0</v>
      </c>
      <c r="P358" s="30">
        <f>I358-'315805 - P0824'!J358</f>
        <v>0</v>
      </c>
    </row>
    <row r="359" spans="1:16" x14ac:dyDescent="0.25">
      <c r="A359">
        <v>357</v>
      </c>
      <c r="C359" s="28"/>
      <c r="D359" s="34" t="s">
        <v>356</v>
      </c>
      <c r="I359"/>
    </row>
    <row r="360" spans="1:16" x14ac:dyDescent="0.25">
      <c r="A360">
        <v>358</v>
      </c>
      <c r="B360" t="s">
        <v>502</v>
      </c>
      <c r="C360" s="28" t="s">
        <v>454</v>
      </c>
      <c r="D360" s="4" t="s">
        <v>503</v>
      </c>
      <c r="E360" s="11">
        <v>1517</v>
      </c>
      <c r="F360" s="11">
        <v>1517</v>
      </c>
      <c r="G360" s="13">
        <f t="shared" ref="G360:G394" si="90">+F360-E360</f>
        <v>0</v>
      </c>
      <c r="H360" s="7">
        <f t="shared" ref="H360:H394" si="91">(F360-E360)/ABS(E360)</f>
        <v>0</v>
      </c>
      <c r="I360" s="8">
        <v>83.5202093596059</v>
      </c>
      <c r="J360" s="9">
        <f t="shared" ref="J360:J394" si="92">(I360*H360)+I360</f>
        <v>83.5202093596059</v>
      </c>
      <c r="K360" s="3">
        <f t="shared" ref="K360:K394" si="93">J360-I360</f>
        <v>0</v>
      </c>
      <c r="L360" s="7">
        <f t="shared" ref="L360:L394" si="94">(J360-I360)/ABS(I360)</f>
        <v>0</v>
      </c>
      <c r="M360" t="s">
        <v>7</v>
      </c>
      <c r="O360" s="3">
        <f>E360-'315805 - P0824'!F360</f>
        <v>0</v>
      </c>
      <c r="P360" s="30">
        <f>I360-'315805 - P0824'!J360</f>
        <v>0</v>
      </c>
    </row>
    <row r="361" spans="1:16" x14ac:dyDescent="0.25">
      <c r="A361">
        <v>359</v>
      </c>
      <c r="B361" t="s">
        <v>290</v>
      </c>
      <c r="C361" s="28" t="s">
        <v>454</v>
      </c>
      <c r="D361" s="4" t="s">
        <v>498</v>
      </c>
      <c r="E361" s="11">
        <v>1710</v>
      </c>
      <c r="F361" s="11">
        <v>1710</v>
      </c>
      <c r="G361" s="13">
        <f t="shared" si="90"/>
        <v>0</v>
      </c>
      <c r="H361" s="7">
        <f t="shared" si="91"/>
        <v>0</v>
      </c>
      <c r="I361" s="8">
        <v>41.429553882394785</v>
      </c>
      <c r="J361" s="9">
        <f t="shared" si="92"/>
        <v>41.429553882394785</v>
      </c>
      <c r="K361" s="3">
        <f t="shared" si="93"/>
        <v>0</v>
      </c>
      <c r="L361" s="7">
        <f t="shared" si="94"/>
        <v>0</v>
      </c>
      <c r="M361" t="s">
        <v>7</v>
      </c>
      <c r="O361" s="3">
        <f>E361-'315805 - P0824'!F361</f>
        <v>0</v>
      </c>
      <c r="P361" s="30">
        <f>I361-'315805 - P0824'!J361</f>
        <v>0</v>
      </c>
    </row>
    <row r="362" spans="1:16" x14ac:dyDescent="0.25">
      <c r="A362">
        <v>360</v>
      </c>
      <c r="B362" t="s">
        <v>290</v>
      </c>
      <c r="C362" s="28" t="s">
        <v>454</v>
      </c>
      <c r="D362" s="4" t="s">
        <v>495</v>
      </c>
      <c r="E362" s="11">
        <v>76.16</v>
      </c>
      <c r="F362" s="11">
        <v>76.16</v>
      </c>
      <c r="G362" s="13">
        <f t="shared" si="90"/>
        <v>0</v>
      </c>
      <c r="H362" s="7">
        <f t="shared" si="91"/>
        <v>0</v>
      </c>
      <c r="I362" s="8">
        <v>118.41812494751909</v>
      </c>
      <c r="J362" s="9">
        <f t="shared" si="92"/>
        <v>118.41812494751909</v>
      </c>
      <c r="K362" s="3">
        <f t="shared" si="93"/>
        <v>0</v>
      </c>
      <c r="L362" s="7">
        <f t="shared" si="94"/>
        <v>0</v>
      </c>
      <c r="M362" t="s">
        <v>7</v>
      </c>
      <c r="O362" s="3">
        <f>E362-'315805 - P0824'!F362</f>
        <v>0</v>
      </c>
      <c r="P362" s="30">
        <f>I362-'315805 - P0824'!J362</f>
        <v>0</v>
      </c>
    </row>
    <row r="363" spans="1:16" x14ac:dyDescent="0.25">
      <c r="A363">
        <v>361</v>
      </c>
      <c r="B363" t="s">
        <v>290</v>
      </c>
      <c r="C363" s="28" t="s">
        <v>454</v>
      </c>
      <c r="D363" s="4" t="s">
        <v>496</v>
      </c>
      <c r="E363" s="11">
        <v>1860</v>
      </c>
      <c r="F363" s="11">
        <v>1860</v>
      </c>
      <c r="G363" s="13">
        <f t="shared" si="90"/>
        <v>0</v>
      </c>
      <c r="H363" s="7">
        <f t="shared" si="91"/>
        <v>0</v>
      </c>
      <c r="I363" s="8">
        <v>249.52645395508233</v>
      </c>
      <c r="J363" s="9">
        <f t="shared" si="92"/>
        <v>249.52645395508233</v>
      </c>
      <c r="K363" s="3">
        <f t="shared" si="93"/>
        <v>0</v>
      </c>
      <c r="L363" s="7">
        <f t="shared" si="94"/>
        <v>0</v>
      </c>
      <c r="M363" t="s">
        <v>7</v>
      </c>
      <c r="O363" s="3">
        <f>E363-'315805 - P0824'!F363</f>
        <v>0</v>
      </c>
      <c r="P363" s="30">
        <f>I363-'315805 - P0824'!J363</f>
        <v>0</v>
      </c>
    </row>
    <row r="364" spans="1:16" x14ac:dyDescent="0.25">
      <c r="A364">
        <v>362</v>
      </c>
      <c r="B364" t="s">
        <v>483</v>
      </c>
      <c r="C364" s="28" t="s">
        <v>351</v>
      </c>
      <c r="D364" s="4" t="s">
        <v>357</v>
      </c>
      <c r="E364" s="11">
        <v>2709</v>
      </c>
      <c r="F364" s="11">
        <v>2709</v>
      </c>
      <c r="G364" s="13">
        <f t="shared" si="90"/>
        <v>0</v>
      </c>
      <c r="H364" s="7">
        <f t="shared" si="91"/>
        <v>0</v>
      </c>
      <c r="I364" s="8">
        <v>5.1687034714890512</v>
      </c>
      <c r="J364" s="9">
        <f t="shared" si="92"/>
        <v>5.1687034714890512</v>
      </c>
      <c r="K364" s="3">
        <f t="shared" si="93"/>
        <v>0</v>
      </c>
      <c r="L364" s="7">
        <f t="shared" si="94"/>
        <v>0</v>
      </c>
      <c r="M364" t="s">
        <v>7</v>
      </c>
      <c r="O364" s="3">
        <f>E364-'315805 - P0824'!F364</f>
        <v>0</v>
      </c>
      <c r="P364" s="30">
        <f>I364-'315805 - P0824'!J364</f>
        <v>0</v>
      </c>
    </row>
    <row r="365" spans="1:16" x14ac:dyDescent="0.25">
      <c r="A365">
        <v>363</v>
      </c>
      <c r="B365" t="s">
        <v>484</v>
      </c>
      <c r="C365" s="28" t="s">
        <v>351</v>
      </c>
      <c r="D365" s="4" t="s">
        <v>358</v>
      </c>
      <c r="E365" s="11">
        <v>2709</v>
      </c>
      <c r="F365" s="11">
        <v>2709</v>
      </c>
      <c r="G365" s="13">
        <f t="shared" si="90"/>
        <v>0</v>
      </c>
      <c r="H365" s="7">
        <f t="shared" si="91"/>
        <v>0</v>
      </c>
      <c r="I365" s="8">
        <v>8.0702736339232413</v>
      </c>
      <c r="J365" s="9">
        <f t="shared" si="92"/>
        <v>8.0702736339232413</v>
      </c>
      <c r="K365" s="3">
        <f t="shared" si="93"/>
        <v>0</v>
      </c>
      <c r="L365" s="7">
        <f t="shared" si="94"/>
        <v>0</v>
      </c>
      <c r="M365" t="s">
        <v>7</v>
      </c>
      <c r="O365" s="3">
        <f>E365-'315805 - P0824'!F365</f>
        <v>0</v>
      </c>
      <c r="P365" s="30">
        <f>I365-'315805 - P0824'!J365</f>
        <v>0</v>
      </c>
    </row>
    <row r="366" spans="1:16" x14ac:dyDescent="0.25">
      <c r="A366">
        <v>364</v>
      </c>
      <c r="B366" t="s">
        <v>290</v>
      </c>
      <c r="C366" s="28" t="s">
        <v>351</v>
      </c>
      <c r="D366" s="4" t="s">
        <v>359</v>
      </c>
      <c r="E366" s="11">
        <v>2709</v>
      </c>
      <c r="F366" s="11">
        <v>2709</v>
      </c>
      <c r="G366" s="13">
        <f t="shared" si="90"/>
        <v>0</v>
      </c>
      <c r="H366" s="7">
        <f t="shared" si="91"/>
        <v>0</v>
      </c>
      <c r="I366" s="8">
        <v>11.040593760943526</v>
      </c>
      <c r="J366" s="9">
        <f t="shared" si="92"/>
        <v>11.040593760943526</v>
      </c>
      <c r="K366" s="3">
        <f t="shared" si="93"/>
        <v>0</v>
      </c>
      <c r="L366" s="7">
        <f t="shared" si="94"/>
        <v>0</v>
      </c>
      <c r="M366" t="s">
        <v>7</v>
      </c>
      <c r="O366" s="3">
        <f>E366-'315805 - P0824'!F366</f>
        <v>0</v>
      </c>
      <c r="P366" s="30">
        <f>I366-'315805 - P0824'!J366</f>
        <v>0</v>
      </c>
    </row>
    <row r="367" spans="1:16" x14ac:dyDescent="0.25">
      <c r="A367">
        <v>365</v>
      </c>
      <c r="B367" t="s">
        <v>476</v>
      </c>
      <c r="C367" s="28" t="s">
        <v>351</v>
      </c>
      <c r="D367" s="4" t="s">
        <v>360</v>
      </c>
      <c r="E367" s="11">
        <v>3148</v>
      </c>
      <c r="F367" s="11">
        <v>3148</v>
      </c>
      <c r="G367" s="13">
        <f t="shared" si="90"/>
        <v>0</v>
      </c>
      <c r="H367" s="7">
        <f t="shared" si="91"/>
        <v>0</v>
      </c>
      <c r="I367" s="8">
        <v>14.3</v>
      </c>
      <c r="J367" s="9">
        <f t="shared" si="92"/>
        <v>14.3</v>
      </c>
      <c r="K367" s="3">
        <f t="shared" si="93"/>
        <v>0</v>
      </c>
      <c r="L367" s="7">
        <f t="shared" si="94"/>
        <v>0</v>
      </c>
      <c r="M367" t="s">
        <v>7</v>
      </c>
      <c r="O367" s="3">
        <f>E367-'315805 - P0824'!F367</f>
        <v>0</v>
      </c>
      <c r="P367" s="30">
        <f>I367-'315805 - P0824'!J367</f>
        <v>0</v>
      </c>
    </row>
    <row r="368" spans="1:16" x14ac:dyDescent="0.25">
      <c r="A368">
        <v>366</v>
      </c>
      <c r="B368" t="s">
        <v>478</v>
      </c>
      <c r="C368" s="28" t="s">
        <v>351</v>
      </c>
      <c r="D368" s="4" t="s">
        <v>361</v>
      </c>
      <c r="E368" s="11">
        <v>3065</v>
      </c>
      <c r="F368" s="11">
        <v>3065</v>
      </c>
      <c r="G368" s="13">
        <f t="shared" si="90"/>
        <v>0</v>
      </c>
      <c r="H368" s="7">
        <f t="shared" si="91"/>
        <v>0</v>
      </c>
      <c r="I368" s="8">
        <v>19.904756025519848</v>
      </c>
      <c r="J368" s="9">
        <f t="shared" si="92"/>
        <v>19.904756025519848</v>
      </c>
      <c r="K368" s="3">
        <f t="shared" si="93"/>
        <v>0</v>
      </c>
      <c r="L368" s="7">
        <f t="shared" si="94"/>
        <v>0</v>
      </c>
      <c r="M368" t="s">
        <v>7</v>
      </c>
      <c r="O368" s="3">
        <f>E368-'315805 - P0824'!F368</f>
        <v>0</v>
      </c>
      <c r="P368" s="30">
        <f>I368-'315805 - P0824'!J368</f>
        <v>0</v>
      </c>
    </row>
    <row r="369" spans="1:16" x14ac:dyDescent="0.25">
      <c r="A369">
        <v>367</v>
      </c>
      <c r="B369" t="s">
        <v>445</v>
      </c>
      <c r="C369" s="28" t="s">
        <v>351</v>
      </c>
      <c r="D369" s="4" t="s">
        <v>362</v>
      </c>
      <c r="E369" s="11">
        <v>3065</v>
      </c>
      <c r="F369" s="11">
        <v>3065</v>
      </c>
      <c r="G369" s="13">
        <f t="shared" si="90"/>
        <v>0</v>
      </c>
      <c r="H369" s="7">
        <f t="shared" si="91"/>
        <v>0</v>
      </c>
      <c r="I369" s="8">
        <v>23.00692071335494</v>
      </c>
      <c r="J369" s="9">
        <f t="shared" si="92"/>
        <v>23.00692071335494</v>
      </c>
      <c r="K369" s="3">
        <f t="shared" si="93"/>
        <v>0</v>
      </c>
      <c r="L369" s="7">
        <f t="shared" si="94"/>
        <v>0</v>
      </c>
      <c r="M369" t="s">
        <v>7</v>
      </c>
      <c r="O369" s="3">
        <f>E369-'315805 - P0824'!F369</f>
        <v>0</v>
      </c>
      <c r="P369" s="30">
        <f>I369-'315805 - P0824'!J369</f>
        <v>0</v>
      </c>
    </row>
    <row r="370" spans="1:16" x14ac:dyDescent="0.25">
      <c r="A370">
        <v>368</v>
      </c>
      <c r="B370" t="s">
        <v>478</v>
      </c>
      <c r="C370" s="28" t="s">
        <v>351</v>
      </c>
      <c r="D370" s="4" t="s">
        <v>363</v>
      </c>
      <c r="E370" s="11">
        <v>3135</v>
      </c>
      <c r="F370" s="11">
        <v>3135</v>
      </c>
      <c r="G370" s="13">
        <f t="shared" si="90"/>
        <v>0</v>
      </c>
      <c r="H370" s="7">
        <f t="shared" si="91"/>
        <v>0</v>
      </c>
      <c r="I370" s="8">
        <v>26.876311326468805</v>
      </c>
      <c r="J370" s="9">
        <f t="shared" si="92"/>
        <v>26.876311326468805</v>
      </c>
      <c r="K370" s="3">
        <f t="shared" si="93"/>
        <v>0</v>
      </c>
      <c r="L370" s="7">
        <f t="shared" si="94"/>
        <v>0</v>
      </c>
      <c r="M370" t="s">
        <v>7</v>
      </c>
      <c r="O370" s="3">
        <f>E370-'315805 - P0824'!F370</f>
        <v>0</v>
      </c>
      <c r="P370" s="30">
        <f>I370-'315805 - P0824'!J370</f>
        <v>0</v>
      </c>
    </row>
    <row r="371" spans="1:16" x14ac:dyDescent="0.25">
      <c r="A371">
        <v>369</v>
      </c>
      <c r="B371" t="s">
        <v>481</v>
      </c>
      <c r="C371" s="28" t="s">
        <v>351</v>
      </c>
      <c r="D371" s="4" t="s">
        <v>364</v>
      </c>
      <c r="E371" s="11">
        <v>2931</v>
      </c>
      <c r="F371" s="11">
        <v>2931</v>
      </c>
      <c r="G371" s="13">
        <f t="shared" si="90"/>
        <v>0</v>
      </c>
      <c r="H371" s="7">
        <f t="shared" si="91"/>
        <v>0</v>
      </c>
      <c r="I371" s="8">
        <v>5.5842827924987404</v>
      </c>
      <c r="J371" s="9">
        <f t="shared" si="92"/>
        <v>5.5842827924987404</v>
      </c>
      <c r="K371" s="3">
        <f t="shared" si="93"/>
        <v>0</v>
      </c>
      <c r="L371" s="7">
        <f t="shared" si="94"/>
        <v>0</v>
      </c>
      <c r="M371" t="s">
        <v>7</v>
      </c>
      <c r="O371" s="3">
        <f>E371-'315805 - P0824'!F371</f>
        <v>0</v>
      </c>
      <c r="P371" s="30">
        <f>I371-'315805 - P0824'!J371</f>
        <v>0</v>
      </c>
    </row>
    <row r="372" spans="1:16" x14ac:dyDescent="0.25">
      <c r="A372">
        <v>370</v>
      </c>
      <c r="B372" t="s">
        <v>479</v>
      </c>
      <c r="C372" t="s">
        <v>365</v>
      </c>
      <c r="D372" s="4" t="s">
        <v>366</v>
      </c>
      <c r="E372" s="11">
        <v>3205</v>
      </c>
      <c r="F372" s="11">
        <v>3205</v>
      </c>
      <c r="G372" s="13">
        <f t="shared" si="90"/>
        <v>0</v>
      </c>
      <c r="H372" s="7">
        <f t="shared" si="91"/>
        <v>0</v>
      </c>
      <c r="I372" s="8">
        <v>12.576720322698609</v>
      </c>
      <c r="J372" s="9">
        <f t="shared" si="92"/>
        <v>12.576720322698609</v>
      </c>
      <c r="K372" s="3">
        <f t="shared" si="93"/>
        <v>0</v>
      </c>
      <c r="L372" s="7">
        <f t="shared" si="94"/>
        <v>0</v>
      </c>
      <c r="M372" t="s">
        <v>7</v>
      </c>
      <c r="O372" s="3">
        <f>E372-'315805 - P0824'!F372</f>
        <v>0</v>
      </c>
      <c r="P372" s="30">
        <f>I372-'315805 - P0824'!J372</f>
        <v>0</v>
      </c>
    </row>
    <row r="373" spans="1:16" x14ac:dyDescent="0.25">
      <c r="A373">
        <v>371</v>
      </c>
      <c r="B373" t="s">
        <v>470</v>
      </c>
      <c r="C373" t="s">
        <v>365</v>
      </c>
      <c r="D373" s="4" t="s">
        <v>367</v>
      </c>
      <c r="E373" s="11">
        <v>2952</v>
      </c>
      <c r="F373" s="11">
        <v>2952</v>
      </c>
      <c r="G373" s="13">
        <f t="shared" si="90"/>
        <v>0</v>
      </c>
      <c r="H373" s="7">
        <f t="shared" si="91"/>
        <v>0</v>
      </c>
      <c r="I373" s="8">
        <v>24.324911704207679</v>
      </c>
      <c r="J373" s="9">
        <f t="shared" si="92"/>
        <v>24.324911704207679</v>
      </c>
      <c r="K373" s="3">
        <f t="shared" si="93"/>
        <v>0</v>
      </c>
      <c r="L373" s="7">
        <f t="shared" si="94"/>
        <v>0</v>
      </c>
      <c r="M373" t="s">
        <v>7</v>
      </c>
      <c r="O373" s="3">
        <f>E373-'315805 - P0824'!F373</f>
        <v>0</v>
      </c>
      <c r="P373" s="30">
        <f>I373-'315805 - P0824'!J373</f>
        <v>0</v>
      </c>
    </row>
    <row r="374" spans="1:16" x14ac:dyDescent="0.25">
      <c r="A374">
        <v>372</v>
      </c>
      <c r="B374" t="s">
        <v>303</v>
      </c>
      <c r="C374" t="s">
        <v>365</v>
      </c>
      <c r="D374" s="4" t="s">
        <v>368</v>
      </c>
      <c r="E374" s="11">
        <v>2702</v>
      </c>
      <c r="F374" s="11">
        <v>2702</v>
      </c>
      <c r="G374" s="13">
        <f t="shared" si="90"/>
        <v>0</v>
      </c>
      <c r="H374" s="7">
        <f t="shared" si="91"/>
        <v>0</v>
      </c>
      <c r="I374" s="8">
        <v>40.51093209547124</v>
      </c>
      <c r="J374" s="9">
        <f>(I374*H374)+I374</f>
        <v>40.51093209547124</v>
      </c>
      <c r="K374" s="3">
        <f t="shared" si="93"/>
        <v>0</v>
      </c>
      <c r="L374" s="7">
        <f t="shared" si="94"/>
        <v>0</v>
      </c>
      <c r="M374" t="s">
        <v>7</v>
      </c>
      <c r="O374" s="3">
        <f>E374-'315805 - P0824'!F374</f>
        <v>0</v>
      </c>
      <c r="P374" s="30">
        <f>I374-'315805 - P0824'!J374</f>
        <v>0</v>
      </c>
    </row>
    <row r="375" spans="1:16" x14ac:dyDescent="0.25">
      <c r="A375">
        <v>373</v>
      </c>
      <c r="B375" t="s">
        <v>290</v>
      </c>
      <c r="C375" t="s">
        <v>365</v>
      </c>
      <c r="D375" s="4" t="s">
        <v>369</v>
      </c>
      <c r="E375" s="11">
        <v>2702</v>
      </c>
      <c r="F375" s="11">
        <v>2702</v>
      </c>
      <c r="G375" s="13">
        <f t="shared" si="90"/>
        <v>0</v>
      </c>
      <c r="H375" s="7">
        <f t="shared" si="91"/>
        <v>0</v>
      </c>
      <c r="I375" s="8">
        <v>50.641879791355422</v>
      </c>
      <c r="J375" s="9">
        <f t="shared" si="92"/>
        <v>50.641879791355422</v>
      </c>
      <c r="K375" s="3">
        <f t="shared" si="93"/>
        <v>0</v>
      </c>
      <c r="L375" s="7">
        <f t="shared" si="94"/>
        <v>0</v>
      </c>
      <c r="M375" t="s">
        <v>7</v>
      </c>
      <c r="O375" s="3">
        <f>E375-'315805 - P0824'!F375</f>
        <v>0</v>
      </c>
      <c r="P375" s="30">
        <f>I375-'315805 - P0824'!J375</f>
        <v>0</v>
      </c>
    </row>
    <row r="376" spans="1:16" x14ac:dyDescent="0.25">
      <c r="A376">
        <v>374</v>
      </c>
      <c r="B376" t="s">
        <v>470</v>
      </c>
      <c r="C376" t="s">
        <v>365</v>
      </c>
      <c r="D376" s="4" t="s">
        <v>370</v>
      </c>
      <c r="E376" s="11">
        <v>2702</v>
      </c>
      <c r="F376" s="11">
        <v>2702</v>
      </c>
      <c r="G376" s="13">
        <f t="shared" si="90"/>
        <v>0</v>
      </c>
      <c r="H376" s="7">
        <f t="shared" si="91"/>
        <v>0</v>
      </c>
      <c r="I376" s="8">
        <v>60.769079441442358</v>
      </c>
      <c r="J376" s="9">
        <f t="shared" si="92"/>
        <v>60.769079441442358</v>
      </c>
      <c r="K376" s="3">
        <f t="shared" si="93"/>
        <v>0</v>
      </c>
      <c r="L376" s="7">
        <f t="shared" si="94"/>
        <v>0</v>
      </c>
      <c r="M376" t="s">
        <v>7</v>
      </c>
      <c r="O376" s="3">
        <f>E376-'315805 - P0824'!F376</f>
        <v>0</v>
      </c>
      <c r="P376" s="30">
        <f>I376-'315805 - P0824'!J376</f>
        <v>0</v>
      </c>
    </row>
    <row r="377" spans="1:16" x14ac:dyDescent="0.25">
      <c r="A377">
        <v>375</v>
      </c>
      <c r="B377" t="s">
        <v>479</v>
      </c>
      <c r="C377" t="s">
        <v>365</v>
      </c>
      <c r="D377" s="4" t="s">
        <v>371</v>
      </c>
      <c r="E377" s="11">
        <v>3868</v>
      </c>
      <c r="F377" s="11">
        <v>3868</v>
      </c>
      <c r="G377" s="13">
        <f t="shared" si="90"/>
        <v>0</v>
      </c>
      <c r="H377" s="7">
        <f t="shared" si="91"/>
        <v>0</v>
      </c>
      <c r="I377" s="8">
        <v>63.401973632327376</v>
      </c>
      <c r="J377" s="9">
        <f t="shared" si="92"/>
        <v>63.401973632327376</v>
      </c>
      <c r="K377" s="3">
        <f t="shared" si="93"/>
        <v>0</v>
      </c>
      <c r="L377" s="7">
        <f t="shared" si="94"/>
        <v>0</v>
      </c>
      <c r="M377" t="s">
        <v>7</v>
      </c>
      <c r="O377" s="3">
        <f>E377-'315805 - P0824'!F377</f>
        <v>0</v>
      </c>
      <c r="P377" s="30">
        <f>I377-'315805 - P0824'!J377</f>
        <v>0</v>
      </c>
    </row>
    <row r="378" spans="1:16" x14ac:dyDescent="0.25">
      <c r="A378">
        <v>376</v>
      </c>
      <c r="B378" t="s">
        <v>479</v>
      </c>
      <c r="C378" t="s">
        <v>365</v>
      </c>
      <c r="D378" s="4" t="s">
        <v>372</v>
      </c>
      <c r="E378" s="11">
        <v>3928</v>
      </c>
      <c r="F378" s="11">
        <v>3928</v>
      </c>
      <c r="G378" s="13">
        <f t="shared" si="90"/>
        <v>0</v>
      </c>
      <c r="H378" s="7">
        <f t="shared" si="91"/>
        <v>0</v>
      </c>
      <c r="I378" s="8">
        <v>80.721941958125299</v>
      </c>
      <c r="J378" s="9">
        <f t="shared" si="92"/>
        <v>80.721941958125299</v>
      </c>
      <c r="K378" s="3">
        <f t="shared" si="93"/>
        <v>0</v>
      </c>
      <c r="L378" s="7">
        <f t="shared" si="94"/>
        <v>0</v>
      </c>
      <c r="M378" t="s">
        <v>7</v>
      </c>
      <c r="O378" s="3">
        <f>E378-'315805 - P0824'!F378</f>
        <v>0</v>
      </c>
      <c r="P378" s="30">
        <f>I378-'315805 - P0824'!J378</f>
        <v>0</v>
      </c>
    </row>
    <row r="379" spans="1:16" x14ac:dyDescent="0.25">
      <c r="A379">
        <v>377</v>
      </c>
      <c r="B379" t="s">
        <v>473</v>
      </c>
      <c r="C379" t="s">
        <v>365</v>
      </c>
      <c r="D379" s="4" t="s">
        <v>373</v>
      </c>
      <c r="E379" s="11">
        <v>3928</v>
      </c>
      <c r="F379" s="11">
        <v>3928</v>
      </c>
      <c r="G379" s="13">
        <f t="shared" si="90"/>
        <v>0</v>
      </c>
      <c r="H379" s="7">
        <f t="shared" si="91"/>
        <v>0</v>
      </c>
      <c r="I379" s="8">
        <v>100.90409723646053</v>
      </c>
      <c r="J379" s="9">
        <f t="shared" si="92"/>
        <v>100.90409723646053</v>
      </c>
      <c r="K379" s="3">
        <f t="shared" si="93"/>
        <v>0</v>
      </c>
      <c r="L379" s="7">
        <f t="shared" si="94"/>
        <v>0</v>
      </c>
      <c r="M379" t="s">
        <v>7</v>
      </c>
      <c r="O379" s="3">
        <f>E379-'315805 - P0824'!F379</f>
        <v>0</v>
      </c>
      <c r="P379" s="30">
        <f>I379-'315805 - P0824'!J379</f>
        <v>0</v>
      </c>
    </row>
    <row r="380" spans="1:16" x14ac:dyDescent="0.25">
      <c r="A380">
        <v>378</v>
      </c>
      <c r="B380" t="s">
        <v>470</v>
      </c>
      <c r="C380" t="s">
        <v>365</v>
      </c>
      <c r="D380" s="4" t="s">
        <v>374</v>
      </c>
      <c r="E380" s="11">
        <v>3928</v>
      </c>
      <c r="F380" s="11">
        <v>3928</v>
      </c>
      <c r="G380" s="13">
        <f t="shared" si="90"/>
        <v>0</v>
      </c>
      <c r="H380" s="7">
        <f t="shared" si="91"/>
        <v>0</v>
      </c>
      <c r="I380" s="8">
        <v>121.08871182445142</v>
      </c>
      <c r="J380" s="9">
        <f t="shared" si="92"/>
        <v>121.08871182445142</v>
      </c>
      <c r="K380" s="3">
        <f t="shared" si="93"/>
        <v>0</v>
      </c>
      <c r="L380" s="7">
        <f t="shared" si="94"/>
        <v>0</v>
      </c>
      <c r="M380" t="s">
        <v>7</v>
      </c>
      <c r="O380" s="3">
        <f>E380-'315805 - P0824'!F380</f>
        <v>0</v>
      </c>
      <c r="P380" s="30">
        <f>I380-'315805 - P0824'!J380</f>
        <v>0</v>
      </c>
    </row>
    <row r="381" spans="1:16" x14ac:dyDescent="0.25">
      <c r="A381">
        <v>379</v>
      </c>
      <c r="B381" t="s">
        <v>470</v>
      </c>
      <c r="C381" t="s">
        <v>365</v>
      </c>
      <c r="D381" s="4" t="s">
        <v>375</v>
      </c>
      <c r="E381" s="11">
        <v>3700</v>
      </c>
      <c r="F381" s="11">
        <v>3700</v>
      </c>
      <c r="G381" s="13">
        <f t="shared" si="90"/>
        <v>0</v>
      </c>
      <c r="H381" s="7">
        <f t="shared" si="91"/>
        <v>0</v>
      </c>
      <c r="I381" s="8">
        <v>119.12776534176258</v>
      </c>
      <c r="J381" s="9">
        <f t="shared" si="92"/>
        <v>119.12776534176258</v>
      </c>
      <c r="K381" s="3">
        <f t="shared" si="93"/>
        <v>0</v>
      </c>
      <c r="L381" s="7">
        <f t="shared" si="94"/>
        <v>0</v>
      </c>
      <c r="M381" t="s">
        <v>7</v>
      </c>
      <c r="O381" s="3">
        <f>E381-'315805 - P0824'!F381</f>
        <v>0</v>
      </c>
      <c r="P381" s="30">
        <f>I381-'315805 - P0824'!J381</f>
        <v>0</v>
      </c>
    </row>
    <row r="382" spans="1:16" x14ac:dyDescent="0.25">
      <c r="A382">
        <v>380</v>
      </c>
      <c r="B382" t="s">
        <v>290</v>
      </c>
      <c r="C382" t="s">
        <v>365</v>
      </c>
      <c r="D382" s="4" t="s">
        <v>376</v>
      </c>
      <c r="E382" s="11">
        <v>3700</v>
      </c>
      <c r="F382" s="11">
        <v>3700</v>
      </c>
      <c r="G382" s="13">
        <f t="shared" si="90"/>
        <v>0</v>
      </c>
      <c r="H382" s="7">
        <f t="shared" si="91"/>
        <v>0</v>
      </c>
      <c r="I382" s="8">
        <v>208.45869530604656</v>
      </c>
      <c r="J382" s="9">
        <f t="shared" si="92"/>
        <v>208.45869530604656</v>
      </c>
      <c r="K382" s="3">
        <f t="shared" si="93"/>
        <v>0</v>
      </c>
      <c r="L382" s="7">
        <f t="shared" si="94"/>
        <v>0</v>
      </c>
      <c r="M382" t="s">
        <v>7</v>
      </c>
      <c r="O382" s="3">
        <f>E382-'315805 - P0824'!F382</f>
        <v>0</v>
      </c>
      <c r="P382" s="30">
        <f>I382-'315805 - P0824'!J382</f>
        <v>0</v>
      </c>
    </row>
    <row r="383" spans="1:16" x14ac:dyDescent="0.25">
      <c r="A383">
        <v>381</v>
      </c>
      <c r="B383" t="s">
        <v>303</v>
      </c>
      <c r="C383" t="s">
        <v>365</v>
      </c>
      <c r="D383" s="4" t="s">
        <v>377</v>
      </c>
      <c r="E383" s="11">
        <v>5269</v>
      </c>
      <c r="F383" s="11">
        <v>5269</v>
      </c>
      <c r="G383" s="13">
        <f t="shared" si="90"/>
        <v>0</v>
      </c>
      <c r="H383" s="7">
        <f t="shared" si="91"/>
        <v>0</v>
      </c>
      <c r="I383" s="8">
        <v>195.32781627941307</v>
      </c>
      <c r="J383" s="9">
        <f t="shared" si="92"/>
        <v>195.32781627941307</v>
      </c>
      <c r="K383" s="3">
        <f t="shared" si="93"/>
        <v>0</v>
      </c>
      <c r="L383" s="7">
        <f t="shared" si="94"/>
        <v>0</v>
      </c>
      <c r="M383" t="s">
        <v>7</v>
      </c>
      <c r="O383" s="3">
        <f>E383-'315805 - P0824'!F383</f>
        <v>0</v>
      </c>
      <c r="P383" s="30">
        <f>I383-'315805 - P0824'!J383</f>
        <v>0</v>
      </c>
    </row>
    <row r="384" spans="1:16" x14ac:dyDescent="0.25">
      <c r="A384">
        <v>382</v>
      </c>
      <c r="B384" t="s">
        <v>303</v>
      </c>
      <c r="C384" t="s">
        <v>365</v>
      </c>
      <c r="D384" s="4" t="s">
        <v>378</v>
      </c>
      <c r="E384" s="11">
        <v>5395</v>
      </c>
      <c r="F384" s="11">
        <v>5395</v>
      </c>
      <c r="G384" s="13">
        <f t="shared" si="90"/>
        <v>0</v>
      </c>
      <c r="H384" s="7">
        <f t="shared" si="91"/>
        <v>0</v>
      </c>
      <c r="I384" s="8">
        <v>519.78770475648537</v>
      </c>
      <c r="J384" s="9">
        <f t="shared" si="92"/>
        <v>519.78770475648537</v>
      </c>
      <c r="K384" s="3">
        <f t="shared" si="93"/>
        <v>0</v>
      </c>
      <c r="L384" s="7">
        <f t="shared" si="94"/>
        <v>0</v>
      </c>
      <c r="M384" t="s">
        <v>7</v>
      </c>
      <c r="O384" s="3">
        <f>E384-'315805 - P0824'!F384</f>
        <v>0</v>
      </c>
      <c r="P384" s="30">
        <f>I384-'315805 - P0824'!J384</f>
        <v>0</v>
      </c>
    </row>
    <row r="385" spans="1:16" x14ac:dyDescent="0.25">
      <c r="A385">
        <v>383</v>
      </c>
      <c r="B385" t="s">
        <v>290</v>
      </c>
      <c r="C385" t="s">
        <v>365</v>
      </c>
      <c r="D385" s="4" t="s">
        <v>379</v>
      </c>
      <c r="E385" s="11">
        <v>5200</v>
      </c>
      <c r="F385" s="11">
        <v>5200</v>
      </c>
      <c r="G385" s="13">
        <f t="shared" si="90"/>
        <v>0</v>
      </c>
      <c r="H385" s="7">
        <f t="shared" si="91"/>
        <v>0</v>
      </c>
      <c r="I385" s="8">
        <v>341.80468131321027</v>
      </c>
      <c r="J385" s="9">
        <f t="shared" si="92"/>
        <v>341.80468131321027</v>
      </c>
      <c r="K385" s="3">
        <f t="shared" si="93"/>
        <v>0</v>
      </c>
      <c r="L385" s="7">
        <f t="shared" si="94"/>
        <v>0</v>
      </c>
      <c r="M385" t="s">
        <v>7</v>
      </c>
      <c r="O385" s="3">
        <f>E385-'315805 - P0824'!F385</f>
        <v>0</v>
      </c>
      <c r="P385" s="30">
        <f>I385-'315805 - P0824'!J385</f>
        <v>0</v>
      </c>
    </row>
    <row r="386" spans="1:16" x14ac:dyDescent="0.25">
      <c r="A386">
        <v>384</v>
      </c>
      <c r="B386" t="s">
        <v>485</v>
      </c>
      <c r="C386" t="s">
        <v>343</v>
      </c>
      <c r="D386" s="4" t="s">
        <v>380</v>
      </c>
      <c r="E386" s="12">
        <v>9.0500000000000007</v>
      </c>
      <c r="F386" s="12">
        <v>9.0500000000000007</v>
      </c>
      <c r="G386" s="13">
        <f t="shared" si="90"/>
        <v>0</v>
      </c>
      <c r="H386" s="7">
        <f t="shared" si="91"/>
        <v>0</v>
      </c>
      <c r="I386" s="8">
        <v>9.4511903255813987</v>
      </c>
      <c r="J386" s="9">
        <f t="shared" si="92"/>
        <v>9.4511903255813987</v>
      </c>
      <c r="K386" s="3">
        <f t="shared" si="93"/>
        <v>0</v>
      </c>
      <c r="L386" s="7">
        <f t="shared" si="94"/>
        <v>0</v>
      </c>
      <c r="M386" t="s">
        <v>121</v>
      </c>
      <c r="O386" s="3">
        <f>E386-'315805 - P0824'!F386</f>
        <v>0</v>
      </c>
      <c r="P386" s="30">
        <f>I386-'315805 - P0824'!J386</f>
        <v>0</v>
      </c>
    </row>
    <row r="387" spans="1:16" x14ac:dyDescent="0.25">
      <c r="A387">
        <v>385</v>
      </c>
      <c r="B387" t="s">
        <v>290</v>
      </c>
      <c r="C387" t="s">
        <v>343</v>
      </c>
      <c r="D387" s="4" t="s">
        <v>381</v>
      </c>
      <c r="E387" s="12">
        <v>17.38</v>
      </c>
      <c r="F387" s="12">
        <v>17.38</v>
      </c>
      <c r="G387" s="13">
        <f t="shared" si="90"/>
        <v>0</v>
      </c>
      <c r="H387" s="7">
        <f t="shared" si="91"/>
        <v>0</v>
      </c>
      <c r="I387" s="8">
        <v>18.138687748031494</v>
      </c>
      <c r="J387" s="9">
        <f t="shared" si="92"/>
        <v>18.138687748031494</v>
      </c>
      <c r="K387" s="3">
        <f t="shared" si="93"/>
        <v>0</v>
      </c>
      <c r="L387" s="7">
        <f t="shared" si="94"/>
        <v>0</v>
      </c>
      <c r="M387" t="s">
        <v>121</v>
      </c>
      <c r="O387" s="3">
        <f>E387-'315805 - P0824'!F387</f>
        <v>0</v>
      </c>
      <c r="P387" s="30">
        <f>I387-'315805 - P0824'!J387</f>
        <v>0</v>
      </c>
    </row>
    <row r="388" spans="1:16" x14ac:dyDescent="0.25">
      <c r="A388">
        <v>386</v>
      </c>
      <c r="B388" t="s">
        <v>481</v>
      </c>
      <c r="C388" s="28" t="s">
        <v>382</v>
      </c>
      <c r="D388" s="4" t="s">
        <v>383</v>
      </c>
      <c r="E388" s="14">
        <v>112.02</v>
      </c>
      <c r="F388" s="14">
        <v>112.02</v>
      </c>
      <c r="G388" s="6">
        <f t="shared" si="90"/>
        <v>0</v>
      </c>
      <c r="H388" s="7">
        <f t="shared" si="91"/>
        <v>0</v>
      </c>
      <c r="I388" s="8">
        <v>334.74445542845763</v>
      </c>
      <c r="J388" s="9">
        <f t="shared" si="92"/>
        <v>334.74445542845763</v>
      </c>
      <c r="K388" s="3">
        <f t="shared" si="93"/>
        <v>0</v>
      </c>
      <c r="L388" s="7">
        <f t="shared" si="94"/>
        <v>0</v>
      </c>
      <c r="M388" t="s">
        <v>121</v>
      </c>
      <c r="O388" s="3">
        <f>E388-'315805 - P0824'!F388</f>
        <v>0</v>
      </c>
      <c r="P388" s="30">
        <f>I388-'315805 - P0824'!J388</f>
        <v>0</v>
      </c>
    </row>
    <row r="389" spans="1:16" x14ac:dyDescent="0.25">
      <c r="A389">
        <v>387</v>
      </c>
      <c r="B389" t="s">
        <v>482</v>
      </c>
      <c r="C389" s="28" t="s">
        <v>343</v>
      </c>
      <c r="D389" s="4" t="s">
        <v>384</v>
      </c>
      <c r="E389" s="11">
        <v>35.4</v>
      </c>
      <c r="F389" s="11">
        <v>35.4</v>
      </c>
      <c r="G389" s="6">
        <f t="shared" si="90"/>
        <v>0</v>
      </c>
      <c r="H389" s="7">
        <f t="shared" si="91"/>
        <v>0</v>
      </c>
      <c r="I389" s="8">
        <v>53.73333333333332</v>
      </c>
      <c r="J389" s="9">
        <f t="shared" si="92"/>
        <v>53.73333333333332</v>
      </c>
      <c r="K389" s="3">
        <f t="shared" si="93"/>
        <v>0</v>
      </c>
      <c r="L389" s="7">
        <f t="shared" si="94"/>
        <v>0</v>
      </c>
      <c r="M389" t="s">
        <v>150</v>
      </c>
      <c r="O389" s="3">
        <f>E389-'315805 - P0824'!F389</f>
        <v>0</v>
      </c>
      <c r="P389" s="30">
        <f>I389-'315805 - P0824'!J389</f>
        <v>0</v>
      </c>
    </row>
    <row r="390" spans="1:16" x14ac:dyDescent="0.25">
      <c r="A390">
        <v>388</v>
      </c>
      <c r="B390" t="s">
        <v>476</v>
      </c>
      <c r="C390" s="28" t="s">
        <v>385</v>
      </c>
      <c r="D390" s="4" t="s">
        <v>386</v>
      </c>
      <c r="E390" s="11">
        <v>70.2</v>
      </c>
      <c r="F390" s="11">
        <v>70.2</v>
      </c>
      <c r="G390" s="6">
        <f t="shared" si="90"/>
        <v>0</v>
      </c>
      <c r="H390" s="7">
        <f t="shared" si="91"/>
        <v>0</v>
      </c>
      <c r="I390" s="8">
        <v>114.84819573542534</v>
      </c>
      <c r="J390" s="9">
        <f t="shared" si="92"/>
        <v>114.84819573542534</v>
      </c>
      <c r="K390" s="3">
        <f t="shared" si="93"/>
        <v>0</v>
      </c>
      <c r="L390" s="7">
        <f t="shared" si="94"/>
        <v>0</v>
      </c>
      <c r="M390" t="s">
        <v>150</v>
      </c>
      <c r="O390" s="3">
        <f>E390-'315805 - P0824'!F390</f>
        <v>0</v>
      </c>
      <c r="P390" s="30">
        <f>I390-'315805 - P0824'!J390</f>
        <v>0</v>
      </c>
    </row>
    <row r="391" spans="1:16" x14ac:dyDescent="0.25">
      <c r="A391">
        <v>389</v>
      </c>
      <c r="B391" t="s">
        <v>445</v>
      </c>
      <c r="C391" s="28" t="s">
        <v>351</v>
      </c>
      <c r="D391" s="4" t="s">
        <v>500</v>
      </c>
      <c r="E391" s="11">
        <v>208</v>
      </c>
      <c r="F391" s="11">
        <v>208</v>
      </c>
      <c r="G391" s="6">
        <f t="shared" si="90"/>
        <v>0</v>
      </c>
      <c r="H391" s="7">
        <f t="shared" si="91"/>
        <v>0</v>
      </c>
      <c r="I391" s="8">
        <v>297.15636363636361</v>
      </c>
      <c r="J391" s="9">
        <f t="shared" si="92"/>
        <v>297.15636363636361</v>
      </c>
      <c r="K391" s="3">
        <f t="shared" si="93"/>
        <v>0</v>
      </c>
      <c r="L391" s="7">
        <f t="shared" si="94"/>
        <v>0</v>
      </c>
      <c r="M391" t="s">
        <v>150</v>
      </c>
      <c r="O391" s="3">
        <f>E391-'315805 - P0824'!F391</f>
        <v>0</v>
      </c>
      <c r="P391" s="30">
        <f>I391-'315805 - P0824'!J391</f>
        <v>0</v>
      </c>
    </row>
    <row r="392" spans="1:16" x14ac:dyDescent="0.25">
      <c r="A392">
        <v>390</v>
      </c>
      <c r="B392" t="s">
        <v>387</v>
      </c>
      <c r="C392" s="28" t="s">
        <v>351</v>
      </c>
      <c r="D392" s="4" t="s">
        <v>388</v>
      </c>
      <c r="E392" s="12">
        <v>13.11</v>
      </c>
      <c r="F392" s="12">
        <v>13.11</v>
      </c>
      <c r="G392" s="6">
        <f t="shared" si="90"/>
        <v>0</v>
      </c>
      <c r="H392" s="7">
        <f t="shared" si="91"/>
        <v>0</v>
      </c>
      <c r="I392" s="8">
        <v>15.06</v>
      </c>
      <c r="J392" s="9">
        <f t="shared" si="92"/>
        <v>15.06</v>
      </c>
      <c r="K392" s="3">
        <f t="shared" si="93"/>
        <v>0</v>
      </c>
      <c r="L392" s="7">
        <f t="shared" si="94"/>
        <v>0</v>
      </c>
      <c r="M392" t="s">
        <v>150</v>
      </c>
      <c r="O392" s="3">
        <f>E392-'315805 - P0824'!F392</f>
        <v>0</v>
      </c>
      <c r="P392" s="30">
        <f>I392-'315805 - P0824'!J392</f>
        <v>0</v>
      </c>
    </row>
    <row r="393" spans="1:16" x14ac:dyDescent="0.25">
      <c r="A393">
        <v>391</v>
      </c>
      <c r="B393" t="s">
        <v>387</v>
      </c>
      <c r="C393" s="28" t="s">
        <v>351</v>
      </c>
      <c r="D393" s="4" t="s">
        <v>389</v>
      </c>
      <c r="E393" s="12">
        <v>27.99</v>
      </c>
      <c r="F393" s="12">
        <v>27.99</v>
      </c>
      <c r="G393" s="6">
        <f t="shared" si="90"/>
        <v>0</v>
      </c>
      <c r="H393" s="7">
        <f t="shared" si="91"/>
        <v>0</v>
      </c>
      <c r="I393" s="8">
        <v>32.15</v>
      </c>
      <c r="J393" s="9">
        <f t="shared" si="92"/>
        <v>32.15</v>
      </c>
      <c r="K393" s="3">
        <f t="shared" si="93"/>
        <v>0</v>
      </c>
      <c r="L393" s="7">
        <f t="shared" si="94"/>
        <v>0</v>
      </c>
      <c r="M393" t="s">
        <v>150</v>
      </c>
      <c r="O393" s="3">
        <f>E393-'315805 - P0824'!F393</f>
        <v>0</v>
      </c>
      <c r="P393" s="30">
        <f>I393-'315805 - P0824'!J393</f>
        <v>0</v>
      </c>
    </row>
    <row r="394" spans="1:16" x14ac:dyDescent="0.25">
      <c r="A394">
        <v>392</v>
      </c>
      <c r="B394" t="s">
        <v>387</v>
      </c>
      <c r="C394" s="28" t="s">
        <v>351</v>
      </c>
      <c r="D394" s="4" t="s">
        <v>390</v>
      </c>
      <c r="E394" s="12">
        <v>24.27</v>
      </c>
      <c r="F394" s="12">
        <v>24.27</v>
      </c>
      <c r="G394" s="6">
        <f t="shared" si="90"/>
        <v>0</v>
      </c>
      <c r="H394" s="7">
        <f t="shared" si="91"/>
        <v>0</v>
      </c>
      <c r="I394" s="8">
        <v>27.88</v>
      </c>
      <c r="J394" s="9">
        <f t="shared" si="92"/>
        <v>27.88</v>
      </c>
      <c r="K394" s="3">
        <f t="shared" si="93"/>
        <v>0</v>
      </c>
      <c r="L394" s="7">
        <f t="shared" si="94"/>
        <v>0</v>
      </c>
      <c r="M394" t="s">
        <v>150</v>
      </c>
      <c r="O394" s="3">
        <f>E394-'315805 - P0824'!F394</f>
        <v>0</v>
      </c>
      <c r="P394" s="30">
        <f>I394-'315805 - P0824'!J394</f>
        <v>0</v>
      </c>
    </row>
    <row r="395" spans="1:16" x14ac:dyDescent="0.25">
      <c r="A395">
        <v>393</v>
      </c>
      <c r="C395" s="28"/>
      <c r="D395" s="34" t="s">
        <v>391</v>
      </c>
      <c r="M395" t="s">
        <v>150</v>
      </c>
    </row>
    <row r="396" spans="1:16" x14ac:dyDescent="0.25">
      <c r="A396">
        <v>394</v>
      </c>
      <c r="B396" t="s">
        <v>322</v>
      </c>
      <c r="C396" s="28" t="s">
        <v>354</v>
      </c>
      <c r="D396" s="4" t="s">
        <v>392</v>
      </c>
      <c r="E396" s="12">
        <v>3.7791000000000001</v>
      </c>
      <c r="F396" s="12">
        <v>3.7791000000000001</v>
      </c>
      <c r="G396" s="6">
        <f t="shared" ref="G396:G413" si="95">+F396-E396</f>
        <v>0</v>
      </c>
      <c r="H396" s="7">
        <f t="shared" ref="H396:H413" si="96">(F396-E396)/ABS(E396)</f>
        <v>0</v>
      </c>
      <c r="I396" s="8">
        <v>7.5582000000000003</v>
      </c>
      <c r="J396" s="9">
        <f t="shared" ref="J396:J413" si="97">(I396*H396)+I396</f>
        <v>7.5582000000000003</v>
      </c>
      <c r="K396" s="3">
        <f t="shared" ref="K396:K413" si="98">J396-I396</f>
        <v>0</v>
      </c>
      <c r="L396" s="7">
        <f t="shared" ref="L396:L413" si="99">(J396-I396)/ABS(I396)</f>
        <v>0</v>
      </c>
      <c r="M396" t="s">
        <v>150</v>
      </c>
      <c r="O396" s="3">
        <f>E396-'315805 - P0824'!F396</f>
        <v>0</v>
      </c>
      <c r="P396" s="30">
        <f>I396-'315805 - P0824'!J396</f>
        <v>0</v>
      </c>
    </row>
    <row r="397" spans="1:16" x14ac:dyDescent="0.25">
      <c r="A397">
        <v>395</v>
      </c>
      <c r="B397" t="s">
        <v>476</v>
      </c>
      <c r="C397" s="28" t="s">
        <v>354</v>
      </c>
      <c r="D397" s="4" t="s">
        <v>393</v>
      </c>
      <c r="E397" s="12">
        <v>1.81</v>
      </c>
      <c r="F397" s="12">
        <v>1.81</v>
      </c>
      <c r="G397" s="6">
        <f t="shared" si="95"/>
        <v>0</v>
      </c>
      <c r="H397" s="7">
        <f t="shared" si="96"/>
        <v>0</v>
      </c>
      <c r="I397" s="8">
        <v>3.62</v>
      </c>
      <c r="J397" s="9">
        <f t="shared" si="97"/>
        <v>3.62</v>
      </c>
      <c r="K397" s="3">
        <f t="shared" si="98"/>
        <v>0</v>
      </c>
      <c r="L397" s="7">
        <f t="shared" si="99"/>
        <v>0</v>
      </c>
      <c r="M397" t="s">
        <v>150</v>
      </c>
      <c r="O397" s="3">
        <f>E397-'315805 - P0824'!F397</f>
        <v>0</v>
      </c>
      <c r="P397" s="30">
        <f>I397-'315805 - P0824'!J397</f>
        <v>0</v>
      </c>
    </row>
    <row r="398" spans="1:16" x14ac:dyDescent="0.25">
      <c r="A398">
        <v>396</v>
      </c>
      <c r="B398" t="s">
        <v>480</v>
      </c>
      <c r="C398" s="28" t="s">
        <v>354</v>
      </c>
      <c r="D398" s="4" t="s">
        <v>394</v>
      </c>
      <c r="E398" s="12">
        <v>3.01</v>
      </c>
      <c r="F398" s="12">
        <v>3.01</v>
      </c>
      <c r="G398" s="6">
        <f t="shared" si="95"/>
        <v>0</v>
      </c>
      <c r="H398" s="7">
        <f t="shared" si="96"/>
        <v>0</v>
      </c>
      <c r="I398" s="8">
        <v>6.02</v>
      </c>
      <c r="J398" s="9">
        <f t="shared" si="97"/>
        <v>6.02</v>
      </c>
      <c r="K398" s="3">
        <f t="shared" si="98"/>
        <v>0</v>
      </c>
      <c r="L398" s="7">
        <f t="shared" si="99"/>
        <v>0</v>
      </c>
      <c r="M398" t="s">
        <v>150</v>
      </c>
      <c r="O398" s="3">
        <f>E398-'315805 - P0824'!F398</f>
        <v>0</v>
      </c>
      <c r="P398" s="30">
        <f>I398-'315805 - P0824'!J398</f>
        <v>0</v>
      </c>
    </row>
    <row r="399" spans="1:16" x14ac:dyDescent="0.25">
      <c r="A399">
        <v>397</v>
      </c>
      <c r="B399" t="s">
        <v>470</v>
      </c>
      <c r="C399" s="28" t="s">
        <v>354</v>
      </c>
      <c r="D399" s="4" t="s">
        <v>395</v>
      </c>
      <c r="E399" s="12">
        <v>27.08</v>
      </c>
      <c r="F399" s="12">
        <v>27.08</v>
      </c>
      <c r="G399" s="6">
        <f t="shared" si="95"/>
        <v>0</v>
      </c>
      <c r="H399" s="7">
        <f t="shared" si="96"/>
        <v>0</v>
      </c>
      <c r="I399" s="8">
        <v>54.16</v>
      </c>
      <c r="J399" s="9">
        <f t="shared" si="97"/>
        <v>54.16</v>
      </c>
      <c r="K399" s="3">
        <f t="shared" si="98"/>
        <v>0</v>
      </c>
      <c r="L399" s="7">
        <f t="shared" si="99"/>
        <v>0</v>
      </c>
      <c r="M399" t="s">
        <v>150</v>
      </c>
      <c r="O399" s="3">
        <f>E399-'315805 - P0824'!F399</f>
        <v>0</v>
      </c>
      <c r="P399" s="30">
        <f>I399-'315805 - P0824'!J399</f>
        <v>0</v>
      </c>
    </row>
    <row r="400" spans="1:16" x14ac:dyDescent="0.25">
      <c r="A400">
        <v>398</v>
      </c>
      <c r="B400" t="s">
        <v>303</v>
      </c>
      <c r="C400" s="28" t="s">
        <v>354</v>
      </c>
      <c r="D400" s="4" t="s">
        <v>396</v>
      </c>
      <c r="E400" s="12">
        <v>18.07</v>
      </c>
      <c r="F400" s="12">
        <v>18.07</v>
      </c>
      <c r="G400" s="6">
        <f t="shared" si="95"/>
        <v>0</v>
      </c>
      <c r="H400" s="7">
        <f t="shared" si="96"/>
        <v>0</v>
      </c>
      <c r="I400" s="8">
        <v>32.273257621040045</v>
      </c>
      <c r="J400" s="9">
        <f t="shared" si="97"/>
        <v>32.273257621040045</v>
      </c>
      <c r="K400" s="3">
        <f t="shared" si="98"/>
        <v>0</v>
      </c>
      <c r="L400" s="7">
        <f t="shared" si="99"/>
        <v>0</v>
      </c>
      <c r="M400" t="s">
        <v>150</v>
      </c>
      <c r="O400" s="3">
        <f>E400-'315805 - P0824'!F400</f>
        <v>0</v>
      </c>
      <c r="P400" s="30">
        <f>I400-'315805 - P0824'!J400</f>
        <v>0</v>
      </c>
    </row>
    <row r="401" spans="1:16" x14ac:dyDescent="0.25">
      <c r="A401">
        <v>399</v>
      </c>
      <c r="B401" t="s">
        <v>303</v>
      </c>
      <c r="C401" s="28" t="s">
        <v>354</v>
      </c>
      <c r="D401" s="4" t="s">
        <v>397</v>
      </c>
      <c r="E401" s="12">
        <v>11.92</v>
      </c>
      <c r="F401" s="12">
        <v>11.92</v>
      </c>
      <c r="G401" s="6">
        <f t="shared" si="95"/>
        <v>0</v>
      </c>
      <c r="H401" s="7">
        <f t="shared" si="96"/>
        <v>0</v>
      </c>
      <c r="I401" s="8">
        <v>23.863213242453746</v>
      </c>
      <c r="J401" s="9">
        <f t="shared" si="97"/>
        <v>23.863213242453746</v>
      </c>
      <c r="K401" s="3">
        <f t="shared" si="98"/>
        <v>0</v>
      </c>
      <c r="L401" s="7">
        <f t="shared" si="99"/>
        <v>0</v>
      </c>
      <c r="M401" t="s">
        <v>150</v>
      </c>
      <c r="O401" s="3">
        <f>E401-'315805 - P0824'!F401</f>
        <v>0</v>
      </c>
      <c r="P401" s="30">
        <f>I401-'315805 - P0824'!J401</f>
        <v>0</v>
      </c>
    </row>
    <row r="402" spans="1:16" x14ac:dyDescent="0.25">
      <c r="A402">
        <v>400</v>
      </c>
      <c r="B402" t="s">
        <v>303</v>
      </c>
      <c r="C402" s="28" t="s">
        <v>354</v>
      </c>
      <c r="D402" s="4" t="s">
        <v>398</v>
      </c>
      <c r="E402" s="12">
        <v>12.97</v>
      </c>
      <c r="F402" s="12">
        <v>12.97</v>
      </c>
      <c r="G402" s="6">
        <f t="shared" si="95"/>
        <v>0</v>
      </c>
      <c r="H402" s="7">
        <f t="shared" si="96"/>
        <v>0</v>
      </c>
      <c r="I402" s="8">
        <v>25.96322291853178</v>
      </c>
      <c r="J402" s="9">
        <f t="shared" si="97"/>
        <v>25.96322291853178</v>
      </c>
      <c r="K402" s="3">
        <f t="shared" si="98"/>
        <v>0</v>
      </c>
      <c r="L402" s="7">
        <f t="shared" si="99"/>
        <v>0</v>
      </c>
      <c r="M402" t="s">
        <v>150</v>
      </c>
      <c r="O402" s="3">
        <f>E402-'315805 - P0824'!F402</f>
        <v>0</v>
      </c>
      <c r="P402" s="30">
        <f>I402-'315805 - P0824'!J402</f>
        <v>0</v>
      </c>
    </row>
    <row r="403" spans="1:16" x14ac:dyDescent="0.25">
      <c r="A403">
        <v>401</v>
      </c>
      <c r="B403" t="s">
        <v>475</v>
      </c>
      <c r="C403" s="28" t="s">
        <v>354</v>
      </c>
      <c r="D403" s="4" t="s">
        <v>399</v>
      </c>
      <c r="E403" s="12">
        <v>51.3</v>
      </c>
      <c r="F403" s="12">
        <v>51.3</v>
      </c>
      <c r="G403" s="6">
        <f t="shared" si="95"/>
        <v>0</v>
      </c>
      <c r="H403" s="7">
        <f t="shared" si="96"/>
        <v>0</v>
      </c>
      <c r="I403" s="8">
        <v>102.6</v>
      </c>
      <c r="J403" s="9">
        <f t="shared" si="97"/>
        <v>102.6</v>
      </c>
      <c r="K403" s="3">
        <f t="shared" si="98"/>
        <v>0</v>
      </c>
      <c r="L403" s="7">
        <f t="shared" si="99"/>
        <v>0</v>
      </c>
      <c r="M403" t="s">
        <v>150</v>
      </c>
      <c r="O403" s="3">
        <f>E403-'315805 - P0824'!F403</f>
        <v>0</v>
      </c>
      <c r="P403" s="30">
        <f>I403-'315805 - P0824'!J403</f>
        <v>0</v>
      </c>
    </row>
    <row r="404" spans="1:16" x14ac:dyDescent="0.25">
      <c r="A404">
        <v>402</v>
      </c>
      <c r="B404" t="s">
        <v>479</v>
      </c>
      <c r="C404" s="28" t="s">
        <v>354</v>
      </c>
      <c r="D404" s="4" t="s">
        <v>400</v>
      </c>
      <c r="E404" s="12">
        <v>21.37</v>
      </c>
      <c r="F404" s="12">
        <v>21.37</v>
      </c>
      <c r="G404" s="6">
        <f t="shared" si="95"/>
        <v>0</v>
      </c>
      <c r="H404" s="7">
        <f t="shared" si="96"/>
        <v>0</v>
      </c>
      <c r="I404" s="8">
        <v>42.74</v>
      </c>
      <c r="J404" s="9">
        <f t="shared" si="97"/>
        <v>42.74</v>
      </c>
      <c r="K404" s="3">
        <f t="shared" si="98"/>
        <v>0</v>
      </c>
      <c r="L404" s="7">
        <f t="shared" si="99"/>
        <v>0</v>
      </c>
      <c r="M404" t="s">
        <v>150</v>
      </c>
      <c r="O404" s="3">
        <f>E404-'315805 - P0824'!F404</f>
        <v>0</v>
      </c>
      <c r="P404" s="30">
        <f>I404-'315805 - P0824'!J404</f>
        <v>0</v>
      </c>
    </row>
    <row r="405" spans="1:16" x14ac:dyDescent="0.25">
      <c r="A405">
        <v>403</v>
      </c>
      <c r="B405" t="s">
        <v>476</v>
      </c>
      <c r="C405" s="28" t="s">
        <v>354</v>
      </c>
      <c r="D405" s="4" t="s">
        <v>401</v>
      </c>
      <c r="E405" s="12">
        <v>37.51</v>
      </c>
      <c r="F405" s="12">
        <v>37.51</v>
      </c>
      <c r="G405" s="6">
        <f t="shared" si="95"/>
        <v>0</v>
      </c>
      <c r="H405" s="7">
        <f t="shared" si="96"/>
        <v>0</v>
      </c>
      <c r="I405" s="8">
        <v>75.02</v>
      </c>
      <c r="J405" s="9">
        <f t="shared" si="97"/>
        <v>75.02</v>
      </c>
      <c r="K405" s="3">
        <f t="shared" si="98"/>
        <v>0</v>
      </c>
      <c r="L405" s="7">
        <f t="shared" si="99"/>
        <v>0</v>
      </c>
      <c r="M405" t="s">
        <v>150</v>
      </c>
      <c r="O405" s="3">
        <f>E405-'315805 - P0824'!F405</f>
        <v>0</v>
      </c>
      <c r="P405" s="30">
        <f>I405-'315805 - P0824'!J405</f>
        <v>0</v>
      </c>
    </row>
    <row r="406" spans="1:16" x14ac:dyDescent="0.25">
      <c r="A406">
        <v>404</v>
      </c>
      <c r="B406" t="s">
        <v>476</v>
      </c>
      <c r="C406" s="28" t="s">
        <v>354</v>
      </c>
      <c r="D406" s="4" t="s">
        <v>402</v>
      </c>
      <c r="E406" s="12">
        <v>1.79</v>
      </c>
      <c r="F406" s="12">
        <v>1.79</v>
      </c>
      <c r="G406" s="6">
        <f t="shared" si="95"/>
        <v>0</v>
      </c>
      <c r="H406" s="7">
        <f t="shared" si="96"/>
        <v>0</v>
      </c>
      <c r="I406" s="8">
        <v>4</v>
      </c>
      <c r="J406" s="9">
        <f t="shared" si="97"/>
        <v>4</v>
      </c>
      <c r="K406" s="3">
        <f t="shared" si="98"/>
        <v>0</v>
      </c>
      <c r="L406" s="7">
        <f t="shared" si="99"/>
        <v>0</v>
      </c>
      <c r="M406" t="s">
        <v>150</v>
      </c>
      <c r="O406" s="3">
        <f>E406-'315805 - P0824'!F406</f>
        <v>0</v>
      </c>
      <c r="P406" s="30">
        <f>I406-'315805 - P0824'!J406</f>
        <v>0</v>
      </c>
    </row>
    <row r="407" spans="1:16" x14ac:dyDescent="0.25">
      <c r="A407">
        <v>405</v>
      </c>
      <c r="B407" t="s">
        <v>476</v>
      </c>
      <c r="C407" s="28" t="s">
        <v>354</v>
      </c>
      <c r="D407" s="4" t="s">
        <v>403</v>
      </c>
      <c r="E407" s="12">
        <v>2.4700000000000002</v>
      </c>
      <c r="F407" s="12">
        <v>2.4700000000000002</v>
      </c>
      <c r="G407" s="6">
        <f t="shared" si="95"/>
        <v>0</v>
      </c>
      <c r="H407" s="7">
        <f t="shared" si="96"/>
        <v>0</v>
      </c>
      <c r="I407" s="8">
        <v>5</v>
      </c>
      <c r="J407" s="9">
        <f t="shared" si="97"/>
        <v>5</v>
      </c>
      <c r="K407" s="3">
        <f t="shared" si="98"/>
        <v>0</v>
      </c>
      <c r="L407" s="7">
        <f t="shared" si="99"/>
        <v>0</v>
      </c>
      <c r="M407" t="s">
        <v>150</v>
      </c>
      <c r="O407" s="3">
        <f>E407-'315805 - P0824'!F407</f>
        <v>0</v>
      </c>
      <c r="P407" s="30">
        <f>I407-'315805 - P0824'!J407</f>
        <v>0</v>
      </c>
    </row>
    <row r="408" spans="1:16" x14ac:dyDescent="0.25">
      <c r="A408">
        <v>406</v>
      </c>
      <c r="B408" t="s">
        <v>474</v>
      </c>
      <c r="C408" s="28" t="s">
        <v>354</v>
      </c>
      <c r="D408" s="4" t="s">
        <v>404</v>
      </c>
      <c r="E408" s="12">
        <v>6.48</v>
      </c>
      <c r="F408" s="12">
        <v>6.48</v>
      </c>
      <c r="G408" s="6">
        <f t="shared" si="95"/>
        <v>0</v>
      </c>
      <c r="H408" s="7">
        <f t="shared" si="96"/>
        <v>0</v>
      </c>
      <c r="I408" s="8">
        <v>12.96</v>
      </c>
      <c r="J408" s="9">
        <f t="shared" si="97"/>
        <v>12.96</v>
      </c>
      <c r="K408" s="3">
        <f t="shared" si="98"/>
        <v>0</v>
      </c>
      <c r="L408" s="7">
        <f t="shared" si="99"/>
        <v>0</v>
      </c>
      <c r="M408" t="s">
        <v>150</v>
      </c>
      <c r="O408" s="3">
        <f>E408-'315805 - P0824'!F408</f>
        <v>0</v>
      </c>
      <c r="P408" s="30">
        <f>I408-'315805 - P0824'!J408</f>
        <v>0</v>
      </c>
    </row>
    <row r="409" spans="1:16" x14ac:dyDescent="0.25">
      <c r="A409">
        <v>407</v>
      </c>
      <c r="B409" t="s">
        <v>474</v>
      </c>
      <c r="C409" s="28" t="s">
        <v>354</v>
      </c>
      <c r="D409" s="4" t="s">
        <v>405</v>
      </c>
      <c r="E409" s="12">
        <v>10.78</v>
      </c>
      <c r="F409" s="12">
        <v>10.78</v>
      </c>
      <c r="G409" s="6">
        <f t="shared" si="95"/>
        <v>0</v>
      </c>
      <c r="H409" s="7">
        <f t="shared" si="96"/>
        <v>0</v>
      </c>
      <c r="I409" s="8">
        <v>21.56</v>
      </c>
      <c r="J409" s="9">
        <f t="shared" si="97"/>
        <v>21.56</v>
      </c>
      <c r="K409" s="3">
        <f t="shared" si="98"/>
        <v>0</v>
      </c>
      <c r="L409" s="7">
        <f t="shared" si="99"/>
        <v>0</v>
      </c>
      <c r="M409" t="s">
        <v>150</v>
      </c>
      <c r="O409" s="3">
        <f>E409-'315805 - P0824'!F409</f>
        <v>0</v>
      </c>
      <c r="P409" s="30">
        <f>I409-'315805 - P0824'!J409</f>
        <v>0</v>
      </c>
    </row>
    <row r="410" spans="1:16" x14ac:dyDescent="0.25">
      <c r="A410">
        <v>408</v>
      </c>
      <c r="B410" t="s">
        <v>474</v>
      </c>
      <c r="C410" s="28" t="s">
        <v>354</v>
      </c>
      <c r="D410" s="4" t="s">
        <v>406</v>
      </c>
      <c r="E410" s="12">
        <v>13.22</v>
      </c>
      <c r="F410" s="12">
        <v>13.22</v>
      </c>
      <c r="G410" s="6">
        <f t="shared" si="95"/>
        <v>0</v>
      </c>
      <c r="H410" s="7">
        <f t="shared" si="96"/>
        <v>0</v>
      </c>
      <c r="I410" s="8">
        <v>26.44</v>
      </c>
      <c r="J410" s="9">
        <f t="shared" si="97"/>
        <v>26.44</v>
      </c>
      <c r="K410" s="3">
        <f t="shared" si="98"/>
        <v>0</v>
      </c>
      <c r="L410" s="7">
        <f t="shared" si="99"/>
        <v>0</v>
      </c>
      <c r="M410" t="s">
        <v>150</v>
      </c>
      <c r="O410" s="3">
        <f>E410-'315805 - P0824'!F410</f>
        <v>0</v>
      </c>
      <c r="P410" s="30">
        <f>I410-'315805 - P0824'!J410</f>
        <v>0</v>
      </c>
    </row>
    <row r="411" spans="1:16" x14ac:dyDescent="0.25">
      <c r="A411">
        <v>409</v>
      </c>
      <c r="B411" t="s">
        <v>476</v>
      </c>
      <c r="C411" s="28" t="s">
        <v>354</v>
      </c>
      <c r="D411" s="4" t="s">
        <v>407</v>
      </c>
      <c r="E411" s="12">
        <v>14.72</v>
      </c>
      <c r="F411" s="12">
        <v>14.72</v>
      </c>
      <c r="G411" s="6">
        <f t="shared" si="95"/>
        <v>0</v>
      </c>
      <c r="H411" s="7">
        <f t="shared" si="96"/>
        <v>0</v>
      </c>
      <c r="I411" s="8">
        <v>29.44</v>
      </c>
      <c r="J411" s="9">
        <f t="shared" si="97"/>
        <v>29.44</v>
      </c>
      <c r="K411" s="3">
        <f t="shared" si="98"/>
        <v>0</v>
      </c>
      <c r="L411" s="7">
        <f t="shared" si="99"/>
        <v>0</v>
      </c>
      <c r="M411" t="s">
        <v>150</v>
      </c>
      <c r="O411" s="3">
        <f>E411-'315805 - P0824'!F411</f>
        <v>0</v>
      </c>
      <c r="P411" s="30">
        <f>I411-'315805 - P0824'!J411</f>
        <v>0</v>
      </c>
    </row>
    <row r="412" spans="1:16" x14ac:dyDescent="0.25">
      <c r="A412">
        <v>410</v>
      </c>
      <c r="B412" t="s">
        <v>476</v>
      </c>
      <c r="C412" s="28" t="s">
        <v>354</v>
      </c>
      <c r="D412" s="4" t="s">
        <v>408</v>
      </c>
      <c r="E412" s="12">
        <v>3.74</v>
      </c>
      <c r="F412" s="12">
        <v>3.74</v>
      </c>
      <c r="G412" s="6">
        <f t="shared" si="95"/>
        <v>0</v>
      </c>
      <c r="H412" s="7">
        <f t="shared" si="96"/>
        <v>0</v>
      </c>
      <c r="I412" s="8">
        <v>7.48</v>
      </c>
      <c r="J412" s="9">
        <f t="shared" si="97"/>
        <v>7.48</v>
      </c>
      <c r="K412" s="3">
        <f t="shared" si="98"/>
        <v>0</v>
      </c>
      <c r="L412" s="7">
        <f t="shared" si="99"/>
        <v>0</v>
      </c>
      <c r="M412" t="s">
        <v>150</v>
      </c>
      <c r="O412" s="3">
        <f>E412-'315805 - P0824'!F412</f>
        <v>0</v>
      </c>
      <c r="P412" s="30">
        <f>I412-'315805 - P0824'!J412</f>
        <v>0</v>
      </c>
    </row>
    <row r="413" spans="1:16" x14ac:dyDescent="0.25">
      <c r="A413">
        <v>411</v>
      </c>
      <c r="B413" t="s">
        <v>476</v>
      </c>
      <c r="C413" s="28" t="s">
        <v>354</v>
      </c>
      <c r="D413" s="4" t="s">
        <v>409</v>
      </c>
      <c r="E413" s="12">
        <v>5.12</v>
      </c>
      <c r="F413" s="12">
        <v>5.12</v>
      </c>
      <c r="G413" s="6">
        <f t="shared" si="95"/>
        <v>0</v>
      </c>
      <c r="H413" s="7">
        <f t="shared" si="96"/>
        <v>0</v>
      </c>
      <c r="I413" s="8">
        <v>10.24</v>
      </c>
      <c r="J413" s="9">
        <f t="shared" si="97"/>
        <v>10.24</v>
      </c>
      <c r="K413" s="3">
        <f t="shared" si="98"/>
        <v>0</v>
      </c>
      <c r="L413" s="7">
        <f t="shared" si="99"/>
        <v>0</v>
      </c>
      <c r="M413" t="s">
        <v>150</v>
      </c>
      <c r="O413" s="3">
        <f>E413-'315805 - P0824'!F413</f>
        <v>0</v>
      </c>
      <c r="P413" s="30">
        <f>I413-'315805 - P0824'!J413</f>
        <v>0</v>
      </c>
    </row>
    <row r="414" spans="1:16" x14ac:dyDescent="0.25">
      <c r="A414">
        <v>412</v>
      </c>
      <c r="D414" s="34" t="s">
        <v>410</v>
      </c>
      <c r="H414" s="10">
        <f>AVERAGE(H349:H410)</f>
        <v>0</v>
      </c>
    </row>
    <row r="415" spans="1:16" x14ac:dyDescent="0.25">
      <c r="D415" s="34" t="s">
        <v>411</v>
      </c>
    </row>
    <row r="416" spans="1:16" x14ac:dyDescent="0.25">
      <c r="D416" s="17" t="s">
        <v>412</v>
      </c>
      <c r="E416" s="5">
        <v>440</v>
      </c>
      <c r="F416" s="5">
        <v>480</v>
      </c>
      <c r="G416" s="6">
        <f t="shared" ref="G416:G425" si="100">+F416-E416</f>
        <v>40</v>
      </c>
      <c r="H416" s="7">
        <f t="shared" ref="H416:H425" si="101">(F416-E416)/ABS(E416)</f>
        <v>9.0909090909090912E-2</v>
      </c>
      <c r="J416" s="3"/>
      <c r="K416" s="3"/>
      <c r="L416" s="7"/>
    </row>
    <row r="417" spans="1:16" x14ac:dyDescent="0.25">
      <c r="D417" s="17" t="s">
        <v>413</v>
      </c>
      <c r="E417" s="5">
        <v>448</v>
      </c>
      <c r="F417" s="5">
        <v>530</v>
      </c>
      <c r="G417" s="6">
        <f t="shared" si="100"/>
        <v>82</v>
      </c>
      <c r="H417" s="7">
        <f t="shared" si="101"/>
        <v>0.18303571428571427</v>
      </c>
      <c r="J417" s="3"/>
      <c r="K417" s="3"/>
      <c r="L417" s="7"/>
    </row>
    <row r="418" spans="1:16" x14ac:dyDescent="0.25">
      <c r="D418" s="17" t="s">
        <v>414</v>
      </c>
      <c r="E418" s="5">
        <v>753</v>
      </c>
      <c r="F418" s="5">
        <v>763</v>
      </c>
      <c r="G418" s="6">
        <f t="shared" si="100"/>
        <v>10</v>
      </c>
      <c r="H418" s="7">
        <f t="shared" si="101"/>
        <v>1.3280212483399735E-2</v>
      </c>
      <c r="J418" s="3"/>
      <c r="K418" s="3"/>
      <c r="L418" s="7"/>
    </row>
    <row r="419" spans="1:16" x14ac:dyDescent="0.25">
      <c r="D419" s="4" t="s">
        <v>415</v>
      </c>
      <c r="E419" s="5">
        <v>579</v>
      </c>
      <c r="F419" s="5">
        <v>569</v>
      </c>
      <c r="G419" s="6">
        <f t="shared" si="100"/>
        <v>-10</v>
      </c>
      <c r="H419" s="7">
        <f t="shared" si="101"/>
        <v>-1.7271157167530225E-2</v>
      </c>
      <c r="J419" s="3"/>
      <c r="K419" s="3"/>
      <c r="L419" s="7"/>
    </row>
    <row r="420" spans="1:16" x14ac:dyDescent="0.25">
      <c r="D420" s="4" t="s">
        <v>416</v>
      </c>
      <c r="E420" s="5">
        <v>549</v>
      </c>
      <c r="F420" s="5">
        <v>579</v>
      </c>
      <c r="G420" s="6">
        <f t="shared" si="100"/>
        <v>30</v>
      </c>
      <c r="H420" s="7">
        <f t="shared" si="101"/>
        <v>5.4644808743169397E-2</v>
      </c>
      <c r="J420" s="3"/>
      <c r="K420" s="3"/>
      <c r="L420" s="7"/>
    </row>
    <row r="421" spans="1:16" x14ac:dyDescent="0.25">
      <c r="D421" s="4" t="s">
        <v>417</v>
      </c>
      <c r="E421" s="5">
        <v>1380</v>
      </c>
      <c r="F421" s="5">
        <v>1380</v>
      </c>
      <c r="G421" s="6">
        <f t="shared" si="100"/>
        <v>0</v>
      </c>
      <c r="H421" s="7">
        <f t="shared" si="101"/>
        <v>0</v>
      </c>
      <c r="J421" s="3"/>
      <c r="K421" s="3"/>
      <c r="L421" s="7"/>
    </row>
    <row r="422" spans="1:16" x14ac:dyDescent="0.25">
      <c r="D422" s="4" t="s">
        <v>418</v>
      </c>
      <c r="E422" s="5">
        <v>1340</v>
      </c>
      <c r="F422" s="5">
        <v>1365</v>
      </c>
      <c r="G422" s="6">
        <f t="shared" si="100"/>
        <v>25</v>
      </c>
      <c r="H422" s="7">
        <f t="shared" si="101"/>
        <v>1.8656716417910446E-2</v>
      </c>
      <c r="J422" s="3"/>
      <c r="K422" s="3"/>
      <c r="L422" s="7"/>
    </row>
    <row r="423" spans="1:16" x14ac:dyDescent="0.25">
      <c r="D423" s="4" t="s">
        <v>419</v>
      </c>
      <c r="E423" s="5">
        <v>674</v>
      </c>
      <c r="F423" s="5">
        <v>644</v>
      </c>
      <c r="G423" s="6">
        <f t="shared" si="100"/>
        <v>-30</v>
      </c>
      <c r="H423" s="7">
        <f t="shared" si="101"/>
        <v>-4.4510385756676561E-2</v>
      </c>
      <c r="J423" s="3"/>
      <c r="K423" s="3"/>
      <c r="L423" s="7"/>
    </row>
    <row r="424" spans="1:16" x14ac:dyDescent="0.25">
      <c r="D424" s="4" t="s">
        <v>420</v>
      </c>
      <c r="E424" s="5">
        <v>634</v>
      </c>
      <c r="F424" s="5">
        <v>664</v>
      </c>
      <c r="G424" s="6">
        <f t="shared" si="100"/>
        <v>30</v>
      </c>
      <c r="H424" s="7">
        <f t="shared" si="101"/>
        <v>4.7318611987381701E-2</v>
      </c>
      <c r="J424" s="3"/>
      <c r="K424" s="3"/>
      <c r="L424" s="7"/>
    </row>
    <row r="425" spans="1:16" x14ac:dyDescent="0.25">
      <c r="D425" s="4" t="s">
        <v>421</v>
      </c>
      <c r="E425" s="5">
        <v>847</v>
      </c>
      <c r="F425" s="5">
        <v>817</v>
      </c>
      <c r="G425" s="6">
        <f t="shared" si="100"/>
        <v>-30</v>
      </c>
      <c r="H425" s="7">
        <f t="shared" si="101"/>
        <v>-3.541912632821724E-2</v>
      </c>
      <c r="J425" s="3"/>
      <c r="K425" s="3"/>
      <c r="L425" s="7"/>
    </row>
    <row r="426" spans="1:16" s="3" customFormat="1" x14ac:dyDescent="0.25">
      <c r="A426"/>
      <c r="B426"/>
      <c r="C426"/>
      <c r="D426" s="2" t="s">
        <v>422</v>
      </c>
      <c r="H426" s="10">
        <f>AVERAGE(H416:H425)</f>
        <v>3.106444855742424E-2</v>
      </c>
      <c r="J426"/>
      <c r="K426"/>
      <c r="L426"/>
      <c r="M426"/>
      <c r="N426"/>
      <c r="P426" s="30"/>
    </row>
  </sheetData>
  <autoFilter ref="A1:M426" xr:uid="{00000000-0009-0000-0000-000001000000}"/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CD46-FC1F-409B-AC27-9EAA607CA11F}">
  <dimension ref="A1:P426"/>
  <sheetViews>
    <sheetView workbookViewId="0">
      <pane ySplit="2" topLeftCell="A3" activePane="bottomLeft" state="frozen"/>
      <selection pane="bottomLeft"/>
    </sheetView>
  </sheetViews>
  <sheetFormatPr defaultColWidth="9.140625" defaultRowHeight="15" x14ac:dyDescent="0.25"/>
  <cols>
    <col min="1" max="1" width="4" bestFit="1" customWidth="1"/>
    <col min="2" max="2" width="17.28515625" customWidth="1"/>
    <col min="3" max="3" width="11.7109375" customWidth="1"/>
    <col min="4" max="4" width="76.7109375" customWidth="1"/>
    <col min="5" max="5" width="28.42578125" style="3" customWidth="1"/>
    <col min="6" max="6" width="29.5703125" style="3" customWidth="1"/>
    <col min="7" max="7" width="8.28515625" style="3" customWidth="1"/>
    <col min="8" max="8" width="7.7109375" style="3" customWidth="1"/>
    <col min="9" max="9" width="28.42578125" style="3" customWidth="1"/>
    <col min="10" max="10" width="29.5703125" customWidth="1"/>
    <col min="16" max="16" width="9.140625" style="30"/>
  </cols>
  <sheetData>
    <row r="1" spans="1:16" x14ac:dyDescent="0.25">
      <c r="E1" s="1" t="s">
        <v>0</v>
      </c>
      <c r="F1" s="1" t="s">
        <v>0</v>
      </c>
      <c r="G1" s="1"/>
      <c r="H1" s="1"/>
      <c r="I1" s="1" t="s">
        <v>1</v>
      </c>
      <c r="J1" s="1" t="s">
        <v>1</v>
      </c>
      <c r="M1" t="s">
        <v>2</v>
      </c>
    </row>
    <row r="2" spans="1:16" x14ac:dyDescent="0.25">
      <c r="B2" t="s">
        <v>3</v>
      </c>
      <c r="C2" t="s">
        <v>4</v>
      </c>
      <c r="D2" t="s">
        <v>5</v>
      </c>
      <c r="E2" s="1" t="s">
        <v>524</v>
      </c>
      <c r="F2" s="1" t="s">
        <v>526</v>
      </c>
      <c r="G2" s="1"/>
      <c r="H2" s="1"/>
      <c r="I2" s="1" t="s">
        <v>524</v>
      </c>
      <c r="J2" s="1" t="s">
        <v>526</v>
      </c>
    </row>
    <row r="3" spans="1:16" x14ac:dyDescent="0.25">
      <c r="A3">
        <v>1</v>
      </c>
      <c r="D3" s="34" t="s">
        <v>6</v>
      </c>
      <c r="M3" t="s">
        <v>7</v>
      </c>
    </row>
    <row r="4" spans="1:16" x14ac:dyDescent="0.25">
      <c r="A4">
        <v>2</v>
      </c>
      <c r="C4" t="s">
        <v>8</v>
      </c>
      <c r="D4" s="4" t="s">
        <v>9</v>
      </c>
      <c r="E4" s="5">
        <v>696</v>
      </c>
      <c r="F4" s="5">
        <v>671</v>
      </c>
      <c r="G4" s="6">
        <f t="shared" ref="G4:G23" si="0">+F4-E4</f>
        <v>-25</v>
      </c>
      <c r="H4" s="7">
        <f t="shared" ref="H4:H23" si="1">(F4-E4)/ABS(E4)</f>
        <v>-3.5919540229885055E-2</v>
      </c>
      <c r="I4" s="8">
        <v>839.5550405561994</v>
      </c>
      <c r="J4" s="9">
        <f t="shared" ref="J4:J23" si="2">(I4*H4)+I4</f>
        <v>809.39860950173818</v>
      </c>
      <c r="K4" s="3">
        <f t="shared" ref="K4:K23" si="3">J4-I4</f>
        <v>-30.156431054461223</v>
      </c>
      <c r="L4" s="7">
        <f t="shared" ref="L4:L23" si="4">(J4-I4)/ABS(I4)</f>
        <v>-3.5919540229885104E-2</v>
      </c>
      <c r="M4" t="s">
        <v>7</v>
      </c>
      <c r="O4" s="3">
        <f>E4-'315019 - P0724'!F4</f>
        <v>0</v>
      </c>
      <c r="P4" s="30">
        <f>I4-'315019 - P0724'!J4</f>
        <v>0</v>
      </c>
    </row>
    <row r="5" spans="1:16" x14ac:dyDescent="0.25">
      <c r="A5">
        <v>3</v>
      </c>
      <c r="D5" s="4" t="s">
        <v>10</v>
      </c>
      <c r="E5" s="8">
        <v>696</v>
      </c>
      <c r="F5" s="8">
        <f>F4</f>
        <v>671</v>
      </c>
      <c r="G5" s="6">
        <f t="shared" si="0"/>
        <v>-25</v>
      </c>
      <c r="H5" s="7">
        <f t="shared" si="1"/>
        <v>-3.5919540229885055E-2</v>
      </c>
      <c r="I5" s="8">
        <v>839.5550405561994</v>
      </c>
      <c r="J5" s="9">
        <f t="shared" si="2"/>
        <v>809.39860950173818</v>
      </c>
      <c r="K5" s="3">
        <f t="shared" si="3"/>
        <v>-30.156431054461223</v>
      </c>
      <c r="L5" s="7">
        <f t="shared" si="4"/>
        <v>-3.5919540229885104E-2</v>
      </c>
      <c r="M5" t="s">
        <v>7</v>
      </c>
      <c r="O5" s="3">
        <f>E5-'315019 - P0724'!F5</f>
        <v>0</v>
      </c>
      <c r="P5" s="30">
        <f>I5-'315019 - P0724'!J5</f>
        <v>0</v>
      </c>
    </row>
    <row r="6" spans="1:16" x14ac:dyDescent="0.25">
      <c r="A6">
        <v>4</v>
      </c>
      <c r="D6" s="4" t="s">
        <v>11</v>
      </c>
      <c r="E6" s="8">
        <v>696</v>
      </c>
      <c r="F6" s="8">
        <f>F4</f>
        <v>671</v>
      </c>
      <c r="G6" s="6">
        <f t="shared" si="0"/>
        <v>-25</v>
      </c>
      <c r="H6" s="7">
        <f t="shared" si="1"/>
        <v>-3.5919540229885055E-2</v>
      </c>
      <c r="I6" s="8">
        <v>839.5550405561994</v>
      </c>
      <c r="J6" s="9">
        <f t="shared" si="2"/>
        <v>809.39860950173818</v>
      </c>
      <c r="K6" s="3">
        <f t="shared" si="3"/>
        <v>-30.156431054461223</v>
      </c>
      <c r="L6" s="7">
        <f t="shared" si="4"/>
        <v>-3.5919540229885104E-2</v>
      </c>
      <c r="M6" t="s">
        <v>7</v>
      </c>
      <c r="O6" s="3">
        <f>E6-'315019 - P0724'!F6</f>
        <v>0</v>
      </c>
      <c r="P6" s="30">
        <f>I6-'315019 - P0724'!J6</f>
        <v>0</v>
      </c>
    </row>
    <row r="7" spans="1:16" x14ac:dyDescent="0.25">
      <c r="A7">
        <v>5</v>
      </c>
      <c r="C7" t="s">
        <v>8</v>
      </c>
      <c r="D7" s="4" t="s">
        <v>12</v>
      </c>
      <c r="E7" s="5">
        <v>656</v>
      </c>
      <c r="F7" s="5">
        <v>606</v>
      </c>
      <c r="G7" s="6">
        <f t="shared" si="0"/>
        <v>-50</v>
      </c>
      <c r="H7" s="7">
        <f t="shared" si="1"/>
        <v>-7.621951219512195E-2</v>
      </c>
      <c r="I7" s="8">
        <v>846.79207920792066</v>
      </c>
      <c r="J7" s="9">
        <f t="shared" si="2"/>
        <v>782.24999999999989</v>
      </c>
      <c r="K7" s="3">
        <f t="shared" si="3"/>
        <v>-64.542079207920779</v>
      </c>
      <c r="L7" s="7">
        <f t="shared" si="4"/>
        <v>-7.621951219512195E-2</v>
      </c>
      <c r="M7" t="s">
        <v>7</v>
      </c>
      <c r="N7" s="27"/>
      <c r="O7" s="3">
        <f>E7-'315019 - P0724'!F7</f>
        <v>0</v>
      </c>
      <c r="P7" s="30">
        <f>I7-'315019 - P0724'!J7</f>
        <v>0</v>
      </c>
    </row>
    <row r="8" spans="1:16" x14ac:dyDescent="0.25">
      <c r="A8">
        <v>6</v>
      </c>
      <c r="D8" s="4" t="s">
        <v>13</v>
      </c>
      <c r="E8" s="8">
        <v>656</v>
      </c>
      <c r="F8" s="8">
        <f>F7</f>
        <v>606</v>
      </c>
      <c r="G8" s="6">
        <f t="shared" si="0"/>
        <v>-50</v>
      </c>
      <c r="H8" s="7">
        <f t="shared" si="1"/>
        <v>-7.621951219512195E-2</v>
      </c>
      <c r="I8" s="8">
        <v>846.79207920792066</v>
      </c>
      <c r="J8" s="9">
        <f t="shared" si="2"/>
        <v>782.24999999999989</v>
      </c>
      <c r="K8" s="3">
        <f t="shared" si="3"/>
        <v>-64.542079207920779</v>
      </c>
      <c r="L8" s="7">
        <f t="shared" si="4"/>
        <v>-7.621951219512195E-2</v>
      </c>
      <c r="M8" t="s">
        <v>7</v>
      </c>
      <c r="N8" s="27"/>
      <c r="O8" s="3">
        <f>E8-'315019 - P0724'!F8</f>
        <v>0</v>
      </c>
      <c r="P8" s="30">
        <f>I8-'315019 - P0724'!J8</f>
        <v>0</v>
      </c>
    </row>
    <row r="9" spans="1:16" x14ac:dyDescent="0.25">
      <c r="A9">
        <v>7</v>
      </c>
      <c r="D9" s="4" t="s">
        <v>14</v>
      </c>
      <c r="E9" s="8">
        <v>656</v>
      </c>
      <c r="F9" s="8">
        <f>F7</f>
        <v>606</v>
      </c>
      <c r="G9" s="6">
        <f t="shared" si="0"/>
        <v>-50</v>
      </c>
      <c r="H9" s="7">
        <f t="shared" si="1"/>
        <v>-7.621951219512195E-2</v>
      </c>
      <c r="I9" s="8">
        <v>846.79207920792066</v>
      </c>
      <c r="J9" s="9">
        <f t="shared" si="2"/>
        <v>782.24999999999989</v>
      </c>
      <c r="K9" s="3">
        <f t="shared" si="3"/>
        <v>-64.542079207920779</v>
      </c>
      <c r="L9" s="7">
        <f t="shared" si="4"/>
        <v>-7.621951219512195E-2</v>
      </c>
      <c r="M9" t="s">
        <v>7</v>
      </c>
      <c r="N9" s="27"/>
      <c r="O9" s="3">
        <f>E9-'315019 - P0724'!F9</f>
        <v>0</v>
      </c>
      <c r="P9" s="30">
        <f>I9-'315019 - P0724'!J9</f>
        <v>0</v>
      </c>
    </row>
    <row r="10" spans="1:16" x14ac:dyDescent="0.25">
      <c r="A10">
        <v>8</v>
      </c>
      <c r="C10" t="s">
        <v>8</v>
      </c>
      <c r="D10" s="4" t="s">
        <v>15</v>
      </c>
      <c r="E10" s="5">
        <v>800</v>
      </c>
      <c r="F10" s="5">
        <v>710</v>
      </c>
      <c r="G10" s="6">
        <f t="shared" si="0"/>
        <v>-90</v>
      </c>
      <c r="H10" s="7">
        <f t="shared" si="1"/>
        <v>-0.1125</v>
      </c>
      <c r="I10" s="8">
        <v>1062.479696805631</v>
      </c>
      <c r="J10" s="9">
        <f t="shared" si="2"/>
        <v>942.95073091499751</v>
      </c>
      <c r="K10" s="3">
        <f t="shared" si="3"/>
        <v>-119.52896589063346</v>
      </c>
      <c r="L10" s="7">
        <f t="shared" si="4"/>
        <v>-0.11249999999999998</v>
      </c>
      <c r="M10" t="s">
        <v>7</v>
      </c>
      <c r="N10" s="27"/>
      <c r="O10" s="3">
        <f>E10-'315019 - P0724'!F10</f>
        <v>0</v>
      </c>
      <c r="P10" s="30">
        <f>I10-'315019 - P0724'!J10</f>
        <v>0</v>
      </c>
    </row>
    <row r="11" spans="1:16" x14ac:dyDescent="0.25">
      <c r="A11">
        <v>9</v>
      </c>
      <c r="D11" s="4" t="s">
        <v>16</v>
      </c>
      <c r="E11" s="8">
        <v>800</v>
      </c>
      <c r="F11" s="8">
        <f>F10</f>
        <v>710</v>
      </c>
      <c r="G11" s="6">
        <f t="shared" si="0"/>
        <v>-90</v>
      </c>
      <c r="H11" s="7">
        <f t="shared" si="1"/>
        <v>-0.1125</v>
      </c>
      <c r="I11" s="8">
        <v>1062.479696805631</v>
      </c>
      <c r="J11" s="9">
        <f t="shared" si="2"/>
        <v>942.95073091499751</v>
      </c>
      <c r="K11" s="3">
        <f t="shared" si="3"/>
        <v>-119.52896589063346</v>
      </c>
      <c r="L11" s="7">
        <f t="shared" si="4"/>
        <v>-0.11249999999999998</v>
      </c>
      <c r="M11" t="s">
        <v>7</v>
      </c>
      <c r="N11" s="27"/>
      <c r="O11" s="3">
        <f>E11-'315019 - P0724'!F11</f>
        <v>0</v>
      </c>
      <c r="P11" s="30">
        <f>I11-'315019 - P0724'!J11</f>
        <v>0</v>
      </c>
    </row>
    <row r="12" spans="1:16" x14ac:dyDescent="0.25">
      <c r="A12">
        <v>10</v>
      </c>
      <c r="C12" t="s">
        <v>8</v>
      </c>
      <c r="D12" s="4" t="s">
        <v>17</v>
      </c>
      <c r="E12" s="5">
        <v>725</v>
      </c>
      <c r="F12" s="5">
        <v>685</v>
      </c>
      <c r="G12" s="6">
        <f t="shared" si="0"/>
        <v>-40</v>
      </c>
      <c r="H12" s="7">
        <f t="shared" si="1"/>
        <v>-5.5172413793103448E-2</v>
      </c>
      <c r="I12" s="8">
        <v>864.81581798483239</v>
      </c>
      <c r="J12" s="9">
        <f t="shared" si="2"/>
        <v>817.101841820152</v>
      </c>
      <c r="K12" s="3">
        <f t="shared" si="3"/>
        <v>-47.713976164680389</v>
      </c>
      <c r="L12" s="7">
        <f t="shared" si="4"/>
        <v>-5.5172413793103427E-2</v>
      </c>
      <c r="M12" t="s">
        <v>7</v>
      </c>
      <c r="N12" s="27"/>
      <c r="O12" s="3">
        <f>E12-'315019 - P0724'!F12</f>
        <v>0</v>
      </c>
      <c r="P12" s="30">
        <f>I12-'315019 - P0724'!J12</f>
        <v>0</v>
      </c>
    </row>
    <row r="13" spans="1:16" x14ac:dyDescent="0.25">
      <c r="A13">
        <v>11</v>
      </c>
      <c r="D13" s="4" t="s">
        <v>18</v>
      </c>
      <c r="E13" s="8">
        <v>725</v>
      </c>
      <c r="F13" s="8">
        <f>F12</f>
        <v>685</v>
      </c>
      <c r="G13" s="6">
        <f t="shared" si="0"/>
        <v>-40</v>
      </c>
      <c r="H13" s="7">
        <f t="shared" si="1"/>
        <v>-5.5172413793103448E-2</v>
      </c>
      <c r="I13" s="8">
        <v>864.81581798483239</v>
      </c>
      <c r="J13" s="9">
        <f t="shared" si="2"/>
        <v>817.101841820152</v>
      </c>
      <c r="K13" s="3">
        <f t="shared" si="3"/>
        <v>-47.713976164680389</v>
      </c>
      <c r="L13" s="7">
        <f t="shared" si="4"/>
        <v>-5.5172413793103427E-2</v>
      </c>
      <c r="M13" t="s">
        <v>7</v>
      </c>
      <c r="N13" s="27"/>
      <c r="O13" s="3">
        <f>E13-'315019 - P0724'!F13</f>
        <v>0</v>
      </c>
      <c r="P13" s="30">
        <f>I13-'315019 - P0724'!J13</f>
        <v>0</v>
      </c>
    </row>
    <row r="14" spans="1:16" x14ac:dyDescent="0.25">
      <c r="A14">
        <v>12</v>
      </c>
      <c r="D14" s="4" t="s">
        <v>19</v>
      </c>
      <c r="E14" s="5">
        <v>700</v>
      </c>
      <c r="F14" s="5">
        <v>660</v>
      </c>
      <c r="G14" s="6">
        <f t="shared" si="0"/>
        <v>-40</v>
      </c>
      <c r="H14" s="7">
        <f t="shared" si="1"/>
        <v>-5.7142857142857141E-2</v>
      </c>
      <c r="I14" s="8">
        <v>899.79852249832095</v>
      </c>
      <c r="J14" s="9">
        <f t="shared" si="2"/>
        <v>848.38146406984549</v>
      </c>
      <c r="K14" s="3">
        <f t="shared" si="3"/>
        <v>-51.417058428475457</v>
      </c>
      <c r="L14" s="7">
        <f t="shared" si="4"/>
        <v>-5.7142857142857113E-2</v>
      </c>
      <c r="M14" t="s">
        <v>7</v>
      </c>
      <c r="N14" s="27"/>
      <c r="O14" s="3">
        <f>E14-'315019 - P0724'!F14</f>
        <v>0</v>
      </c>
      <c r="P14" s="30">
        <f>I14-'315019 - P0724'!J14</f>
        <v>0</v>
      </c>
    </row>
    <row r="15" spans="1:16" x14ac:dyDescent="0.25">
      <c r="A15">
        <v>13</v>
      </c>
      <c r="D15" s="4" t="s">
        <v>20</v>
      </c>
      <c r="E15" s="8">
        <v>700</v>
      </c>
      <c r="F15" s="8">
        <f>F14</f>
        <v>660</v>
      </c>
      <c r="G15" s="6">
        <f t="shared" si="0"/>
        <v>-40</v>
      </c>
      <c r="H15" s="7">
        <f t="shared" si="1"/>
        <v>-5.7142857142857141E-2</v>
      </c>
      <c r="I15" s="8">
        <v>899.79852249832095</v>
      </c>
      <c r="J15" s="9">
        <f t="shared" si="2"/>
        <v>848.38146406984549</v>
      </c>
      <c r="K15" s="3">
        <f t="shared" si="3"/>
        <v>-51.417058428475457</v>
      </c>
      <c r="L15" s="7">
        <f t="shared" si="4"/>
        <v>-5.7142857142857113E-2</v>
      </c>
      <c r="M15" t="s">
        <v>7</v>
      </c>
      <c r="N15" s="27"/>
      <c r="O15" s="3">
        <f>E15-'315019 - P0724'!F15</f>
        <v>0</v>
      </c>
      <c r="P15" s="30">
        <f>I15-'315019 - P0724'!J15</f>
        <v>0</v>
      </c>
    </row>
    <row r="16" spans="1:16" x14ac:dyDescent="0.25">
      <c r="A16">
        <v>14</v>
      </c>
      <c r="C16" t="s">
        <v>8</v>
      </c>
      <c r="D16" s="4" t="s">
        <v>21</v>
      </c>
      <c r="E16" s="5">
        <v>790</v>
      </c>
      <c r="F16" s="5">
        <v>780</v>
      </c>
      <c r="G16" s="6">
        <f t="shared" si="0"/>
        <v>-10</v>
      </c>
      <c r="H16" s="7">
        <f t="shared" si="1"/>
        <v>-1.2658227848101266E-2</v>
      </c>
      <c r="I16" s="8">
        <v>1112.7956989247314</v>
      </c>
      <c r="J16" s="9">
        <f t="shared" si="2"/>
        <v>1098.7096774193551</v>
      </c>
      <c r="K16" s="3">
        <f t="shared" si="3"/>
        <v>-14.086021505376266</v>
      </c>
      <c r="L16" s="7">
        <f t="shared" si="4"/>
        <v>-1.2658227848101193E-2</v>
      </c>
      <c r="M16" t="s">
        <v>7</v>
      </c>
      <c r="N16" s="27"/>
      <c r="O16" s="3">
        <f>E16-'315019 - P0724'!F16</f>
        <v>0</v>
      </c>
      <c r="P16" s="30">
        <f>I16-'315019 - P0724'!J16</f>
        <v>0</v>
      </c>
    </row>
    <row r="17" spans="1:16" x14ac:dyDescent="0.25">
      <c r="A17">
        <v>15</v>
      </c>
      <c r="D17" s="4" t="s">
        <v>22</v>
      </c>
      <c r="E17" s="8">
        <v>790</v>
      </c>
      <c r="F17" s="8">
        <f>F16</f>
        <v>780</v>
      </c>
      <c r="G17" s="6">
        <f t="shared" si="0"/>
        <v>-10</v>
      </c>
      <c r="H17" s="7">
        <f t="shared" si="1"/>
        <v>-1.2658227848101266E-2</v>
      </c>
      <c r="I17" s="8">
        <v>1112.7956989247314</v>
      </c>
      <c r="J17" s="9">
        <f t="shared" si="2"/>
        <v>1098.7096774193551</v>
      </c>
      <c r="K17" s="3">
        <f t="shared" si="3"/>
        <v>-14.086021505376266</v>
      </c>
      <c r="L17" s="7">
        <f t="shared" si="4"/>
        <v>-1.2658227848101193E-2</v>
      </c>
      <c r="M17" t="s">
        <v>7</v>
      </c>
      <c r="N17" s="27"/>
      <c r="O17" s="3">
        <f>E17-'315019 - P0724'!F17</f>
        <v>0</v>
      </c>
      <c r="P17" s="30">
        <f>I17-'315019 - P0724'!J17</f>
        <v>0</v>
      </c>
    </row>
    <row r="18" spans="1:16" x14ac:dyDescent="0.25">
      <c r="A18">
        <v>16</v>
      </c>
      <c r="C18" t="s">
        <v>8</v>
      </c>
      <c r="D18" s="4" t="s">
        <v>23</v>
      </c>
      <c r="E18" s="5">
        <v>850</v>
      </c>
      <c r="F18" s="5">
        <v>845</v>
      </c>
      <c r="G18" s="6">
        <f t="shared" si="0"/>
        <v>-5</v>
      </c>
      <c r="H18" s="7">
        <f t="shared" si="1"/>
        <v>-5.8823529411764705E-3</v>
      </c>
      <c r="I18" s="8">
        <v>1181.3027426160334</v>
      </c>
      <c r="J18" s="9">
        <f t="shared" si="2"/>
        <v>1174.3539029535862</v>
      </c>
      <c r="K18" s="3">
        <f t="shared" si="3"/>
        <v>-6.9488396624471989</v>
      </c>
      <c r="L18" s="7">
        <f t="shared" si="4"/>
        <v>-5.8823529411764228E-3</v>
      </c>
      <c r="M18" t="s">
        <v>7</v>
      </c>
      <c r="N18" s="27"/>
      <c r="O18" s="3">
        <f>E18-'315019 - P0724'!F18</f>
        <v>0</v>
      </c>
      <c r="P18" s="30">
        <f>I18-'315019 - P0724'!J18</f>
        <v>0</v>
      </c>
    </row>
    <row r="19" spans="1:16" x14ac:dyDescent="0.25">
      <c r="A19">
        <v>17</v>
      </c>
      <c r="D19" s="4" t="s">
        <v>24</v>
      </c>
      <c r="E19" s="8">
        <v>850</v>
      </c>
      <c r="F19" s="8">
        <f>F18</f>
        <v>845</v>
      </c>
      <c r="G19" s="6">
        <f t="shared" si="0"/>
        <v>-5</v>
      </c>
      <c r="H19" s="7">
        <f t="shared" si="1"/>
        <v>-5.8823529411764705E-3</v>
      </c>
      <c r="I19" s="8">
        <v>1181.3027426160334</v>
      </c>
      <c r="J19" s="9">
        <f t="shared" si="2"/>
        <v>1174.3539029535862</v>
      </c>
      <c r="K19" s="3">
        <f t="shared" si="3"/>
        <v>-6.9488396624471989</v>
      </c>
      <c r="L19" s="7">
        <f t="shared" si="4"/>
        <v>-5.8823529411764228E-3</v>
      </c>
      <c r="M19" t="s">
        <v>7</v>
      </c>
      <c r="N19" s="27"/>
      <c r="O19" s="3">
        <f>E19-'315019 - P0724'!F19</f>
        <v>0</v>
      </c>
      <c r="P19" s="30">
        <f>I19-'315019 - P0724'!J19</f>
        <v>0</v>
      </c>
    </row>
    <row r="20" spans="1:16" x14ac:dyDescent="0.25">
      <c r="A20">
        <v>18</v>
      </c>
      <c r="C20" t="s">
        <v>8</v>
      </c>
      <c r="D20" s="4" t="s">
        <v>25</v>
      </c>
      <c r="E20" s="5">
        <v>1040</v>
      </c>
      <c r="F20" s="5">
        <v>1040</v>
      </c>
      <c r="G20" s="6">
        <f t="shared" si="0"/>
        <v>0</v>
      </c>
      <c r="H20" s="7">
        <f t="shared" si="1"/>
        <v>0</v>
      </c>
      <c r="I20" s="8">
        <v>2099.3184776430471</v>
      </c>
      <c r="J20" s="9">
        <f t="shared" si="2"/>
        <v>2099.3184776430471</v>
      </c>
      <c r="K20" s="3">
        <f t="shared" si="3"/>
        <v>0</v>
      </c>
      <c r="L20" s="7">
        <f t="shared" si="4"/>
        <v>0</v>
      </c>
      <c r="M20" t="s">
        <v>7</v>
      </c>
      <c r="N20" s="27"/>
      <c r="O20" s="3">
        <f>E20-'315019 - P0724'!F20</f>
        <v>998.2</v>
      </c>
      <c r="P20" s="30">
        <f>I20-'315019 - P0724'!J20</f>
        <v>0</v>
      </c>
    </row>
    <row r="21" spans="1:16" x14ac:dyDescent="0.25">
      <c r="A21">
        <v>19</v>
      </c>
      <c r="C21" t="s">
        <v>8</v>
      </c>
      <c r="D21" s="4" t="s">
        <v>26</v>
      </c>
      <c r="E21" s="5">
        <v>16.07</v>
      </c>
      <c r="F21" s="5">
        <v>16.07</v>
      </c>
      <c r="G21" s="6">
        <f t="shared" si="0"/>
        <v>0</v>
      </c>
      <c r="H21" s="7">
        <f t="shared" si="1"/>
        <v>0</v>
      </c>
      <c r="I21" s="8">
        <v>36.488665130799234</v>
      </c>
      <c r="J21" s="9">
        <f t="shared" si="2"/>
        <v>36.488665130799234</v>
      </c>
      <c r="K21" s="3">
        <f t="shared" si="3"/>
        <v>0</v>
      </c>
      <c r="L21" s="7">
        <f t="shared" si="4"/>
        <v>0</v>
      </c>
      <c r="M21" t="s">
        <v>7</v>
      </c>
      <c r="O21" s="3">
        <f>E21-'315019 - P0724'!F21</f>
        <v>0</v>
      </c>
      <c r="P21" s="30">
        <f>I21-'315019 - P0724'!J21</f>
        <v>0</v>
      </c>
    </row>
    <row r="22" spans="1:16" x14ac:dyDescent="0.25">
      <c r="A22">
        <v>20</v>
      </c>
      <c r="C22" t="s">
        <v>8</v>
      </c>
      <c r="D22" s="4" t="s">
        <v>27</v>
      </c>
      <c r="E22" s="5">
        <v>1430</v>
      </c>
      <c r="F22" s="5">
        <v>1430</v>
      </c>
      <c r="G22" s="6">
        <f t="shared" si="0"/>
        <v>0</v>
      </c>
      <c r="H22" s="7">
        <f t="shared" si="1"/>
        <v>0</v>
      </c>
      <c r="I22" s="8">
        <v>2041.9221967963392</v>
      </c>
      <c r="J22" s="9">
        <f t="shared" si="2"/>
        <v>2041.9221967963392</v>
      </c>
      <c r="K22" s="3">
        <f t="shared" si="3"/>
        <v>0</v>
      </c>
      <c r="L22" s="7">
        <f t="shared" si="4"/>
        <v>0</v>
      </c>
      <c r="M22" t="s">
        <v>7</v>
      </c>
      <c r="N22" s="27"/>
      <c r="O22" s="3">
        <f>E22-'315019 - P0724'!F22</f>
        <v>0</v>
      </c>
      <c r="P22" s="30">
        <f>I22-'315019 - P0724'!J22</f>
        <v>0</v>
      </c>
    </row>
    <row r="23" spans="1:16" x14ac:dyDescent="0.25">
      <c r="A23">
        <v>21</v>
      </c>
      <c r="D23" s="4" t="s">
        <v>28</v>
      </c>
      <c r="E23" s="8">
        <v>1430</v>
      </c>
      <c r="F23" s="8">
        <f>F22</f>
        <v>1430</v>
      </c>
      <c r="G23" s="6">
        <f t="shared" si="0"/>
        <v>0</v>
      </c>
      <c r="H23" s="7">
        <f t="shared" si="1"/>
        <v>0</v>
      </c>
      <c r="I23" s="8">
        <v>2041.9221967963392</v>
      </c>
      <c r="J23" s="9">
        <f t="shared" si="2"/>
        <v>2041.9221967963392</v>
      </c>
      <c r="K23" s="3">
        <f t="shared" si="3"/>
        <v>0</v>
      </c>
      <c r="L23" s="7">
        <f t="shared" si="4"/>
        <v>0</v>
      </c>
      <c r="M23" t="s">
        <v>7</v>
      </c>
      <c r="N23" s="27"/>
      <c r="O23" s="3">
        <f>E23-'315019 - P0724'!F23</f>
        <v>0</v>
      </c>
      <c r="P23" s="30">
        <f>I23-'315019 - P0724'!J23</f>
        <v>0</v>
      </c>
    </row>
    <row r="24" spans="1:16" x14ac:dyDescent="0.25">
      <c r="A24">
        <v>22</v>
      </c>
      <c r="D24" s="34" t="s">
        <v>29</v>
      </c>
      <c r="H24" s="10">
        <f>AVERAGE(H4:H23)</f>
        <v>-4.115644303627488E-2</v>
      </c>
      <c r="L24" s="10">
        <f>AVERAGE(L4:L23)</f>
        <v>-4.1156443036274887E-2</v>
      </c>
    </row>
    <row r="25" spans="1:16" x14ac:dyDescent="0.25">
      <c r="A25">
        <v>23</v>
      </c>
      <c r="D25" s="34" t="s">
        <v>30</v>
      </c>
      <c r="M25" t="s">
        <v>7</v>
      </c>
    </row>
    <row r="26" spans="1:16" x14ac:dyDescent="0.25">
      <c r="A26">
        <v>24</v>
      </c>
      <c r="D26" s="4" t="s">
        <v>31</v>
      </c>
      <c r="E26" s="5">
        <v>486</v>
      </c>
      <c r="F26" s="5">
        <v>441</v>
      </c>
      <c r="G26" s="6">
        <f t="shared" ref="G26:G31" si="5">+F26-E26</f>
        <v>-45</v>
      </c>
      <c r="H26" s="7">
        <f t="shared" ref="H26:H31" si="6">(F26-E26)/ABS(E26)</f>
        <v>-9.2592592592592587E-2</v>
      </c>
      <c r="I26" s="8">
        <v>721.06172839506178</v>
      </c>
      <c r="J26" s="9">
        <f t="shared" ref="J26:J31" si="7">(I26*H26)+I26</f>
        <v>654.29675354366714</v>
      </c>
      <c r="K26" s="3">
        <f t="shared" ref="K26:K31" si="8">J26-I26</f>
        <v>-66.764974851394641</v>
      </c>
      <c r="L26" s="7">
        <f t="shared" ref="L26:L31" si="9">(J26-I26)/ABS(I26)</f>
        <v>-9.2592592592592643E-2</v>
      </c>
      <c r="M26" t="s">
        <v>7</v>
      </c>
      <c r="O26" s="3">
        <f>E26-'315019 - P0724'!F26</f>
        <v>0</v>
      </c>
      <c r="P26" s="30">
        <f>I26-'315019 - P0724'!J26</f>
        <v>0</v>
      </c>
    </row>
    <row r="27" spans="1:16" x14ac:dyDescent="0.25">
      <c r="A27">
        <v>25</v>
      </c>
      <c r="D27" s="4" t="s">
        <v>32</v>
      </c>
      <c r="E27" s="5">
        <v>506</v>
      </c>
      <c r="F27" s="5">
        <v>471</v>
      </c>
      <c r="G27" s="6">
        <f t="shared" si="5"/>
        <v>-35</v>
      </c>
      <c r="H27" s="7">
        <f t="shared" si="6"/>
        <v>-6.9169960474308304E-2</v>
      </c>
      <c r="I27" s="8">
        <v>667.52172241445601</v>
      </c>
      <c r="J27" s="9">
        <f t="shared" si="7"/>
        <v>621.34927125930585</v>
      </c>
      <c r="K27" s="3">
        <f t="shared" si="8"/>
        <v>-46.172451155150156</v>
      </c>
      <c r="L27" s="7">
        <f t="shared" si="9"/>
        <v>-6.9169960474308359E-2</v>
      </c>
      <c r="M27" t="s">
        <v>7</v>
      </c>
      <c r="O27" s="3">
        <f>E27-'315019 - P0724'!F27</f>
        <v>0</v>
      </c>
      <c r="P27" s="30">
        <f>I27-'315019 - P0724'!J27</f>
        <v>0</v>
      </c>
    </row>
    <row r="28" spans="1:16" x14ac:dyDescent="0.25">
      <c r="A28">
        <v>26</v>
      </c>
      <c r="D28" s="4" t="s">
        <v>33</v>
      </c>
      <c r="E28" s="5">
        <v>506</v>
      </c>
      <c r="F28" s="5">
        <v>471</v>
      </c>
      <c r="G28" s="6">
        <f t="shared" si="5"/>
        <v>-35</v>
      </c>
      <c r="H28" s="7">
        <f t="shared" si="6"/>
        <v>-6.9169960474308304E-2</v>
      </c>
      <c r="I28" s="8">
        <v>626.91580161476361</v>
      </c>
      <c r="J28" s="9">
        <f t="shared" si="7"/>
        <v>583.55206039635107</v>
      </c>
      <c r="K28" s="3">
        <f t="shared" si="8"/>
        <v>-43.363741218412542</v>
      </c>
      <c r="L28" s="7">
        <f t="shared" si="9"/>
        <v>-6.9169960474308359E-2</v>
      </c>
      <c r="M28" t="s">
        <v>7</v>
      </c>
      <c r="O28" s="3">
        <f>E28-'315019 - P0724'!F28</f>
        <v>0</v>
      </c>
      <c r="P28" s="30">
        <f>I28-'315019 - P0724'!J28</f>
        <v>0</v>
      </c>
    </row>
    <row r="29" spans="1:16" x14ac:dyDescent="0.25">
      <c r="A29">
        <v>27</v>
      </c>
      <c r="D29" s="4" t="s">
        <v>34</v>
      </c>
      <c r="E29" s="5">
        <v>451</v>
      </c>
      <c r="F29" s="5">
        <v>431</v>
      </c>
      <c r="G29" s="6">
        <f t="shared" si="5"/>
        <v>-20</v>
      </c>
      <c r="H29" s="7">
        <f t="shared" si="6"/>
        <v>-4.4345898004434593E-2</v>
      </c>
      <c r="I29" s="8">
        <v>579.7567520775624</v>
      </c>
      <c r="J29" s="9">
        <f t="shared" si="7"/>
        <v>554.04691828254852</v>
      </c>
      <c r="K29" s="3">
        <f t="shared" si="8"/>
        <v>-25.709833795013878</v>
      </c>
      <c r="L29" s="7">
        <f t="shared" si="9"/>
        <v>-4.4345898004434635E-2</v>
      </c>
      <c r="M29" t="s">
        <v>7</v>
      </c>
      <c r="O29" s="3">
        <f>E29-'315019 - P0724'!F29</f>
        <v>0</v>
      </c>
      <c r="P29" s="30">
        <f>I29-'315019 - P0724'!J29</f>
        <v>0</v>
      </c>
    </row>
    <row r="30" spans="1:16" x14ac:dyDescent="0.25">
      <c r="A30">
        <v>28</v>
      </c>
      <c r="D30" s="4" t="s">
        <v>35</v>
      </c>
      <c r="E30" s="5">
        <v>556</v>
      </c>
      <c r="F30" s="5">
        <v>526</v>
      </c>
      <c r="G30" s="6">
        <f t="shared" si="5"/>
        <v>-30</v>
      </c>
      <c r="H30" s="7">
        <f t="shared" si="6"/>
        <v>-5.3956834532374098E-2</v>
      </c>
      <c r="I30" s="8">
        <v>703.62404325188231</v>
      </c>
      <c r="J30" s="9">
        <f t="shared" si="7"/>
        <v>665.65871717714049</v>
      </c>
      <c r="K30" s="3">
        <f t="shared" si="8"/>
        <v>-37.965326074741824</v>
      </c>
      <c r="L30" s="7">
        <f t="shared" si="9"/>
        <v>-5.3956834532374064E-2</v>
      </c>
      <c r="M30" t="s">
        <v>7</v>
      </c>
      <c r="O30" s="3">
        <f>E30-'315019 - P0724'!F30</f>
        <v>0</v>
      </c>
      <c r="P30" s="30">
        <f>I30-'315019 - P0724'!J30</f>
        <v>0</v>
      </c>
    </row>
    <row r="31" spans="1:16" x14ac:dyDescent="0.25">
      <c r="A31">
        <v>29</v>
      </c>
      <c r="D31" s="4" t="s">
        <v>36</v>
      </c>
      <c r="E31" s="5">
        <v>556</v>
      </c>
      <c r="F31" s="5">
        <v>526</v>
      </c>
      <c r="G31" s="6">
        <f t="shared" si="5"/>
        <v>-30</v>
      </c>
      <c r="H31" s="7">
        <f t="shared" si="6"/>
        <v>-5.3956834532374098E-2</v>
      </c>
      <c r="I31" s="8">
        <v>664.7091111138858</v>
      </c>
      <c r="J31" s="9">
        <f t="shared" si="7"/>
        <v>628.84351159335233</v>
      </c>
      <c r="K31" s="3">
        <f t="shared" si="8"/>
        <v>-35.865599520533465</v>
      </c>
      <c r="L31" s="7">
        <f t="shared" si="9"/>
        <v>-5.3956834532374189E-2</v>
      </c>
      <c r="M31" t="s">
        <v>7</v>
      </c>
      <c r="O31" s="3">
        <f>E31-'315019 - P0724'!F31</f>
        <v>0</v>
      </c>
      <c r="P31" s="30">
        <f>I31-'315019 - P0724'!J31</f>
        <v>0</v>
      </c>
    </row>
    <row r="32" spans="1:16" x14ac:dyDescent="0.25">
      <c r="A32">
        <v>30</v>
      </c>
      <c r="D32" s="34" t="s">
        <v>37</v>
      </c>
      <c r="H32" s="10">
        <f>AVERAGE(H26:H31)</f>
        <v>-6.3865346768398668E-2</v>
      </c>
      <c r="L32" s="10">
        <f>AVERAGE(L26:L31)</f>
        <v>-6.3865346768398709E-2</v>
      </c>
    </row>
    <row r="33" spans="1:16" x14ac:dyDescent="0.25">
      <c r="A33">
        <v>31</v>
      </c>
      <c r="D33" s="34" t="s">
        <v>38</v>
      </c>
      <c r="M33" t="s">
        <v>7</v>
      </c>
    </row>
    <row r="34" spans="1:16" x14ac:dyDescent="0.25">
      <c r="A34">
        <v>32</v>
      </c>
      <c r="D34" s="4" t="s">
        <v>39</v>
      </c>
      <c r="E34" s="5">
        <v>565</v>
      </c>
      <c r="F34" s="5">
        <v>540</v>
      </c>
      <c r="G34" s="6">
        <f t="shared" ref="G34:G62" si="10">+F34-E34</f>
        <v>-25</v>
      </c>
      <c r="H34" s="7">
        <f t="shared" ref="H34:H62" si="11">(F34-E34)/ABS(E34)</f>
        <v>-4.4247787610619468E-2</v>
      </c>
      <c r="I34" s="8">
        <v>642.44396551724117</v>
      </c>
      <c r="J34" s="9">
        <f t="shared" ref="J34:J62" si="12">(I34*H34)+I34</f>
        <v>614.01724137931012</v>
      </c>
      <c r="K34" s="3">
        <f t="shared" ref="K34:K62" si="13">J34-I34</f>
        <v>-28.426724137931046</v>
      </c>
      <c r="L34" s="7">
        <f t="shared" ref="L34:L62" si="14">(J34-I34)/ABS(I34)</f>
        <v>-4.4247787610619503E-2</v>
      </c>
      <c r="M34" t="s">
        <v>7</v>
      </c>
      <c r="O34" s="3">
        <f>E34-'315019 - P0724'!F34</f>
        <v>0</v>
      </c>
      <c r="P34" s="30">
        <f>I34-'315019 - P0724'!J34</f>
        <v>0</v>
      </c>
    </row>
    <row r="35" spans="1:16" x14ac:dyDescent="0.25">
      <c r="A35">
        <v>33</v>
      </c>
      <c r="D35" s="4" t="s">
        <v>40</v>
      </c>
      <c r="E35" s="8">
        <v>565</v>
      </c>
      <c r="F35" s="8">
        <f>F34</f>
        <v>540</v>
      </c>
      <c r="G35" s="6">
        <f t="shared" si="10"/>
        <v>-25</v>
      </c>
      <c r="H35" s="7">
        <f t="shared" si="11"/>
        <v>-4.4247787610619468E-2</v>
      </c>
      <c r="I35" s="8">
        <v>642.44396551724151</v>
      </c>
      <c r="J35" s="9">
        <f t="shared" si="12"/>
        <v>614.01724137931046</v>
      </c>
      <c r="K35" s="3">
        <f t="shared" si="13"/>
        <v>-28.426724137931046</v>
      </c>
      <c r="L35" s="7">
        <f t="shared" si="14"/>
        <v>-4.4247787610619475E-2</v>
      </c>
      <c r="M35" t="s">
        <v>7</v>
      </c>
      <c r="O35" s="3">
        <f>E35-'315019 - P0724'!F35</f>
        <v>0</v>
      </c>
      <c r="P35" s="30">
        <f>I35-'315019 - P0724'!J35</f>
        <v>0</v>
      </c>
    </row>
    <row r="36" spans="1:16" x14ac:dyDescent="0.25">
      <c r="A36">
        <v>34</v>
      </c>
      <c r="D36" s="4" t="s">
        <v>41</v>
      </c>
      <c r="E36" s="8">
        <v>565</v>
      </c>
      <c r="F36" s="8">
        <f>F34</f>
        <v>540</v>
      </c>
      <c r="G36" s="6">
        <f t="shared" si="10"/>
        <v>-25</v>
      </c>
      <c r="H36" s="7">
        <f t="shared" si="11"/>
        <v>-4.4247787610619468E-2</v>
      </c>
      <c r="I36" s="8">
        <v>642.44396551724151</v>
      </c>
      <c r="J36" s="9">
        <f t="shared" si="12"/>
        <v>614.01724137931046</v>
      </c>
      <c r="K36" s="3">
        <f t="shared" si="13"/>
        <v>-28.426724137931046</v>
      </c>
      <c r="L36" s="7">
        <f t="shared" si="14"/>
        <v>-4.4247787610619475E-2</v>
      </c>
      <c r="M36" t="s">
        <v>7</v>
      </c>
      <c r="O36" s="3">
        <f>E36-'315019 - P0724'!F36</f>
        <v>0</v>
      </c>
      <c r="P36" s="30">
        <f>I36-'315019 - P0724'!J36</f>
        <v>0</v>
      </c>
    </row>
    <row r="37" spans="1:16" x14ac:dyDescent="0.25">
      <c r="A37">
        <v>35</v>
      </c>
      <c r="D37" s="4" t="s">
        <v>42</v>
      </c>
      <c r="E37" s="8">
        <v>565</v>
      </c>
      <c r="F37" s="8">
        <f>F34</f>
        <v>540</v>
      </c>
      <c r="G37" s="6">
        <f t="shared" si="10"/>
        <v>-25</v>
      </c>
      <c r="H37" s="7">
        <f t="shared" si="11"/>
        <v>-4.4247787610619468E-2</v>
      </c>
      <c r="I37" s="8">
        <v>642.44396551724151</v>
      </c>
      <c r="J37" s="9">
        <f t="shared" si="12"/>
        <v>614.01724137931046</v>
      </c>
      <c r="K37" s="3">
        <f t="shared" si="13"/>
        <v>-28.426724137931046</v>
      </c>
      <c r="L37" s="7">
        <f t="shared" si="14"/>
        <v>-4.4247787610619475E-2</v>
      </c>
      <c r="M37" t="s">
        <v>7</v>
      </c>
      <c r="O37" s="3">
        <f>E37-'315019 - P0724'!F37</f>
        <v>0</v>
      </c>
      <c r="P37" s="30">
        <f>I37-'315019 - P0724'!J37</f>
        <v>0</v>
      </c>
    </row>
    <row r="38" spans="1:16" x14ac:dyDescent="0.25">
      <c r="A38">
        <v>36</v>
      </c>
      <c r="D38" s="4" t="s">
        <v>43</v>
      </c>
      <c r="E38" s="8">
        <v>565</v>
      </c>
      <c r="F38" s="8">
        <f>F34</f>
        <v>540</v>
      </c>
      <c r="G38" s="6">
        <f t="shared" si="10"/>
        <v>-25</v>
      </c>
      <c r="H38" s="7">
        <f t="shared" si="11"/>
        <v>-4.4247787610619468E-2</v>
      </c>
      <c r="I38" s="8">
        <v>642.44396551724151</v>
      </c>
      <c r="J38" s="9">
        <f t="shared" si="12"/>
        <v>614.01724137931046</v>
      </c>
      <c r="K38" s="3">
        <f t="shared" si="13"/>
        <v>-28.426724137931046</v>
      </c>
      <c r="L38" s="7">
        <f t="shared" si="14"/>
        <v>-4.4247787610619475E-2</v>
      </c>
      <c r="M38" t="s">
        <v>7</v>
      </c>
      <c r="O38" s="3">
        <f>E38-'315019 - P0724'!F38</f>
        <v>0</v>
      </c>
      <c r="P38" s="30">
        <f>I38-'315019 - P0724'!J38</f>
        <v>0</v>
      </c>
    </row>
    <row r="39" spans="1:16" x14ac:dyDescent="0.25">
      <c r="A39">
        <v>37</v>
      </c>
      <c r="D39" s="4" t="s">
        <v>44</v>
      </c>
      <c r="E39" s="8">
        <v>565</v>
      </c>
      <c r="F39" s="8">
        <f>F34</f>
        <v>540</v>
      </c>
      <c r="G39" s="6">
        <f t="shared" si="10"/>
        <v>-25</v>
      </c>
      <c r="H39" s="7">
        <f t="shared" si="11"/>
        <v>-4.4247787610619468E-2</v>
      </c>
      <c r="I39" s="8">
        <v>642.44396551724151</v>
      </c>
      <c r="J39" s="9">
        <f t="shared" si="12"/>
        <v>614.01724137931046</v>
      </c>
      <c r="K39" s="3">
        <f t="shared" si="13"/>
        <v>-28.426724137931046</v>
      </c>
      <c r="L39" s="7">
        <f t="shared" si="14"/>
        <v>-4.4247787610619475E-2</v>
      </c>
      <c r="M39" t="s">
        <v>7</v>
      </c>
      <c r="O39" s="3">
        <f>E39-'315019 - P0724'!F39</f>
        <v>0</v>
      </c>
      <c r="P39" s="30">
        <f>I39-'315019 - P0724'!J39</f>
        <v>0</v>
      </c>
    </row>
    <row r="40" spans="1:16" x14ac:dyDescent="0.25">
      <c r="A40">
        <v>38</v>
      </c>
      <c r="D40" s="4" t="s">
        <v>45</v>
      </c>
      <c r="E40" s="8">
        <v>565</v>
      </c>
      <c r="F40" s="8">
        <f>F34</f>
        <v>540</v>
      </c>
      <c r="G40" s="6">
        <f t="shared" si="10"/>
        <v>-25</v>
      </c>
      <c r="H40" s="7">
        <f t="shared" si="11"/>
        <v>-4.4247787610619468E-2</v>
      </c>
      <c r="I40" s="8">
        <v>642.44396551724151</v>
      </c>
      <c r="J40" s="9">
        <f t="shared" si="12"/>
        <v>614.01724137931046</v>
      </c>
      <c r="K40" s="3">
        <f t="shared" si="13"/>
        <v>-28.426724137931046</v>
      </c>
      <c r="L40" s="7">
        <f t="shared" si="14"/>
        <v>-4.4247787610619475E-2</v>
      </c>
      <c r="M40" t="s">
        <v>7</v>
      </c>
      <c r="O40" s="3">
        <f>E40-'315019 - P0724'!F40</f>
        <v>0</v>
      </c>
      <c r="P40" s="30">
        <f>I40-'315019 - P0724'!J40</f>
        <v>0</v>
      </c>
    </row>
    <row r="41" spans="1:16" x14ac:dyDescent="0.25">
      <c r="A41">
        <v>39</v>
      </c>
      <c r="D41" s="4" t="s">
        <v>46</v>
      </c>
      <c r="E41" s="8">
        <v>565</v>
      </c>
      <c r="F41" s="8">
        <f>F35</f>
        <v>540</v>
      </c>
      <c r="G41" s="6">
        <f t="shared" si="10"/>
        <v>-25</v>
      </c>
      <c r="H41" s="7">
        <f t="shared" si="11"/>
        <v>-4.4247787610619468E-2</v>
      </c>
      <c r="I41" s="8">
        <v>642.44396551724151</v>
      </c>
      <c r="J41" s="9">
        <f t="shared" si="12"/>
        <v>614.01724137931046</v>
      </c>
      <c r="K41" s="3">
        <f t="shared" si="13"/>
        <v>-28.426724137931046</v>
      </c>
      <c r="L41" s="7">
        <f t="shared" si="14"/>
        <v>-4.4247787610619475E-2</v>
      </c>
      <c r="M41" t="s">
        <v>7</v>
      </c>
      <c r="O41" s="3">
        <f>E41-'315019 - P0724'!F41</f>
        <v>0</v>
      </c>
      <c r="P41" s="30">
        <f>I41-'315019 - P0724'!J41</f>
        <v>0</v>
      </c>
    </row>
    <row r="42" spans="1:16" x14ac:dyDescent="0.25">
      <c r="A42">
        <v>40</v>
      </c>
      <c r="D42" s="4" t="s">
        <v>47</v>
      </c>
      <c r="E42" s="5">
        <v>545</v>
      </c>
      <c r="F42" s="5">
        <v>525</v>
      </c>
      <c r="G42" s="6">
        <f t="shared" si="10"/>
        <v>-20</v>
      </c>
      <c r="H42" s="7">
        <f t="shared" si="11"/>
        <v>-3.669724770642202E-2</v>
      </c>
      <c r="I42" s="8">
        <v>621.50961538461559</v>
      </c>
      <c r="J42" s="9">
        <f t="shared" si="12"/>
        <v>598.70192307692332</v>
      </c>
      <c r="K42" s="3">
        <f t="shared" si="13"/>
        <v>-22.807692307692264</v>
      </c>
      <c r="L42" s="7">
        <f t="shared" si="14"/>
        <v>-3.6697247706421937E-2</v>
      </c>
      <c r="M42" t="s">
        <v>7</v>
      </c>
      <c r="O42" s="3">
        <f>E42-'315019 - P0724'!F42</f>
        <v>0</v>
      </c>
      <c r="P42" s="30">
        <f>I42-'315019 - P0724'!J42</f>
        <v>0</v>
      </c>
    </row>
    <row r="43" spans="1:16" x14ac:dyDescent="0.25">
      <c r="A43">
        <v>41</v>
      </c>
      <c r="D43" s="4" t="s">
        <v>48</v>
      </c>
      <c r="E43" s="8">
        <v>545</v>
      </c>
      <c r="F43" s="8">
        <f>F42</f>
        <v>525</v>
      </c>
      <c r="G43" s="6">
        <f t="shared" si="10"/>
        <v>-20</v>
      </c>
      <c r="H43" s="7">
        <f t="shared" si="11"/>
        <v>-3.669724770642202E-2</v>
      </c>
      <c r="I43" s="8">
        <v>621.50961538461559</v>
      </c>
      <c r="J43" s="9">
        <f t="shared" si="12"/>
        <v>598.70192307692332</v>
      </c>
      <c r="K43" s="3">
        <f t="shared" si="13"/>
        <v>-22.807692307692264</v>
      </c>
      <c r="L43" s="7">
        <f t="shared" si="14"/>
        <v>-3.6697247706421937E-2</v>
      </c>
      <c r="M43" t="s">
        <v>7</v>
      </c>
      <c r="O43" s="3">
        <f>E43-'315019 - P0724'!F43</f>
        <v>0</v>
      </c>
      <c r="P43" s="30">
        <f>I43-'315019 - P0724'!J43</f>
        <v>0</v>
      </c>
    </row>
    <row r="44" spans="1:16" x14ac:dyDescent="0.25">
      <c r="A44">
        <v>42</v>
      </c>
      <c r="D44" s="4" t="s">
        <v>49</v>
      </c>
      <c r="E44" s="8">
        <v>545</v>
      </c>
      <c r="F44" s="8">
        <f>F42</f>
        <v>525</v>
      </c>
      <c r="G44" s="6">
        <f t="shared" si="10"/>
        <v>-20</v>
      </c>
      <c r="H44" s="7">
        <f t="shared" si="11"/>
        <v>-3.669724770642202E-2</v>
      </c>
      <c r="I44" s="8">
        <v>621.50961538461559</v>
      </c>
      <c r="J44" s="9">
        <f t="shared" si="12"/>
        <v>598.70192307692332</v>
      </c>
      <c r="K44" s="3">
        <f t="shared" si="13"/>
        <v>-22.807692307692264</v>
      </c>
      <c r="L44" s="7">
        <f t="shared" si="14"/>
        <v>-3.6697247706421937E-2</v>
      </c>
      <c r="M44" t="s">
        <v>7</v>
      </c>
      <c r="O44" s="3">
        <f>E44-'315019 - P0724'!F44</f>
        <v>0</v>
      </c>
      <c r="P44" s="30">
        <f>I44-'315019 - P0724'!J44</f>
        <v>0</v>
      </c>
    </row>
    <row r="45" spans="1:16" x14ac:dyDescent="0.25">
      <c r="A45">
        <v>43</v>
      </c>
      <c r="D45" s="4" t="s">
        <v>50</v>
      </c>
      <c r="E45" s="8">
        <v>545</v>
      </c>
      <c r="F45" s="8">
        <f>F42</f>
        <v>525</v>
      </c>
      <c r="G45" s="6">
        <f t="shared" si="10"/>
        <v>-20</v>
      </c>
      <c r="H45" s="7">
        <f t="shared" si="11"/>
        <v>-3.669724770642202E-2</v>
      </c>
      <c r="I45" s="8">
        <v>621.50961538461559</v>
      </c>
      <c r="J45" s="9">
        <f t="shared" si="12"/>
        <v>598.70192307692332</v>
      </c>
      <c r="K45" s="3">
        <f t="shared" si="13"/>
        <v>-22.807692307692264</v>
      </c>
      <c r="L45" s="7">
        <f t="shared" si="14"/>
        <v>-3.6697247706421937E-2</v>
      </c>
      <c r="M45" t="s">
        <v>7</v>
      </c>
      <c r="O45" s="3">
        <f>E45-'315019 - P0724'!F45</f>
        <v>0</v>
      </c>
      <c r="P45" s="30">
        <f>I45-'315019 - P0724'!J45</f>
        <v>0</v>
      </c>
    </row>
    <row r="46" spans="1:16" x14ac:dyDescent="0.25">
      <c r="A46">
        <v>44</v>
      </c>
      <c r="D46" s="4" t="s">
        <v>51</v>
      </c>
      <c r="E46" s="8">
        <v>545</v>
      </c>
      <c r="F46" s="8">
        <f>F42</f>
        <v>525</v>
      </c>
      <c r="G46" s="6">
        <f t="shared" si="10"/>
        <v>-20</v>
      </c>
      <c r="H46" s="7">
        <f t="shared" si="11"/>
        <v>-3.669724770642202E-2</v>
      </c>
      <c r="I46" s="8">
        <v>621.50961538461559</v>
      </c>
      <c r="J46" s="9">
        <f t="shared" si="12"/>
        <v>598.70192307692332</v>
      </c>
      <c r="K46" s="3">
        <f t="shared" si="13"/>
        <v>-22.807692307692264</v>
      </c>
      <c r="L46" s="7">
        <f t="shared" si="14"/>
        <v>-3.6697247706421937E-2</v>
      </c>
      <c r="M46" t="s">
        <v>7</v>
      </c>
      <c r="O46" s="3">
        <f>E46-'315019 - P0724'!F46</f>
        <v>0</v>
      </c>
      <c r="P46" s="30">
        <f>I46-'315019 - P0724'!J46</f>
        <v>0</v>
      </c>
    </row>
    <row r="47" spans="1:16" x14ac:dyDescent="0.25">
      <c r="A47">
        <v>45</v>
      </c>
      <c r="D47" s="4" t="s">
        <v>52</v>
      </c>
      <c r="E47" s="8">
        <v>545</v>
      </c>
      <c r="F47" s="8">
        <f>F42</f>
        <v>525</v>
      </c>
      <c r="G47" s="6">
        <f t="shared" si="10"/>
        <v>-20</v>
      </c>
      <c r="H47" s="7">
        <f t="shared" si="11"/>
        <v>-3.669724770642202E-2</v>
      </c>
      <c r="I47" s="8">
        <v>621.50961538461559</v>
      </c>
      <c r="J47" s="9">
        <f t="shared" si="12"/>
        <v>598.70192307692332</v>
      </c>
      <c r="K47" s="3">
        <f t="shared" si="13"/>
        <v>-22.807692307692264</v>
      </c>
      <c r="L47" s="7">
        <f t="shared" si="14"/>
        <v>-3.6697247706421937E-2</v>
      </c>
      <c r="M47" t="s">
        <v>7</v>
      </c>
      <c r="O47" s="3">
        <f>E47-'315019 - P0724'!F47</f>
        <v>0</v>
      </c>
      <c r="P47" s="30">
        <f>I47-'315019 - P0724'!J47</f>
        <v>0</v>
      </c>
    </row>
    <row r="48" spans="1:16" x14ac:dyDescent="0.25">
      <c r="A48">
        <v>46</v>
      </c>
      <c r="D48" s="4" t="s">
        <v>53</v>
      </c>
      <c r="E48" s="8">
        <v>545</v>
      </c>
      <c r="F48" s="8">
        <f>F42</f>
        <v>525</v>
      </c>
      <c r="G48" s="6">
        <f t="shared" si="10"/>
        <v>-20</v>
      </c>
      <c r="H48" s="7">
        <f t="shared" si="11"/>
        <v>-3.669724770642202E-2</v>
      </c>
      <c r="I48" s="8">
        <v>621.50961538461559</v>
      </c>
      <c r="J48" s="9">
        <f t="shared" si="12"/>
        <v>598.70192307692332</v>
      </c>
      <c r="K48" s="3">
        <f t="shared" si="13"/>
        <v>-22.807692307692264</v>
      </c>
      <c r="L48" s="7">
        <f t="shared" si="14"/>
        <v>-3.6697247706421937E-2</v>
      </c>
      <c r="M48" t="s">
        <v>7</v>
      </c>
      <c r="O48" s="3">
        <f>E48-'315019 - P0724'!F48</f>
        <v>0</v>
      </c>
      <c r="P48" s="30">
        <f>I48-'315019 - P0724'!J48</f>
        <v>0</v>
      </c>
    </row>
    <row r="49" spans="1:16" x14ac:dyDescent="0.25">
      <c r="A49">
        <v>47</v>
      </c>
      <c r="D49" s="4" t="s">
        <v>54</v>
      </c>
      <c r="E49" s="8">
        <v>545</v>
      </c>
      <c r="F49" s="8">
        <f>F43</f>
        <v>525</v>
      </c>
      <c r="G49" s="6">
        <f t="shared" si="10"/>
        <v>-20</v>
      </c>
      <c r="H49" s="7">
        <f t="shared" si="11"/>
        <v>-3.669724770642202E-2</v>
      </c>
      <c r="I49" s="8">
        <v>621.50961538461559</v>
      </c>
      <c r="J49" s="9">
        <f t="shared" si="12"/>
        <v>598.70192307692332</v>
      </c>
      <c r="K49" s="3">
        <f t="shared" si="13"/>
        <v>-22.807692307692264</v>
      </c>
      <c r="L49" s="7">
        <f t="shared" si="14"/>
        <v>-3.6697247706421937E-2</v>
      </c>
      <c r="M49" t="s">
        <v>7</v>
      </c>
      <c r="O49" s="3">
        <f>E49-'315019 - P0724'!F49</f>
        <v>0</v>
      </c>
      <c r="P49" s="30">
        <f>I49-'315019 - P0724'!J49</f>
        <v>0</v>
      </c>
    </row>
    <row r="50" spans="1:16" x14ac:dyDescent="0.25">
      <c r="A50">
        <v>48</v>
      </c>
      <c r="D50" s="4" t="s">
        <v>55</v>
      </c>
      <c r="E50" s="5">
        <v>485</v>
      </c>
      <c r="F50" s="5">
        <v>480</v>
      </c>
      <c r="G50" s="6">
        <f t="shared" si="10"/>
        <v>-5</v>
      </c>
      <c r="H50" s="7">
        <f t="shared" si="11"/>
        <v>-1.0309278350515464E-2</v>
      </c>
      <c r="I50" s="8">
        <v>600.39143730886849</v>
      </c>
      <c r="J50" s="9">
        <f t="shared" si="12"/>
        <v>594.20183486238534</v>
      </c>
      <c r="K50" s="3">
        <f t="shared" si="13"/>
        <v>-6.1896024464831498</v>
      </c>
      <c r="L50" s="7">
        <f t="shared" si="14"/>
        <v>-1.0309278350515413E-2</v>
      </c>
      <c r="M50" t="s">
        <v>7</v>
      </c>
      <c r="O50" s="3">
        <f>E50-'315019 - P0724'!F50</f>
        <v>0</v>
      </c>
      <c r="P50" s="30">
        <f>I50-'315019 - P0724'!J50</f>
        <v>0</v>
      </c>
    </row>
    <row r="51" spans="1:16" x14ac:dyDescent="0.25">
      <c r="A51">
        <v>49</v>
      </c>
      <c r="D51" s="4" t="s">
        <v>56</v>
      </c>
      <c r="E51" s="8">
        <v>485</v>
      </c>
      <c r="F51" s="8">
        <f>F50</f>
        <v>480</v>
      </c>
      <c r="G51" s="6">
        <f t="shared" si="10"/>
        <v>-5</v>
      </c>
      <c r="H51" s="7">
        <f t="shared" si="11"/>
        <v>-1.0309278350515464E-2</v>
      </c>
      <c r="I51" s="8">
        <v>600.39143730886849</v>
      </c>
      <c r="J51" s="9">
        <f t="shared" si="12"/>
        <v>594.20183486238534</v>
      </c>
      <c r="K51" s="3">
        <f t="shared" si="13"/>
        <v>-6.1896024464831498</v>
      </c>
      <c r="L51" s="7">
        <f t="shared" si="14"/>
        <v>-1.0309278350515413E-2</v>
      </c>
      <c r="M51" t="s">
        <v>7</v>
      </c>
      <c r="O51" s="3">
        <f>E51-'315019 - P0724'!F51</f>
        <v>0</v>
      </c>
      <c r="P51" s="30">
        <f>I51-'315019 - P0724'!J51</f>
        <v>0</v>
      </c>
    </row>
    <row r="52" spans="1:16" x14ac:dyDescent="0.25">
      <c r="A52">
        <v>50</v>
      </c>
      <c r="D52" s="4" t="s">
        <v>57</v>
      </c>
      <c r="E52" s="8">
        <v>485</v>
      </c>
      <c r="F52" s="8">
        <f>F50</f>
        <v>480</v>
      </c>
      <c r="G52" s="6">
        <f t="shared" si="10"/>
        <v>-5</v>
      </c>
      <c r="H52" s="7">
        <f t="shared" si="11"/>
        <v>-1.0309278350515464E-2</v>
      </c>
      <c r="I52" s="8">
        <v>600.39143730886849</v>
      </c>
      <c r="J52" s="9">
        <f t="shared" si="12"/>
        <v>594.20183486238534</v>
      </c>
      <c r="K52" s="3">
        <f t="shared" si="13"/>
        <v>-6.1896024464831498</v>
      </c>
      <c r="L52" s="7">
        <f t="shared" si="14"/>
        <v>-1.0309278350515413E-2</v>
      </c>
      <c r="M52" t="s">
        <v>7</v>
      </c>
      <c r="O52" s="3">
        <f>E52-'315019 - P0724'!F52</f>
        <v>0</v>
      </c>
      <c r="P52" s="30">
        <f>I52-'315019 - P0724'!J52</f>
        <v>0</v>
      </c>
    </row>
    <row r="53" spans="1:16" x14ac:dyDescent="0.25">
      <c r="A53">
        <v>51</v>
      </c>
      <c r="D53" s="4" t="s">
        <v>58</v>
      </c>
      <c r="E53" s="8">
        <v>485</v>
      </c>
      <c r="F53" s="8">
        <f>F50</f>
        <v>480</v>
      </c>
      <c r="G53" s="6">
        <f t="shared" si="10"/>
        <v>-5</v>
      </c>
      <c r="H53" s="7">
        <f t="shared" si="11"/>
        <v>-1.0309278350515464E-2</v>
      </c>
      <c r="I53" s="8">
        <v>600.39143730886849</v>
      </c>
      <c r="J53" s="9">
        <f t="shared" si="12"/>
        <v>594.20183486238534</v>
      </c>
      <c r="K53" s="3">
        <f t="shared" si="13"/>
        <v>-6.1896024464831498</v>
      </c>
      <c r="L53" s="7">
        <f t="shared" si="14"/>
        <v>-1.0309278350515413E-2</v>
      </c>
      <c r="M53" t="s">
        <v>7</v>
      </c>
      <c r="O53" s="3">
        <f>E53-'315019 - P0724'!F53</f>
        <v>0</v>
      </c>
      <c r="P53" s="30">
        <f>I53-'315019 - P0724'!J53</f>
        <v>0</v>
      </c>
    </row>
    <row r="54" spans="1:16" x14ac:dyDescent="0.25">
      <c r="A54">
        <v>52</v>
      </c>
      <c r="D54" s="4" t="s">
        <v>59</v>
      </c>
      <c r="E54" s="5">
        <v>518</v>
      </c>
      <c r="F54" s="5">
        <v>513</v>
      </c>
      <c r="G54" s="6">
        <f t="shared" si="10"/>
        <v>-5</v>
      </c>
      <c r="H54" s="7">
        <f t="shared" si="11"/>
        <v>-9.6525096525096523E-3</v>
      </c>
      <c r="I54" s="8">
        <v>826.69525959367945</v>
      </c>
      <c r="J54" s="9">
        <f t="shared" si="12"/>
        <v>818.71557562076748</v>
      </c>
      <c r="K54" s="3">
        <f t="shared" si="13"/>
        <v>-7.9796839729119711</v>
      </c>
      <c r="L54" s="7">
        <f t="shared" si="14"/>
        <v>-9.652509652509661E-3</v>
      </c>
      <c r="M54" t="s">
        <v>7</v>
      </c>
      <c r="O54" s="3">
        <f>E54-'315019 - P0724'!F54</f>
        <v>0</v>
      </c>
      <c r="P54" s="30">
        <f>I54-'315019 - P0724'!J54</f>
        <v>0</v>
      </c>
    </row>
    <row r="55" spans="1:16" x14ac:dyDescent="0.25">
      <c r="A55">
        <v>53</v>
      </c>
      <c r="D55" s="4" t="s">
        <v>60</v>
      </c>
      <c r="E55" s="8">
        <v>518</v>
      </c>
      <c r="F55" s="8">
        <f>F54</f>
        <v>513</v>
      </c>
      <c r="G55" s="6">
        <f t="shared" si="10"/>
        <v>-5</v>
      </c>
      <c r="H55" s="7">
        <f t="shared" si="11"/>
        <v>-9.6525096525096523E-3</v>
      </c>
      <c r="I55" s="8">
        <v>826.69525959367945</v>
      </c>
      <c r="J55" s="9">
        <f t="shared" si="12"/>
        <v>818.71557562076748</v>
      </c>
      <c r="K55" s="3">
        <f t="shared" si="13"/>
        <v>-7.9796839729119711</v>
      </c>
      <c r="L55" s="7">
        <f t="shared" si="14"/>
        <v>-9.652509652509661E-3</v>
      </c>
      <c r="M55" t="s">
        <v>7</v>
      </c>
      <c r="O55" s="3">
        <f>E55-'315019 - P0724'!F55</f>
        <v>0</v>
      </c>
      <c r="P55" s="30">
        <f>I55-'315019 - P0724'!J55</f>
        <v>0</v>
      </c>
    </row>
    <row r="56" spans="1:16" x14ac:dyDescent="0.25">
      <c r="A56">
        <v>54</v>
      </c>
      <c r="D56" s="4" t="s">
        <v>61</v>
      </c>
      <c r="E56" s="8">
        <v>518</v>
      </c>
      <c r="F56" s="8">
        <f>F54</f>
        <v>513</v>
      </c>
      <c r="G56" s="6">
        <f t="shared" si="10"/>
        <v>-5</v>
      </c>
      <c r="H56" s="7">
        <f t="shared" si="11"/>
        <v>-9.6525096525096523E-3</v>
      </c>
      <c r="I56" s="8">
        <v>826.69525959367945</v>
      </c>
      <c r="J56" s="9">
        <f t="shared" si="12"/>
        <v>818.71557562076748</v>
      </c>
      <c r="K56" s="3">
        <f t="shared" si="13"/>
        <v>-7.9796839729119711</v>
      </c>
      <c r="L56" s="7">
        <f t="shared" si="14"/>
        <v>-9.652509652509661E-3</v>
      </c>
      <c r="M56" t="s">
        <v>7</v>
      </c>
      <c r="O56" s="3">
        <f>E56-'315019 - P0724'!F56</f>
        <v>0</v>
      </c>
      <c r="P56" s="30">
        <f>I56-'315019 - P0724'!J56</f>
        <v>0</v>
      </c>
    </row>
    <row r="57" spans="1:16" x14ac:dyDescent="0.25">
      <c r="A57">
        <v>55</v>
      </c>
      <c r="D57" s="4" t="s">
        <v>62</v>
      </c>
      <c r="E57" s="8">
        <v>518</v>
      </c>
      <c r="F57" s="8">
        <f>F54</f>
        <v>513</v>
      </c>
      <c r="G57" s="6">
        <f t="shared" si="10"/>
        <v>-5</v>
      </c>
      <c r="H57" s="7">
        <f t="shared" si="11"/>
        <v>-9.6525096525096523E-3</v>
      </c>
      <c r="I57" s="8">
        <v>826.69525959367945</v>
      </c>
      <c r="J57" s="9">
        <f t="shared" si="12"/>
        <v>818.71557562076748</v>
      </c>
      <c r="K57" s="3">
        <f t="shared" si="13"/>
        <v>-7.9796839729119711</v>
      </c>
      <c r="L57" s="7">
        <f t="shared" si="14"/>
        <v>-9.652509652509661E-3</v>
      </c>
      <c r="M57" t="s">
        <v>7</v>
      </c>
      <c r="O57" s="3">
        <f>E57-'315019 - P0724'!F57</f>
        <v>0</v>
      </c>
      <c r="P57" s="30">
        <f>I57-'315019 - P0724'!J57</f>
        <v>0</v>
      </c>
    </row>
    <row r="58" spans="1:16" x14ac:dyDescent="0.25">
      <c r="A58">
        <v>56</v>
      </c>
      <c r="D58" s="4" t="s">
        <v>63</v>
      </c>
      <c r="E58" s="8">
        <v>518</v>
      </c>
      <c r="F58" s="8">
        <f>F54</f>
        <v>513</v>
      </c>
      <c r="G58" s="6">
        <f t="shared" si="10"/>
        <v>-5</v>
      </c>
      <c r="H58" s="7">
        <f t="shared" si="11"/>
        <v>-9.6525096525096523E-3</v>
      </c>
      <c r="I58" s="8">
        <v>826.69525959367945</v>
      </c>
      <c r="J58" s="9">
        <f t="shared" si="12"/>
        <v>818.71557562076748</v>
      </c>
      <c r="K58" s="3">
        <f t="shared" si="13"/>
        <v>-7.9796839729119711</v>
      </c>
      <c r="L58" s="7">
        <f t="shared" si="14"/>
        <v>-9.652509652509661E-3</v>
      </c>
      <c r="M58" t="s">
        <v>7</v>
      </c>
      <c r="O58" s="3">
        <f>E58-'315019 - P0724'!F58</f>
        <v>0</v>
      </c>
      <c r="P58" s="30">
        <f>I58-'315019 - P0724'!J58</f>
        <v>0</v>
      </c>
    </row>
    <row r="59" spans="1:16" x14ac:dyDescent="0.25">
      <c r="A59">
        <v>57</v>
      </c>
      <c r="D59" s="4" t="s">
        <v>64</v>
      </c>
      <c r="E59" s="5">
        <v>513</v>
      </c>
      <c r="F59" s="5">
        <v>513</v>
      </c>
      <c r="G59" s="6">
        <f t="shared" si="10"/>
        <v>0</v>
      </c>
      <c r="H59" s="7">
        <f t="shared" si="11"/>
        <v>0</v>
      </c>
      <c r="I59" s="8">
        <v>737.07992565055758</v>
      </c>
      <c r="J59" s="9">
        <f t="shared" si="12"/>
        <v>737.07992565055758</v>
      </c>
      <c r="K59" s="3">
        <f t="shared" si="13"/>
        <v>0</v>
      </c>
      <c r="L59" s="7">
        <f t="shared" si="14"/>
        <v>0</v>
      </c>
      <c r="M59" t="s">
        <v>7</v>
      </c>
      <c r="O59" s="3">
        <f>E59-'315019 - P0724'!F59</f>
        <v>0</v>
      </c>
      <c r="P59" s="30">
        <f>I59-'315019 - P0724'!J59</f>
        <v>0</v>
      </c>
    </row>
    <row r="60" spans="1:16" x14ac:dyDescent="0.25">
      <c r="A60">
        <v>58</v>
      </c>
      <c r="D60" s="4" t="s">
        <v>65</v>
      </c>
      <c r="E60" s="8">
        <v>513</v>
      </c>
      <c r="F60" s="8">
        <f>F59</f>
        <v>513</v>
      </c>
      <c r="G60" s="6">
        <f t="shared" si="10"/>
        <v>0</v>
      </c>
      <c r="H60" s="7">
        <f t="shared" si="11"/>
        <v>0</v>
      </c>
      <c r="I60" s="8">
        <v>737.07992565055758</v>
      </c>
      <c r="J60" s="9">
        <f t="shared" si="12"/>
        <v>737.07992565055758</v>
      </c>
      <c r="K60" s="3">
        <f t="shared" si="13"/>
        <v>0</v>
      </c>
      <c r="L60" s="7">
        <f t="shared" si="14"/>
        <v>0</v>
      </c>
      <c r="M60" t="s">
        <v>7</v>
      </c>
      <c r="O60" s="3">
        <f>E60-'315019 - P0724'!F60</f>
        <v>0</v>
      </c>
      <c r="P60" s="30">
        <f>I60-'315019 - P0724'!J60</f>
        <v>0</v>
      </c>
    </row>
    <row r="61" spans="1:16" x14ac:dyDescent="0.25">
      <c r="A61">
        <v>59</v>
      </c>
      <c r="D61" s="4" t="s">
        <v>66</v>
      </c>
      <c r="E61" s="8">
        <v>513</v>
      </c>
      <c r="F61" s="8">
        <f>F59</f>
        <v>513</v>
      </c>
      <c r="G61" s="6">
        <f t="shared" si="10"/>
        <v>0</v>
      </c>
      <c r="H61" s="7">
        <f t="shared" si="11"/>
        <v>0</v>
      </c>
      <c r="I61" s="8">
        <v>737.07992565055758</v>
      </c>
      <c r="J61" s="9">
        <f t="shared" si="12"/>
        <v>737.07992565055758</v>
      </c>
      <c r="K61" s="3">
        <f t="shared" si="13"/>
        <v>0</v>
      </c>
      <c r="L61" s="7">
        <f t="shared" si="14"/>
        <v>0</v>
      </c>
      <c r="M61" t="s">
        <v>7</v>
      </c>
      <c r="O61" s="3">
        <f>E61-'315019 - P0724'!F61</f>
        <v>0</v>
      </c>
      <c r="P61" s="30">
        <f>I61-'315019 - P0724'!J61</f>
        <v>0</v>
      </c>
    </row>
    <row r="62" spans="1:16" x14ac:dyDescent="0.25">
      <c r="A62">
        <v>60</v>
      </c>
      <c r="D62" s="4" t="s">
        <v>67</v>
      </c>
      <c r="E62" s="8">
        <v>513</v>
      </c>
      <c r="F62" s="8">
        <f>F59</f>
        <v>513</v>
      </c>
      <c r="G62" s="6">
        <f t="shared" si="10"/>
        <v>0</v>
      </c>
      <c r="H62" s="7">
        <f t="shared" si="11"/>
        <v>0</v>
      </c>
      <c r="I62" s="8">
        <v>737.07992565055758</v>
      </c>
      <c r="J62" s="9">
        <f t="shared" si="12"/>
        <v>737.07992565055758</v>
      </c>
      <c r="K62" s="3">
        <f t="shared" si="13"/>
        <v>0</v>
      </c>
      <c r="L62" s="7">
        <f t="shared" si="14"/>
        <v>0</v>
      </c>
      <c r="M62" t="s">
        <v>7</v>
      </c>
      <c r="O62" s="3">
        <f>E62-'315019 - P0724'!F62</f>
        <v>0</v>
      </c>
      <c r="P62" s="30">
        <f>I62-'315019 - P0724'!J62</f>
        <v>0</v>
      </c>
    </row>
    <row r="63" spans="1:16" x14ac:dyDescent="0.25">
      <c r="A63">
        <v>61</v>
      </c>
      <c r="D63" s="2"/>
      <c r="G63" s="6"/>
      <c r="H63" s="10">
        <f>AVERAGE(H34:H62)</f>
        <v>-2.5415860144860067E-2</v>
      </c>
      <c r="J63" s="3"/>
      <c r="K63" s="3"/>
      <c r="L63" s="10">
        <f>AVERAGE(L34:L62)</f>
        <v>-2.5415860144860036E-2</v>
      </c>
    </row>
    <row r="64" spans="1:16" x14ac:dyDescent="0.25">
      <c r="A64">
        <v>62</v>
      </c>
      <c r="D64" s="34" t="s">
        <v>68</v>
      </c>
      <c r="G64" s="6"/>
      <c r="H64" s="7"/>
      <c r="J64" s="3"/>
      <c r="K64" s="3"/>
      <c r="L64" s="7"/>
    </row>
    <row r="65" spans="1:16" x14ac:dyDescent="0.25">
      <c r="A65">
        <v>63</v>
      </c>
      <c r="D65" s="4" t="s">
        <v>69</v>
      </c>
      <c r="E65" s="5">
        <v>530</v>
      </c>
      <c r="F65" s="5">
        <v>520</v>
      </c>
      <c r="G65" s="6">
        <f t="shared" ref="G65:G71" si="15">+F65-E65</f>
        <v>-10</v>
      </c>
      <c r="H65" s="7">
        <f t="shared" ref="H65:H71" si="16">(F65-E65)/ABS(E65)</f>
        <v>-1.8867924528301886E-2</v>
      </c>
      <c r="I65" s="8">
        <v>646.4262295081968</v>
      </c>
      <c r="J65" s="9">
        <f t="shared" ref="J65:J90" si="17">(I65*H65)+I65</f>
        <v>634.22950819672144</v>
      </c>
      <c r="K65" s="3">
        <f t="shared" ref="K65:K71" si="18">J65-I65</f>
        <v>-12.196721311475358</v>
      </c>
      <c r="L65" s="7">
        <f t="shared" ref="L65:L71" si="19">(J65-I65)/ABS(I65)</f>
        <v>-1.8867924528301803E-2</v>
      </c>
      <c r="M65" t="s">
        <v>7</v>
      </c>
      <c r="O65" s="3">
        <f>E65-'315019 - P0724'!F65</f>
        <v>0</v>
      </c>
      <c r="P65" s="30">
        <f>I65-'315019 - P0724'!J65</f>
        <v>0</v>
      </c>
    </row>
    <row r="66" spans="1:16" x14ac:dyDescent="0.25">
      <c r="A66">
        <v>64</v>
      </c>
      <c r="D66" s="4" t="s">
        <v>70</v>
      </c>
      <c r="E66" s="8">
        <v>530</v>
      </c>
      <c r="F66" s="8">
        <f>F65</f>
        <v>520</v>
      </c>
      <c r="G66" s="6">
        <f t="shared" si="15"/>
        <v>-10</v>
      </c>
      <c r="H66" s="7">
        <f t="shared" si="16"/>
        <v>-1.8867924528301886E-2</v>
      </c>
      <c r="I66" s="8">
        <v>646.4262295081968</v>
      </c>
      <c r="J66" s="9">
        <f t="shared" si="17"/>
        <v>634.22950819672144</v>
      </c>
      <c r="K66" s="3">
        <f t="shared" si="18"/>
        <v>-12.196721311475358</v>
      </c>
      <c r="L66" s="7">
        <f t="shared" si="19"/>
        <v>-1.8867924528301803E-2</v>
      </c>
      <c r="M66" t="s">
        <v>7</v>
      </c>
      <c r="O66" s="3">
        <f>E66-'315019 - P0724'!F66</f>
        <v>0</v>
      </c>
      <c r="P66" s="30">
        <f>I66-'315019 - P0724'!J66</f>
        <v>0</v>
      </c>
    </row>
    <row r="67" spans="1:16" x14ac:dyDescent="0.25">
      <c r="A67">
        <v>65</v>
      </c>
      <c r="D67" s="4" t="s">
        <v>71</v>
      </c>
      <c r="E67" s="8">
        <v>530</v>
      </c>
      <c r="F67" s="8">
        <f>F65</f>
        <v>520</v>
      </c>
      <c r="G67" s="6">
        <f t="shared" si="15"/>
        <v>-10</v>
      </c>
      <c r="H67" s="7">
        <f t="shared" si="16"/>
        <v>-1.8867924528301886E-2</v>
      </c>
      <c r="I67" s="8">
        <v>646.4262295081968</v>
      </c>
      <c r="J67" s="9">
        <f t="shared" si="17"/>
        <v>634.22950819672144</v>
      </c>
      <c r="K67" s="3">
        <f t="shared" si="18"/>
        <v>-12.196721311475358</v>
      </c>
      <c r="L67" s="7">
        <f t="shared" si="19"/>
        <v>-1.8867924528301803E-2</v>
      </c>
      <c r="M67" t="s">
        <v>7</v>
      </c>
      <c r="O67" s="3">
        <f>E67-'315019 - P0724'!F67</f>
        <v>0</v>
      </c>
      <c r="P67" s="30">
        <f>I67-'315019 - P0724'!J67</f>
        <v>0</v>
      </c>
    </row>
    <row r="68" spans="1:16" x14ac:dyDescent="0.25">
      <c r="A68">
        <v>66</v>
      </c>
      <c r="D68" s="4" t="s">
        <v>72</v>
      </c>
      <c r="E68" s="8">
        <v>530</v>
      </c>
      <c r="F68" s="8">
        <f>F65</f>
        <v>520</v>
      </c>
      <c r="G68" s="6">
        <f t="shared" si="15"/>
        <v>-10</v>
      </c>
      <c r="H68" s="7">
        <f t="shared" si="16"/>
        <v>-1.8867924528301886E-2</v>
      </c>
      <c r="I68" s="8">
        <v>646.4262295081968</v>
      </c>
      <c r="J68" s="9">
        <f t="shared" si="17"/>
        <v>634.22950819672144</v>
      </c>
      <c r="K68" s="3">
        <f t="shared" si="18"/>
        <v>-12.196721311475358</v>
      </c>
      <c r="L68" s="7">
        <f t="shared" si="19"/>
        <v>-1.8867924528301803E-2</v>
      </c>
      <c r="M68" t="s">
        <v>7</v>
      </c>
      <c r="O68" s="3">
        <f>E68-'315019 - P0724'!F68</f>
        <v>0</v>
      </c>
      <c r="P68" s="30">
        <f>I68-'315019 - P0724'!J68</f>
        <v>0</v>
      </c>
    </row>
    <row r="69" spans="1:16" x14ac:dyDescent="0.25">
      <c r="A69">
        <v>67</v>
      </c>
      <c r="D69" s="4" t="s">
        <v>73</v>
      </c>
      <c r="E69" s="8">
        <v>530</v>
      </c>
      <c r="F69" s="8">
        <f>F65</f>
        <v>520</v>
      </c>
      <c r="G69" s="6">
        <f t="shared" si="15"/>
        <v>-10</v>
      </c>
      <c r="H69" s="7">
        <f t="shared" si="16"/>
        <v>-1.8867924528301886E-2</v>
      </c>
      <c r="I69" s="8">
        <v>646.4262295081968</v>
      </c>
      <c r="J69" s="9">
        <f t="shared" si="17"/>
        <v>634.22950819672144</v>
      </c>
      <c r="K69" s="3">
        <f t="shared" si="18"/>
        <v>-12.196721311475358</v>
      </c>
      <c r="L69" s="7">
        <f t="shared" si="19"/>
        <v>-1.8867924528301803E-2</v>
      </c>
      <c r="M69" t="s">
        <v>7</v>
      </c>
      <c r="O69" s="3">
        <f>E69-'315019 - P0724'!F69</f>
        <v>0</v>
      </c>
      <c r="P69" s="30">
        <f>I69-'315019 - P0724'!J69</f>
        <v>0</v>
      </c>
    </row>
    <row r="70" spans="1:16" x14ac:dyDescent="0.25">
      <c r="A70">
        <v>68</v>
      </c>
      <c r="D70" s="4" t="s">
        <v>74</v>
      </c>
      <c r="E70" s="8">
        <v>530</v>
      </c>
      <c r="F70" s="8">
        <f>F65</f>
        <v>520</v>
      </c>
      <c r="G70" s="6">
        <f t="shared" si="15"/>
        <v>-10</v>
      </c>
      <c r="H70" s="7">
        <f t="shared" si="16"/>
        <v>-1.8867924528301886E-2</v>
      </c>
      <c r="I70" s="8">
        <v>646.4262295081968</v>
      </c>
      <c r="J70" s="9">
        <f t="shared" si="17"/>
        <v>634.22950819672144</v>
      </c>
      <c r="K70" s="3">
        <f t="shared" si="18"/>
        <v>-12.196721311475358</v>
      </c>
      <c r="L70" s="7">
        <f t="shared" si="19"/>
        <v>-1.8867924528301803E-2</v>
      </c>
      <c r="M70" t="s">
        <v>7</v>
      </c>
      <c r="O70" s="3">
        <f>E70-'315019 - P0724'!F70</f>
        <v>0</v>
      </c>
      <c r="P70" s="30">
        <f>I70-'315019 - P0724'!J70</f>
        <v>0</v>
      </c>
    </row>
    <row r="71" spans="1:16" x14ac:dyDescent="0.25">
      <c r="A71">
        <v>69</v>
      </c>
      <c r="D71" s="4" t="s">
        <v>75</v>
      </c>
      <c r="E71" s="8">
        <v>530</v>
      </c>
      <c r="F71" s="8">
        <f>F67</f>
        <v>520</v>
      </c>
      <c r="G71" s="6">
        <f t="shared" si="15"/>
        <v>-10</v>
      </c>
      <c r="H71" s="7">
        <f t="shared" si="16"/>
        <v>-1.8867924528301886E-2</v>
      </c>
      <c r="I71" s="8">
        <v>646.4262295081968</v>
      </c>
      <c r="J71" s="9">
        <f t="shared" si="17"/>
        <v>634.22950819672144</v>
      </c>
      <c r="K71" s="3">
        <f t="shared" si="18"/>
        <v>-12.196721311475358</v>
      </c>
      <c r="L71" s="7">
        <f t="shared" si="19"/>
        <v>-1.8867924528301803E-2</v>
      </c>
      <c r="M71" t="s">
        <v>7</v>
      </c>
      <c r="O71" s="3">
        <f>E71-'315019 - P0724'!F71</f>
        <v>0</v>
      </c>
      <c r="P71" s="30">
        <f>I71-'315019 - P0724'!J71</f>
        <v>0</v>
      </c>
    </row>
    <row r="72" spans="1:16" x14ac:dyDescent="0.25">
      <c r="A72">
        <v>70</v>
      </c>
      <c r="D72" s="4" t="s">
        <v>76</v>
      </c>
      <c r="E72" s="5">
        <v>673</v>
      </c>
      <c r="F72" s="5">
        <v>663</v>
      </c>
      <c r="G72" s="6">
        <f>+F72-E72</f>
        <v>-10</v>
      </c>
      <c r="H72" s="7">
        <f>(F72-E72)/ABS(E72)</f>
        <v>-1.4858841010401188E-2</v>
      </c>
      <c r="I72" s="8">
        <v>943.97227997227981</v>
      </c>
      <c r="J72" s="9">
        <f t="shared" si="17"/>
        <v>929.94594594594582</v>
      </c>
      <c r="K72" s="3">
        <f>J72-I72</f>
        <v>-14.026334026333984</v>
      </c>
      <c r="L72" s="7">
        <f>(J72-I72)/ABS(I72)</f>
        <v>-1.4858841010401146E-2</v>
      </c>
      <c r="M72" t="s">
        <v>7</v>
      </c>
      <c r="O72" s="3">
        <f>E72-'315019 - P0724'!F72</f>
        <v>0</v>
      </c>
      <c r="P72" s="30">
        <f>I72-'315019 - P0724'!J72</f>
        <v>0</v>
      </c>
    </row>
    <row r="73" spans="1:16" x14ac:dyDescent="0.25">
      <c r="A73">
        <v>71</v>
      </c>
      <c r="D73" s="4" t="s">
        <v>77</v>
      </c>
      <c r="E73" s="8">
        <v>673</v>
      </c>
      <c r="F73" s="8">
        <f>F72</f>
        <v>663</v>
      </c>
      <c r="G73" s="6">
        <f>+F73-E73</f>
        <v>-10</v>
      </c>
      <c r="H73" s="7">
        <f>(F73-E73)/ABS(E73)</f>
        <v>-1.4858841010401188E-2</v>
      </c>
      <c r="I73" s="8">
        <v>943.97227997227981</v>
      </c>
      <c r="J73" s="9">
        <f t="shared" si="17"/>
        <v>929.94594594594582</v>
      </c>
      <c r="K73" s="3">
        <f>J73-I73</f>
        <v>-14.026334026333984</v>
      </c>
      <c r="L73" s="7">
        <f>(J73-I73)/ABS(I73)</f>
        <v>-1.4858841010401146E-2</v>
      </c>
      <c r="M73" t="s">
        <v>7</v>
      </c>
      <c r="O73" s="3">
        <f>E73-'315019 - P0724'!F73</f>
        <v>0</v>
      </c>
      <c r="P73" s="30">
        <f>I73-'315019 - P0724'!J73</f>
        <v>0</v>
      </c>
    </row>
    <row r="74" spans="1:16" x14ac:dyDescent="0.25">
      <c r="A74">
        <v>72</v>
      </c>
      <c r="D74" s="4" t="s">
        <v>78</v>
      </c>
      <c r="E74" s="8">
        <v>673</v>
      </c>
      <c r="F74" s="8">
        <f>F72</f>
        <v>663</v>
      </c>
      <c r="G74" s="6">
        <f>+F74-E74</f>
        <v>-10</v>
      </c>
      <c r="H74" s="7">
        <f>(F74-E74)/ABS(E74)</f>
        <v>-1.4858841010401188E-2</v>
      </c>
      <c r="I74" s="8">
        <v>943.97227997227981</v>
      </c>
      <c r="J74" s="9">
        <f t="shared" si="17"/>
        <v>929.94594594594582</v>
      </c>
      <c r="K74" s="3">
        <f>J74-I74</f>
        <v>-14.026334026333984</v>
      </c>
      <c r="L74" s="7">
        <f>(J74-I74)/ABS(I74)</f>
        <v>-1.4858841010401146E-2</v>
      </c>
      <c r="M74" t="s">
        <v>7</v>
      </c>
      <c r="O74" s="3">
        <f>E74-'315019 - P0724'!F74</f>
        <v>0</v>
      </c>
      <c r="P74" s="30">
        <f>I74-'315019 - P0724'!J74</f>
        <v>0</v>
      </c>
    </row>
    <row r="75" spans="1:16" x14ac:dyDescent="0.25">
      <c r="A75">
        <v>73</v>
      </c>
      <c r="D75" s="4" t="s">
        <v>79</v>
      </c>
      <c r="E75" s="8">
        <v>673</v>
      </c>
      <c r="F75" s="8">
        <f>F72</f>
        <v>663</v>
      </c>
      <c r="G75" s="6">
        <f>+F75-E75</f>
        <v>-10</v>
      </c>
      <c r="H75" s="7">
        <f>(F75-E75)/ABS(E75)</f>
        <v>-1.4858841010401188E-2</v>
      </c>
      <c r="I75" s="8">
        <v>943.97227997227981</v>
      </c>
      <c r="J75" s="9">
        <f t="shared" si="17"/>
        <v>929.94594594594582</v>
      </c>
      <c r="K75" s="3">
        <f>J75-I75</f>
        <v>-14.026334026333984</v>
      </c>
      <c r="L75" s="7">
        <f>(J75-I75)/ABS(I75)</f>
        <v>-1.4858841010401146E-2</v>
      </c>
      <c r="M75" t="s">
        <v>7</v>
      </c>
      <c r="O75" s="3">
        <f>E75-'315019 - P0724'!F75</f>
        <v>0</v>
      </c>
      <c r="P75" s="30">
        <f>I75-'315019 - P0724'!J75</f>
        <v>0</v>
      </c>
    </row>
    <row r="76" spans="1:16" x14ac:dyDescent="0.25">
      <c r="A76">
        <v>74</v>
      </c>
      <c r="D76" s="4" t="s">
        <v>80</v>
      </c>
      <c r="E76" s="8">
        <v>673</v>
      </c>
      <c r="F76" s="8">
        <f>F72</f>
        <v>663</v>
      </c>
      <c r="G76" s="6">
        <f>+F76-E76</f>
        <v>-10</v>
      </c>
      <c r="H76" s="7">
        <f>(F76-E76)/ABS(E76)</f>
        <v>-1.4858841010401188E-2</v>
      </c>
      <c r="I76" s="8">
        <v>943.97227997227981</v>
      </c>
      <c r="J76" s="9">
        <f t="shared" si="17"/>
        <v>929.94594594594582</v>
      </c>
      <c r="K76" s="3">
        <f>J76-I76</f>
        <v>-14.026334026333984</v>
      </c>
      <c r="L76" s="7">
        <f>(J76-I76)/ABS(I76)</f>
        <v>-1.4858841010401146E-2</v>
      </c>
      <c r="M76" t="s">
        <v>7</v>
      </c>
      <c r="O76" s="3">
        <f>E76-'315019 - P0724'!F76</f>
        <v>0</v>
      </c>
      <c r="P76" s="30">
        <f>I76-'315019 - P0724'!J76</f>
        <v>0</v>
      </c>
    </row>
    <row r="77" spans="1:16" x14ac:dyDescent="0.25">
      <c r="A77">
        <v>75</v>
      </c>
      <c r="D77" s="4" t="s">
        <v>81</v>
      </c>
      <c r="E77" s="8">
        <v>673</v>
      </c>
      <c r="F77" s="8">
        <f t="shared" ref="F77" si="20">F74</f>
        <v>663</v>
      </c>
      <c r="G77" s="6">
        <f t="shared" ref="G77" si="21">+F77-E77</f>
        <v>-10</v>
      </c>
      <c r="H77" s="7">
        <f t="shared" ref="H77" si="22">(F77-E77)/ABS(E77)</f>
        <v>-1.4858841010401188E-2</v>
      </c>
      <c r="I77" s="8">
        <v>943.97227997227981</v>
      </c>
      <c r="J77" s="9">
        <f t="shared" si="17"/>
        <v>929.94594594594582</v>
      </c>
      <c r="K77" s="3">
        <f t="shared" ref="K77" si="23">J77-I77</f>
        <v>-14.026334026333984</v>
      </c>
      <c r="L77" s="7">
        <f t="shared" ref="L77" si="24">(J77-I77)/ABS(I77)</f>
        <v>-1.4858841010401146E-2</v>
      </c>
      <c r="M77" t="s">
        <v>7</v>
      </c>
      <c r="O77" s="3">
        <f>E77-'315019 - P0724'!F77</f>
        <v>0</v>
      </c>
      <c r="P77" s="30">
        <f>I77-'315019 - P0724'!J77</f>
        <v>0</v>
      </c>
    </row>
    <row r="78" spans="1:16" x14ac:dyDescent="0.25">
      <c r="A78">
        <v>76</v>
      </c>
      <c r="D78" s="4" t="s">
        <v>82</v>
      </c>
      <c r="E78" s="5">
        <v>728</v>
      </c>
      <c r="F78" s="5">
        <v>720</v>
      </c>
      <c r="G78" s="6">
        <f>+F78-E78</f>
        <v>-8</v>
      </c>
      <c r="H78" s="7">
        <f>(F78-E78)/ABS(E78)</f>
        <v>-1.098901098901099E-2</v>
      </c>
      <c r="I78" s="8">
        <v>921.62513089005245</v>
      </c>
      <c r="J78" s="9">
        <f t="shared" si="17"/>
        <v>911.49738219895301</v>
      </c>
      <c r="K78" s="3">
        <f>J78-I78</f>
        <v>-10.127748691099441</v>
      </c>
      <c r="L78" s="7">
        <f>(J78-I78)/ABS(I78)</f>
        <v>-1.098901098901095E-2</v>
      </c>
      <c r="M78" t="s">
        <v>7</v>
      </c>
      <c r="O78" s="3">
        <f>E78-'315019 - P0724'!F78</f>
        <v>0</v>
      </c>
      <c r="P78" s="30">
        <f>I78-'315019 - P0724'!J78</f>
        <v>0</v>
      </c>
    </row>
    <row r="79" spans="1:16" x14ac:dyDescent="0.25">
      <c r="A79">
        <v>77</v>
      </c>
      <c r="D79" s="4" t="s">
        <v>83</v>
      </c>
      <c r="E79" s="8">
        <v>728</v>
      </c>
      <c r="F79" s="8">
        <f>F78</f>
        <v>720</v>
      </c>
      <c r="G79" s="6">
        <f>+F79-E79</f>
        <v>-8</v>
      </c>
      <c r="H79" s="7">
        <f>(F79-E79)/ABS(E79)</f>
        <v>-1.098901098901099E-2</v>
      </c>
      <c r="I79" s="8">
        <v>921.62513089005245</v>
      </c>
      <c r="J79" s="9">
        <f t="shared" si="17"/>
        <v>911.49738219895301</v>
      </c>
      <c r="K79" s="3">
        <f>J79-I79</f>
        <v>-10.127748691099441</v>
      </c>
      <c r="L79" s="7">
        <f>(J79-I79)/ABS(I79)</f>
        <v>-1.098901098901095E-2</v>
      </c>
      <c r="M79" t="s">
        <v>7</v>
      </c>
      <c r="O79" s="3">
        <f>E79-'315019 - P0724'!F79</f>
        <v>0</v>
      </c>
      <c r="P79" s="30">
        <f>I79-'315019 - P0724'!J79</f>
        <v>0</v>
      </c>
    </row>
    <row r="80" spans="1:16" x14ac:dyDescent="0.25">
      <c r="A80">
        <v>78</v>
      </c>
      <c r="D80" s="4" t="s">
        <v>84</v>
      </c>
      <c r="E80" s="8">
        <v>728</v>
      </c>
      <c r="F80" s="8">
        <f>F78</f>
        <v>720</v>
      </c>
      <c r="G80" s="6">
        <f>+F80-E80</f>
        <v>-8</v>
      </c>
      <c r="H80" s="7">
        <f>(F80-E80)/ABS(E80)</f>
        <v>-1.098901098901099E-2</v>
      </c>
      <c r="I80" s="8">
        <v>921.62513089005245</v>
      </c>
      <c r="J80" s="9">
        <f t="shared" si="17"/>
        <v>911.49738219895301</v>
      </c>
      <c r="K80" s="3">
        <f>J80-I80</f>
        <v>-10.127748691099441</v>
      </c>
      <c r="L80" s="7">
        <f>(J80-I80)/ABS(I80)</f>
        <v>-1.098901098901095E-2</v>
      </c>
      <c r="M80" t="s">
        <v>7</v>
      </c>
      <c r="O80" s="3">
        <f>E80-'315019 - P0724'!F80</f>
        <v>0</v>
      </c>
      <c r="P80" s="30">
        <f>I80-'315019 - P0724'!J80</f>
        <v>0</v>
      </c>
    </row>
    <row r="81" spans="1:16" x14ac:dyDescent="0.25">
      <c r="A81">
        <v>79</v>
      </c>
      <c r="D81" s="4" t="s">
        <v>85</v>
      </c>
      <c r="E81" s="8">
        <v>728</v>
      </c>
      <c r="F81" s="8">
        <f>F78</f>
        <v>720</v>
      </c>
      <c r="G81" s="6">
        <f>+F81-E81</f>
        <v>-8</v>
      </c>
      <c r="H81" s="7">
        <f>(F81-E81)/ABS(E81)</f>
        <v>-1.098901098901099E-2</v>
      </c>
      <c r="I81" s="8">
        <v>921.62513089005245</v>
      </c>
      <c r="J81" s="9">
        <f t="shared" si="17"/>
        <v>911.49738219895301</v>
      </c>
      <c r="K81" s="3">
        <f>J81-I81</f>
        <v>-10.127748691099441</v>
      </c>
      <c r="L81" s="7">
        <f>(J81-I81)/ABS(I81)</f>
        <v>-1.098901098901095E-2</v>
      </c>
      <c r="M81" t="s">
        <v>7</v>
      </c>
      <c r="O81" s="3">
        <f>E81-'315019 - P0724'!F81</f>
        <v>0</v>
      </c>
      <c r="P81" s="30">
        <f>I81-'315019 - P0724'!J81</f>
        <v>0</v>
      </c>
    </row>
    <row r="82" spans="1:16" x14ac:dyDescent="0.25">
      <c r="A82">
        <v>80</v>
      </c>
      <c r="D82" s="4" t="s">
        <v>86</v>
      </c>
      <c r="E82" s="8">
        <v>728</v>
      </c>
      <c r="F82" s="8">
        <f>F78</f>
        <v>720</v>
      </c>
      <c r="G82" s="6">
        <f>+F82-E82</f>
        <v>-8</v>
      </c>
      <c r="H82" s="7">
        <f>(F82-E82)/ABS(E82)</f>
        <v>-1.098901098901099E-2</v>
      </c>
      <c r="I82" s="8">
        <v>921.62513089005245</v>
      </c>
      <c r="J82" s="9">
        <f t="shared" si="17"/>
        <v>911.49738219895301</v>
      </c>
      <c r="K82" s="3">
        <f>J82-I82</f>
        <v>-10.127748691099441</v>
      </c>
      <c r="L82" s="7">
        <f>(J82-I82)/ABS(I82)</f>
        <v>-1.098901098901095E-2</v>
      </c>
      <c r="M82" t="s">
        <v>7</v>
      </c>
      <c r="O82" s="3">
        <f>E82-'315019 - P0724'!F82</f>
        <v>0</v>
      </c>
      <c r="P82" s="30">
        <f>I82-'315019 - P0724'!J82</f>
        <v>0</v>
      </c>
    </row>
    <row r="83" spans="1:16" x14ac:dyDescent="0.25">
      <c r="A83">
        <v>81</v>
      </c>
      <c r="D83" s="4" t="s">
        <v>87</v>
      </c>
      <c r="E83" s="8">
        <v>728</v>
      </c>
      <c r="F83" s="8">
        <f>F80</f>
        <v>720</v>
      </c>
      <c r="G83" s="6">
        <f t="shared" ref="G83" si="25">+F83-E83</f>
        <v>-8</v>
      </c>
      <c r="H83" s="7">
        <f t="shared" ref="H83" si="26">(F83-E83)/ABS(E83)</f>
        <v>-1.098901098901099E-2</v>
      </c>
      <c r="I83" s="8">
        <v>921.62513089005245</v>
      </c>
      <c r="J83" s="9">
        <f t="shared" si="17"/>
        <v>911.49738219895301</v>
      </c>
      <c r="K83" s="3">
        <f t="shared" ref="K83" si="27">J83-I83</f>
        <v>-10.127748691099441</v>
      </c>
      <c r="L83" s="7">
        <f t="shared" ref="L83" si="28">(J83-I83)/ABS(I83)</f>
        <v>-1.098901098901095E-2</v>
      </c>
      <c r="M83" t="s">
        <v>7</v>
      </c>
      <c r="O83" s="3">
        <f>E83-'315019 - P0724'!F83</f>
        <v>0</v>
      </c>
      <c r="P83" s="30">
        <f>I83-'315019 - P0724'!J83</f>
        <v>0</v>
      </c>
    </row>
    <row r="84" spans="1:16" x14ac:dyDescent="0.25">
      <c r="A84">
        <v>82</v>
      </c>
      <c r="D84" s="4" t="s">
        <v>493</v>
      </c>
      <c r="E84" s="5">
        <v>738</v>
      </c>
      <c r="F84" s="5">
        <v>753</v>
      </c>
      <c r="G84" s="6">
        <f>+F84-E84</f>
        <v>15</v>
      </c>
      <c r="H84" s="7">
        <f>(F84-E84)/ABS(E84)</f>
        <v>2.032520325203252E-2</v>
      </c>
      <c r="I84" s="8">
        <v>945.3619035029742</v>
      </c>
      <c r="J84" s="9">
        <f t="shared" si="17"/>
        <v>964.57657633840051</v>
      </c>
      <c r="K84" s="3">
        <f>J84-I84</f>
        <v>19.214672835426313</v>
      </c>
      <c r="L84" s="7">
        <f>(J84-I84)/ABS(I84)</f>
        <v>2.032520325203253E-2</v>
      </c>
      <c r="M84" t="s">
        <v>7</v>
      </c>
      <c r="O84" s="3">
        <f>E84-'315019 - P0724'!F84</f>
        <v>0</v>
      </c>
      <c r="P84" s="30">
        <f>I84-'315019 - P0724'!J84</f>
        <v>0</v>
      </c>
    </row>
    <row r="85" spans="1:16" x14ac:dyDescent="0.25">
      <c r="A85">
        <v>83</v>
      </c>
      <c r="D85" s="4" t="s">
        <v>88</v>
      </c>
      <c r="E85" s="8">
        <v>738</v>
      </c>
      <c r="F85" s="8">
        <f>F84</f>
        <v>753</v>
      </c>
      <c r="G85" s="6">
        <f>+F85-E85</f>
        <v>15</v>
      </c>
      <c r="H85" s="7">
        <f>(F85-E85)/ABS(E85)</f>
        <v>2.032520325203252E-2</v>
      </c>
      <c r="I85" s="8">
        <v>945.3619035029742</v>
      </c>
      <c r="J85" s="9">
        <f t="shared" si="17"/>
        <v>964.57657633840051</v>
      </c>
      <c r="K85" s="3">
        <f>J85-I85</f>
        <v>19.214672835426313</v>
      </c>
      <c r="L85" s="7">
        <f>(J85-I85)/ABS(I85)</f>
        <v>2.032520325203253E-2</v>
      </c>
      <c r="M85" t="s">
        <v>7</v>
      </c>
      <c r="O85" s="3">
        <f>E85-'315019 - P0724'!F85</f>
        <v>0</v>
      </c>
      <c r="P85" s="30">
        <f>I85-'315019 - P0724'!J85</f>
        <v>0</v>
      </c>
    </row>
    <row r="86" spans="1:16" x14ac:dyDescent="0.25">
      <c r="A86">
        <v>84</v>
      </c>
      <c r="D86" s="4" t="s">
        <v>89</v>
      </c>
      <c r="E86" s="8">
        <v>738</v>
      </c>
      <c r="F86" s="8">
        <f>F84</f>
        <v>753</v>
      </c>
      <c r="G86" s="6">
        <f>+F86-E86</f>
        <v>15</v>
      </c>
      <c r="H86" s="7">
        <f>(F86-E86)/ABS(E86)</f>
        <v>2.032520325203252E-2</v>
      </c>
      <c r="I86" s="8">
        <v>945.3619035029742</v>
      </c>
      <c r="J86" s="9">
        <f t="shared" si="17"/>
        <v>964.57657633840051</v>
      </c>
      <c r="K86" s="3">
        <f>J86-I86</f>
        <v>19.214672835426313</v>
      </c>
      <c r="L86" s="7">
        <f>(J86-I86)/ABS(I86)</f>
        <v>2.032520325203253E-2</v>
      </c>
      <c r="M86" t="s">
        <v>7</v>
      </c>
      <c r="O86" s="3">
        <f>E86-'315019 - P0724'!F86</f>
        <v>0</v>
      </c>
      <c r="P86" s="30">
        <f>I86-'315019 - P0724'!J86</f>
        <v>0</v>
      </c>
    </row>
    <row r="87" spans="1:16" x14ac:dyDescent="0.25">
      <c r="A87">
        <v>85</v>
      </c>
      <c r="D87" s="4" t="s">
        <v>90</v>
      </c>
      <c r="E87" s="8">
        <v>738</v>
      </c>
      <c r="F87" s="8">
        <f>F84</f>
        <v>753</v>
      </c>
      <c r="G87" s="6">
        <f>+F87-E87</f>
        <v>15</v>
      </c>
      <c r="H87" s="7">
        <f>(F87-E87)/ABS(E87)</f>
        <v>2.032520325203252E-2</v>
      </c>
      <c r="I87" s="8">
        <v>945.3619035029742</v>
      </c>
      <c r="J87" s="9">
        <f t="shared" si="17"/>
        <v>964.57657633840051</v>
      </c>
      <c r="K87" s="3">
        <f>J87-I87</f>
        <v>19.214672835426313</v>
      </c>
      <c r="L87" s="7">
        <f>(J87-I87)/ABS(I87)</f>
        <v>2.032520325203253E-2</v>
      </c>
      <c r="M87" t="s">
        <v>7</v>
      </c>
      <c r="O87" s="3">
        <f>E87-'315019 - P0724'!F87</f>
        <v>0</v>
      </c>
      <c r="P87" s="30">
        <f>I87-'315019 - P0724'!J87</f>
        <v>0</v>
      </c>
    </row>
    <row r="88" spans="1:16" x14ac:dyDescent="0.25">
      <c r="A88">
        <v>86</v>
      </c>
      <c r="D88" s="4" t="s">
        <v>91</v>
      </c>
      <c r="E88" s="8">
        <v>738</v>
      </c>
      <c r="F88" s="8">
        <f>F84</f>
        <v>753</v>
      </c>
      <c r="G88" s="6">
        <f>+F88-E88</f>
        <v>15</v>
      </c>
      <c r="H88" s="7">
        <f>(F88-E88)/ABS(E88)</f>
        <v>2.032520325203252E-2</v>
      </c>
      <c r="I88" s="8">
        <v>945.3619035029742</v>
      </c>
      <c r="J88" s="9">
        <f t="shared" si="17"/>
        <v>964.57657633840051</v>
      </c>
      <c r="K88" s="3">
        <f>J88-I88</f>
        <v>19.214672835426313</v>
      </c>
      <c r="L88" s="7">
        <f>(J88-I88)/ABS(I88)</f>
        <v>2.032520325203253E-2</v>
      </c>
      <c r="M88" t="s">
        <v>7</v>
      </c>
      <c r="O88" s="3">
        <f>E88-'315019 - P0724'!F88</f>
        <v>0</v>
      </c>
      <c r="P88" s="30">
        <f>I88-'315019 - P0724'!J88</f>
        <v>0</v>
      </c>
    </row>
    <row r="89" spans="1:16" x14ac:dyDescent="0.25">
      <c r="A89">
        <v>87</v>
      </c>
      <c r="D89" s="4" t="s">
        <v>92</v>
      </c>
      <c r="E89" s="8">
        <v>738</v>
      </c>
      <c r="F89" s="8">
        <f t="shared" ref="F89" si="29">F86</f>
        <v>753</v>
      </c>
      <c r="G89" s="6">
        <f t="shared" ref="G89:G90" si="30">+F89-E89</f>
        <v>15</v>
      </c>
      <c r="H89" s="7">
        <f t="shared" ref="H89:H90" si="31">(F89-E89)/ABS(E89)</f>
        <v>2.032520325203252E-2</v>
      </c>
      <c r="I89" s="8">
        <v>945.3619035029742</v>
      </c>
      <c r="J89" s="9">
        <f t="shared" si="17"/>
        <v>964.57657633840051</v>
      </c>
      <c r="K89" s="3">
        <f t="shared" ref="K89:K90" si="32">J89-I89</f>
        <v>19.214672835426313</v>
      </c>
      <c r="L89" s="7">
        <f t="shared" ref="L89:L90" si="33">(J89-I89)/ABS(I89)</f>
        <v>2.032520325203253E-2</v>
      </c>
      <c r="M89" t="s">
        <v>7</v>
      </c>
      <c r="O89" s="3">
        <f>E89-'315019 - P0724'!F89</f>
        <v>0</v>
      </c>
      <c r="P89" s="30">
        <f>I89-'315019 - P0724'!J89</f>
        <v>0</v>
      </c>
    </row>
    <row r="90" spans="1:16" x14ac:dyDescent="0.25">
      <c r="A90">
        <v>88</v>
      </c>
      <c r="C90" t="s">
        <v>8</v>
      </c>
      <c r="D90" s="4" t="s">
        <v>93</v>
      </c>
      <c r="E90" s="5">
        <v>10.62</v>
      </c>
      <c r="F90" s="5">
        <v>12.85</v>
      </c>
      <c r="G90" s="6">
        <f t="shared" si="30"/>
        <v>2.2300000000000004</v>
      </c>
      <c r="H90" s="7">
        <f t="shared" si="31"/>
        <v>0.20998116760828631</v>
      </c>
      <c r="I90" s="8">
        <v>2132.5245986535483</v>
      </c>
      <c r="J90" s="9">
        <f t="shared" si="17"/>
        <v>2580.3146038322125</v>
      </c>
      <c r="K90" s="3">
        <f t="shared" si="32"/>
        <v>447.79000517866416</v>
      </c>
      <c r="L90" s="7">
        <f t="shared" si="33"/>
        <v>0.20998116760828628</v>
      </c>
      <c r="M90" t="s">
        <v>7</v>
      </c>
      <c r="O90" s="3">
        <f>E90-'315019 - P0724'!F90</f>
        <v>0</v>
      </c>
      <c r="P90" s="30">
        <f>I90-'315019 - P0724'!J90</f>
        <v>0</v>
      </c>
    </row>
    <row r="91" spans="1:16" x14ac:dyDescent="0.25">
      <c r="A91">
        <v>89</v>
      </c>
      <c r="D91" s="34" t="s">
        <v>94</v>
      </c>
      <c r="H91" s="10">
        <f>AVERAGE(H65:H90)</f>
        <v>1.7219155163805816E-3</v>
      </c>
      <c r="I91"/>
      <c r="L91" s="10">
        <f>AVERAGE(L65:L89)</f>
        <v>-6.6084545672956008E-3</v>
      </c>
    </row>
    <row r="92" spans="1:16" x14ac:dyDescent="0.25">
      <c r="A92">
        <v>90</v>
      </c>
      <c r="D92" s="34" t="s">
        <v>95</v>
      </c>
      <c r="I92"/>
      <c r="M92" t="s">
        <v>7</v>
      </c>
      <c r="O92" s="3">
        <f>E92-'315019 - P0724'!F92</f>
        <v>0</v>
      </c>
      <c r="P92" s="30">
        <f>I92-'315019 - P0724'!J92</f>
        <v>0</v>
      </c>
    </row>
    <row r="93" spans="1:16" x14ac:dyDescent="0.25">
      <c r="A93">
        <v>91</v>
      </c>
      <c r="D93" s="4" t="s">
        <v>96</v>
      </c>
      <c r="E93" s="5">
        <v>445</v>
      </c>
      <c r="F93" s="5">
        <v>395</v>
      </c>
      <c r="G93" s="6">
        <f t="shared" ref="G93:G101" si="34">+F93-E93</f>
        <v>-50</v>
      </c>
      <c r="H93" s="7">
        <f t="shared" ref="H93:H101" si="35">(F93-E93)/ABS(E93)</f>
        <v>-0.11235955056179775</v>
      </c>
      <c r="I93" s="8">
        <v>504.6648044692738</v>
      </c>
      <c r="J93" s="9">
        <f t="shared" ref="J93:J101" si="36">(I93*H93)+I93</f>
        <v>447.96089385474863</v>
      </c>
      <c r="K93" s="3">
        <f t="shared" ref="K93:K101" si="37">J93-I93</f>
        <v>-56.703910614525171</v>
      </c>
      <c r="L93" s="7">
        <f t="shared" ref="L93:L101" si="38">(J93-I93)/ABS(I93)</f>
        <v>-0.11235955056179781</v>
      </c>
      <c r="M93" t="s">
        <v>7</v>
      </c>
      <c r="O93" s="3">
        <f>E93-'315019 - P0724'!F93</f>
        <v>0</v>
      </c>
      <c r="P93" s="30">
        <f>I93-'315019 - P0724'!J93</f>
        <v>0</v>
      </c>
    </row>
    <row r="94" spans="1:16" x14ac:dyDescent="0.25">
      <c r="A94">
        <v>92</v>
      </c>
      <c r="D94" s="4" t="s">
        <v>97</v>
      </c>
      <c r="E94" s="5">
        <v>465</v>
      </c>
      <c r="F94" s="5">
        <v>415</v>
      </c>
      <c r="G94" s="6">
        <f t="shared" si="34"/>
        <v>-50</v>
      </c>
      <c r="H94" s="7">
        <f t="shared" si="35"/>
        <v>-0.10752688172043011</v>
      </c>
      <c r="I94" s="8">
        <v>535.13488657265486</v>
      </c>
      <c r="J94" s="9">
        <f t="shared" si="36"/>
        <v>477.59350091968122</v>
      </c>
      <c r="K94" s="3">
        <f t="shared" si="37"/>
        <v>-57.541385652973645</v>
      </c>
      <c r="L94" s="7">
        <f t="shared" si="38"/>
        <v>-0.10752688172043011</v>
      </c>
      <c r="M94" t="s">
        <v>7</v>
      </c>
      <c r="O94" s="3">
        <f>E94-'315019 - P0724'!F94</f>
        <v>0</v>
      </c>
      <c r="P94" s="30">
        <f>I94-'315019 - P0724'!J94</f>
        <v>0</v>
      </c>
    </row>
    <row r="95" spans="1:16" x14ac:dyDescent="0.25">
      <c r="A95">
        <v>93</v>
      </c>
      <c r="D95" s="4" t="s">
        <v>98</v>
      </c>
      <c r="E95" s="5">
        <v>465</v>
      </c>
      <c r="F95" s="5">
        <v>415</v>
      </c>
      <c r="G95" s="6">
        <f t="shared" si="34"/>
        <v>-50</v>
      </c>
      <c r="H95" s="7">
        <f t="shared" si="35"/>
        <v>-0.10752688172043011</v>
      </c>
      <c r="I95" s="8">
        <v>531.99877375843016</v>
      </c>
      <c r="J95" s="9">
        <f t="shared" si="36"/>
        <v>474.79460453709356</v>
      </c>
      <c r="K95" s="3">
        <f t="shared" si="37"/>
        <v>-57.204169221336599</v>
      </c>
      <c r="L95" s="7">
        <f t="shared" si="38"/>
        <v>-0.10752688172043015</v>
      </c>
      <c r="M95" t="s">
        <v>7</v>
      </c>
      <c r="O95" s="3">
        <f>E95-'315019 - P0724'!F95</f>
        <v>0</v>
      </c>
      <c r="P95" s="30">
        <f>I95-'315019 - P0724'!J95</f>
        <v>0</v>
      </c>
    </row>
    <row r="96" spans="1:16" x14ac:dyDescent="0.25">
      <c r="A96">
        <v>94</v>
      </c>
      <c r="D96" s="4" t="s">
        <v>99</v>
      </c>
      <c r="E96" s="5">
        <v>465</v>
      </c>
      <c r="F96" s="5">
        <v>415</v>
      </c>
      <c r="G96" s="6">
        <f t="shared" si="34"/>
        <v>-50</v>
      </c>
      <c r="H96" s="7">
        <f t="shared" si="35"/>
        <v>-0.10752688172043011</v>
      </c>
      <c r="I96" s="8">
        <v>548.10638297872333</v>
      </c>
      <c r="J96" s="9">
        <f t="shared" si="36"/>
        <v>489.17021276595739</v>
      </c>
      <c r="K96" s="3">
        <f t="shared" si="37"/>
        <v>-58.936170212765944</v>
      </c>
      <c r="L96" s="7">
        <f t="shared" si="38"/>
        <v>-0.1075268817204301</v>
      </c>
      <c r="M96" t="s">
        <v>7</v>
      </c>
      <c r="O96" s="3">
        <f>E96-'315019 - P0724'!F96</f>
        <v>0</v>
      </c>
      <c r="P96" s="30">
        <f>I96-'315019 - P0724'!J96</f>
        <v>0</v>
      </c>
    </row>
    <row r="97" spans="1:16" x14ac:dyDescent="0.25">
      <c r="A97">
        <v>95</v>
      </c>
      <c r="D97" s="4" t="s">
        <v>100</v>
      </c>
      <c r="E97" s="5">
        <v>693</v>
      </c>
      <c r="F97" s="5">
        <v>633</v>
      </c>
      <c r="G97" s="6">
        <f t="shared" si="34"/>
        <v>-60</v>
      </c>
      <c r="H97" s="7">
        <f t="shared" si="35"/>
        <v>-8.6580086580086577E-2</v>
      </c>
      <c r="I97" s="8">
        <v>815.17021276595744</v>
      </c>
      <c r="J97" s="9">
        <f t="shared" si="36"/>
        <v>744.59270516717322</v>
      </c>
      <c r="K97" s="3">
        <f t="shared" si="37"/>
        <v>-70.577507598784223</v>
      </c>
      <c r="L97" s="7">
        <f>(J97-I97)/ABS(I97)</f>
        <v>-8.6580086580086618E-2</v>
      </c>
      <c r="M97" t="s">
        <v>7</v>
      </c>
      <c r="O97" s="3">
        <f>E97-'315019 - P0724'!F97</f>
        <v>0</v>
      </c>
      <c r="P97" s="30">
        <f>I97-'315019 - P0724'!J97</f>
        <v>0</v>
      </c>
    </row>
    <row r="98" spans="1:16" x14ac:dyDescent="0.25">
      <c r="A98">
        <v>96</v>
      </c>
      <c r="C98" t="s">
        <v>8</v>
      </c>
      <c r="D98" s="29" t="s">
        <v>101</v>
      </c>
      <c r="E98" s="5">
        <v>945</v>
      </c>
      <c r="F98" s="5">
        <v>930</v>
      </c>
      <c r="G98" s="6">
        <f t="shared" si="34"/>
        <v>-15</v>
      </c>
      <c r="H98" s="7">
        <f t="shared" si="35"/>
        <v>-1.5873015873015872E-2</v>
      </c>
      <c r="I98" s="8">
        <v>1126.1658031088084</v>
      </c>
      <c r="J98" s="9">
        <f t="shared" si="36"/>
        <v>1108.2901554404145</v>
      </c>
      <c r="K98" s="3">
        <f t="shared" si="37"/>
        <v>-17.875647668393867</v>
      </c>
      <c r="L98" s="7">
        <f t="shared" si="38"/>
        <v>-1.5873015873015945E-2</v>
      </c>
      <c r="M98" t="s">
        <v>7</v>
      </c>
      <c r="O98" s="3">
        <f>E98-'315019 - P0724'!F98</f>
        <v>0</v>
      </c>
      <c r="P98" s="30">
        <f>I98-'315019 - P0724'!J98</f>
        <v>0</v>
      </c>
    </row>
    <row r="99" spans="1:16" x14ac:dyDescent="0.25">
      <c r="A99">
        <v>97</v>
      </c>
      <c r="C99" t="s">
        <v>8</v>
      </c>
      <c r="D99" s="4" t="s">
        <v>102</v>
      </c>
      <c r="E99" s="5">
        <v>1144</v>
      </c>
      <c r="F99" s="5">
        <v>1127</v>
      </c>
      <c r="G99" s="6">
        <f t="shared" si="34"/>
        <v>-17</v>
      </c>
      <c r="H99" s="7">
        <f t="shared" si="35"/>
        <v>-1.486013986013986E-2</v>
      </c>
      <c r="I99" s="8">
        <v>1502.6624337488677</v>
      </c>
      <c r="J99" s="9">
        <f t="shared" si="36"/>
        <v>1480.3326598207814</v>
      </c>
      <c r="K99" s="3">
        <f t="shared" si="37"/>
        <v>-22.329773928086297</v>
      </c>
      <c r="L99" s="7">
        <f t="shared" si="38"/>
        <v>-1.4860139860139844E-2</v>
      </c>
      <c r="M99" t="s">
        <v>7</v>
      </c>
      <c r="O99" s="3">
        <f>E99-'315019 - P0724'!F99</f>
        <v>0</v>
      </c>
      <c r="P99" s="30">
        <f>I99-'315019 - P0724'!J99</f>
        <v>0</v>
      </c>
    </row>
    <row r="100" spans="1:16" x14ac:dyDescent="0.25">
      <c r="A100">
        <v>98</v>
      </c>
      <c r="D100" s="4" t="s">
        <v>103</v>
      </c>
      <c r="E100" s="5">
        <v>17.600000000000001</v>
      </c>
      <c r="F100" s="5">
        <v>17.600000000000001</v>
      </c>
      <c r="G100" s="6">
        <f t="shared" si="34"/>
        <v>0</v>
      </c>
      <c r="H100" s="7">
        <f t="shared" si="35"/>
        <v>0</v>
      </c>
      <c r="I100" s="8">
        <v>47.120192307692307</v>
      </c>
      <c r="J100" s="9">
        <f t="shared" si="36"/>
        <v>47.120192307692307</v>
      </c>
      <c r="K100" s="3">
        <f t="shared" si="37"/>
        <v>0</v>
      </c>
      <c r="L100" s="7">
        <f t="shared" si="38"/>
        <v>0</v>
      </c>
      <c r="M100" t="s">
        <v>7</v>
      </c>
      <c r="O100" s="3">
        <f>E100-'315019 - P0724'!F100</f>
        <v>0</v>
      </c>
      <c r="P100" s="30">
        <f>I100-'315019 - P0724'!J100</f>
        <v>0</v>
      </c>
    </row>
    <row r="101" spans="1:16" x14ac:dyDescent="0.25">
      <c r="A101">
        <v>99</v>
      </c>
      <c r="C101" t="s">
        <v>8</v>
      </c>
      <c r="D101" s="4" t="s">
        <v>104</v>
      </c>
      <c r="E101" s="5">
        <v>1670</v>
      </c>
      <c r="F101" s="5">
        <v>1620</v>
      </c>
      <c r="G101" s="6">
        <f t="shared" si="34"/>
        <v>-50</v>
      </c>
      <c r="H101" s="7">
        <f t="shared" si="35"/>
        <v>-2.9940119760479042E-2</v>
      </c>
      <c r="I101" s="8">
        <v>2761.019189765459</v>
      </c>
      <c r="J101" s="9">
        <f t="shared" si="36"/>
        <v>2678.3539445629003</v>
      </c>
      <c r="K101" s="3">
        <f t="shared" si="37"/>
        <v>-82.665245202558708</v>
      </c>
      <c r="L101" s="7">
        <f t="shared" si="38"/>
        <v>-2.9940119760479063E-2</v>
      </c>
      <c r="M101" t="s">
        <v>7</v>
      </c>
      <c r="O101" s="3">
        <f>E101-'315019 - P0724'!F101</f>
        <v>0</v>
      </c>
      <c r="P101" s="30">
        <f>I101-'315019 - P0724'!J101</f>
        <v>0</v>
      </c>
    </row>
    <row r="102" spans="1:16" x14ac:dyDescent="0.25">
      <c r="A102">
        <v>100</v>
      </c>
      <c r="D102" s="34" t="s">
        <v>105</v>
      </c>
      <c r="H102" s="10">
        <f>AVERAGE(H93:H101)</f>
        <v>-6.4688173088534404E-2</v>
      </c>
      <c r="I102"/>
      <c r="L102" s="10">
        <f>AVERAGE(L93:L101)</f>
        <v>-6.4688173088534417E-2</v>
      </c>
    </row>
    <row r="103" spans="1:16" x14ac:dyDescent="0.25">
      <c r="A103">
        <v>101</v>
      </c>
      <c r="D103" s="34" t="s">
        <v>106</v>
      </c>
      <c r="G103" s="6"/>
      <c r="H103" s="7"/>
      <c r="I103"/>
      <c r="M103" t="s">
        <v>106</v>
      </c>
    </row>
    <row r="104" spans="1:16" x14ac:dyDescent="0.25">
      <c r="A104">
        <v>102</v>
      </c>
      <c r="C104" t="s">
        <v>8</v>
      </c>
      <c r="D104" s="4" t="s">
        <v>107</v>
      </c>
      <c r="E104" s="5">
        <v>36</v>
      </c>
      <c r="F104" s="5">
        <v>36</v>
      </c>
      <c r="G104" s="6">
        <f t="shared" ref="G104:G115" si="39">+F104-E104</f>
        <v>0</v>
      </c>
      <c r="H104" s="7">
        <f t="shared" ref="H104:H115" si="40">(F104-E104)/ABS(E104)</f>
        <v>0</v>
      </c>
      <c r="I104" s="8">
        <v>85.406538115384606</v>
      </c>
      <c r="J104" s="9">
        <f t="shared" ref="J104:J115" si="41">(I104*H104)+I104</f>
        <v>85.406538115384606</v>
      </c>
      <c r="K104" s="3">
        <f t="shared" ref="K104:K115" si="42">J104-I104</f>
        <v>0</v>
      </c>
      <c r="L104" s="7">
        <f t="shared" ref="L104:L115" si="43">(J104-I104)/ABS(I104)</f>
        <v>0</v>
      </c>
      <c r="M104" t="s">
        <v>106</v>
      </c>
      <c r="O104" s="3">
        <f>E104-'315019 - P0724'!F104</f>
        <v>0</v>
      </c>
      <c r="P104" s="30">
        <f>I104-'315019 - P0724'!J104</f>
        <v>0</v>
      </c>
    </row>
    <row r="105" spans="1:16" x14ac:dyDescent="0.25">
      <c r="A105">
        <v>103</v>
      </c>
      <c r="C105" t="s">
        <v>8</v>
      </c>
      <c r="D105" s="4" t="s">
        <v>108</v>
      </c>
      <c r="E105" s="5">
        <v>42</v>
      </c>
      <c r="F105" s="5">
        <v>42</v>
      </c>
      <c r="G105" s="6">
        <f t="shared" si="39"/>
        <v>0</v>
      </c>
      <c r="H105" s="7">
        <f t="shared" si="40"/>
        <v>0</v>
      </c>
      <c r="I105" s="8">
        <v>80.176901208617949</v>
      </c>
      <c r="J105" s="9">
        <f t="shared" si="41"/>
        <v>80.176901208617949</v>
      </c>
      <c r="K105" s="3">
        <f>J105-I105</f>
        <v>0</v>
      </c>
      <c r="L105" s="7">
        <f>(J105-I105)/ABS(I105)</f>
        <v>0</v>
      </c>
      <c r="M105" t="s">
        <v>106</v>
      </c>
      <c r="O105" s="3">
        <f>E105-'315019 - P0724'!F105</f>
        <v>0</v>
      </c>
      <c r="P105" s="30">
        <f>I105-'315019 - P0724'!J105</f>
        <v>0</v>
      </c>
    </row>
    <row r="106" spans="1:16" x14ac:dyDescent="0.25">
      <c r="A106">
        <v>104</v>
      </c>
      <c r="C106" t="s">
        <v>8</v>
      </c>
      <c r="D106" s="4" t="s">
        <v>109</v>
      </c>
      <c r="E106" s="12">
        <v>3.19</v>
      </c>
      <c r="F106" s="12">
        <v>3.19</v>
      </c>
      <c r="G106" s="6">
        <f t="shared" si="39"/>
        <v>0</v>
      </c>
      <c r="H106" s="7">
        <f t="shared" si="40"/>
        <v>0</v>
      </c>
      <c r="I106" s="8">
        <v>3.8745328209552197</v>
      </c>
      <c r="J106" s="9">
        <f t="shared" si="41"/>
        <v>3.8745328209552197</v>
      </c>
      <c r="K106" s="3">
        <f t="shared" si="42"/>
        <v>0</v>
      </c>
      <c r="L106" s="7">
        <f t="shared" si="43"/>
        <v>0</v>
      </c>
      <c r="M106" t="s">
        <v>106</v>
      </c>
      <c r="O106" s="3">
        <f>E106-'315019 - P0724'!F106</f>
        <v>0</v>
      </c>
      <c r="P106" s="30">
        <f>I106-'315019 - P0724'!J106</f>
        <v>0</v>
      </c>
    </row>
    <row r="107" spans="1:16" x14ac:dyDescent="0.25">
      <c r="A107">
        <v>105</v>
      </c>
      <c r="C107" t="s">
        <v>8</v>
      </c>
      <c r="D107" s="4" t="s">
        <v>110</v>
      </c>
      <c r="E107" s="12">
        <v>3.48</v>
      </c>
      <c r="F107" s="12">
        <v>3.48</v>
      </c>
      <c r="G107" s="6">
        <f t="shared" si="39"/>
        <v>0</v>
      </c>
      <c r="H107" s="7">
        <f t="shared" si="40"/>
        <v>0</v>
      </c>
      <c r="I107" s="8">
        <v>4.0655928193903108</v>
      </c>
      <c r="J107" s="9">
        <f t="shared" si="41"/>
        <v>4.0655928193903108</v>
      </c>
      <c r="K107" s="3">
        <f t="shared" si="42"/>
        <v>0</v>
      </c>
      <c r="L107" s="7">
        <f t="shared" si="43"/>
        <v>0</v>
      </c>
      <c r="M107" t="s">
        <v>106</v>
      </c>
      <c r="O107" s="3">
        <f>E107-'315019 - P0724'!F107</f>
        <v>0</v>
      </c>
      <c r="P107" s="30">
        <f>I107-'315019 - P0724'!J107</f>
        <v>0</v>
      </c>
    </row>
    <row r="108" spans="1:16" x14ac:dyDescent="0.25">
      <c r="A108">
        <v>106</v>
      </c>
      <c r="C108" t="s">
        <v>8</v>
      </c>
      <c r="D108" s="4" t="s">
        <v>111</v>
      </c>
      <c r="E108" s="12">
        <v>7.89</v>
      </c>
      <c r="F108" s="12">
        <v>7.89</v>
      </c>
      <c r="G108" s="6">
        <f t="shared" si="39"/>
        <v>0</v>
      </c>
      <c r="H108" s="7">
        <f t="shared" si="40"/>
        <v>0</v>
      </c>
      <c r="I108" s="8">
        <v>8.9203191080353719</v>
      </c>
      <c r="J108" s="9">
        <f t="shared" si="41"/>
        <v>8.9203191080353719</v>
      </c>
      <c r="K108" s="3">
        <f t="shared" si="42"/>
        <v>0</v>
      </c>
      <c r="L108" s="7">
        <f t="shared" si="43"/>
        <v>0</v>
      </c>
      <c r="M108" t="s">
        <v>106</v>
      </c>
      <c r="O108" s="3">
        <f>E108-'315019 - P0724'!F108</f>
        <v>0</v>
      </c>
      <c r="P108" s="30">
        <f>I108-'315019 - P0724'!J108</f>
        <v>0</v>
      </c>
    </row>
    <row r="109" spans="1:16" x14ac:dyDescent="0.25">
      <c r="A109">
        <v>107</v>
      </c>
      <c r="C109" t="s">
        <v>8</v>
      </c>
      <c r="D109" s="4" t="s">
        <v>112</v>
      </c>
      <c r="E109" s="12">
        <v>9.34</v>
      </c>
      <c r="F109" s="12">
        <v>9.34</v>
      </c>
      <c r="G109" s="6">
        <f t="shared" si="39"/>
        <v>0</v>
      </c>
      <c r="H109" s="7">
        <f t="shared" si="40"/>
        <v>0</v>
      </c>
      <c r="I109" s="8">
        <v>10.432893234927514</v>
      </c>
      <c r="J109" s="9">
        <f t="shared" si="41"/>
        <v>10.432893234927514</v>
      </c>
      <c r="K109" s="3">
        <f t="shared" si="42"/>
        <v>0</v>
      </c>
      <c r="L109" s="7">
        <f t="shared" si="43"/>
        <v>0</v>
      </c>
      <c r="M109" t="s">
        <v>106</v>
      </c>
      <c r="O109" s="3">
        <f>E109-'315019 - P0724'!F109</f>
        <v>0</v>
      </c>
      <c r="P109" s="30">
        <f>I109-'315019 - P0724'!J109</f>
        <v>0</v>
      </c>
    </row>
    <row r="110" spans="1:16" x14ac:dyDescent="0.25">
      <c r="A110">
        <v>108</v>
      </c>
      <c r="C110" t="s">
        <v>8</v>
      </c>
      <c r="D110" s="4" t="s">
        <v>113</v>
      </c>
      <c r="E110" s="12">
        <v>3.79</v>
      </c>
      <c r="F110" s="12">
        <v>3.79</v>
      </c>
      <c r="G110" s="6">
        <f t="shared" si="39"/>
        <v>0</v>
      </c>
      <c r="H110" s="7">
        <f t="shared" si="40"/>
        <v>0</v>
      </c>
      <c r="I110" s="8">
        <v>5.2944973572314407</v>
      </c>
      <c r="J110" s="9">
        <f t="shared" si="41"/>
        <v>5.2944973572314407</v>
      </c>
      <c r="K110" s="3">
        <f>J110-I110</f>
        <v>0</v>
      </c>
      <c r="L110" s="7">
        <f>(J110-I110)/ABS(I110)</f>
        <v>0</v>
      </c>
      <c r="M110" t="s">
        <v>106</v>
      </c>
      <c r="O110" s="3">
        <f>E110-'315019 - P0724'!F110</f>
        <v>0</v>
      </c>
      <c r="P110" s="30">
        <f>I110-'315019 - P0724'!J110</f>
        <v>0</v>
      </c>
    </row>
    <row r="111" spans="1:16" x14ac:dyDescent="0.25">
      <c r="A111">
        <v>109</v>
      </c>
      <c r="C111" t="s">
        <v>8</v>
      </c>
      <c r="D111" s="4" t="s">
        <v>114</v>
      </c>
      <c r="E111" s="12">
        <v>4.95</v>
      </c>
      <c r="F111" s="12">
        <v>4.95</v>
      </c>
      <c r="G111" s="6">
        <f t="shared" si="39"/>
        <v>0</v>
      </c>
      <c r="H111" s="7">
        <f t="shared" si="40"/>
        <v>0</v>
      </c>
      <c r="I111" s="8">
        <v>6.6523403553892901</v>
      </c>
      <c r="J111" s="9">
        <f t="shared" si="41"/>
        <v>6.6523403553892901</v>
      </c>
      <c r="K111" s="3">
        <f t="shared" si="42"/>
        <v>0</v>
      </c>
      <c r="L111" s="7">
        <f t="shared" si="43"/>
        <v>0</v>
      </c>
      <c r="M111" t="s">
        <v>106</v>
      </c>
      <c r="O111" s="3">
        <f>E111-'315019 - P0724'!F111</f>
        <v>0</v>
      </c>
      <c r="P111" s="30">
        <f>I111-'315019 - P0724'!J111</f>
        <v>0</v>
      </c>
    </row>
    <row r="112" spans="1:16" x14ac:dyDescent="0.25">
      <c r="A112">
        <v>110</v>
      </c>
      <c r="C112" t="s">
        <v>8</v>
      </c>
      <c r="D112" s="4" t="s">
        <v>115</v>
      </c>
      <c r="E112" s="12">
        <v>6.16</v>
      </c>
      <c r="F112" s="12">
        <v>6.16</v>
      </c>
      <c r="G112" s="6">
        <f t="shared" si="39"/>
        <v>0</v>
      </c>
      <c r="H112" s="7">
        <f t="shared" si="40"/>
        <v>0</v>
      </c>
      <c r="I112" s="8">
        <v>7.8767696532032376</v>
      </c>
      <c r="J112" s="9">
        <f t="shared" si="41"/>
        <v>7.8767696532032376</v>
      </c>
      <c r="K112" s="3">
        <f t="shared" si="42"/>
        <v>0</v>
      </c>
      <c r="L112" s="7">
        <f t="shared" si="43"/>
        <v>0</v>
      </c>
      <c r="M112" t="s">
        <v>106</v>
      </c>
      <c r="O112" s="3">
        <f>E112-'315019 - P0724'!F112</f>
        <v>0</v>
      </c>
      <c r="P112" s="30">
        <f>I112-'315019 - P0724'!J112</f>
        <v>0</v>
      </c>
    </row>
    <row r="113" spans="1:16" x14ac:dyDescent="0.25">
      <c r="A113">
        <v>111</v>
      </c>
      <c r="C113" t="s">
        <v>8</v>
      </c>
      <c r="D113" s="4" t="s">
        <v>116</v>
      </c>
      <c r="E113" s="12">
        <v>7.33</v>
      </c>
      <c r="F113" s="12">
        <v>7.33</v>
      </c>
      <c r="G113" s="6">
        <f t="shared" si="39"/>
        <v>0</v>
      </c>
      <c r="H113" s="7">
        <f t="shared" si="40"/>
        <v>0</v>
      </c>
      <c r="I113" s="8">
        <v>9.6975016766020872</v>
      </c>
      <c r="J113" s="9">
        <f t="shared" si="41"/>
        <v>9.6975016766020872</v>
      </c>
      <c r="K113" s="3">
        <f t="shared" si="42"/>
        <v>0</v>
      </c>
      <c r="L113" s="7">
        <f t="shared" si="43"/>
        <v>0</v>
      </c>
      <c r="M113" t="s">
        <v>106</v>
      </c>
      <c r="O113" s="3">
        <f>E113-'315019 - P0724'!F113</f>
        <v>0</v>
      </c>
      <c r="P113" s="30">
        <f>I113-'315019 - P0724'!J113</f>
        <v>0</v>
      </c>
    </row>
    <row r="114" spans="1:16" x14ac:dyDescent="0.25">
      <c r="A114">
        <v>112</v>
      </c>
      <c r="C114" t="s">
        <v>8</v>
      </c>
      <c r="D114" s="4" t="s">
        <v>117</v>
      </c>
      <c r="E114" s="12">
        <v>8.39</v>
      </c>
      <c r="F114" s="12">
        <v>8.39</v>
      </c>
      <c r="G114" s="6">
        <f t="shared" si="39"/>
        <v>0</v>
      </c>
      <c r="H114" s="7">
        <f t="shared" si="40"/>
        <v>0</v>
      </c>
      <c r="I114" s="8">
        <v>9.9493819659061415</v>
      </c>
      <c r="J114" s="9">
        <f t="shared" si="41"/>
        <v>9.9493819659061415</v>
      </c>
      <c r="K114" s="3">
        <f t="shared" si="42"/>
        <v>0</v>
      </c>
      <c r="L114" s="7">
        <f t="shared" si="43"/>
        <v>0</v>
      </c>
      <c r="M114" t="s">
        <v>106</v>
      </c>
      <c r="O114" s="3">
        <f>E114-'315019 - P0724'!F114</f>
        <v>0</v>
      </c>
      <c r="P114" s="30">
        <f>I114-'315019 - P0724'!J114</f>
        <v>0</v>
      </c>
    </row>
    <row r="115" spans="1:16" x14ac:dyDescent="0.25">
      <c r="A115">
        <v>113</v>
      </c>
      <c r="C115" t="s">
        <v>8</v>
      </c>
      <c r="D115" s="4" t="s">
        <v>118</v>
      </c>
      <c r="E115" s="12">
        <v>9.39</v>
      </c>
      <c r="F115" s="12">
        <v>9.39</v>
      </c>
      <c r="G115" s="6">
        <f t="shared" si="39"/>
        <v>0</v>
      </c>
      <c r="H115" s="7">
        <f t="shared" si="40"/>
        <v>0</v>
      </c>
      <c r="I115" s="8">
        <v>11.783981312354875</v>
      </c>
      <c r="J115" s="9">
        <f t="shared" si="41"/>
        <v>11.783981312354875</v>
      </c>
      <c r="K115" s="3">
        <f t="shared" si="42"/>
        <v>0</v>
      </c>
      <c r="L115" s="7">
        <f t="shared" si="43"/>
        <v>0</v>
      </c>
      <c r="M115" t="s">
        <v>106</v>
      </c>
      <c r="O115" s="3">
        <f>E115-'315019 - P0724'!F115</f>
        <v>0</v>
      </c>
      <c r="P115" s="30">
        <f>I115-'315019 - P0724'!J115</f>
        <v>0</v>
      </c>
    </row>
    <row r="116" spans="1:16" x14ac:dyDescent="0.25">
      <c r="A116">
        <v>114</v>
      </c>
      <c r="D116" s="34" t="s">
        <v>119</v>
      </c>
      <c r="H116" s="10">
        <f>AVERAGE(H104:H115)</f>
        <v>0</v>
      </c>
      <c r="I116"/>
      <c r="L116" s="10">
        <f>AVERAGE(L104:L115)</f>
        <v>0</v>
      </c>
    </row>
    <row r="117" spans="1:16" x14ac:dyDescent="0.25">
      <c r="A117">
        <v>115</v>
      </c>
      <c r="D117" s="34" t="s">
        <v>120</v>
      </c>
      <c r="I117"/>
      <c r="M117" t="s">
        <v>121</v>
      </c>
    </row>
    <row r="118" spans="1:16" x14ac:dyDescent="0.25">
      <c r="A118">
        <v>116</v>
      </c>
      <c r="C118" t="s">
        <v>8</v>
      </c>
      <c r="D118" s="4" t="s">
        <v>456</v>
      </c>
      <c r="E118" s="12">
        <v>6.3</v>
      </c>
      <c r="F118" s="12">
        <v>6.3</v>
      </c>
      <c r="G118" s="13">
        <f t="shared" ref="G118:G153" si="44">+F118-E118</f>
        <v>0</v>
      </c>
      <c r="H118" s="7">
        <f t="shared" ref="H118:H155" si="45">(F118-E118)/ABS(E118)</f>
        <v>0</v>
      </c>
      <c r="I118" s="8">
        <v>8.2214999999999989</v>
      </c>
      <c r="J118" s="9">
        <f t="shared" ref="J118:J155" si="46">(I118*H118)+I118</f>
        <v>8.2214999999999989</v>
      </c>
      <c r="K118" s="3">
        <f t="shared" ref="K118:K155" si="47">J118-I118</f>
        <v>0</v>
      </c>
      <c r="L118" s="7">
        <f t="shared" ref="L118:L155" si="48">(J118-I118)/ABS(I118)</f>
        <v>0</v>
      </c>
      <c r="M118" t="s">
        <v>121</v>
      </c>
      <c r="O118" s="3">
        <f>E118-'315019 - P0724'!F118</f>
        <v>0</v>
      </c>
      <c r="P118" s="30">
        <f>I118-'315019 - P0724'!J118</f>
        <v>0</v>
      </c>
    </row>
    <row r="119" spans="1:16" x14ac:dyDescent="0.25">
      <c r="A119">
        <v>117</v>
      </c>
      <c r="C119" t="s">
        <v>8</v>
      </c>
      <c r="D119" s="4" t="s">
        <v>457</v>
      </c>
      <c r="E119" s="12">
        <v>6.93</v>
      </c>
      <c r="F119" s="12">
        <v>6.93</v>
      </c>
      <c r="G119" s="13">
        <f t="shared" si="44"/>
        <v>0</v>
      </c>
      <c r="H119" s="7">
        <f t="shared" si="45"/>
        <v>0</v>
      </c>
      <c r="I119" s="8">
        <v>8.9245000000000001</v>
      </c>
      <c r="J119" s="9">
        <f t="shared" si="46"/>
        <v>8.9245000000000001</v>
      </c>
      <c r="K119" s="3">
        <f t="shared" si="47"/>
        <v>0</v>
      </c>
      <c r="L119" s="7">
        <f t="shared" si="48"/>
        <v>0</v>
      </c>
      <c r="M119" t="s">
        <v>121</v>
      </c>
      <c r="O119" s="3">
        <f>E119-'315019 - P0724'!F119</f>
        <v>0</v>
      </c>
      <c r="P119" s="30">
        <f>I119-'315019 - P0724'!J119</f>
        <v>0</v>
      </c>
    </row>
    <row r="120" spans="1:16" x14ac:dyDescent="0.25">
      <c r="A120">
        <v>118</v>
      </c>
      <c r="C120" t="s">
        <v>8</v>
      </c>
      <c r="D120" s="4" t="s">
        <v>458</v>
      </c>
      <c r="E120" s="12">
        <v>7.98</v>
      </c>
      <c r="F120" s="12">
        <v>7.98</v>
      </c>
      <c r="G120" s="13">
        <f t="shared" si="44"/>
        <v>0</v>
      </c>
      <c r="H120" s="7">
        <f t="shared" si="45"/>
        <v>0</v>
      </c>
      <c r="I120" s="8">
        <v>10.762500000000001</v>
      </c>
      <c r="J120" s="9">
        <f t="shared" si="46"/>
        <v>10.762500000000001</v>
      </c>
      <c r="K120" s="3">
        <f t="shared" si="47"/>
        <v>0</v>
      </c>
      <c r="L120" s="7">
        <f t="shared" si="48"/>
        <v>0</v>
      </c>
      <c r="M120" t="s">
        <v>121</v>
      </c>
      <c r="O120" s="3">
        <f>E120-'315019 - P0724'!F120</f>
        <v>0</v>
      </c>
      <c r="P120" s="30">
        <f>I120-'315019 - P0724'!J120</f>
        <v>0</v>
      </c>
    </row>
    <row r="121" spans="1:16" x14ac:dyDescent="0.25">
      <c r="A121">
        <v>119</v>
      </c>
      <c r="C121" t="s">
        <v>8</v>
      </c>
      <c r="D121" s="4" t="s">
        <v>460</v>
      </c>
      <c r="E121" s="12">
        <v>10.08</v>
      </c>
      <c r="F121" s="12">
        <v>10.08</v>
      </c>
      <c r="G121" s="6">
        <f t="shared" si="44"/>
        <v>0</v>
      </c>
      <c r="H121" s="7">
        <f t="shared" si="45"/>
        <v>0</v>
      </c>
      <c r="I121" s="8">
        <v>14.563499999999999</v>
      </c>
      <c r="J121" s="9">
        <f t="shared" si="46"/>
        <v>14.563499999999999</v>
      </c>
      <c r="K121" s="3">
        <f t="shared" si="47"/>
        <v>0</v>
      </c>
      <c r="L121" s="7">
        <f t="shared" si="48"/>
        <v>0</v>
      </c>
      <c r="M121" t="s">
        <v>121</v>
      </c>
      <c r="O121" s="3">
        <f>E121-'315019 - P0724'!F121</f>
        <v>0</v>
      </c>
      <c r="P121" s="30">
        <f>I121-'315019 - P0724'!J121</f>
        <v>0</v>
      </c>
    </row>
    <row r="122" spans="1:16" x14ac:dyDescent="0.25">
      <c r="A122">
        <v>120</v>
      </c>
      <c r="C122" t="s">
        <v>8</v>
      </c>
      <c r="D122" s="4" t="s">
        <v>459</v>
      </c>
      <c r="E122" s="14">
        <v>26.88</v>
      </c>
      <c r="F122" s="14">
        <v>26.88</v>
      </c>
      <c r="G122" s="6">
        <f t="shared" si="44"/>
        <v>0</v>
      </c>
      <c r="H122" s="7">
        <f t="shared" si="45"/>
        <v>0</v>
      </c>
      <c r="I122" s="8">
        <v>39.973499999999994</v>
      </c>
      <c r="J122" s="9">
        <f t="shared" si="46"/>
        <v>39.973499999999994</v>
      </c>
      <c r="K122" s="3">
        <f t="shared" si="47"/>
        <v>0</v>
      </c>
      <c r="L122" s="7">
        <f t="shared" si="48"/>
        <v>0</v>
      </c>
      <c r="M122" t="s">
        <v>121</v>
      </c>
      <c r="O122" s="3">
        <f>E122-'315019 - P0724'!F122</f>
        <v>0</v>
      </c>
      <c r="P122" s="30">
        <f>I122-'315019 - P0724'!J122</f>
        <v>0</v>
      </c>
    </row>
    <row r="123" spans="1:16" x14ac:dyDescent="0.25">
      <c r="A123">
        <v>121</v>
      </c>
      <c r="C123" t="s">
        <v>8</v>
      </c>
      <c r="D123" s="4" t="s">
        <v>122</v>
      </c>
      <c r="E123" s="12">
        <v>6.25</v>
      </c>
      <c r="F123" s="12">
        <v>6.25</v>
      </c>
      <c r="G123" s="6">
        <f t="shared" si="44"/>
        <v>0</v>
      </c>
      <c r="H123" s="7">
        <f t="shared" si="45"/>
        <v>0</v>
      </c>
      <c r="I123" s="8">
        <v>6.930903510039002</v>
      </c>
      <c r="J123" s="9">
        <f t="shared" si="46"/>
        <v>6.930903510039002</v>
      </c>
      <c r="K123" s="3">
        <f t="shared" si="47"/>
        <v>0</v>
      </c>
      <c r="L123" s="7">
        <f t="shared" si="48"/>
        <v>0</v>
      </c>
      <c r="M123" t="s">
        <v>121</v>
      </c>
      <c r="O123" s="3">
        <f>E123-'315019 - P0724'!F123</f>
        <v>0</v>
      </c>
      <c r="P123" s="30">
        <f>I123-'315019 - P0724'!J123</f>
        <v>0</v>
      </c>
    </row>
    <row r="124" spans="1:16" x14ac:dyDescent="0.25">
      <c r="A124">
        <v>122</v>
      </c>
      <c r="C124" t="s">
        <v>8</v>
      </c>
      <c r="D124" s="4" t="s">
        <v>123</v>
      </c>
      <c r="E124" s="12">
        <v>8.6300000000000008</v>
      </c>
      <c r="F124" s="12">
        <v>8.6300000000000008</v>
      </c>
      <c r="G124" s="13">
        <f t="shared" si="44"/>
        <v>0</v>
      </c>
      <c r="H124" s="7">
        <f t="shared" si="45"/>
        <v>0</v>
      </c>
      <c r="I124" s="8">
        <v>8.7073886883273168</v>
      </c>
      <c r="J124" s="9">
        <f t="shared" si="46"/>
        <v>8.7073886883273168</v>
      </c>
      <c r="K124" s="3">
        <f t="shared" si="47"/>
        <v>0</v>
      </c>
      <c r="L124" s="7">
        <f t="shared" si="48"/>
        <v>0</v>
      </c>
      <c r="M124" t="s">
        <v>121</v>
      </c>
      <c r="O124" s="3">
        <f>E124-'315019 - P0724'!F124</f>
        <v>0</v>
      </c>
      <c r="P124" s="30">
        <f>I124-'315019 - P0724'!J124</f>
        <v>0</v>
      </c>
    </row>
    <row r="125" spans="1:16" x14ac:dyDescent="0.25">
      <c r="A125">
        <v>123</v>
      </c>
      <c r="C125" t="s">
        <v>8</v>
      </c>
      <c r="D125" s="4" t="s">
        <v>124</v>
      </c>
      <c r="E125" s="12">
        <v>9.82</v>
      </c>
      <c r="F125" s="12">
        <v>9.82</v>
      </c>
      <c r="G125" s="13">
        <f t="shared" si="44"/>
        <v>0</v>
      </c>
      <c r="H125" s="7">
        <f t="shared" si="45"/>
        <v>0</v>
      </c>
      <c r="I125" s="8">
        <v>10.822370370370372</v>
      </c>
      <c r="J125" s="9">
        <f t="shared" si="46"/>
        <v>10.822370370370372</v>
      </c>
      <c r="K125" s="3">
        <f t="shared" si="47"/>
        <v>0</v>
      </c>
      <c r="L125" s="7">
        <f t="shared" si="48"/>
        <v>0</v>
      </c>
      <c r="M125" t="s">
        <v>121</v>
      </c>
      <c r="O125" s="3">
        <f>E125-'315019 - P0724'!F125</f>
        <v>0</v>
      </c>
      <c r="P125" s="30">
        <f>I125-'315019 - P0724'!J125</f>
        <v>0</v>
      </c>
    </row>
    <row r="126" spans="1:16" x14ac:dyDescent="0.25">
      <c r="A126">
        <v>124</v>
      </c>
      <c r="C126" t="s">
        <v>8</v>
      </c>
      <c r="D126" s="4" t="s">
        <v>125</v>
      </c>
      <c r="E126" s="12">
        <v>11.01</v>
      </c>
      <c r="F126" s="12">
        <v>11.01</v>
      </c>
      <c r="G126" s="13">
        <f t="shared" si="44"/>
        <v>0</v>
      </c>
      <c r="H126" s="7">
        <f t="shared" si="45"/>
        <v>0</v>
      </c>
      <c r="I126" s="8">
        <v>12.518858490566037</v>
      </c>
      <c r="J126" s="9">
        <f t="shared" si="46"/>
        <v>12.518858490566037</v>
      </c>
      <c r="K126" s="3">
        <f t="shared" si="47"/>
        <v>0</v>
      </c>
      <c r="L126" s="7">
        <f t="shared" si="48"/>
        <v>0</v>
      </c>
      <c r="M126" t="s">
        <v>121</v>
      </c>
      <c r="O126" s="3">
        <f>E126-'315019 - P0724'!F126</f>
        <v>0</v>
      </c>
      <c r="P126" s="30">
        <f>I126-'315019 - P0724'!J126</f>
        <v>0</v>
      </c>
    </row>
    <row r="127" spans="1:16" x14ac:dyDescent="0.25">
      <c r="A127">
        <v>125</v>
      </c>
      <c r="C127" t="s">
        <v>8</v>
      </c>
      <c r="D127" s="4" t="s">
        <v>126</v>
      </c>
      <c r="E127" s="12">
        <v>12.13</v>
      </c>
      <c r="F127" s="12">
        <v>12.13</v>
      </c>
      <c r="G127" s="6">
        <f t="shared" si="44"/>
        <v>0</v>
      </c>
      <c r="H127" s="7">
        <f t="shared" si="45"/>
        <v>0</v>
      </c>
      <c r="I127" s="8">
        <v>13.092551369863015</v>
      </c>
      <c r="J127" s="9">
        <f t="shared" si="46"/>
        <v>13.092551369863015</v>
      </c>
      <c r="K127" s="3">
        <f t="shared" si="47"/>
        <v>0</v>
      </c>
      <c r="L127" s="7">
        <f t="shared" si="48"/>
        <v>0</v>
      </c>
      <c r="M127" t="s">
        <v>121</v>
      </c>
      <c r="O127" s="3">
        <f>E127-'315019 - P0724'!F127</f>
        <v>0</v>
      </c>
      <c r="P127" s="30">
        <f>I127-'315019 - P0724'!J127</f>
        <v>0</v>
      </c>
    </row>
    <row r="128" spans="1:16" x14ac:dyDescent="0.25">
      <c r="A128">
        <v>126</v>
      </c>
      <c r="C128" t="s">
        <v>8</v>
      </c>
      <c r="D128" s="4" t="s">
        <v>127</v>
      </c>
      <c r="E128" s="12">
        <v>16.18</v>
      </c>
      <c r="F128" s="12">
        <v>16.18</v>
      </c>
      <c r="G128" s="6">
        <f t="shared" si="44"/>
        <v>0</v>
      </c>
      <c r="H128" s="7">
        <f t="shared" si="45"/>
        <v>0</v>
      </c>
      <c r="I128" s="8">
        <v>18.131712053429638</v>
      </c>
      <c r="J128" s="9">
        <f t="shared" si="46"/>
        <v>18.131712053429638</v>
      </c>
      <c r="K128" s="3">
        <f t="shared" si="47"/>
        <v>0</v>
      </c>
      <c r="L128" s="7">
        <f t="shared" si="48"/>
        <v>0</v>
      </c>
      <c r="M128" t="s">
        <v>121</v>
      </c>
      <c r="O128" s="3">
        <f>E128-'315019 - P0724'!F128</f>
        <v>0</v>
      </c>
      <c r="P128" s="30">
        <f>I128-'315019 - P0724'!J128</f>
        <v>0</v>
      </c>
    </row>
    <row r="129" spans="1:16" x14ac:dyDescent="0.25">
      <c r="A129">
        <v>127</v>
      </c>
      <c r="C129" t="s">
        <v>8</v>
      </c>
      <c r="D129" s="4" t="s">
        <v>128</v>
      </c>
      <c r="E129" s="12">
        <v>7.18</v>
      </c>
      <c r="F129" s="12">
        <v>7.18</v>
      </c>
      <c r="G129" s="6">
        <f t="shared" si="44"/>
        <v>0</v>
      </c>
      <c r="H129" s="7">
        <f t="shared" si="45"/>
        <v>0</v>
      </c>
      <c r="I129" s="8">
        <v>8.8881221902017273</v>
      </c>
      <c r="J129" s="9">
        <f t="shared" si="46"/>
        <v>8.8881221902017273</v>
      </c>
      <c r="K129" s="3">
        <f t="shared" si="47"/>
        <v>0</v>
      </c>
      <c r="L129" s="7">
        <f t="shared" si="48"/>
        <v>0</v>
      </c>
      <c r="M129" t="s">
        <v>121</v>
      </c>
      <c r="O129" s="3">
        <f>E129-'315019 - P0724'!F129</f>
        <v>0</v>
      </c>
      <c r="P129" s="30">
        <f>I129-'315019 - P0724'!J129</f>
        <v>0</v>
      </c>
    </row>
    <row r="130" spans="1:16" x14ac:dyDescent="0.25">
      <c r="A130">
        <v>128</v>
      </c>
      <c r="C130" t="s">
        <v>8</v>
      </c>
      <c r="D130" s="22" t="s">
        <v>504</v>
      </c>
      <c r="E130" s="12">
        <v>7.18</v>
      </c>
      <c r="F130" s="12">
        <v>7.18</v>
      </c>
      <c r="G130" s="6">
        <f t="shared" si="44"/>
        <v>0</v>
      </c>
      <c r="H130" s="7">
        <f t="shared" si="45"/>
        <v>0</v>
      </c>
      <c r="I130" s="8">
        <v>8.8881221902017273</v>
      </c>
      <c r="J130" s="9">
        <f t="shared" si="46"/>
        <v>8.8881221902017273</v>
      </c>
      <c r="K130" s="3">
        <f t="shared" si="47"/>
        <v>0</v>
      </c>
      <c r="L130" s="7">
        <f t="shared" si="48"/>
        <v>0</v>
      </c>
      <c r="M130" t="s">
        <v>121</v>
      </c>
      <c r="O130" s="3">
        <f>E130-'315019 - P0724'!F130</f>
        <v>0</v>
      </c>
      <c r="P130" s="30">
        <f>I130-'315019 - P0724'!J130</f>
        <v>0</v>
      </c>
    </row>
    <row r="131" spans="1:16" x14ac:dyDescent="0.25">
      <c r="A131">
        <v>129</v>
      </c>
      <c r="C131" t="s">
        <v>8</v>
      </c>
      <c r="D131" s="4" t="s">
        <v>129</v>
      </c>
      <c r="E131" s="12">
        <v>31.782399999999999</v>
      </c>
      <c r="F131" s="12">
        <v>31.782399999999999</v>
      </c>
      <c r="G131" s="6">
        <f t="shared" si="44"/>
        <v>0</v>
      </c>
      <c r="H131" s="7">
        <f t="shared" si="45"/>
        <v>0</v>
      </c>
      <c r="I131" s="8">
        <v>42.795999999999999</v>
      </c>
      <c r="J131" s="9">
        <f t="shared" si="46"/>
        <v>42.795999999999999</v>
      </c>
      <c r="K131" s="3">
        <f t="shared" si="47"/>
        <v>0</v>
      </c>
      <c r="L131" s="7">
        <f t="shared" si="48"/>
        <v>0</v>
      </c>
      <c r="M131" t="s">
        <v>121</v>
      </c>
      <c r="O131" s="3">
        <f>E131-'315019 - P0724'!F131</f>
        <v>0</v>
      </c>
      <c r="P131" s="30">
        <f>I131-'315019 - P0724'!J131</f>
        <v>0</v>
      </c>
    </row>
    <row r="132" spans="1:16" x14ac:dyDescent="0.25">
      <c r="A132">
        <v>130</v>
      </c>
      <c r="C132" t="s">
        <v>8</v>
      </c>
      <c r="D132" s="4" t="s">
        <v>130</v>
      </c>
      <c r="E132" s="14">
        <v>38.08</v>
      </c>
      <c r="F132" s="14">
        <v>38.08</v>
      </c>
      <c r="G132" s="6">
        <f t="shared" si="44"/>
        <v>0</v>
      </c>
      <c r="H132" s="7">
        <f t="shared" si="45"/>
        <v>0</v>
      </c>
      <c r="I132" s="8">
        <v>43.505252249795468</v>
      </c>
      <c r="J132" s="9">
        <f t="shared" si="46"/>
        <v>43.505252249795468</v>
      </c>
      <c r="K132" s="3">
        <f t="shared" si="47"/>
        <v>0</v>
      </c>
      <c r="L132" s="7">
        <f t="shared" si="48"/>
        <v>0</v>
      </c>
      <c r="M132" t="s">
        <v>121</v>
      </c>
      <c r="O132" s="3">
        <f>E132-'315019 - P0724'!F132</f>
        <v>0</v>
      </c>
      <c r="P132" s="30">
        <f>I132-'315019 - P0724'!J132</f>
        <v>0</v>
      </c>
    </row>
    <row r="133" spans="1:16" x14ac:dyDescent="0.25">
      <c r="A133">
        <v>131</v>
      </c>
      <c r="C133" t="s">
        <v>8</v>
      </c>
      <c r="D133" s="4" t="s">
        <v>131</v>
      </c>
      <c r="E133" s="14">
        <v>38.08</v>
      </c>
      <c r="F133" s="14">
        <v>38.08</v>
      </c>
      <c r="G133" s="6">
        <f t="shared" si="44"/>
        <v>0</v>
      </c>
      <c r="H133" s="7">
        <f t="shared" si="45"/>
        <v>0</v>
      </c>
      <c r="I133" s="8">
        <v>57.541818816471228</v>
      </c>
      <c r="J133" s="9">
        <f t="shared" si="46"/>
        <v>57.541818816471228</v>
      </c>
      <c r="K133" s="3">
        <f t="shared" si="47"/>
        <v>0</v>
      </c>
      <c r="L133" s="7">
        <f t="shared" si="48"/>
        <v>0</v>
      </c>
      <c r="M133" t="s">
        <v>121</v>
      </c>
      <c r="O133" s="3">
        <f>E133-'315019 - P0724'!F133</f>
        <v>0</v>
      </c>
      <c r="P133" s="30">
        <f>I133-'315019 - P0724'!J133</f>
        <v>0</v>
      </c>
    </row>
    <row r="134" spans="1:16" x14ac:dyDescent="0.25">
      <c r="A134">
        <v>132</v>
      </c>
      <c r="C134" t="s">
        <v>8</v>
      </c>
      <c r="D134" s="4" t="s">
        <v>132</v>
      </c>
      <c r="E134" s="12">
        <v>15.8436</v>
      </c>
      <c r="F134" s="12">
        <v>15.8436</v>
      </c>
      <c r="G134" s="6">
        <f t="shared" si="44"/>
        <v>0</v>
      </c>
      <c r="H134" s="7">
        <f t="shared" si="45"/>
        <v>0</v>
      </c>
      <c r="I134" s="8">
        <v>19.584000000000003</v>
      </c>
      <c r="J134" s="9">
        <f t="shared" si="46"/>
        <v>19.584000000000003</v>
      </c>
      <c r="K134" s="3">
        <f t="shared" si="47"/>
        <v>0</v>
      </c>
      <c r="L134" s="7">
        <f t="shared" si="48"/>
        <v>0</v>
      </c>
      <c r="M134" t="s">
        <v>121</v>
      </c>
      <c r="O134" s="3">
        <f>E134-'315019 - P0724'!F134</f>
        <v>0</v>
      </c>
      <c r="P134" s="30">
        <f>I134-'315019 - P0724'!J134</f>
        <v>0</v>
      </c>
    </row>
    <row r="135" spans="1:16" x14ac:dyDescent="0.25">
      <c r="A135">
        <v>133</v>
      </c>
      <c r="C135" t="s">
        <v>8</v>
      </c>
      <c r="D135" s="4" t="s">
        <v>133</v>
      </c>
      <c r="E135" s="12">
        <v>36.493200000000002</v>
      </c>
      <c r="F135" s="12">
        <v>36.493200000000002</v>
      </c>
      <c r="G135" s="6">
        <f t="shared" si="44"/>
        <v>0</v>
      </c>
      <c r="H135" s="7">
        <f t="shared" si="45"/>
        <v>0</v>
      </c>
      <c r="I135" s="8">
        <v>43.51</v>
      </c>
      <c r="J135" s="9">
        <f t="shared" si="46"/>
        <v>43.51</v>
      </c>
      <c r="K135" s="3">
        <f t="shared" si="47"/>
        <v>0</v>
      </c>
      <c r="L135" s="7">
        <f t="shared" si="48"/>
        <v>0</v>
      </c>
      <c r="M135" t="s">
        <v>121</v>
      </c>
      <c r="O135" s="3">
        <f>E135-'315019 - P0724'!F135</f>
        <v>0</v>
      </c>
      <c r="P135" s="30">
        <f>I135-'315019 - P0724'!J135</f>
        <v>0</v>
      </c>
    </row>
    <row r="136" spans="1:16" x14ac:dyDescent="0.25">
      <c r="A136">
        <v>134</v>
      </c>
      <c r="C136" t="s">
        <v>8</v>
      </c>
      <c r="D136" s="4" t="s">
        <v>134</v>
      </c>
      <c r="E136" s="12">
        <v>54.151200000000003</v>
      </c>
      <c r="F136" s="12">
        <v>54.151200000000003</v>
      </c>
      <c r="G136" s="6">
        <f t="shared" si="44"/>
        <v>0</v>
      </c>
      <c r="H136" s="7">
        <f t="shared" si="45"/>
        <v>0</v>
      </c>
      <c r="I136" s="8">
        <v>92.212972774869115</v>
      </c>
      <c r="J136" s="9">
        <f t="shared" si="46"/>
        <v>92.212972774869115</v>
      </c>
      <c r="K136" s="3">
        <f t="shared" si="47"/>
        <v>0</v>
      </c>
      <c r="L136" s="7">
        <f t="shared" si="48"/>
        <v>0</v>
      </c>
      <c r="M136" t="s">
        <v>121</v>
      </c>
      <c r="O136" s="3">
        <f>E136-'315019 - P0724'!F136</f>
        <v>0</v>
      </c>
      <c r="P136" s="30">
        <f>I136-'315019 - P0724'!J136</f>
        <v>0</v>
      </c>
    </row>
    <row r="137" spans="1:16" x14ac:dyDescent="0.25">
      <c r="A137">
        <v>135</v>
      </c>
      <c r="C137" t="s">
        <v>8</v>
      </c>
      <c r="D137" s="4" t="s">
        <v>135</v>
      </c>
      <c r="E137" s="12">
        <v>6.0588000000000006</v>
      </c>
      <c r="F137" s="12">
        <v>6.0588000000000006</v>
      </c>
      <c r="G137" s="6">
        <f t="shared" si="44"/>
        <v>0</v>
      </c>
      <c r="H137" s="7">
        <f t="shared" si="45"/>
        <v>0</v>
      </c>
      <c r="I137" s="8">
        <v>9.417600000000002</v>
      </c>
      <c r="J137" s="9">
        <f t="shared" si="46"/>
        <v>9.417600000000002</v>
      </c>
      <c r="K137" s="3">
        <f t="shared" si="47"/>
        <v>0</v>
      </c>
      <c r="L137" s="7">
        <f t="shared" si="48"/>
        <v>0</v>
      </c>
      <c r="M137" t="s">
        <v>121</v>
      </c>
      <c r="O137" s="3">
        <f>E137-'315019 - P0724'!F137</f>
        <v>0</v>
      </c>
      <c r="P137" s="30">
        <f>I137-'315019 - P0724'!J137</f>
        <v>0</v>
      </c>
    </row>
    <row r="138" spans="1:16" x14ac:dyDescent="0.25">
      <c r="A138">
        <v>136</v>
      </c>
      <c r="C138" t="s">
        <v>8</v>
      </c>
      <c r="D138" s="4" t="s">
        <v>136</v>
      </c>
      <c r="E138" s="12">
        <v>10.7028</v>
      </c>
      <c r="F138" s="12">
        <v>10.7028</v>
      </c>
      <c r="G138" s="6">
        <f t="shared" si="44"/>
        <v>0</v>
      </c>
      <c r="H138" s="7">
        <f t="shared" si="45"/>
        <v>0</v>
      </c>
      <c r="I138" s="8">
        <v>14.990400000000001</v>
      </c>
      <c r="J138" s="9">
        <f t="shared" si="46"/>
        <v>14.990400000000001</v>
      </c>
      <c r="K138" s="3">
        <f t="shared" si="47"/>
        <v>0</v>
      </c>
      <c r="L138" s="7">
        <f t="shared" si="48"/>
        <v>0</v>
      </c>
      <c r="M138" t="s">
        <v>121</v>
      </c>
      <c r="O138" s="3">
        <f>E138-'315019 - P0724'!F138</f>
        <v>0</v>
      </c>
      <c r="P138" s="30">
        <f>I138-'315019 - P0724'!J138</f>
        <v>0</v>
      </c>
    </row>
    <row r="139" spans="1:16" x14ac:dyDescent="0.25">
      <c r="A139">
        <v>137</v>
      </c>
      <c r="C139" t="s">
        <v>8</v>
      </c>
      <c r="D139" s="4" t="s">
        <v>137</v>
      </c>
      <c r="E139" s="12">
        <v>16.0488</v>
      </c>
      <c r="F139" s="12">
        <v>16.0488</v>
      </c>
      <c r="G139" s="6">
        <f t="shared" si="44"/>
        <v>0</v>
      </c>
      <c r="H139" s="7">
        <f t="shared" si="45"/>
        <v>0</v>
      </c>
      <c r="I139" s="8">
        <v>22.485600000000002</v>
      </c>
      <c r="J139" s="9">
        <f t="shared" si="46"/>
        <v>22.485600000000002</v>
      </c>
      <c r="K139" s="3">
        <f t="shared" si="47"/>
        <v>0</v>
      </c>
      <c r="L139" s="7">
        <f t="shared" si="48"/>
        <v>0</v>
      </c>
      <c r="M139" t="s">
        <v>121</v>
      </c>
      <c r="O139" s="3">
        <f>E139-'315019 - P0724'!F139</f>
        <v>0</v>
      </c>
      <c r="P139" s="30">
        <f>I139-'315019 - P0724'!J139</f>
        <v>0</v>
      </c>
    </row>
    <row r="140" spans="1:16" x14ac:dyDescent="0.25">
      <c r="A140">
        <v>138</v>
      </c>
      <c r="C140" t="s">
        <v>8</v>
      </c>
      <c r="D140" s="4" t="s">
        <v>138</v>
      </c>
      <c r="E140" s="12">
        <v>21.4056</v>
      </c>
      <c r="F140" s="12">
        <v>21.4056</v>
      </c>
      <c r="G140" s="6">
        <f t="shared" si="44"/>
        <v>0</v>
      </c>
      <c r="H140" s="7">
        <f t="shared" si="45"/>
        <v>0</v>
      </c>
      <c r="I140" s="8">
        <v>31.557599999999997</v>
      </c>
      <c r="J140" s="9">
        <f t="shared" si="46"/>
        <v>31.557599999999997</v>
      </c>
      <c r="K140" s="3">
        <f t="shared" si="47"/>
        <v>0</v>
      </c>
      <c r="L140" s="7">
        <f t="shared" si="48"/>
        <v>0</v>
      </c>
      <c r="M140" t="s">
        <v>121</v>
      </c>
      <c r="O140" s="3">
        <f>E140-'315019 - P0724'!F140</f>
        <v>0</v>
      </c>
      <c r="P140" s="30">
        <f>I140-'315019 - P0724'!J140</f>
        <v>0</v>
      </c>
    </row>
    <row r="141" spans="1:16" x14ac:dyDescent="0.25">
      <c r="A141">
        <v>139</v>
      </c>
      <c r="C141" t="s">
        <v>8</v>
      </c>
      <c r="D141" s="4" t="s">
        <v>139</v>
      </c>
      <c r="E141" s="12">
        <v>29.019600000000001</v>
      </c>
      <c r="F141" s="12">
        <v>29.019600000000001</v>
      </c>
      <c r="G141" s="6">
        <f>+F141-E141</f>
        <v>0</v>
      </c>
      <c r="H141" s="7">
        <f t="shared" si="45"/>
        <v>0</v>
      </c>
      <c r="I141" s="8">
        <v>45.165599999999998</v>
      </c>
      <c r="J141" s="9">
        <f t="shared" si="46"/>
        <v>45.165599999999998</v>
      </c>
      <c r="K141" s="3">
        <f t="shared" si="47"/>
        <v>0</v>
      </c>
      <c r="L141" s="7">
        <f t="shared" si="48"/>
        <v>0</v>
      </c>
      <c r="M141" t="s">
        <v>121</v>
      </c>
      <c r="O141" s="3">
        <f>E141-'315019 - P0724'!F141</f>
        <v>0</v>
      </c>
      <c r="P141" s="30">
        <f>I141-'315019 - P0724'!J141</f>
        <v>0</v>
      </c>
    </row>
    <row r="142" spans="1:16" x14ac:dyDescent="0.25">
      <c r="A142">
        <v>140</v>
      </c>
      <c r="C142" t="s">
        <v>8</v>
      </c>
      <c r="D142" s="4" t="s">
        <v>140</v>
      </c>
      <c r="E142" s="12">
        <v>34.819200000000002</v>
      </c>
      <c r="F142" s="12">
        <v>34.819200000000002</v>
      </c>
      <c r="G142" s="6">
        <f t="shared" si="44"/>
        <v>0</v>
      </c>
      <c r="H142" s="7">
        <f t="shared" si="45"/>
        <v>0</v>
      </c>
      <c r="I142" s="8">
        <v>54.205199999999998</v>
      </c>
      <c r="J142" s="9">
        <f t="shared" si="46"/>
        <v>54.205199999999998</v>
      </c>
      <c r="K142" s="3">
        <f t="shared" si="47"/>
        <v>0</v>
      </c>
      <c r="L142" s="7">
        <f t="shared" si="48"/>
        <v>0</v>
      </c>
      <c r="M142" t="s">
        <v>121</v>
      </c>
      <c r="O142" s="3">
        <f>E142-'315019 - P0724'!F142</f>
        <v>0</v>
      </c>
      <c r="P142" s="30">
        <f>I142-'315019 - P0724'!J142</f>
        <v>0</v>
      </c>
    </row>
    <row r="143" spans="1:16" x14ac:dyDescent="0.25">
      <c r="A143">
        <v>141</v>
      </c>
      <c r="C143" t="s">
        <v>8</v>
      </c>
      <c r="D143" s="4" t="s">
        <v>141</v>
      </c>
      <c r="E143" s="12">
        <v>7.7867999999999995</v>
      </c>
      <c r="F143" s="12">
        <v>7.7867999999999995</v>
      </c>
      <c r="G143" s="6">
        <f t="shared" si="44"/>
        <v>0</v>
      </c>
      <c r="H143" s="7">
        <f t="shared" si="45"/>
        <v>0</v>
      </c>
      <c r="I143" s="8">
        <v>11.102399999999999</v>
      </c>
      <c r="J143" s="9">
        <f t="shared" si="46"/>
        <v>11.102399999999999</v>
      </c>
      <c r="K143" s="3">
        <f t="shared" si="47"/>
        <v>0</v>
      </c>
      <c r="L143" s="7">
        <f t="shared" si="48"/>
        <v>0</v>
      </c>
      <c r="M143" t="s">
        <v>121</v>
      </c>
      <c r="O143" s="3">
        <f>E143-'315019 - P0724'!F143</f>
        <v>0</v>
      </c>
      <c r="P143" s="30">
        <f>I143-'315019 - P0724'!J143</f>
        <v>0</v>
      </c>
    </row>
    <row r="144" spans="1:16" x14ac:dyDescent="0.25">
      <c r="A144">
        <v>142</v>
      </c>
      <c r="C144" t="s">
        <v>8</v>
      </c>
      <c r="D144" s="4" t="s">
        <v>142</v>
      </c>
      <c r="E144" s="12">
        <v>12.0528</v>
      </c>
      <c r="F144" s="12">
        <v>12.0528</v>
      </c>
      <c r="G144" s="6">
        <f t="shared" si="44"/>
        <v>0</v>
      </c>
      <c r="H144" s="7">
        <f t="shared" si="45"/>
        <v>0</v>
      </c>
      <c r="I144" s="8">
        <v>16.880400000000002</v>
      </c>
      <c r="J144" s="9">
        <f t="shared" si="46"/>
        <v>16.880400000000002</v>
      </c>
      <c r="K144" s="3">
        <f t="shared" si="47"/>
        <v>0</v>
      </c>
      <c r="L144" s="7">
        <f t="shared" si="48"/>
        <v>0</v>
      </c>
      <c r="M144" t="s">
        <v>121</v>
      </c>
      <c r="O144" s="3">
        <f>E144-'315019 - P0724'!F144</f>
        <v>0</v>
      </c>
      <c r="P144" s="30">
        <f>I144-'315019 - P0724'!J144</f>
        <v>0</v>
      </c>
    </row>
    <row r="145" spans="1:16" x14ac:dyDescent="0.25">
      <c r="A145">
        <v>143</v>
      </c>
      <c r="C145" t="s">
        <v>8</v>
      </c>
      <c r="D145" s="4" t="s">
        <v>143</v>
      </c>
      <c r="E145" s="12">
        <v>18.0792</v>
      </c>
      <c r="F145" s="12">
        <v>18.0792</v>
      </c>
      <c r="G145" s="6">
        <f t="shared" si="44"/>
        <v>0</v>
      </c>
      <c r="H145" s="7">
        <f t="shared" si="45"/>
        <v>0</v>
      </c>
      <c r="I145" s="8">
        <v>25.315200000000004</v>
      </c>
      <c r="J145" s="9">
        <f t="shared" si="46"/>
        <v>25.315200000000004</v>
      </c>
      <c r="K145" s="3">
        <f t="shared" si="47"/>
        <v>0</v>
      </c>
      <c r="L145" s="7">
        <f t="shared" si="48"/>
        <v>0</v>
      </c>
      <c r="M145" t="s">
        <v>121</v>
      </c>
      <c r="O145" s="3">
        <f>E145-'315019 - P0724'!F145</f>
        <v>0</v>
      </c>
      <c r="P145" s="30">
        <f>I145-'315019 - P0724'!J145</f>
        <v>0</v>
      </c>
    </row>
    <row r="146" spans="1:16" x14ac:dyDescent="0.25">
      <c r="A146">
        <v>144</v>
      </c>
      <c r="C146" t="s">
        <v>8</v>
      </c>
      <c r="D146" s="4" t="s">
        <v>144</v>
      </c>
      <c r="E146" s="12">
        <v>24.094799999999999</v>
      </c>
      <c r="F146" s="12">
        <v>24.094799999999999</v>
      </c>
      <c r="G146" s="6">
        <f t="shared" si="44"/>
        <v>0</v>
      </c>
      <c r="H146" s="7">
        <f t="shared" si="45"/>
        <v>0</v>
      </c>
      <c r="I146" s="8">
        <v>35.531999999999996</v>
      </c>
      <c r="J146" s="9">
        <f t="shared" si="46"/>
        <v>35.531999999999996</v>
      </c>
      <c r="K146" s="3">
        <f t="shared" si="47"/>
        <v>0</v>
      </c>
      <c r="L146" s="7">
        <f t="shared" si="48"/>
        <v>0</v>
      </c>
      <c r="M146" t="s">
        <v>121</v>
      </c>
      <c r="O146" s="3">
        <f>E146-'315019 - P0724'!F146</f>
        <v>0</v>
      </c>
      <c r="P146" s="30">
        <f>I146-'315019 - P0724'!J146</f>
        <v>0</v>
      </c>
    </row>
    <row r="147" spans="1:16" x14ac:dyDescent="0.25">
      <c r="A147">
        <v>145</v>
      </c>
      <c r="C147" t="s">
        <v>8</v>
      </c>
      <c r="D147" s="4" t="s">
        <v>145</v>
      </c>
      <c r="E147" s="12">
        <v>33.706800000000001</v>
      </c>
      <c r="F147" s="12">
        <v>33.706800000000001</v>
      </c>
      <c r="G147" s="6">
        <f t="shared" si="44"/>
        <v>0</v>
      </c>
      <c r="H147" s="7">
        <f t="shared" si="45"/>
        <v>0</v>
      </c>
      <c r="I147" s="8">
        <v>52.433999999999997</v>
      </c>
      <c r="J147" s="9">
        <f t="shared" si="46"/>
        <v>52.433999999999997</v>
      </c>
      <c r="K147" s="3">
        <f t="shared" si="47"/>
        <v>0</v>
      </c>
      <c r="L147" s="7">
        <f t="shared" si="48"/>
        <v>0</v>
      </c>
      <c r="M147" t="s">
        <v>121</v>
      </c>
      <c r="O147" s="3">
        <f>E147-'315019 - P0724'!F147</f>
        <v>0</v>
      </c>
      <c r="P147" s="30">
        <f>I147-'315019 - P0724'!J147</f>
        <v>0</v>
      </c>
    </row>
    <row r="148" spans="1:16" x14ac:dyDescent="0.25">
      <c r="A148">
        <v>146</v>
      </c>
      <c r="C148" t="s">
        <v>8</v>
      </c>
      <c r="D148" s="4" t="s">
        <v>146</v>
      </c>
      <c r="E148" s="12">
        <v>40.456800000000001</v>
      </c>
      <c r="F148" s="12">
        <v>40.456800000000001</v>
      </c>
      <c r="G148" s="6">
        <f t="shared" si="44"/>
        <v>0</v>
      </c>
      <c r="H148" s="7">
        <f t="shared" si="45"/>
        <v>0</v>
      </c>
      <c r="I148" s="8">
        <v>62.91</v>
      </c>
      <c r="J148" s="9">
        <f t="shared" si="46"/>
        <v>62.91</v>
      </c>
      <c r="K148" s="3">
        <f t="shared" si="47"/>
        <v>0</v>
      </c>
      <c r="L148" s="7">
        <f t="shared" si="48"/>
        <v>0</v>
      </c>
      <c r="M148" t="s">
        <v>121</v>
      </c>
      <c r="O148" s="3">
        <f>E148-'315019 - P0724'!F148</f>
        <v>0</v>
      </c>
      <c r="P148" s="30">
        <f>I148-'315019 - P0724'!J148</f>
        <v>0</v>
      </c>
    </row>
    <row r="149" spans="1:16" x14ac:dyDescent="0.25">
      <c r="A149">
        <v>147</v>
      </c>
      <c r="C149" t="s">
        <v>8</v>
      </c>
      <c r="D149" s="4" t="s">
        <v>147</v>
      </c>
      <c r="E149" s="12">
        <v>7.0091999999999999</v>
      </c>
      <c r="F149" s="12">
        <v>7.0091999999999999</v>
      </c>
      <c r="G149" s="6">
        <f t="shared" si="44"/>
        <v>0</v>
      </c>
      <c r="H149" s="7">
        <f t="shared" si="45"/>
        <v>0</v>
      </c>
      <c r="I149" s="8">
        <v>10.471083890410959</v>
      </c>
      <c r="J149" s="9">
        <f t="shared" si="46"/>
        <v>10.471083890410959</v>
      </c>
      <c r="K149" s="3">
        <f t="shared" si="47"/>
        <v>0</v>
      </c>
      <c r="L149" s="7">
        <f t="shared" si="48"/>
        <v>0</v>
      </c>
      <c r="M149" t="s">
        <v>121</v>
      </c>
      <c r="O149" s="3">
        <f>E149-'315019 - P0724'!F149</f>
        <v>0</v>
      </c>
      <c r="P149" s="30">
        <f>I149-'315019 - P0724'!J149</f>
        <v>0</v>
      </c>
    </row>
    <row r="150" spans="1:16" x14ac:dyDescent="0.25">
      <c r="A150">
        <v>148</v>
      </c>
      <c r="C150" t="s">
        <v>8</v>
      </c>
      <c r="D150" s="4" t="s">
        <v>448</v>
      </c>
      <c r="E150" s="12">
        <v>6.97</v>
      </c>
      <c r="F150" s="12">
        <v>6.97</v>
      </c>
      <c r="G150" s="6">
        <f t="shared" si="44"/>
        <v>0</v>
      </c>
      <c r="H150" s="7">
        <f t="shared" si="45"/>
        <v>0</v>
      </c>
      <c r="I150" s="8">
        <v>8.7200000000000006</v>
      </c>
      <c r="J150" s="9">
        <f t="shared" si="46"/>
        <v>8.7200000000000006</v>
      </c>
      <c r="K150" s="3">
        <f t="shared" si="47"/>
        <v>0</v>
      </c>
      <c r="L150" s="7">
        <f t="shared" si="48"/>
        <v>0</v>
      </c>
      <c r="M150" t="s">
        <v>121</v>
      </c>
      <c r="O150" s="3">
        <f>E150-'315019 - P0724'!F150</f>
        <v>0</v>
      </c>
      <c r="P150" s="30">
        <f>I150-'315019 - P0724'!J150</f>
        <v>0</v>
      </c>
    </row>
    <row r="151" spans="1:16" x14ac:dyDescent="0.25">
      <c r="A151">
        <v>149</v>
      </c>
      <c r="C151" t="s">
        <v>8</v>
      </c>
      <c r="D151" s="4" t="s">
        <v>449</v>
      </c>
      <c r="E151" s="12">
        <v>8.33</v>
      </c>
      <c r="F151" s="12">
        <v>8.33</v>
      </c>
      <c r="G151" s="6">
        <f t="shared" si="44"/>
        <v>0</v>
      </c>
      <c r="H151" s="7">
        <f t="shared" si="45"/>
        <v>0</v>
      </c>
      <c r="I151" s="8">
        <v>10.42</v>
      </c>
      <c r="J151" s="9">
        <f t="shared" si="46"/>
        <v>10.42</v>
      </c>
      <c r="K151" s="3">
        <f t="shared" si="47"/>
        <v>0</v>
      </c>
      <c r="L151" s="7">
        <f t="shared" si="48"/>
        <v>0</v>
      </c>
      <c r="M151" t="s">
        <v>121</v>
      </c>
      <c r="O151" s="3">
        <f>E151-'315019 - P0724'!F151</f>
        <v>0</v>
      </c>
      <c r="P151" s="30">
        <f>I151-'315019 - P0724'!J151</f>
        <v>0</v>
      </c>
    </row>
    <row r="152" spans="1:16" x14ac:dyDescent="0.25">
      <c r="A152">
        <v>150</v>
      </c>
      <c r="C152" t="s">
        <v>8</v>
      </c>
      <c r="D152" s="4" t="s">
        <v>450</v>
      </c>
      <c r="E152" s="12">
        <v>12.49</v>
      </c>
      <c r="F152" s="12">
        <v>12.49</v>
      </c>
      <c r="G152" s="6">
        <f t="shared" si="44"/>
        <v>0</v>
      </c>
      <c r="H152" s="7">
        <f t="shared" si="45"/>
        <v>0</v>
      </c>
      <c r="I152" s="8">
        <v>15.62</v>
      </c>
      <c r="J152" s="9">
        <f t="shared" si="46"/>
        <v>15.62</v>
      </c>
      <c r="K152" s="3">
        <f t="shared" si="47"/>
        <v>0</v>
      </c>
      <c r="L152" s="7">
        <f t="shared" si="48"/>
        <v>0</v>
      </c>
      <c r="M152" t="s">
        <v>121</v>
      </c>
      <c r="O152" s="3">
        <f>E152-'315019 - P0724'!F152</f>
        <v>0</v>
      </c>
      <c r="P152" s="30">
        <f>I152-'315019 - P0724'!J152</f>
        <v>0</v>
      </c>
    </row>
    <row r="153" spans="1:16" x14ac:dyDescent="0.25">
      <c r="A153">
        <v>151</v>
      </c>
      <c r="C153" t="s">
        <v>8</v>
      </c>
      <c r="D153" s="4" t="s">
        <v>451</v>
      </c>
      <c r="E153" s="12">
        <v>16.27</v>
      </c>
      <c r="F153" s="12">
        <v>16.27</v>
      </c>
      <c r="G153" s="6">
        <f t="shared" si="44"/>
        <v>0</v>
      </c>
      <c r="H153" s="7">
        <f t="shared" si="45"/>
        <v>0</v>
      </c>
      <c r="I153" s="8">
        <v>21.41</v>
      </c>
      <c r="J153" s="9">
        <f t="shared" si="46"/>
        <v>21.41</v>
      </c>
      <c r="K153" s="3">
        <f t="shared" si="47"/>
        <v>0</v>
      </c>
      <c r="L153" s="7">
        <f t="shared" si="48"/>
        <v>0</v>
      </c>
      <c r="M153" t="s">
        <v>121</v>
      </c>
      <c r="O153" s="3">
        <f>E153-'315019 - P0724'!F153</f>
        <v>0</v>
      </c>
      <c r="P153" s="30">
        <f>I153-'315019 - P0724'!J153</f>
        <v>0</v>
      </c>
    </row>
    <row r="154" spans="1:16" x14ac:dyDescent="0.25">
      <c r="A154">
        <v>152</v>
      </c>
      <c r="C154" t="s">
        <v>8</v>
      </c>
      <c r="D154" s="4" t="s">
        <v>452</v>
      </c>
      <c r="E154" s="12">
        <v>20.329999999999998</v>
      </c>
      <c r="F154" s="12">
        <v>20.329999999999998</v>
      </c>
      <c r="G154" s="6">
        <f>+F154-E154</f>
        <v>0</v>
      </c>
      <c r="H154" s="7">
        <f t="shared" si="45"/>
        <v>0</v>
      </c>
      <c r="I154" s="8">
        <v>28.24</v>
      </c>
      <c r="J154" s="9">
        <f t="shared" si="46"/>
        <v>28.24</v>
      </c>
      <c r="K154" s="3">
        <f t="shared" si="47"/>
        <v>0</v>
      </c>
      <c r="L154" s="7">
        <f t="shared" si="48"/>
        <v>0</v>
      </c>
      <c r="M154" t="s">
        <v>121</v>
      </c>
      <c r="O154" s="3">
        <f>E154-'315019 - P0724'!F154</f>
        <v>0</v>
      </c>
      <c r="P154" s="30">
        <f>I154-'315019 - P0724'!J154</f>
        <v>0</v>
      </c>
    </row>
    <row r="155" spans="1:16" x14ac:dyDescent="0.25">
      <c r="A155">
        <v>153</v>
      </c>
      <c r="C155" t="s">
        <v>8</v>
      </c>
      <c r="D155" s="4" t="s">
        <v>453</v>
      </c>
      <c r="E155" s="12">
        <v>24.4</v>
      </c>
      <c r="F155" s="12">
        <v>24.4</v>
      </c>
      <c r="G155" s="6">
        <f t="shared" ref="G155" si="49">+F155-E155</f>
        <v>0</v>
      </c>
      <c r="H155" s="7">
        <f t="shared" si="45"/>
        <v>0</v>
      </c>
      <c r="I155" s="8">
        <v>33.89</v>
      </c>
      <c r="J155" s="9">
        <f t="shared" si="46"/>
        <v>33.89</v>
      </c>
      <c r="K155" s="3">
        <f t="shared" si="47"/>
        <v>0</v>
      </c>
      <c r="L155" s="7">
        <f t="shared" si="48"/>
        <v>0</v>
      </c>
      <c r="M155" t="s">
        <v>121</v>
      </c>
      <c r="O155" s="3">
        <f>E155-'315019 - P0724'!F155</f>
        <v>0</v>
      </c>
      <c r="P155" s="30">
        <f>I155-'315019 - P0724'!J155</f>
        <v>0</v>
      </c>
    </row>
    <row r="156" spans="1:16" x14ac:dyDescent="0.25">
      <c r="A156">
        <v>154</v>
      </c>
      <c r="D156" s="34" t="s">
        <v>148</v>
      </c>
      <c r="F156" s="15"/>
      <c r="H156" s="10">
        <f>AVERAGE(H123:H149)</f>
        <v>0</v>
      </c>
      <c r="I156"/>
    </row>
    <row r="157" spans="1:16" x14ac:dyDescent="0.25">
      <c r="A157">
        <v>155</v>
      </c>
      <c r="D157" s="34" t="s">
        <v>149</v>
      </c>
      <c r="I157"/>
      <c r="M157" t="s">
        <v>150</v>
      </c>
    </row>
    <row r="158" spans="1:16" x14ac:dyDescent="0.25">
      <c r="A158">
        <v>156</v>
      </c>
      <c r="C158" t="s">
        <v>8</v>
      </c>
      <c r="D158" s="4" t="s">
        <v>151</v>
      </c>
      <c r="E158" s="12">
        <v>37.49</v>
      </c>
      <c r="F158" s="12">
        <v>37.49</v>
      </c>
      <c r="G158" s="6">
        <f t="shared" ref="G158:G164" si="50">+F158-E158</f>
        <v>0</v>
      </c>
      <c r="H158" s="7">
        <f t="shared" ref="H158:H164" si="51">(F158-E158)/ABS(E158)</f>
        <v>0</v>
      </c>
      <c r="I158" s="12">
        <v>40.250769230769222</v>
      </c>
      <c r="J158" s="12">
        <f t="shared" ref="J158:J164" si="52">(I158*H158)+I158</f>
        <v>40.250769230769222</v>
      </c>
      <c r="K158" s="3">
        <f t="shared" ref="K158:K164" si="53">J158-I158</f>
        <v>0</v>
      </c>
      <c r="L158" s="7">
        <f t="shared" ref="L158:L164" si="54">(J158-I158)/ABS(I158)</f>
        <v>0</v>
      </c>
      <c r="M158" t="s">
        <v>150</v>
      </c>
      <c r="O158" s="3">
        <f>E158-'315019 - P0724'!F158</f>
        <v>0</v>
      </c>
      <c r="P158" s="30">
        <f>I158-'315019 - P0724'!J158</f>
        <v>0</v>
      </c>
    </row>
    <row r="159" spans="1:16" x14ac:dyDescent="0.25">
      <c r="A159">
        <v>157</v>
      </c>
      <c r="C159" t="s">
        <v>8</v>
      </c>
      <c r="D159" s="4" t="s">
        <v>152</v>
      </c>
      <c r="E159" s="12">
        <v>6.1</v>
      </c>
      <c r="F159" s="12">
        <v>6.1</v>
      </c>
      <c r="G159" s="6">
        <f t="shared" si="50"/>
        <v>0</v>
      </c>
      <c r="H159" s="7">
        <f t="shared" si="51"/>
        <v>0</v>
      </c>
      <c r="I159" s="12">
        <v>13.248680851063828</v>
      </c>
      <c r="J159" s="12">
        <f t="shared" si="52"/>
        <v>13.248680851063828</v>
      </c>
      <c r="K159" s="3">
        <f t="shared" si="53"/>
        <v>0</v>
      </c>
      <c r="L159" s="7">
        <f t="shared" si="54"/>
        <v>0</v>
      </c>
      <c r="M159" t="s">
        <v>150</v>
      </c>
      <c r="O159" s="3">
        <f>E159-'315019 - P0724'!F159</f>
        <v>0</v>
      </c>
      <c r="P159" s="30">
        <f>I159-'315019 - P0724'!J159</f>
        <v>0</v>
      </c>
    </row>
    <row r="160" spans="1:16" x14ac:dyDescent="0.25">
      <c r="A160">
        <v>158</v>
      </c>
      <c r="C160" t="s">
        <v>8</v>
      </c>
      <c r="D160" s="4" t="s">
        <v>153</v>
      </c>
      <c r="E160" s="12">
        <v>11.16</v>
      </c>
      <c r="F160" s="12">
        <v>11.16</v>
      </c>
      <c r="G160" s="6">
        <f t="shared" si="50"/>
        <v>0</v>
      </c>
      <c r="H160" s="7">
        <f t="shared" si="51"/>
        <v>0</v>
      </c>
      <c r="I160" s="12">
        <v>22.971018518518513</v>
      </c>
      <c r="J160" s="12">
        <f t="shared" si="52"/>
        <v>22.971018518518513</v>
      </c>
      <c r="K160" s="3">
        <f t="shared" si="53"/>
        <v>0</v>
      </c>
      <c r="L160" s="7">
        <f t="shared" si="54"/>
        <v>0</v>
      </c>
      <c r="M160" t="s">
        <v>150</v>
      </c>
      <c r="O160" s="3">
        <f>E160-'315019 - P0724'!F160</f>
        <v>0</v>
      </c>
      <c r="P160" s="30">
        <f>I160-'315019 - P0724'!J160</f>
        <v>0</v>
      </c>
    </row>
    <row r="161" spans="1:16" x14ac:dyDescent="0.25">
      <c r="A161">
        <v>159</v>
      </c>
      <c r="D161" s="4" t="s">
        <v>154</v>
      </c>
      <c r="E161" s="12">
        <v>6.8040000000000003</v>
      </c>
      <c r="F161" s="12">
        <v>6.8040000000000003</v>
      </c>
      <c r="G161" s="6">
        <f t="shared" si="50"/>
        <v>0</v>
      </c>
      <c r="H161" s="7">
        <f t="shared" si="51"/>
        <v>0</v>
      </c>
      <c r="I161" s="12">
        <v>22.285410234150319</v>
      </c>
      <c r="J161" s="12">
        <f t="shared" si="52"/>
        <v>22.285410234150319</v>
      </c>
      <c r="K161" s="3">
        <f t="shared" si="53"/>
        <v>0</v>
      </c>
      <c r="L161" s="7">
        <f t="shared" si="54"/>
        <v>0</v>
      </c>
      <c r="M161" t="s">
        <v>150</v>
      </c>
      <c r="O161" s="3">
        <f>E161-'315019 - P0724'!F161</f>
        <v>0</v>
      </c>
      <c r="P161" s="30">
        <f>I161-'315019 - P0724'!J161</f>
        <v>0</v>
      </c>
    </row>
    <row r="162" spans="1:16" x14ac:dyDescent="0.25">
      <c r="A162">
        <v>160</v>
      </c>
      <c r="C162" t="s">
        <v>8</v>
      </c>
      <c r="D162" s="4" t="s">
        <v>155</v>
      </c>
      <c r="E162" s="12">
        <v>18.05</v>
      </c>
      <c r="F162" s="12">
        <v>18.05</v>
      </c>
      <c r="G162" s="6">
        <f t="shared" si="50"/>
        <v>0</v>
      </c>
      <c r="H162" s="7">
        <f t="shared" si="51"/>
        <v>0</v>
      </c>
      <c r="I162" s="12">
        <v>28.933702479338844</v>
      </c>
      <c r="J162" s="12">
        <f t="shared" si="52"/>
        <v>28.933702479338844</v>
      </c>
      <c r="K162" s="3">
        <f t="shared" si="53"/>
        <v>0</v>
      </c>
      <c r="L162" s="7">
        <f t="shared" si="54"/>
        <v>0</v>
      </c>
      <c r="M162" t="s">
        <v>150</v>
      </c>
      <c r="O162" s="3">
        <f>E162-'315019 - P0724'!F162</f>
        <v>0</v>
      </c>
      <c r="P162" s="30">
        <f>I162-'315019 - P0724'!J162</f>
        <v>0</v>
      </c>
    </row>
    <row r="163" spans="1:16" x14ac:dyDescent="0.25">
      <c r="A163">
        <v>161</v>
      </c>
      <c r="D163" s="4" t="s">
        <v>156</v>
      </c>
      <c r="E163" s="12">
        <v>0.4</v>
      </c>
      <c r="F163" s="12">
        <v>0.4</v>
      </c>
      <c r="G163" s="6">
        <f t="shared" si="50"/>
        <v>0</v>
      </c>
      <c r="H163" s="7">
        <f t="shared" si="51"/>
        <v>0</v>
      </c>
      <c r="I163" s="12">
        <v>1.1076923076923078</v>
      </c>
      <c r="J163" s="12">
        <f t="shared" si="52"/>
        <v>1.1076923076923078</v>
      </c>
      <c r="K163" s="3">
        <f t="shared" si="53"/>
        <v>0</v>
      </c>
      <c r="L163" s="7">
        <f t="shared" si="54"/>
        <v>0</v>
      </c>
      <c r="M163" t="s">
        <v>150</v>
      </c>
      <c r="O163" s="3">
        <f>E163-'315019 - P0724'!F163</f>
        <v>0</v>
      </c>
      <c r="P163" s="30">
        <f>I163-'315019 - P0724'!J163</f>
        <v>0</v>
      </c>
    </row>
    <row r="164" spans="1:16" x14ac:dyDescent="0.25">
      <c r="A164">
        <v>162</v>
      </c>
      <c r="C164" t="s">
        <v>8</v>
      </c>
      <c r="D164" s="4" t="s">
        <v>157</v>
      </c>
      <c r="E164" s="12">
        <v>5.99</v>
      </c>
      <c r="F164" s="12">
        <v>5.99</v>
      </c>
      <c r="G164" s="6">
        <f t="shared" si="50"/>
        <v>0</v>
      </c>
      <c r="H164" s="7">
        <f t="shared" si="51"/>
        <v>0</v>
      </c>
      <c r="I164" s="12">
        <v>10.65</v>
      </c>
      <c r="J164" s="12">
        <f t="shared" si="52"/>
        <v>10.65</v>
      </c>
      <c r="K164" s="3">
        <f t="shared" si="53"/>
        <v>0</v>
      </c>
      <c r="L164" s="7">
        <f t="shared" si="54"/>
        <v>0</v>
      </c>
      <c r="M164" t="s">
        <v>150</v>
      </c>
      <c r="O164" s="3">
        <f>E164-'315019 - P0724'!F164</f>
        <v>0</v>
      </c>
      <c r="P164" s="30">
        <f>I164-'315019 - P0724'!J164</f>
        <v>0</v>
      </c>
    </row>
    <row r="165" spans="1:16" x14ac:dyDescent="0.25">
      <c r="A165">
        <v>163</v>
      </c>
      <c r="D165" s="34" t="s">
        <v>158</v>
      </c>
      <c r="H165" s="10">
        <f>AVERAGE(H158:H163)</f>
        <v>0</v>
      </c>
      <c r="I165"/>
    </row>
    <row r="166" spans="1:16" x14ac:dyDescent="0.25">
      <c r="A166">
        <v>164</v>
      </c>
      <c r="D166" s="34" t="s">
        <v>159</v>
      </c>
      <c r="I166"/>
    </row>
    <row r="167" spans="1:16" x14ac:dyDescent="0.25">
      <c r="A167">
        <v>165</v>
      </c>
      <c r="C167" t="s">
        <v>8</v>
      </c>
      <c r="D167" s="4" t="s">
        <v>160</v>
      </c>
      <c r="E167" s="5">
        <v>3.34</v>
      </c>
      <c r="F167" s="5">
        <v>3.34</v>
      </c>
      <c r="G167" s="6">
        <f t="shared" ref="G167:G191" si="55">+F167-E167</f>
        <v>0</v>
      </c>
      <c r="H167" s="7">
        <f t="shared" ref="H167:H191" si="56">(F167-E167)/ABS(E167)</f>
        <v>0</v>
      </c>
      <c r="I167" s="8">
        <v>6.1290657389972267</v>
      </c>
      <c r="J167" s="9">
        <f t="shared" ref="J167:J191" si="57">(I167*H167)+I167</f>
        <v>6.1290657389972267</v>
      </c>
      <c r="K167" s="3">
        <f t="shared" ref="K167:K191" si="58">J167-I167</f>
        <v>0</v>
      </c>
      <c r="L167" s="7">
        <f t="shared" ref="L167:L191" si="59">(J167-I167)/ABS(I167)</f>
        <v>0</v>
      </c>
      <c r="M167" t="s">
        <v>150</v>
      </c>
      <c r="O167" s="3">
        <f>E167-'315019 - P0724'!F167</f>
        <v>0</v>
      </c>
      <c r="P167" s="30">
        <f>I167-'315019 - P0724'!J167</f>
        <v>0</v>
      </c>
    </row>
    <row r="168" spans="1:16" x14ac:dyDescent="0.25">
      <c r="A168">
        <v>166</v>
      </c>
      <c r="C168" t="s">
        <v>8</v>
      </c>
      <c r="D168" s="4" t="s">
        <v>161</v>
      </c>
      <c r="E168" s="5">
        <v>5.01</v>
      </c>
      <c r="F168" s="5">
        <v>5.01</v>
      </c>
      <c r="G168" s="6">
        <f t="shared" si="55"/>
        <v>0</v>
      </c>
      <c r="H168" s="7">
        <f t="shared" si="56"/>
        <v>0</v>
      </c>
      <c r="I168" s="8">
        <v>10.644195465054626</v>
      </c>
      <c r="J168" s="9">
        <f t="shared" si="57"/>
        <v>10.644195465054626</v>
      </c>
      <c r="K168" s="3">
        <f t="shared" si="58"/>
        <v>0</v>
      </c>
      <c r="L168" s="7">
        <f t="shared" si="59"/>
        <v>0</v>
      </c>
      <c r="M168" t="s">
        <v>150</v>
      </c>
      <c r="O168" s="3">
        <f>E168-'315019 - P0724'!F168</f>
        <v>0</v>
      </c>
      <c r="P168" s="30">
        <f>I168-'315019 - P0724'!J168</f>
        <v>0</v>
      </c>
    </row>
    <row r="169" spans="1:16" x14ac:dyDescent="0.25">
      <c r="A169">
        <v>167</v>
      </c>
      <c r="C169" t="s">
        <v>8</v>
      </c>
      <c r="D169" s="4" t="s">
        <v>162</v>
      </c>
      <c r="E169" s="5">
        <v>3.47</v>
      </c>
      <c r="F169" s="5">
        <v>3.47</v>
      </c>
      <c r="G169" s="6">
        <f t="shared" si="55"/>
        <v>0</v>
      </c>
      <c r="H169" s="7">
        <f t="shared" si="56"/>
        <v>0</v>
      </c>
      <c r="I169" s="8">
        <v>4.7733355738018091</v>
      </c>
      <c r="J169" s="9">
        <f t="shared" si="57"/>
        <v>4.7733355738018091</v>
      </c>
      <c r="K169" s="3">
        <f t="shared" si="58"/>
        <v>0</v>
      </c>
      <c r="L169" s="7">
        <f t="shared" si="59"/>
        <v>0</v>
      </c>
      <c r="M169" t="s">
        <v>150</v>
      </c>
      <c r="O169" s="3">
        <f>E169-'315019 - P0724'!F169</f>
        <v>0</v>
      </c>
      <c r="P169" s="30">
        <f>I169-'315019 - P0724'!J169</f>
        <v>0</v>
      </c>
    </row>
    <row r="170" spans="1:16" x14ac:dyDescent="0.25">
      <c r="A170">
        <v>168</v>
      </c>
      <c r="C170" t="s">
        <v>8</v>
      </c>
      <c r="D170" s="4" t="s">
        <v>163</v>
      </c>
      <c r="E170" s="5">
        <v>13.87</v>
      </c>
      <c r="F170" s="5">
        <v>13.87</v>
      </c>
      <c r="G170" s="6">
        <f t="shared" si="55"/>
        <v>0</v>
      </c>
      <c r="H170" s="7">
        <f t="shared" si="56"/>
        <v>0</v>
      </c>
      <c r="I170" s="8">
        <v>18.526710428216624</v>
      </c>
      <c r="J170" s="9">
        <f t="shared" si="57"/>
        <v>18.526710428216624</v>
      </c>
      <c r="K170" s="3">
        <f t="shared" si="58"/>
        <v>0</v>
      </c>
      <c r="L170" s="7">
        <f t="shared" si="59"/>
        <v>0</v>
      </c>
      <c r="M170" t="s">
        <v>150</v>
      </c>
      <c r="O170" s="3">
        <f>E170-'315019 - P0724'!F170</f>
        <v>0</v>
      </c>
      <c r="P170" s="30">
        <f>I170-'315019 - P0724'!J170</f>
        <v>0</v>
      </c>
    </row>
    <row r="171" spans="1:16" x14ac:dyDescent="0.25">
      <c r="A171">
        <v>169</v>
      </c>
      <c r="C171" t="s">
        <v>8</v>
      </c>
      <c r="D171" s="4" t="s">
        <v>164</v>
      </c>
      <c r="E171" s="5">
        <v>1300</v>
      </c>
      <c r="F171" s="5">
        <v>1300</v>
      </c>
      <c r="G171" s="6">
        <f t="shared" si="55"/>
        <v>0</v>
      </c>
      <c r="H171" s="7">
        <f t="shared" si="56"/>
        <v>0</v>
      </c>
      <c r="I171" s="8">
        <v>29.247408939808338</v>
      </c>
      <c r="J171" s="9">
        <f t="shared" si="57"/>
        <v>29.247408939808338</v>
      </c>
      <c r="K171" s="3">
        <f t="shared" si="58"/>
        <v>0</v>
      </c>
      <c r="L171" s="7">
        <f t="shared" si="59"/>
        <v>0</v>
      </c>
      <c r="M171" t="s">
        <v>150</v>
      </c>
      <c r="O171" s="3">
        <f>E171-'315019 - P0724'!F171</f>
        <v>0</v>
      </c>
      <c r="P171" s="30">
        <f>I171-'315019 - P0724'!J171</f>
        <v>0</v>
      </c>
    </row>
    <row r="172" spans="1:16" x14ac:dyDescent="0.25">
      <c r="A172">
        <v>170</v>
      </c>
      <c r="C172" t="s">
        <v>8</v>
      </c>
      <c r="D172" s="4" t="s">
        <v>165</v>
      </c>
      <c r="E172" s="5">
        <v>1300</v>
      </c>
      <c r="F172" s="5">
        <v>1300</v>
      </c>
      <c r="G172" s="6">
        <f t="shared" si="55"/>
        <v>0</v>
      </c>
      <c r="H172" s="7">
        <f t="shared" si="56"/>
        <v>0</v>
      </c>
      <c r="I172" s="8">
        <v>1874.2587429242276</v>
      </c>
      <c r="J172" s="9">
        <f t="shared" si="57"/>
        <v>1874.2587429242276</v>
      </c>
      <c r="K172" s="3">
        <f t="shared" si="58"/>
        <v>0</v>
      </c>
      <c r="L172" s="7">
        <f t="shared" si="59"/>
        <v>0</v>
      </c>
      <c r="M172" t="s">
        <v>150</v>
      </c>
      <c r="O172" s="3">
        <f>E172-'315019 - P0724'!F172</f>
        <v>0</v>
      </c>
      <c r="P172" s="30">
        <f>I172-'315019 - P0724'!J172</f>
        <v>0</v>
      </c>
    </row>
    <row r="173" spans="1:16" x14ac:dyDescent="0.25">
      <c r="A173">
        <v>171</v>
      </c>
      <c r="C173" t="s">
        <v>8</v>
      </c>
      <c r="D173" s="4" t="s">
        <v>166</v>
      </c>
      <c r="E173" s="5">
        <v>18.45</v>
      </c>
      <c r="F173" s="5">
        <v>18.45</v>
      </c>
      <c r="G173" s="6">
        <f t="shared" si="55"/>
        <v>0</v>
      </c>
      <c r="H173" s="7">
        <f t="shared" si="56"/>
        <v>0</v>
      </c>
      <c r="I173" s="8">
        <v>28.75</v>
      </c>
      <c r="J173" s="9">
        <f t="shared" si="57"/>
        <v>28.75</v>
      </c>
      <c r="K173" s="3">
        <f t="shared" si="58"/>
        <v>0</v>
      </c>
      <c r="L173" s="7">
        <f t="shared" si="59"/>
        <v>0</v>
      </c>
      <c r="M173" t="s">
        <v>150</v>
      </c>
      <c r="O173" s="3">
        <f>E173-'315019 - P0724'!F173</f>
        <v>0</v>
      </c>
      <c r="P173" s="30">
        <f>I173-'315019 - P0724'!J173</f>
        <v>0</v>
      </c>
    </row>
    <row r="174" spans="1:16" x14ac:dyDescent="0.25">
      <c r="A174">
        <v>172</v>
      </c>
      <c r="C174" t="s">
        <v>8</v>
      </c>
      <c r="D174" s="4" t="s">
        <v>167</v>
      </c>
      <c r="E174" s="11">
        <v>4.0199999999999996</v>
      </c>
      <c r="F174" s="11">
        <v>4.0199999999999996</v>
      </c>
      <c r="G174" s="6">
        <f t="shared" si="55"/>
        <v>0</v>
      </c>
      <c r="H174" s="7">
        <f t="shared" si="56"/>
        <v>0</v>
      </c>
      <c r="I174" s="8">
        <v>15.098612891135524</v>
      </c>
      <c r="J174" s="9">
        <f t="shared" si="57"/>
        <v>15.098612891135524</v>
      </c>
      <c r="K174" s="3">
        <f t="shared" si="58"/>
        <v>0</v>
      </c>
      <c r="L174" s="7">
        <f t="shared" si="59"/>
        <v>0</v>
      </c>
      <c r="M174" t="s">
        <v>150</v>
      </c>
      <c r="O174" s="3">
        <f>E174-'315019 - P0724'!F174</f>
        <v>0</v>
      </c>
      <c r="P174" s="30">
        <f>I174-'315019 - P0724'!J174</f>
        <v>0</v>
      </c>
    </row>
    <row r="175" spans="1:16" x14ac:dyDescent="0.25">
      <c r="A175">
        <v>173</v>
      </c>
      <c r="C175" t="s">
        <v>8</v>
      </c>
      <c r="D175" s="4" t="s">
        <v>168</v>
      </c>
      <c r="E175" s="11">
        <v>0.59</v>
      </c>
      <c r="F175" s="11">
        <v>0.59</v>
      </c>
      <c r="G175" s="6">
        <f t="shared" si="55"/>
        <v>0</v>
      </c>
      <c r="H175" s="7">
        <f t="shared" si="56"/>
        <v>0</v>
      </c>
      <c r="I175" s="8">
        <v>2.1049549224666428</v>
      </c>
      <c r="J175" s="9">
        <f t="shared" si="57"/>
        <v>2.1049549224666428</v>
      </c>
      <c r="K175" s="3">
        <f t="shared" si="58"/>
        <v>0</v>
      </c>
      <c r="L175" s="7">
        <f t="shared" si="59"/>
        <v>0</v>
      </c>
      <c r="M175" t="s">
        <v>150</v>
      </c>
      <c r="O175" s="3">
        <f>E175-'315019 - P0724'!F175</f>
        <v>0</v>
      </c>
      <c r="P175" s="30">
        <f>I175-'315019 - P0724'!J175</f>
        <v>0</v>
      </c>
    </row>
    <row r="176" spans="1:16" x14ac:dyDescent="0.25">
      <c r="A176">
        <v>174</v>
      </c>
      <c r="C176" t="s">
        <v>8</v>
      </c>
      <c r="D176" s="4" t="s">
        <v>169</v>
      </c>
      <c r="E176" s="11">
        <v>0.63</v>
      </c>
      <c r="F176" s="11">
        <v>0.63</v>
      </c>
      <c r="G176" s="6">
        <f t="shared" si="55"/>
        <v>0</v>
      </c>
      <c r="H176" s="7">
        <f t="shared" si="56"/>
        <v>0</v>
      </c>
      <c r="I176" s="8">
        <v>1.9152</v>
      </c>
      <c r="J176" s="9">
        <f t="shared" si="57"/>
        <v>1.9152</v>
      </c>
      <c r="K176" s="3">
        <f t="shared" si="58"/>
        <v>0</v>
      </c>
      <c r="L176" s="7">
        <f t="shared" si="59"/>
        <v>0</v>
      </c>
      <c r="M176" t="s">
        <v>150</v>
      </c>
      <c r="O176" s="3">
        <f>E176-'315019 - P0724'!F176</f>
        <v>0</v>
      </c>
      <c r="P176" s="30">
        <f>I176-'315019 - P0724'!J176</f>
        <v>0</v>
      </c>
    </row>
    <row r="177" spans="1:16" x14ac:dyDescent="0.25">
      <c r="A177">
        <v>175</v>
      </c>
      <c r="C177" t="s">
        <v>8</v>
      </c>
      <c r="D177" s="4" t="s">
        <v>461</v>
      </c>
      <c r="E177" s="11">
        <v>29</v>
      </c>
      <c r="F177" s="11">
        <v>29</v>
      </c>
      <c r="G177" s="6">
        <f t="shared" si="55"/>
        <v>0</v>
      </c>
      <c r="H177" s="7">
        <f t="shared" si="56"/>
        <v>0</v>
      </c>
      <c r="I177" s="8">
        <v>45.490196078431374</v>
      </c>
      <c r="J177" s="9">
        <f t="shared" si="57"/>
        <v>45.490196078431374</v>
      </c>
      <c r="K177" s="3">
        <f t="shared" si="58"/>
        <v>0</v>
      </c>
      <c r="L177" s="7">
        <f t="shared" si="59"/>
        <v>0</v>
      </c>
      <c r="M177" t="s">
        <v>150</v>
      </c>
      <c r="O177" s="3">
        <f>E177-'315019 - P0724'!F177</f>
        <v>0</v>
      </c>
      <c r="P177" s="30">
        <f>I177-'315019 - P0724'!J177</f>
        <v>0</v>
      </c>
    </row>
    <row r="178" spans="1:16" x14ac:dyDescent="0.25">
      <c r="A178">
        <v>176</v>
      </c>
      <c r="C178" t="s">
        <v>8</v>
      </c>
      <c r="D178" s="4" t="s">
        <v>170</v>
      </c>
      <c r="E178" s="11">
        <v>35.4</v>
      </c>
      <c r="F178" s="11">
        <v>35.4</v>
      </c>
      <c r="G178" s="6">
        <f t="shared" si="55"/>
        <v>0</v>
      </c>
      <c r="H178" s="7">
        <f t="shared" si="56"/>
        <v>0</v>
      </c>
      <c r="I178" s="8">
        <v>21.717791411042946</v>
      </c>
      <c r="J178" s="9">
        <f t="shared" si="57"/>
        <v>21.717791411042946</v>
      </c>
      <c r="K178" s="3">
        <f t="shared" si="58"/>
        <v>0</v>
      </c>
      <c r="L178" s="7">
        <f t="shared" si="59"/>
        <v>0</v>
      </c>
      <c r="M178" t="s">
        <v>150</v>
      </c>
      <c r="O178" s="3">
        <f>E178-'315019 - P0724'!F178</f>
        <v>0</v>
      </c>
      <c r="P178" s="30">
        <f>I178-'315019 - P0724'!J178</f>
        <v>0</v>
      </c>
    </row>
    <row r="179" spans="1:16" x14ac:dyDescent="0.25">
      <c r="A179">
        <v>177</v>
      </c>
      <c r="C179" t="s">
        <v>8</v>
      </c>
      <c r="D179" s="4" t="s">
        <v>171</v>
      </c>
      <c r="E179" s="11">
        <v>29.3</v>
      </c>
      <c r="F179" s="11">
        <v>29.3</v>
      </c>
      <c r="G179" s="6">
        <f t="shared" si="55"/>
        <v>0</v>
      </c>
      <c r="H179" s="7">
        <f t="shared" si="56"/>
        <v>0</v>
      </c>
      <c r="I179" s="8">
        <v>20</v>
      </c>
      <c r="J179" s="9">
        <f t="shared" si="57"/>
        <v>20</v>
      </c>
      <c r="K179" s="3">
        <f t="shared" si="58"/>
        <v>0</v>
      </c>
      <c r="L179" s="7">
        <f t="shared" si="59"/>
        <v>0</v>
      </c>
      <c r="M179" t="s">
        <v>150</v>
      </c>
      <c r="O179" s="3">
        <f>E179-'315019 - P0724'!F179</f>
        <v>0</v>
      </c>
      <c r="P179" s="30">
        <f>I179-'315019 - P0724'!J179</f>
        <v>0</v>
      </c>
    </row>
    <row r="180" spans="1:16" x14ac:dyDescent="0.25">
      <c r="A180">
        <v>178</v>
      </c>
      <c r="C180" t="s">
        <v>8</v>
      </c>
      <c r="D180" s="4" t="s">
        <v>172</v>
      </c>
      <c r="E180" s="11">
        <v>24.2</v>
      </c>
      <c r="F180" s="11">
        <v>24.2</v>
      </c>
      <c r="G180" s="6">
        <f t="shared" si="55"/>
        <v>0</v>
      </c>
      <c r="H180" s="7">
        <f t="shared" si="56"/>
        <v>0</v>
      </c>
      <c r="I180" s="8">
        <v>20</v>
      </c>
      <c r="J180" s="9">
        <f t="shared" si="57"/>
        <v>20</v>
      </c>
      <c r="K180" s="3">
        <f t="shared" si="58"/>
        <v>0</v>
      </c>
      <c r="L180" s="7">
        <f t="shared" si="59"/>
        <v>0</v>
      </c>
      <c r="M180" t="s">
        <v>150</v>
      </c>
      <c r="O180" s="3">
        <f>E180-'315019 - P0724'!F180</f>
        <v>0</v>
      </c>
      <c r="P180" s="30">
        <f>I180-'315019 - P0724'!J180</f>
        <v>0</v>
      </c>
    </row>
    <row r="181" spans="1:16" x14ac:dyDescent="0.25">
      <c r="A181">
        <v>179</v>
      </c>
      <c r="C181" t="s">
        <v>8</v>
      </c>
      <c r="D181" s="4" t="s">
        <v>173</v>
      </c>
      <c r="E181" s="12">
        <v>116</v>
      </c>
      <c r="F181" s="12">
        <v>116</v>
      </c>
      <c r="G181" s="6">
        <f t="shared" si="55"/>
        <v>0</v>
      </c>
      <c r="H181" s="7">
        <f t="shared" si="56"/>
        <v>0</v>
      </c>
      <c r="I181" s="8">
        <v>153.29999999999998</v>
      </c>
      <c r="J181" s="9">
        <f t="shared" si="57"/>
        <v>153.29999999999998</v>
      </c>
      <c r="K181" s="3">
        <f t="shared" si="58"/>
        <v>0</v>
      </c>
      <c r="L181" s="7">
        <f t="shared" si="59"/>
        <v>0</v>
      </c>
      <c r="M181" t="s">
        <v>121</v>
      </c>
      <c r="O181" s="3">
        <f>E181-'315019 - P0724'!F181</f>
        <v>0</v>
      </c>
      <c r="P181" s="30">
        <f>I181-'315019 - P0724'!J181</f>
        <v>0</v>
      </c>
    </row>
    <row r="182" spans="1:16" x14ac:dyDescent="0.25">
      <c r="A182">
        <v>180</v>
      </c>
      <c r="C182" t="s">
        <v>8</v>
      </c>
      <c r="D182" s="4" t="s">
        <v>174</v>
      </c>
      <c r="E182" s="12">
        <v>9.98</v>
      </c>
      <c r="F182" s="12">
        <v>9.98</v>
      </c>
      <c r="G182" s="6">
        <f t="shared" si="55"/>
        <v>0</v>
      </c>
      <c r="H182" s="7">
        <f t="shared" si="56"/>
        <v>0</v>
      </c>
      <c r="I182" s="8">
        <v>13.625326315789476</v>
      </c>
      <c r="J182" s="9">
        <f t="shared" si="57"/>
        <v>13.625326315789476</v>
      </c>
      <c r="K182" s="3">
        <f t="shared" si="58"/>
        <v>0</v>
      </c>
      <c r="L182" s="7">
        <f t="shared" si="59"/>
        <v>0</v>
      </c>
      <c r="M182" t="s">
        <v>121</v>
      </c>
      <c r="O182" s="3">
        <f>E182-'315019 - P0724'!F182</f>
        <v>0</v>
      </c>
      <c r="P182" s="30">
        <f>I182-'315019 - P0724'!J182</f>
        <v>0</v>
      </c>
    </row>
    <row r="183" spans="1:16" x14ac:dyDescent="0.25">
      <c r="A183">
        <v>181</v>
      </c>
      <c r="C183" t="s">
        <v>8</v>
      </c>
      <c r="D183" s="4" t="s">
        <v>175</v>
      </c>
      <c r="E183" s="12">
        <v>190.995</v>
      </c>
      <c r="F183" s="12">
        <v>190.995</v>
      </c>
      <c r="G183" s="6">
        <f t="shared" si="55"/>
        <v>0</v>
      </c>
      <c r="H183" s="7">
        <f t="shared" si="56"/>
        <v>0</v>
      </c>
      <c r="I183" s="8">
        <v>251</v>
      </c>
      <c r="J183" s="9">
        <f t="shared" si="57"/>
        <v>251</v>
      </c>
      <c r="K183" s="3">
        <f t="shared" si="58"/>
        <v>0</v>
      </c>
      <c r="L183" s="7">
        <f t="shared" si="59"/>
        <v>0</v>
      </c>
      <c r="M183" t="s">
        <v>121</v>
      </c>
      <c r="O183" s="3">
        <f>E183-'315019 - P0724'!F183</f>
        <v>0</v>
      </c>
      <c r="P183" s="30">
        <f>I183-'315019 - P0724'!J183</f>
        <v>0</v>
      </c>
    </row>
    <row r="184" spans="1:16" x14ac:dyDescent="0.25">
      <c r="A184">
        <v>182</v>
      </c>
      <c r="C184" t="s">
        <v>8</v>
      </c>
      <c r="D184" s="4" t="s">
        <v>176</v>
      </c>
      <c r="E184" s="12">
        <v>14.01</v>
      </c>
      <c r="F184" s="12">
        <v>14.01</v>
      </c>
      <c r="G184" s="6">
        <f t="shared" si="55"/>
        <v>0</v>
      </c>
      <c r="H184" s="7">
        <f t="shared" si="56"/>
        <v>0</v>
      </c>
      <c r="I184" s="8">
        <v>19.616308543063266</v>
      </c>
      <c r="J184" s="9">
        <f t="shared" si="57"/>
        <v>19.616308543063266</v>
      </c>
      <c r="K184" s="3">
        <f t="shared" si="58"/>
        <v>0</v>
      </c>
      <c r="L184" s="7">
        <f t="shared" si="59"/>
        <v>0</v>
      </c>
      <c r="M184" t="s">
        <v>121</v>
      </c>
      <c r="O184" s="3">
        <f>E184-'315019 - P0724'!F184</f>
        <v>0</v>
      </c>
      <c r="P184" s="30">
        <f>I184-'315019 - P0724'!J184</f>
        <v>0</v>
      </c>
    </row>
    <row r="185" spans="1:16" x14ac:dyDescent="0.25">
      <c r="A185">
        <v>183</v>
      </c>
      <c r="C185" t="s">
        <v>8</v>
      </c>
      <c r="D185" s="4" t="s">
        <v>177</v>
      </c>
      <c r="E185" s="12">
        <v>33.25</v>
      </c>
      <c r="F185" s="12">
        <v>33.25</v>
      </c>
      <c r="G185" s="6">
        <f t="shared" si="55"/>
        <v>0</v>
      </c>
      <c r="H185" s="7">
        <f t="shared" si="56"/>
        <v>0</v>
      </c>
      <c r="I185" s="8">
        <v>49.869393819571762</v>
      </c>
      <c r="J185" s="9">
        <f t="shared" si="57"/>
        <v>49.869393819571762</v>
      </c>
      <c r="K185" s="3">
        <f t="shared" si="58"/>
        <v>0</v>
      </c>
      <c r="L185" s="7">
        <f t="shared" si="59"/>
        <v>0</v>
      </c>
      <c r="M185" t="s">
        <v>121</v>
      </c>
      <c r="O185" s="3">
        <f>E185-'315019 - P0724'!F185</f>
        <v>0</v>
      </c>
      <c r="P185" s="30">
        <f>I185-'315019 - P0724'!J185</f>
        <v>0</v>
      </c>
    </row>
    <row r="186" spans="1:16" x14ac:dyDescent="0.25">
      <c r="A186">
        <v>184</v>
      </c>
      <c r="C186" t="s">
        <v>8</v>
      </c>
      <c r="D186" s="4" t="s">
        <v>178</v>
      </c>
      <c r="E186" s="12">
        <v>44.04</v>
      </c>
      <c r="F186" s="12">
        <v>44.04</v>
      </c>
      <c r="G186" s="6">
        <f t="shared" si="55"/>
        <v>0</v>
      </c>
      <c r="H186" s="7">
        <f t="shared" si="56"/>
        <v>0</v>
      </c>
      <c r="I186" s="8">
        <v>61.644476622337386</v>
      </c>
      <c r="J186" s="9">
        <f t="shared" si="57"/>
        <v>61.644476622337386</v>
      </c>
      <c r="K186" s="3">
        <f t="shared" si="58"/>
        <v>0</v>
      </c>
      <c r="L186" s="7">
        <f t="shared" si="59"/>
        <v>0</v>
      </c>
      <c r="M186" t="s">
        <v>121</v>
      </c>
      <c r="O186" s="3">
        <f>E186-'315019 - P0724'!F186</f>
        <v>0</v>
      </c>
      <c r="P186" s="30">
        <f>I186-'315019 - P0724'!J186</f>
        <v>0</v>
      </c>
    </row>
    <row r="187" spans="1:16" x14ac:dyDescent="0.25">
      <c r="A187">
        <v>185</v>
      </c>
      <c r="C187" t="s">
        <v>8</v>
      </c>
      <c r="D187" s="4" t="s">
        <v>179</v>
      </c>
      <c r="E187" s="12">
        <v>144.85</v>
      </c>
      <c r="F187" s="12">
        <v>144.85</v>
      </c>
      <c r="G187" s="6">
        <f t="shared" si="55"/>
        <v>0</v>
      </c>
      <c r="H187" s="7">
        <f t="shared" si="56"/>
        <v>0</v>
      </c>
      <c r="I187" s="8">
        <v>241.42</v>
      </c>
      <c r="J187" s="9">
        <f t="shared" si="57"/>
        <v>241.42</v>
      </c>
      <c r="K187" s="3">
        <f t="shared" si="58"/>
        <v>0</v>
      </c>
      <c r="L187" s="7">
        <f t="shared" si="59"/>
        <v>0</v>
      </c>
      <c r="M187" t="s">
        <v>121</v>
      </c>
      <c r="O187" s="3">
        <f>E187-'315019 - P0724'!F187</f>
        <v>0</v>
      </c>
      <c r="P187" s="30">
        <f>I187-'315019 - P0724'!J187</f>
        <v>0</v>
      </c>
    </row>
    <row r="188" spans="1:16" x14ac:dyDescent="0.25">
      <c r="A188">
        <v>186</v>
      </c>
      <c r="C188" t="s">
        <v>8</v>
      </c>
      <c r="D188" s="4" t="s">
        <v>180</v>
      </c>
      <c r="E188" s="11">
        <v>21.42</v>
      </c>
      <c r="F188" s="11">
        <v>21.42</v>
      </c>
      <c r="G188" s="6">
        <f t="shared" si="55"/>
        <v>0</v>
      </c>
      <c r="H188" s="7">
        <f t="shared" si="56"/>
        <v>0</v>
      </c>
      <c r="I188" s="8">
        <v>36.651079812206568</v>
      </c>
      <c r="J188" s="9">
        <f t="shared" si="57"/>
        <v>36.651079812206568</v>
      </c>
      <c r="K188" s="3">
        <f t="shared" si="58"/>
        <v>0</v>
      </c>
      <c r="L188" s="7">
        <f t="shared" si="59"/>
        <v>0</v>
      </c>
      <c r="M188" t="s">
        <v>150</v>
      </c>
      <c r="O188" s="3">
        <f>E188-'315019 - P0724'!F188</f>
        <v>0</v>
      </c>
      <c r="P188" s="30">
        <f>I188-'315019 - P0724'!J188</f>
        <v>0</v>
      </c>
    </row>
    <row r="189" spans="1:16" x14ac:dyDescent="0.25">
      <c r="A189">
        <v>187</v>
      </c>
      <c r="C189" t="s">
        <v>8</v>
      </c>
      <c r="D189" s="4" t="s">
        <v>181</v>
      </c>
      <c r="E189" s="11">
        <v>32.67</v>
      </c>
      <c r="F189" s="11">
        <v>32.67</v>
      </c>
      <c r="G189" s="6">
        <f t="shared" si="55"/>
        <v>0</v>
      </c>
      <c r="H189" s="7">
        <f t="shared" si="56"/>
        <v>0</v>
      </c>
      <c r="I189" s="8">
        <v>45.558072000000003</v>
      </c>
      <c r="J189" s="9">
        <f t="shared" si="57"/>
        <v>45.558072000000003</v>
      </c>
      <c r="K189" s="3">
        <f t="shared" si="58"/>
        <v>0</v>
      </c>
      <c r="L189" s="7">
        <f t="shared" si="59"/>
        <v>0</v>
      </c>
      <c r="M189" t="s">
        <v>150</v>
      </c>
      <c r="O189" s="3">
        <f>E189-'315019 - P0724'!F189</f>
        <v>0</v>
      </c>
      <c r="P189" s="30">
        <f>I189-'315019 - P0724'!J189</f>
        <v>0</v>
      </c>
    </row>
    <row r="190" spans="1:16" x14ac:dyDescent="0.25">
      <c r="A190">
        <v>188</v>
      </c>
      <c r="C190" t="s">
        <v>8</v>
      </c>
      <c r="D190" s="4" t="s">
        <v>182</v>
      </c>
      <c r="E190" s="11">
        <v>43</v>
      </c>
      <c r="F190" s="11">
        <v>43</v>
      </c>
      <c r="G190" s="13">
        <f t="shared" si="55"/>
        <v>0</v>
      </c>
      <c r="H190" s="7">
        <f t="shared" si="56"/>
        <v>0</v>
      </c>
      <c r="I190" s="8">
        <v>91.806916426512956</v>
      </c>
      <c r="J190" s="9">
        <f t="shared" si="57"/>
        <v>91.806916426512956</v>
      </c>
      <c r="K190" s="3">
        <f t="shared" si="58"/>
        <v>0</v>
      </c>
      <c r="L190" s="7">
        <f t="shared" si="59"/>
        <v>0</v>
      </c>
      <c r="M190" t="s">
        <v>150</v>
      </c>
      <c r="O190" s="3">
        <f>E190-'315019 - P0724'!F190</f>
        <v>0</v>
      </c>
      <c r="P190" s="30">
        <f>I190-'315019 - P0724'!J190</f>
        <v>0</v>
      </c>
    </row>
    <row r="191" spans="1:16" x14ac:dyDescent="0.25">
      <c r="A191">
        <v>189</v>
      </c>
      <c r="C191" t="s">
        <v>8</v>
      </c>
      <c r="D191" s="4" t="s">
        <v>183</v>
      </c>
      <c r="E191" s="11">
        <v>4.24</v>
      </c>
      <c r="F191" s="11">
        <v>4.24</v>
      </c>
      <c r="G191" s="6">
        <f t="shared" si="55"/>
        <v>0</v>
      </c>
      <c r="H191" s="7">
        <f t="shared" si="56"/>
        <v>0</v>
      </c>
      <c r="I191" s="8">
        <v>7.5095819935691317</v>
      </c>
      <c r="J191" s="9">
        <f t="shared" si="57"/>
        <v>7.5095819935691317</v>
      </c>
      <c r="K191" s="3">
        <f t="shared" si="58"/>
        <v>0</v>
      </c>
      <c r="L191" s="7">
        <f t="shared" si="59"/>
        <v>0</v>
      </c>
      <c r="M191" t="s">
        <v>150</v>
      </c>
      <c r="O191" s="3">
        <f>E191-'315019 - P0724'!F191</f>
        <v>0</v>
      </c>
      <c r="P191" s="30">
        <f>I191-'315019 - P0724'!J191</f>
        <v>0</v>
      </c>
    </row>
    <row r="192" spans="1:16" x14ac:dyDescent="0.25">
      <c r="A192">
        <v>190</v>
      </c>
      <c r="D192" s="34" t="s">
        <v>184</v>
      </c>
      <c r="H192" s="10">
        <f>AVERAGE(H167:H191)</f>
        <v>0</v>
      </c>
      <c r="I192"/>
    </row>
    <row r="193" spans="1:16" x14ac:dyDescent="0.25">
      <c r="A193">
        <v>191</v>
      </c>
      <c r="D193" s="34" t="s">
        <v>185</v>
      </c>
      <c r="I193"/>
    </row>
    <row r="194" spans="1:16" x14ac:dyDescent="0.25">
      <c r="A194">
        <v>192</v>
      </c>
      <c r="C194" t="s">
        <v>8</v>
      </c>
      <c r="D194" s="4" t="s">
        <v>186</v>
      </c>
      <c r="E194" s="12">
        <v>1.79</v>
      </c>
      <c r="F194" s="12">
        <v>1.79</v>
      </c>
      <c r="G194" s="6">
        <f t="shared" ref="G194:G241" si="60">+F194-E194</f>
        <v>0</v>
      </c>
      <c r="H194" s="7">
        <f t="shared" ref="H194:H241" si="61">(F194-E194)/ABS(E194)</f>
        <v>0</v>
      </c>
      <c r="I194" s="8">
        <v>2.3437962240000001</v>
      </c>
      <c r="J194" s="9">
        <f t="shared" ref="J194:J241" si="62">(I194*H194)+I194</f>
        <v>2.3437962240000001</v>
      </c>
      <c r="K194" s="3">
        <f t="shared" ref="K194:K241" si="63">J194-I194</f>
        <v>0</v>
      </c>
      <c r="L194" s="7">
        <f t="shared" ref="L194:L241" si="64">(J194-I194)/ABS(I194)</f>
        <v>0</v>
      </c>
      <c r="M194" t="s">
        <v>187</v>
      </c>
      <c r="O194" s="3">
        <f>E194-'315019 - P0724'!F194</f>
        <v>0</v>
      </c>
      <c r="P194" s="30">
        <f>I194-'315019 - P0724'!J194</f>
        <v>0</v>
      </c>
    </row>
    <row r="195" spans="1:16" x14ac:dyDescent="0.25">
      <c r="A195">
        <v>193</v>
      </c>
      <c r="C195" t="s">
        <v>8</v>
      </c>
      <c r="D195" s="4" t="s">
        <v>188</v>
      </c>
      <c r="E195" s="12">
        <v>0.46</v>
      </c>
      <c r="F195" s="12">
        <v>0.46</v>
      </c>
      <c r="G195" s="6">
        <f t="shared" si="60"/>
        <v>0</v>
      </c>
      <c r="H195" s="7">
        <f t="shared" si="61"/>
        <v>0</v>
      </c>
      <c r="I195" s="8">
        <v>0.70471188480000002</v>
      </c>
      <c r="J195" s="9">
        <f t="shared" si="62"/>
        <v>0.70471188480000002</v>
      </c>
      <c r="K195" s="3">
        <f t="shared" si="63"/>
        <v>0</v>
      </c>
      <c r="L195" s="7">
        <f t="shared" si="64"/>
        <v>0</v>
      </c>
      <c r="M195" t="s">
        <v>187</v>
      </c>
      <c r="O195" s="3">
        <f>E195-'315019 - P0724'!F195</f>
        <v>0</v>
      </c>
      <c r="P195" s="30">
        <f>I195-'315019 - P0724'!J195</f>
        <v>0</v>
      </c>
    </row>
    <row r="196" spans="1:16" x14ac:dyDescent="0.25">
      <c r="A196">
        <v>194</v>
      </c>
      <c r="C196" t="s">
        <v>8</v>
      </c>
      <c r="D196" s="4" t="s">
        <v>462</v>
      </c>
      <c r="E196" s="12">
        <v>0.6</v>
      </c>
      <c r="F196" s="12">
        <v>0.6</v>
      </c>
      <c r="G196" s="6">
        <f t="shared" si="60"/>
        <v>0</v>
      </c>
      <c r="H196" s="7">
        <f t="shared" si="61"/>
        <v>0</v>
      </c>
      <c r="I196" s="8">
        <v>1.04</v>
      </c>
      <c r="J196" s="9">
        <f t="shared" si="62"/>
        <v>1.04</v>
      </c>
      <c r="K196" s="3">
        <f t="shared" si="63"/>
        <v>0</v>
      </c>
      <c r="L196" s="7">
        <f t="shared" si="64"/>
        <v>0</v>
      </c>
      <c r="M196" t="s">
        <v>187</v>
      </c>
      <c r="O196" s="3">
        <f>E196-'315019 - P0724'!F196</f>
        <v>0</v>
      </c>
      <c r="P196" s="30">
        <f>I196-'315019 - P0724'!J196</f>
        <v>0</v>
      </c>
    </row>
    <row r="197" spans="1:16" x14ac:dyDescent="0.25">
      <c r="A197">
        <v>195</v>
      </c>
      <c r="C197" t="s">
        <v>8</v>
      </c>
      <c r="D197" s="4" t="s">
        <v>189</v>
      </c>
      <c r="E197" s="12">
        <v>17.88</v>
      </c>
      <c r="F197" s="12">
        <v>17.88</v>
      </c>
      <c r="G197" s="6">
        <f t="shared" si="60"/>
        <v>0</v>
      </c>
      <c r="H197" s="7">
        <f t="shared" si="61"/>
        <v>0</v>
      </c>
      <c r="I197" s="8">
        <v>35.219578060799989</v>
      </c>
      <c r="J197" s="9">
        <f t="shared" si="62"/>
        <v>35.219578060799989</v>
      </c>
      <c r="K197" s="3">
        <f t="shared" si="63"/>
        <v>0</v>
      </c>
      <c r="L197" s="7">
        <f t="shared" si="64"/>
        <v>0</v>
      </c>
      <c r="M197" t="s">
        <v>187</v>
      </c>
      <c r="O197" s="3">
        <f>E197-'315019 - P0724'!F197</f>
        <v>0</v>
      </c>
      <c r="P197" s="30">
        <f>I197-'315019 - P0724'!J197</f>
        <v>0</v>
      </c>
    </row>
    <row r="198" spans="1:16" x14ac:dyDescent="0.25">
      <c r="A198">
        <v>196</v>
      </c>
      <c r="C198" t="s">
        <v>8</v>
      </c>
      <c r="D198" s="4" t="s">
        <v>190</v>
      </c>
      <c r="E198" s="12">
        <v>36.299999999999997</v>
      </c>
      <c r="F198" s="12">
        <v>36.299999999999997</v>
      </c>
      <c r="G198" s="6">
        <f t="shared" si="60"/>
        <v>0</v>
      </c>
      <c r="H198" s="7">
        <f t="shared" si="61"/>
        <v>0</v>
      </c>
      <c r="I198" s="8">
        <v>82.49</v>
      </c>
      <c r="J198" s="9">
        <f t="shared" si="62"/>
        <v>82.49</v>
      </c>
      <c r="K198" s="3">
        <f t="shared" si="63"/>
        <v>0</v>
      </c>
      <c r="L198" s="7">
        <f t="shared" si="64"/>
        <v>0</v>
      </c>
      <c r="M198" t="s">
        <v>187</v>
      </c>
      <c r="O198" s="3">
        <f>E198-'315019 - P0724'!F198</f>
        <v>0</v>
      </c>
      <c r="P198" s="30">
        <f>I198-'315019 - P0724'!J198</f>
        <v>0</v>
      </c>
    </row>
    <row r="199" spans="1:16" x14ac:dyDescent="0.25">
      <c r="A199">
        <v>197</v>
      </c>
      <c r="C199" t="s">
        <v>8</v>
      </c>
      <c r="D199" s="4" t="s">
        <v>487</v>
      </c>
      <c r="E199" s="12">
        <v>5.18</v>
      </c>
      <c r="F199" s="12">
        <v>5.18</v>
      </c>
      <c r="G199" s="6">
        <f t="shared" si="60"/>
        <v>0</v>
      </c>
      <c r="H199" s="7">
        <f t="shared" si="61"/>
        <v>0</v>
      </c>
      <c r="I199" s="8">
        <v>7.13</v>
      </c>
      <c r="J199" s="9">
        <f t="shared" si="62"/>
        <v>7.13</v>
      </c>
      <c r="K199" s="3">
        <f t="shared" si="63"/>
        <v>0</v>
      </c>
      <c r="L199" s="7">
        <f t="shared" si="64"/>
        <v>0</v>
      </c>
      <c r="M199" t="s">
        <v>187</v>
      </c>
      <c r="O199" s="3">
        <f>E199-'315019 - P0724'!F199</f>
        <v>0</v>
      </c>
      <c r="P199" s="30">
        <f>I199-'315019 - P0724'!J199</f>
        <v>0</v>
      </c>
    </row>
    <row r="200" spans="1:16" x14ac:dyDescent="0.25">
      <c r="A200">
        <v>198</v>
      </c>
      <c r="C200" t="s">
        <v>8</v>
      </c>
      <c r="D200" s="4" t="s">
        <v>191</v>
      </c>
      <c r="E200" s="12">
        <v>8.2200000000000006</v>
      </c>
      <c r="F200" s="12">
        <v>8.2200000000000006</v>
      </c>
      <c r="G200" s="6">
        <f t="shared" si="60"/>
        <v>0</v>
      </c>
      <c r="H200" s="7">
        <f t="shared" si="61"/>
        <v>0</v>
      </c>
      <c r="I200" s="8">
        <v>18.68</v>
      </c>
      <c r="J200" s="9">
        <f t="shared" si="62"/>
        <v>18.68</v>
      </c>
      <c r="K200" s="3">
        <f t="shared" si="63"/>
        <v>0</v>
      </c>
      <c r="L200" s="7">
        <f t="shared" si="64"/>
        <v>0</v>
      </c>
      <c r="M200" t="s">
        <v>187</v>
      </c>
      <c r="O200" s="3">
        <f>E200-'315019 - P0724'!F200</f>
        <v>0</v>
      </c>
      <c r="P200" s="30">
        <f>I200-'315019 - P0724'!J200</f>
        <v>0</v>
      </c>
    </row>
    <row r="201" spans="1:16" x14ac:dyDescent="0.25">
      <c r="A201">
        <v>199</v>
      </c>
      <c r="C201" t="s">
        <v>8</v>
      </c>
      <c r="D201" s="4" t="s">
        <v>192</v>
      </c>
      <c r="E201" s="12">
        <v>137.77000000000001</v>
      </c>
      <c r="F201" s="12">
        <v>137.77000000000001</v>
      </c>
      <c r="G201" s="6">
        <f t="shared" si="60"/>
        <v>0</v>
      </c>
      <c r="H201" s="7">
        <f t="shared" si="61"/>
        <v>0</v>
      </c>
      <c r="I201" s="8">
        <v>207.19</v>
      </c>
      <c r="J201" s="9">
        <f t="shared" si="62"/>
        <v>207.19</v>
      </c>
      <c r="K201" s="3">
        <f t="shared" si="63"/>
        <v>0</v>
      </c>
      <c r="L201" s="7">
        <f t="shared" si="64"/>
        <v>0</v>
      </c>
      <c r="M201" t="s">
        <v>187</v>
      </c>
      <c r="O201" s="3">
        <f>E201-'315019 - P0724'!F201</f>
        <v>0</v>
      </c>
      <c r="P201" s="30">
        <f>I201-'315019 - P0724'!J201</f>
        <v>0</v>
      </c>
    </row>
    <row r="202" spans="1:16" x14ac:dyDescent="0.25">
      <c r="A202">
        <v>200</v>
      </c>
      <c r="C202" t="s">
        <v>8</v>
      </c>
      <c r="D202" s="4" t="s">
        <v>193</v>
      </c>
      <c r="E202" s="12">
        <v>123.36</v>
      </c>
      <c r="F202" s="12">
        <v>123.36</v>
      </c>
      <c r="G202" s="6">
        <f t="shared" si="60"/>
        <v>0</v>
      </c>
      <c r="H202" s="7">
        <f t="shared" si="61"/>
        <v>0</v>
      </c>
      <c r="I202" s="8">
        <v>168.12183306239999</v>
      </c>
      <c r="J202" s="9">
        <f t="shared" si="62"/>
        <v>168.12183306239999</v>
      </c>
      <c r="K202" s="3">
        <f t="shared" si="63"/>
        <v>0</v>
      </c>
      <c r="L202" s="7">
        <f t="shared" si="64"/>
        <v>0</v>
      </c>
      <c r="M202" t="s">
        <v>187</v>
      </c>
      <c r="O202" s="3">
        <f>E202-'315019 - P0724'!F202</f>
        <v>0</v>
      </c>
      <c r="P202" s="30">
        <f>I202-'315019 - P0724'!J202</f>
        <v>0</v>
      </c>
    </row>
    <row r="203" spans="1:16" x14ac:dyDescent="0.25">
      <c r="A203">
        <v>201</v>
      </c>
      <c r="C203" t="s">
        <v>8</v>
      </c>
      <c r="D203" s="4" t="s">
        <v>194</v>
      </c>
      <c r="E203" s="12">
        <v>36.909999999999997</v>
      </c>
      <c r="F203" s="12">
        <v>36.909999999999997</v>
      </c>
      <c r="G203" s="6">
        <f t="shared" si="60"/>
        <v>0</v>
      </c>
      <c r="H203" s="7">
        <f t="shared" si="61"/>
        <v>0</v>
      </c>
      <c r="I203" s="8">
        <v>77.662452940799994</v>
      </c>
      <c r="J203" s="9">
        <f t="shared" si="62"/>
        <v>77.662452940799994</v>
      </c>
      <c r="K203" s="3">
        <f t="shared" si="63"/>
        <v>0</v>
      </c>
      <c r="L203" s="7">
        <f t="shared" si="64"/>
        <v>0</v>
      </c>
      <c r="M203" t="s">
        <v>187</v>
      </c>
      <c r="O203" s="3">
        <f>E203-'315019 - P0724'!F203</f>
        <v>0</v>
      </c>
      <c r="P203" s="30">
        <f>I203-'315019 - P0724'!J203</f>
        <v>0</v>
      </c>
    </row>
    <row r="204" spans="1:16" x14ac:dyDescent="0.25">
      <c r="A204">
        <v>202</v>
      </c>
      <c r="C204" t="s">
        <v>8</v>
      </c>
      <c r="D204" s="4" t="s">
        <v>195</v>
      </c>
      <c r="E204" s="12">
        <v>25.49</v>
      </c>
      <c r="F204" s="12">
        <v>25.49</v>
      </c>
      <c r="G204" s="6">
        <f>+F204-E204</f>
        <v>0</v>
      </c>
      <c r="H204" s="7">
        <f>(F204-E204)/ABS(E204)</f>
        <v>0</v>
      </c>
      <c r="I204" s="8">
        <v>39.21</v>
      </c>
      <c r="J204" s="9">
        <f>(I204*H204)+I204</f>
        <v>39.21</v>
      </c>
      <c r="K204" s="3">
        <f>J204-I204</f>
        <v>0</v>
      </c>
      <c r="L204" s="7">
        <f>(J204-I204)/ABS(I204)</f>
        <v>0</v>
      </c>
      <c r="M204" t="s">
        <v>187</v>
      </c>
      <c r="O204" s="3">
        <f>E204-'315019 - P0724'!F204</f>
        <v>0</v>
      </c>
      <c r="P204" s="30">
        <f>I204-'315019 - P0724'!J204</f>
        <v>0</v>
      </c>
    </row>
    <row r="205" spans="1:16" x14ac:dyDescent="0.25">
      <c r="A205">
        <v>203</v>
      </c>
      <c r="C205" t="s">
        <v>8</v>
      </c>
      <c r="D205" s="4" t="s">
        <v>196</v>
      </c>
      <c r="E205" s="12">
        <v>5.72</v>
      </c>
      <c r="F205" s="12">
        <v>5.72</v>
      </c>
      <c r="G205" s="6">
        <f t="shared" si="60"/>
        <v>0</v>
      </c>
      <c r="H205" s="7">
        <f t="shared" si="61"/>
        <v>0</v>
      </c>
      <c r="I205" s="8">
        <v>8.6487367680000027</v>
      </c>
      <c r="J205" s="9">
        <f t="shared" si="62"/>
        <v>8.6487367680000027</v>
      </c>
      <c r="K205" s="3">
        <f t="shared" si="63"/>
        <v>0</v>
      </c>
      <c r="L205" s="7">
        <f t="shared" si="64"/>
        <v>0</v>
      </c>
      <c r="M205" t="s">
        <v>187</v>
      </c>
      <c r="O205" s="3">
        <f>E205-'315019 - P0724'!F205</f>
        <v>0</v>
      </c>
      <c r="P205" s="30">
        <f>I205-'315019 - P0724'!J205</f>
        <v>0</v>
      </c>
    </row>
    <row r="206" spans="1:16" x14ac:dyDescent="0.25">
      <c r="A206">
        <v>204</v>
      </c>
      <c r="C206" t="s">
        <v>8</v>
      </c>
      <c r="D206" s="4" t="s">
        <v>197</v>
      </c>
      <c r="E206" s="12">
        <v>21.44</v>
      </c>
      <c r="F206" s="12">
        <v>21.44</v>
      </c>
      <c r="G206" s="6">
        <f t="shared" si="60"/>
        <v>0</v>
      </c>
      <c r="H206" s="7">
        <f t="shared" si="61"/>
        <v>0</v>
      </c>
      <c r="I206" s="8">
        <v>57.90134784</v>
      </c>
      <c r="J206" s="9">
        <f t="shared" si="62"/>
        <v>57.90134784</v>
      </c>
      <c r="K206" s="3">
        <f t="shared" si="63"/>
        <v>0</v>
      </c>
      <c r="L206" s="7">
        <f t="shared" si="64"/>
        <v>0</v>
      </c>
      <c r="M206" t="s">
        <v>187</v>
      </c>
      <c r="O206" s="3">
        <f>E206-'315019 - P0724'!F206</f>
        <v>0</v>
      </c>
      <c r="P206" s="30">
        <f>I206-'315019 - P0724'!J206</f>
        <v>0</v>
      </c>
    </row>
    <row r="207" spans="1:16" x14ac:dyDescent="0.25">
      <c r="A207">
        <v>205</v>
      </c>
      <c r="C207" t="s">
        <v>8</v>
      </c>
      <c r="D207" s="4" t="s">
        <v>198</v>
      </c>
      <c r="E207" s="12">
        <v>8.5399999999999991</v>
      </c>
      <c r="F207" s="12">
        <v>8.5399999999999991</v>
      </c>
      <c r="G207" s="6">
        <f t="shared" si="60"/>
        <v>0</v>
      </c>
      <c r="H207" s="7">
        <f t="shared" si="61"/>
        <v>0</v>
      </c>
      <c r="I207" s="8">
        <v>17.61</v>
      </c>
      <c r="J207" s="9">
        <f t="shared" si="62"/>
        <v>17.61</v>
      </c>
      <c r="K207" s="3">
        <f t="shared" si="63"/>
        <v>0</v>
      </c>
      <c r="L207" s="7">
        <f t="shared" si="64"/>
        <v>0</v>
      </c>
      <c r="M207" t="s">
        <v>187</v>
      </c>
      <c r="O207" s="3">
        <f>E207-'315019 - P0724'!F207</f>
        <v>0</v>
      </c>
      <c r="P207" s="30">
        <f>I207-'315019 - P0724'!J207</f>
        <v>0</v>
      </c>
    </row>
    <row r="208" spans="1:16" x14ac:dyDescent="0.25">
      <c r="A208">
        <v>206</v>
      </c>
      <c r="C208" t="s">
        <v>8</v>
      </c>
      <c r="D208" s="4" t="s">
        <v>199</v>
      </c>
      <c r="E208" s="12">
        <v>2.2400000000000002</v>
      </c>
      <c r="F208" s="12">
        <v>2.2400000000000002</v>
      </c>
      <c r="G208" s="6">
        <f t="shared" si="60"/>
        <v>0</v>
      </c>
      <c r="H208" s="7">
        <f t="shared" si="61"/>
        <v>0</v>
      </c>
      <c r="I208" s="8">
        <v>3.2169142539130431</v>
      </c>
      <c r="J208" s="9">
        <f t="shared" si="62"/>
        <v>3.2169142539130431</v>
      </c>
      <c r="K208" s="3">
        <f t="shared" si="63"/>
        <v>0</v>
      </c>
      <c r="L208" s="7">
        <f t="shared" si="64"/>
        <v>0</v>
      </c>
      <c r="M208" t="s">
        <v>187</v>
      </c>
      <c r="O208" s="3">
        <f>E208-'315019 - P0724'!F208</f>
        <v>0</v>
      </c>
      <c r="P208" s="30">
        <f>I208-'315019 - P0724'!J208</f>
        <v>0</v>
      </c>
    </row>
    <row r="209" spans="1:16" x14ac:dyDescent="0.25">
      <c r="A209">
        <v>207</v>
      </c>
      <c r="C209" t="s">
        <v>8</v>
      </c>
      <c r="D209" s="4" t="s">
        <v>200</v>
      </c>
      <c r="E209" s="12">
        <v>12.54</v>
      </c>
      <c r="F209" s="12">
        <v>12.54</v>
      </c>
      <c r="G209" s="6">
        <f t="shared" si="60"/>
        <v>0</v>
      </c>
      <c r="H209" s="7">
        <f t="shared" si="61"/>
        <v>0</v>
      </c>
      <c r="I209" s="8">
        <v>18.163175635862068</v>
      </c>
      <c r="J209" s="9">
        <f t="shared" si="62"/>
        <v>18.163175635862068</v>
      </c>
      <c r="K209" s="3">
        <f t="shared" si="63"/>
        <v>0</v>
      </c>
      <c r="L209" s="7">
        <f t="shared" si="64"/>
        <v>0</v>
      </c>
      <c r="M209" t="s">
        <v>187</v>
      </c>
      <c r="O209" s="3">
        <f>E209-'315019 - P0724'!F209</f>
        <v>0</v>
      </c>
      <c r="P209" s="30">
        <f>I209-'315019 - P0724'!J209</f>
        <v>0</v>
      </c>
    </row>
    <row r="210" spans="1:16" x14ac:dyDescent="0.25">
      <c r="A210">
        <v>208</v>
      </c>
      <c r="C210" t="s">
        <v>8</v>
      </c>
      <c r="D210" s="4" t="s">
        <v>201</v>
      </c>
      <c r="E210" s="12">
        <v>13.2</v>
      </c>
      <c r="F210" s="12">
        <v>13.2</v>
      </c>
      <c r="G210" s="6">
        <f t="shared" si="60"/>
        <v>0</v>
      </c>
      <c r="H210" s="7">
        <f t="shared" si="61"/>
        <v>0</v>
      </c>
      <c r="I210" s="8">
        <v>33.770000000000003</v>
      </c>
      <c r="J210" s="9">
        <f t="shared" si="62"/>
        <v>33.770000000000003</v>
      </c>
      <c r="K210" s="3">
        <f t="shared" si="63"/>
        <v>0</v>
      </c>
      <c r="L210" s="7">
        <f t="shared" si="64"/>
        <v>0</v>
      </c>
      <c r="M210" t="s">
        <v>187</v>
      </c>
      <c r="O210" s="3">
        <f>E210-'315019 - P0724'!F210</f>
        <v>0</v>
      </c>
      <c r="P210" s="30">
        <f>I210-'315019 - P0724'!J210</f>
        <v>0</v>
      </c>
    </row>
    <row r="211" spans="1:16" x14ac:dyDescent="0.25">
      <c r="A211">
        <v>209</v>
      </c>
      <c r="C211" t="s">
        <v>8</v>
      </c>
      <c r="D211" s="4" t="s">
        <v>202</v>
      </c>
      <c r="E211" s="12">
        <v>20.100000000000001</v>
      </c>
      <c r="F211" s="12">
        <v>20.100000000000001</v>
      </c>
      <c r="G211" s="6">
        <f t="shared" si="60"/>
        <v>0</v>
      </c>
      <c r="H211" s="7">
        <f t="shared" si="61"/>
        <v>0</v>
      </c>
      <c r="I211" s="8">
        <v>54.326307840000005</v>
      </c>
      <c r="J211" s="9">
        <f t="shared" si="62"/>
        <v>54.326307840000005</v>
      </c>
      <c r="K211" s="3">
        <f t="shared" si="63"/>
        <v>0</v>
      </c>
      <c r="L211" s="7">
        <f t="shared" si="64"/>
        <v>0</v>
      </c>
      <c r="M211" t="s">
        <v>187</v>
      </c>
      <c r="O211" s="3">
        <f>E211-'315019 - P0724'!F211</f>
        <v>0</v>
      </c>
      <c r="P211" s="30">
        <f>I211-'315019 - P0724'!J211</f>
        <v>0</v>
      </c>
    </row>
    <row r="212" spans="1:16" x14ac:dyDescent="0.25">
      <c r="A212">
        <v>210</v>
      </c>
      <c r="C212" t="s">
        <v>8</v>
      </c>
      <c r="D212" s="4" t="s">
        <v>203</v>
      </c>
      <c r="E212" s="12">
        <v>38.64</v>
      </c>
      <c r="F212" s="12">
        <v>38.64</v>
      </c>
      <c r="G212" s="6">
        <f t="shared" si="60"/>
        <v>0</v>
      </c>
      <c r="H212" s="7">
        <f t="shared" si="61"/>
        <v>0</v>
      </c>
      <c r="I212" s="8">
        <v>85.68</v>
      </c>
      <c r="J212" s="9">
        <f t="shared" si="62"/>
        <v>85.68</v>
      </c>
      <c r="K212" s="3">
        <f t="shared" si="63"/>
        <v>0</v>
      </c>
      <c r="L212" s="7">
        <f t="shared" si="64"/>
        <v>0</v>
      </c>
      <c r="M212" t="s">
        <v>187</v>
      </c>
      <c r="O212" s="3">
        <f>E212-'315019 - P0724'!F212</f>
        <v>0</v>
      </c>
      <c r="P212" s="30">
        <f>I212-'315019 - P0724'!J212</f>
        <v>0</v>
      </c>
    </row>
    <row r="213" spans="1:16" x14ac:dyDescent="0.25">
      <c r="A213">
        <v>211</v>
      </c>
      <c r="C213" t="s">
        <v>8</v>
      </c>
      <c r="D213" s="4" t="s">
        <v>204</v>
      </c>
      <c r="E213" s="12">
        <v>17.16</v>
      </c>
      <c r="F213" s="12">
        <v>17.16</v>
      </c>
      <c r="G213" s="6">
        <f t="shared" si="60"/>
        <v>0</v>
      </c>
      <c r="H213" s="7">
        <f t="shared" si="61"/>
        <v>0</v>
      </c>
      <c r="I213" s="8">
        <v>26.391854075214955</v>
      </c>
      <c r="J213" s="9">
        <f t="shared" si="62"/>
        <v>26.391854075214955</v>
      </c>
      <c r="K213" s="3">
        <f t="shared" si="63"/>
        <v>0</v>
      </c>
      <c r="L213" s="7">
        <f t="shared" si="64"/>
        <v>0</v>
      </c>
      <c r="M213" t="s">
        <v>187</v>
      </c>
      <c r="O213" s="3">
        <f>E213-'315019 - P0724'!F213</f>
        <v>0</v>
      </c>
      <c r="P213" s="30">
        <f>I213-'315019 - P0724'!J213</f>
        <v>0</v>
      </c>
    </row>
    <row r="214" spans="1:16" x14ac:dyDescent="0.25">
      <c r="A214">
        <v>212</v>
      </c>
      <c r="C214" t="s">
        <v>8</v>
      </c>
      <c r="D214" s="4" t="s">
        <v>205</v>
      </c>
      <c r="E214" s="12">
        <v>30.07</v>
      </c>
      <c r="F214" s="12">
        <v>30.07</v>
      </c>
      <c r="G214" s="6">
        <f t="shared" si="60"/>
        <v>0</v>
      </c>
      <c r="H214" s="7">
        <f t="shared" si="61"/>
        <v>0</v>
      </c>
      <c r="I214" s="8">
        <v>35.416393485128204</v>
      </c>
      <c r="J214" s="9">
        <f t="shared" si="62"/>
        <v>35.416393485128204</v>
      </c>
      <c r="K214" s="3">
        <f t="shared" si="63"/>
        <v>0</v>
      </c>
      <c r="L214" s="7">
        <f t="shared" si="64"/>
        <v>0</v>
      </c>
      <c r="M214" t="s">
        <v>187</v>
      </c>
      <c r="O214" s="3">
        <f>E214-'315019 - P0724'!F214</f>
        <v>0</v>
      </c>
      <c r="P214" s="30">
        <f>I214-'315019 - P0724'!J214</f>
        <v>0</v>
      </c>
    </row>
    <row r="215" spans="1:16" x14ac:dyDescent="0.25">
      <c r="A215">
        <v>213</v>
      </c>
      <c r="C215" t="s">
        <v>8</v>
      </c>
      <c r="D215" s="4" t="s">
        <v>206</v>
      </c>
      <c r="E215" s="12">
        <v>30.42</v>
      </c>
      <c r="F215" s="12">
        <v>30.42</v>
      </c>
      <c r="G215" s="6">
        <f t="shared" si="60"/>
        <v>0</v>
      </c>
      <c r="H215" s="7">
        <f t="shared" si="61"/>
        <v>0</v>
      </c>
      <c r="I215" s="8">
        <v>42.49</v>
      </c>
      <c r="J215" s="9">
        <f t="shared" si="62"/>
        <v>42.49</v>
      </c>
      <c r="K215" s="3">
        <f t="shared" si="63"/>
        <v>0</v>
      </c>
      <c r="L215" s="7">
        <f t="shared" si="64"/>
        <v>0</v>
      </c>
      <c r="M215" t="s">
        <v>187</v>
      </c>
      <c r="O215" s="3">
        <f>E215-'315019 - P0724'!F215</f>
        <v>0</v>
      </c>
      <c r="P215" s="30">
        <f>I215-'315019 - P0724'!J215</f>
        <v>0</v>
      </c>
    </row>
    <row r="216" spans="1:16" x14ac:dyDescent="0.25">
      <c r="A216">
        <v>214</v>
      </c>
      <c r="C216" t="s">
        <v>8</v>
      </c>
      <c r="D216" s="4" t="s">
        <v>207</v>
      </c>
      <c r="E216" s="12">
        <v>2.4</v>
      </c>
      <c r="F216" s="12">
        <v>2.4</v>
      </c>
      <c r="G216" s="6">
        <f t="shared" si="60"/>
        <v>0</v>
      </c>
      <c r="H216" s="7">
        <f t="shared" si="61"/>
        <v>0</v>
      </c>
      <c r="I216" s="8">
        <v>4.84</v>
      </c>
      <c r="J216" s="9">
        <f t="shared" si="62"/>
        <v>4.84</v>
      </c>
      <c r="K216" s="3">
        <f t="shared" si="63"/>
        <v>0</v>
      </c>
      <c r="L216" s="7">
        <f t="shared" si="64"/>
        <v>0</v>
      </c>
      <c r="M216" t="s">
        <v>187</v>
      </c>
      <c r="O216" s="3">
        <f>E216-'315019 - P0724'!F216</f>
        <v>0</v>
      </c>
      <c r="P216" s="30">
        <f>I216-'315019 - P0724'!J216</f>
        <v>0</v>
      </c>
    </row>
    <row r="217" spans="1:16" x14ac:dyDescent="0.25">
      <c r="A217">
        <v>215</v>
      </c>
      <c r="C217" t="s">
        <v>8</v>
      </c>
      <c r="D217" s="4" t="s">
        <v>208</v>
      </c>
      <c r="E217" s="12">
        <v>3.66</v>
      </c>
      <c r="F217" s="12">
        <v>3.66</v>
      </c>
      <c r="G217" s="6">
        <f t="shared" si="60"/>
        <v>0</v>
      </c>
      <c r="H217" s="7">
        <f t="shared" si="61"/>
        <v>0</v>
      </c>
      <c r="I217" s="8">
        <v>5.4831979136563875</v>
      </c>
      <c r="J217" s="9">
        <f t="shared" si="62"/>
        <v>5.4831979136563875</v>
      </c>
      <c r="K217" s="3">
        <f t="shared" si="63"/>
        <v>0</v>
      </c>
      <c r="L217" s="7">
        <f t="shared" si="64"/>
        <v>0</v>
      </c>
      <c r="M217" t="s">
        <v>187</v>
      </c>
      <c r="O217" s="3">
        <f>E217-'315019 - P0724'!F217</f>
        <v>0</v>
      </c>
      <c r="P217" s="30">
        <f>I217-'315019 - P0724'!J217</f>
        <v>0</v>
      </c>
    </row>
    <row r="218" spans="1:16" x14ac:dyDescent="0.25">
      <c r="A218">
        <v>216</v>
      </c>
      <c r="C218" t="s">
        <v>8</v>
      </c>
      <c r="D218" s="4" t="s">
        <v>209</v>
      </c>
      <c r="E218" s="12">
        <v>3.26</v>
      </c>
      <c r="F218" s="12">
        <v>3.26</v>
      </c>
      <c r="G218" s="13">
        <f t="shared" si="60"/>
        <v>0</v>
      </c>
      <c r="H218" s="7">
        <f t="shared" si="61"/>
        <v>0</v>
      </c>
      <c r="I218" s="8">
        <v>5.48</v>
      </c>
      <c r="J218" s="9">
        <f t="shared" si="62"/>
        <v>5.48</v>
      </c>
      <c r="K218" s="3">
        <f t="shared" si="63"/>
        <v>0</v>
      </c>
      <c r="L218" s="7">
        <f t="shared" si="64"/>
        <v>0</v>
      </c>
      <c r="M218" t="s">
        <v>187</v>
      </c>
      <c r="O218" s="3">
        <f>E218-'315019 - P0724'!F218</f>
        <v>0</v>
      </c>
      <c r="P218" s="30">
        <f>I218-'315019 - P0724'!J218</f>
        <v>0</v>
      </c>
    </row>
    <row r="219" spans="1:16" x14ac:dyDescent="0.25">
      <c r="A219">
        <v>217</v>
      </c>
      <c r="C219" t="s">
        <v>8</v>
      </c>
      <c r="D219" s="4" t="s">
        <v>210</v>
      </c>
      <c r="E219" s="12">
        <v>4.46</v>
      </c>
      <c r="F219" s="12">
        <v>4.46</v>
      </c>
      <c r="G219" s="6">
        <f t="shared" si="60"/>
        <v>0</v>
      </c>
      <c r="H219" s="7">
        <f t="shared" si="61"/>
        <v>0</v>
      </c>
      <c r="I219" s="8">
        <v>6.8717173187003597</v>
      </c>
      <c r="J219" s="9">
        <f t="shared" si="62"/>
        <v>6.8717173187003597</v>
      </c>
      <c r="K219" s="3">
        <f t="shared" si="63"/>
        <v>0</v>
      </c>
      <c r="L219" s="7">
        <f t="shared" si="64"/>
        <v>0</v>
      </c>
      <c r="M219" t="s">
        <v>187</v>
      </c>
      <c r="O219" s="3">
        <f>E219-'315019 - P0724'!F219</f>
        <v>0</v>
      </c>
      <c r="P219" s="30">
        <f>I219-'315019 - P0724'!J219</f>
        <v>0</v>
      </c>
    </row>
    <row r="220" spans="1:16" x14ac:dyDescent="0.25">
      <c r="A220">
        <v>218</v>
      </c>
      <c r="C220" t="s">
        <v>8</v>
      </c>
      <c r="D220" s="4" t="s">
        <v>211</v>
      </c>
      <c r="E220" s="12">
        <v>1.78</v>
      </c>
      <c r="F220" s="12">
        <v>1.78</v>
      </c>
      <c r="G220" s="6">
        <f t="shared" si="60"/>
        <v>0</v>
      </c>
      <c r="H220" s="7">
        <f t="shared" si="61"/>
        <v>0</v>
      </c>
      <c r="I220" s="8">
        <v>3.6982813789090896</v>
      </c>
      <c r="J220" s="9">
        <f t="shared" si="62"/>
        <v>3.6982813789090896</v>
      </c>
      <c r="K220" s="3">
        <f t="shared" si="63"/>
        <v>0</v>
      </c>
      <c r="L220" s="7">
        <f t="shared" si="64"/>
        <v>0</v>
      </c>
      <c r="M220" t="s">
        <v>187</v>
      </c>
      <c r="O220" s="3">
        <f>E220-'315019 - P0724'!F220</f>
        <v>0</v>
      </c>
      <c r="P220" s="30">
        <f>I220-'315019 - P0724'!J220</f>
        <v>0</v>
      </c>
    </row>
    <row r="221" spans="1:16" x14ac:dyDescent="0.25">
      <c r="A221">
        <v>219</v>
      </c>
      <c r="C221" t="s">
        <v>8</v>
      </c>
      <c r="D221" s="4" t="s">
        <v>212</v>
      </c>
      <c r="E221" s="12">
        <v>2.66</v>
      </c>
      <c r="F221" s="12">
        <v>2.66</v>
      </c>
      <c r="G221" s="6">
        <f t="shared" si="60"/>
        <v>0</v>
      </c>
      <c r="H221" s="7">
        <f t="shared" si="61"/>
        <v>0</v>
      </c>
      <c r="I221" s="8">
        <v>4.4491697803636372</v>
      </c>
      <c r="J221" s="9">
        <f t="shared" si="62"/>
        <v>4.4491697803636372</v>
      </c>
      <c r="K221" s="3">
        <f t="shared" si="63"/>
        <v>0</v>
      </c>
      <c r="L221" s="7">
        <f t="shared" si="64"/>
        <v>0</v>
      </c>
      <c r="M221" t="s">
        <v>187</v>
      </c>
      <c r="O221" s="3">
        <f>E221-'315019 - P0724'!F221</f>
        <v>0</v>
      </c>
      <c r="P221" s="30">
        <f>I221-'315019 - P0724'!J221</f>
        <v>0</v>
      </c>
    </row>
    <row r="222" spans="1:16" x14ac:dyDescent="0.25">
      <c r="A222">
        <v>220</v>
      </c>
      <c r="C222" t="s">
        <v>8</v>
      </c>
      <c r="D222" s="4" t="s">
        <v>213</v>
      </c>
      <c r="E222" s="12">
        <v>2.85</v>
      </c>
      <c r="F222" s="12">
        <v>2.85</v>
      </c>
      <c r="G222" s="6">
        <f t="shared" si="60"/>
        <v>0</v>
      </c>
      <c r="H222" s="7">
        <f t="shared" si="61"/>
        <v>0</v>
      </c>
      <c r="I222" s="8">
        <v>7.25</v>
      </c>
      <c r="J222" s="9">
        <f t="shared" si="62"/>
        <v>7.25</v>
      </c>
      <c r="K222" s="3">
        <f t="shared" si="63"/>
        <v>0</v>
      </c>
      <c r="L222" s="7">
        <f t="shared" si="64"/>
        <v>0</v>
      </c>
      <c r="M222" t="s">
        <v>187</v>
      </c>
      <c r="O222" s="3">
        <f>E222-'315019 - P0724'!F222</f>
        <v>0</v>
      </c>
      <c r="P222" s="30">
        <f>I222-'315019 - P0724'!J222</f>
        <v>0</v>
      </c>
    </row>
    <row r="223" spans="1:16" x14ac:dyDescent="0.25">
      <c r="A223">
        <v>221</v>
      </c>
      <c r="C223" t="s">
        <v>8</v>
      </c>
      <c r="D223" s="4" t="s">
        <v>465</v>
      </c>
      <c r="E223" s="12">
        <v>2.5099999999999998</v>
      </c>
      <c r="F223" s="12">
        <v>2.5099999999999998</v>
      </c>
      <c r="G223" s="6">
        <f t="shared" si="60"/>
        <v>0</v>
      </c>
      <c r="H223" s="7">
        <f t="shared" si="61"/>
        <v>0</v>
      </c>
      <c r="I223" s="8">
        <v>4.32</v>
      </c>
      <c r="J223" s="9">
        <f t="shared" si="62"/>
        <v>4.32</v>
      </c>
      <c r="K223" s="3">
        <f t="shared" si="63"/>
        <v>0</v>
      </c>
      <c r="L223" s="7">
        <f t="shared" si="64"/>
        <v>0</v>
      </c>
      <c r="M223" t="s">
        <v>187</v>
      </c>
      <c r="O223" s="3">
        <f>E223-'315019 - P0724'!F223</f>
        <v>0</v>
      </c>
      <c r="P223" s="30">
        <f>I223-'315019 - P0724'!J223</f>
        <v>0</v>
      </c>
    </row>
    <row r="224" spans="1:16" x14ac:dyDescent="0.25">
      <c r="A224">
        <v>222</v>
      </c>
      <c r="C224" t="s">
        <v>8</v>
      </c>
      <c r="D224" s="4" t="s">
        <v>214</v>
      </c>
      <c r="E224" s="12">
        <v>2.69</v>
      </c>
      <c r="F224" s="12">
        <v>2.69</v>
      </c>
      <c r="G224" s="6">
        <f t="shared" si="60"/>
        <v>0</v>
      </c>
      <c r="H224" s="7">
        <f t="shared" si="61"/>
        <v>0</v>
      </c>
      <c r="I224" s="8">
        <v>4.49</v>
      </c>
      <c r="J224" s="9">
        <f t="shared" si="62"/>
        <v>4.49</v>
      </c>
      <c r="K224" s="3">
        <f t="shared" si="63"/>
        <v>0</v>
      </c>
      <c r="L224" s="7">
        <f t="shared" si="64"/>
        <v>0</v>
      </c>
      <c r="M224" t="s">
        <v>187</v>
      </c>
      <c r="O224" s="3">
        <f>E224-'315019 - P0724'!F224</f>
        <v>0</v>
      </c>
      <c r="P224" s="30">
        <f>I224-'315019 - P0724'!J224</f>
        <v>0</v>
      </c>
    </row>
    <row r="225" spans="1:16" x14ac:dyDescent="0.25">
      <c r="A225">
        <v>223</v>
      </c>
      <c r="C225" t="s">
        <v>8</v>
      </c>
      <c r="D225" s="4" t="s">
        <v>215</v>
      </c>
      <c r="E225" s="12">
        <v>0.45</v>
      </c>
      <c r="F225" s="12">
        <v>0.45</v>
      </c>
      <c r="G225" s="6">
        <f t="shared" si="60"/>
        <v>0</v>
      </c>
      <c r="H225" s="7">
        <f t="shared" si="61"/>
        <v>0</v>
      </c>
      <c r="I225" s="8">
        <v>0.70471188480000002</v>
      </c>
      <c r="J225" s="9">
        <f t="shared" si="62"/>
        <v>0.70471188480000002</v>
      </c>
      <c r="K225" s="3">
        <f t="shared" si="63"/>
        <v>0</v>
      </c>
      <c r="L225" s="7">
        <f t="shared" si="64"/>
        <v>0</v>
      </c>
      <c r="M225" t="s">
        <v>187</v>
      </c>
      <c r="O225" s="3">
        <f>E225-'315019 - P0724'!F225</f>
        <v>0</v>
      </c>
      <c r="P225" s="30">
        <f>I225-'315019 - P0724'!J225</f>
        <v>0</v>
      </c>
    </row>
    <row r="226" spans="1:16" x14ac:dyDescent="0.25">
      <c r="A226">
        <v>224</v>
      </c>
      <c r="C226" t="s">
        <v>8</v>
      </c>
      <c r="D226" s="4" t="s">
        <v>216</v>
      </c>
      <c r="E226" s="12">
        <v>1.1000000000000001</v>
      </c>
      <c r="F226" s="12">
        <v>1.1000000000000001</v>
      </c>
      <c r="G226" s="6">
        <f t="shared" si="60"/>
        <v>0</v>
      </c>
      <c r="H226" s="7">
        <f t="shared" si="61"/>
        <v>0</v>
      </c>
      <c r="I226" s="8">
        <v>1.23</v>
      </c>
      <c r="J226" s="9">
        <f t="shared" si="62"/>
        <v>1.23</v>
      </c>
      <c r="K226" s="3">
        <f t="shared" si="63"/>
        <v>0</v>
      </c>
      <c r="L226" s="7">
        <f t="shared" si="64"/>
        <v>0</v>
      </c>
      <c r="M226" t="s">
        <v>187</v>
      </c>
      <c r="O226" s="3">
        <f>E226-'315019 - P0724'!F226</f>
        <v>0</v>
      </c>
      <c r="P226" s="30">
        <f>I226-'315019 - P0724'!J226</f>
        <v>0</v>
      </c>
    </row>
    <row r="227" spans="1:16" x14ac:dyDescent="0.25">
      <c r="A227">
        <v>225</v>
      </c>
      <c r="C227" t="s">
        <v>8</v>
      </c>
      <c r="D227" s="4" t="s">
        <v>217</v>
      </c>
      <c r="E227" s="12">
        <v>1.1000000000000001</v>
      </c>
      <c r="F227" s="12">
        <v>1.1000000000000001</v>
      </c>
      <c r="G227" s="6">
        <f t="shared" si="60"/>
        <v>0</v>
      </c>
      <c r="H227" s="7">
        <f t="shared" si="61"/>
        <v>0</v>
      </c>
      <c r="I227" s="8">
        <v>1.8621752470588233</v>
      </c>
      <c r="J227" s="9">
        <f t="shared" si="62"/>
        <v>1.8621752470588233</v>
      </c>
      <c r="K227" s="3">
        <f t="shared" si="63"/>
        <v>0</v>
      </c>
      <c r="L227" s="7">
        <f t="shared" si="64"/>
        <v>0</v>
      </c>
      <c r="M227" t="s">
        <v>187</v>
      </c>
      <c r="O227" s="3">
        <f>E227-'315019 - P0724'!F227</f>
        <v>0</v>
      </c>
      <c r="P227" s="30">
        <f>I227-'315019 - P0724'!J227</f>
        <v>0</v>
      </c>
    </row>
    <row r="228" spans="1:16" x14ac:dyDescent="0.25">
      <c r="A228">
        <v>226</v>
      </c>
      <c r="C228" t="s">
        <v>8</v>
      </c>
      <c r="D228" s="4" t="s">
        <v>218</v>
      </c>
      <c r="E228" s="12">
        <v>1.28</v>
      </c>
      <c r="F228" s="12">
        <v>1.28</v>
      </c>
      <c r="G228" s="6">
        <f t="shared" si="60"/>
        <v>0</v>
      </c>
      <c r="H228" s="7">
        <f t="shared" si="61"/>
        <v>0</v>
      </c>
      <c r="I228" s="8">
        <v>2.3682151048101265</v>
      </c>
      <c r="J228" s="9">
        <f t="shared" si="62"/>
        <v>2.3682151048101265</v>
      </c>
      <c r="K228" s="3">
        <f t="shared" si="63"/>
        <v>0</v>
      </c>
      <c r="L228" s="7">
        <f t="shared" si="64"/>
        <v>0</v>
      </c>
      <c r="M228" t="s">
        <v>187</v>
      </c>
      <c r="O228" s="3">
        <f>E228-'315019 - P0724'!F228</f>
        <v>0</v>
      </c>
      <c r="P228" s="30">
        <f>I228-'315019 - P0724'!J228</f>
        <v>0</v>
      </c>
    </row>
    <row r="229" spans="1:16" x14ac:dyDescent="0.25">
      <c r="A229">
        <v>227</v>
      </c>
      <c r="C229" t="s">
        <v>8</v>
      </c>
      <c r="D229" s="4" t="s">
        <v>219</v>
      </c>
      <c r="E229" s="12">
        <v>2.64</v>
      </c>
      <c r="F229" s="12">
        <v>2.64</v>
      </c>
      <c r="G229" s="6">
        <f t="shared" si="60"/>
        <v>0</v>
      </c>
      <c r="H229" s="7">
        <f t="shared" si="61"/>
        <v>0</v>
      </c>
      <c r="I229" s="8">
        <v>5.58</v>
      </c>
      <c r="J229" s="9">
        <f t="shared" si="62"/>
        <v>5.58</v>
      </c>
      <c r="K229" s="3">
        <f t="shared" si="63"/>
        <v>0</v>
      </c>
      <c r="L229" s="7">
        <f t="shared" si="64"/>
        <v>0</v>
      </c>
      <c r="M229" t="s">
        <v>187</v>
      </c>
      <c r="O229" s="3">
        <f>E229-'315019 - P0724'!F229</f>
        <v>0</v>
      </c>
      <c r="P229" s="30">
        <f>I229-'315019 - P0724'!J229</f>
        <v>0</v>
      </c>
    </row>
    <row r="230" spans="1:16" x14ac:dyDescent="0.25">
      <c r="A230">
        <v>228</v>
      </c>
      <c r="C230" t="s">
        <v>8</v>
      </c>
      <c r="D230" s="4" t="s">
        <v>220</v>
      </c>
      <c r="E230" s="12">
        <v>0.09</v>
      </c>
      <c r="F230" s="12">
        <v>0.09</v>
      </c>
      <c r="G230" s="6">
        <f t="shared" si="60"/>
        <v>0</v>
      </c>
      <c r="H230" s="7">
        <f t="shared" si="61"/>
        <v>0</v>
      </c>
      <c r="I230" s="8">
        <v>0.19219415040000001</v>
      </c>
      <c r="J230" s="9">
        <f t="shared" si="62"/>
        <v>0.19219415040000001</v>
      </c>
      <c r="K230" s="3">
        <f t="shared" si="63"/>
        <v>0</v>
      </c>
      <c r="L230" s="7">
        <f t="shared" si="64"/>
        <v>0</v>
      </c>
      <c r="M230" t="s">
        <v>187</v>
      </c>
      <c r="O230" s="3">
        <f>E230-'315019 - P0724'!F230</f>
        <v>0</v>
      </c>
      <c r="P230" s="30">
        <f>I230-'315019 - P0724'!J230</f>
        <v>0</v>
      </c>
    </row>
    <row r="231" spans="1:16" x14ac:dyDescent="0.25">
      <c r="A231">
        <v>229</v>
      </c>
      <c r="C231" t="s">
        <v>8</v>
      </c>
      <c r="D231" s="4" t="s">
        <v>221</v>
      </c>
      <c r="E231" s="12">
        <v>1.01</v>
      </c>
      <c r="F231" s="12">
        <v>1.01</v>
      </c>
      <c r="G231" s="6">
        <f t="shared" si="60"/>
        <v>0</v>
      </c>
      <c r="H231" s="7">
        <f t="shared" si="61"/>
        <v>0</v>
      </c>
      <c r="I231" s="8">
        <v>1.6874188799999998</v>
      </c>
      <c r="J231" s="9">
        <f t="shared" si="62"/>
        <v>1.6874188799999998</v>
      </c>
      <c r="K231" s="3">
        <f t="shared" si="63"/>
        <v>0</v>
      </c>
      <c r="L231" s="7">
        <f t="shared" si="64"/>
        <v>0</v>
      </c>
      <c r="M231" t="s">
        <v>187</v>
      </c>
      <c r="O231" s="3">
        <f>E231-'315019 - P0724'!F231</f>
        <v>0</v>
      </c>
      <c r="P231" s="30">
        <f>I231-'315019 - P0724'!J231</f>
        <v>0</v>
      </c>
    </row>
    <row r="232" spans="1:16" x14ac:dyDescent="0.25">
      <c r="A232">
        <v>230</v>
      </c>
      <c r="C232" t="s">
        <v>8</v>
      </c>
      <c r="D232" s="4" t="s">
        <v>222</v>
      </c>
      <c r="E232" s="12">
        <v>0.06</v>
      </c>
      <c r="F232" s="12">
        <v>0.06</v>
      </c>
      <c r="G232" s="6">
        <f t="shared" si="60"/>
        <v>0</v>
      </c>
      <c r="H232" s="7">
        <f t="shared" si="61"/>
        <v>0</v>
      </c>
      <c r="I232" s="8">
        <v>2.29</v>
      </c>
      <c r="J232" s="9">
        <f t="shared" si="62"/>
        <v>2.29</v>
      </c>
      <c r="K232" s="3">
        <f t="shared" si="63"/>
        <v>0</v>
      </c>
      <c r="L232" s="7">
        <f t="shared" si="64"/>
        <v>0</v>
      </c>
      <c r="M232" t="s">
        <v>187</v>
      </c>
      <c r="O232" s="3">
        <f>E232-'315019 - P0724'!F232</f>
        <v>0</v>
      </c>
      <c r="P232" s="30">
        <f>I232-'315019 - P0724'!J232</f>
        <v>0</v>
      </c>
    </row>
    <row r="233" spans="1:16" x14ac:dyDescent="0.25">
      <c r="A233">
        <v>231</v>
      </c>
      <c r="C233" t="s">
        <v>8</v>
      </c>
      <c r="D233" s="4" t="s">
        <v>223</v>
      </c>
      <c r="E233" s="12">
        <v>4.1399999999999997</v>
      </c>
      <c r="F233" s="12">
        <v>4.1399999999999997</v>
      </c>
      <c r="G233" s="6">
        <f t="shared" si="60"/>
        <v>0</v>
      </c>
      <c r="H233" s="7">
        <f t="shared" si="61"/>
        <v>0</v>
      </c>
      <c r="I233" s="8">
        <v>6.49</v>
      </c>
      <c r="J233" s="9">
        <f t="shared" si="62"/>
        <v>6.49</v>
      </c>
      <c r="K233" s="3">
        <f t="shared" si="63"/>
        <v>0</v>
      </c>
      <c r="L233" s="7">
        <f t="shared" si="64"/>
        <v>0</v>
      </c>
      <c r="M233" t="s">
        <v>187</v>
      </c>
      <c r="O233" s="3">
        <f>E233-'315019 - P0724'!F233</f>
        <v>0</v>
      </c>
      <c r="P233" s="30">
        <f>I233-'315019 - P0724'!J233</f>
        <v>0</v>
      </c>
    </row>
    <row r="234" spans="1:16" x14ac:dyDescent="0.25">
      <c r="A234">
        <v>232</v>
      </c>
      <c r="C234" t="s">
        <v>8</v>
      </c>
      <c r="D234" s="4" t="s">
        <v>224</v>
      </c>
      <c r="E234" s="12">
        <v>24.6</v>
      </c>
      <c r="F234" s="12">
        <v>24.6</v>
      </c>
      <c r="G234" s="6">
        <f t="shared" si="60"/>
        <v>0</v>
      </c>
      <c r="H234" s="7">
        <f t="shared" si="61"/>
        <v>0</v>
      </c>
      <c r="I234" s="8">
        <v>37.85520480000001</v>
      </c>
      <c r="J234" s="9">
        <f t="shared" si="62"/>
        <v>37.85520480000001</v>
      </c>
      <c r="K234" s="3">
        <f t="shared" si="63"/>
        <v>0</v>
      </c>
      <c r="L234" s="7">
        <f t="shared" si="64"/>
        <v>0</v>
      </c>
      <c r="M234" t="s">
        <v>187</v>
      </c>
      <c r="O234" s="3">
        <f>E234-'315019 - P0724'!F234</f>
        <v>0</v>
      </c>
      <c r="P234" s="30">
        <f>I234-'315019 - P0724'!J234</f>
        <v>0</v>
      </c>
    </row>
    <row r="235" spans="1:16" x14ac:dyDescent="0.25">
      <c r="A235">
        <v>233</v>
      </c>
      <c r="C235" t="s">
        <v>8</v>
      </c>
      <c r="D235" s="4" t="s">
        <v>225</v>
      </c>
      <c r="E235" s="12">
        <v>8.41</v>
      </c>
      <c r="F235" s="12">
        <v>8.41</v>
      </c>
      <c r="G235" s="6">
        <f t="shared" si="60"/>
        <v>0</v>
      </c>
      <c r="H235" s="7">
        <f t="shared" si="61"/>
        <v>0</v>
      </c>
      <c r="I235" s="8">
        <v>17.605379996335873</v>
      </c>
      <c r="J235" s="9">
        <f t="shared" si="62"/>
        <v>17.605379996335873</v>
      </c>
      <c r="K235" s="3">
        <f t="shared" si="63"/>
        <v>0</v>
      </c>
      <c r="L235" s="7">
        <f t="shared" si="64"/>
        <v>0</v>
      </c>
      <c r="M235" t="s">
        <v>187</v>
      </c>
      <c r="O235" s="3">
        <f>E235-'315019 - P0724'!F235</f>
        <v>0</v>
      </c>
      <c r="P235" s="30">
        <f>I235-'315019 - P0724'!J235</f>
        <v>0</v>
      </c>
    </row>
    <row r="236" spans="1:16" x14ac:dyDescent="0.25">
      <c r="A236">
        <v>234</v>
      </c>
      <c r="C236" t="s">
        <v>8</v>
      </c>
      <c r="D236" s="4" t="s">
        <v>226</v>
      </c>
      <c r="E236" s="12">
        <v>19.87</v>
      </c>
      <c r="F236" s="12">
        <v>19.87</v>
      </c>
      <c r="G236" s="6">
        <f t="shared" si="60"/>
        <v>0</v>
      </c>
      <c r="H236" s="7">
        <f t="shared" si="61"/>
        <v>0</v>
      </c>
      <c r="I236" s="8">
        <v>37.722017205436892</v>
      </c>
      <c r="J236" s="9">
        <f t="shared" si="62"/>
        <v>37.722017205436892</v>
      </c>
      <c r="K236" s="3">
        <f t="shared" si="63"/>
        <v>0</v>
      </c>
      <c r="L236" s="7">
        <f t="shared" si="64"/>
        <v>0</v>
      </c>
      <c r="M236" t="s">
        <v>187</v>
      </c>
      <c r="O236" s="3">
        <f>E236-'315019 - P0724'!F236</f>
        <v>0</v>
      </c>
      <c r="P236" s="30">
        <f>I236-'315019 - P0724'!J236</f>
        <v>0</v>
      </c>
    </row>
    <row r="237" spans="1:16" x14ac:dyDescent="0.25">
      <c r="A237">
        <v>235</v>
      </c>
      <c r="C237" t="s">
        <v>8</v>
      </c>
      <c r="D237" s="4" t="s">
        <v>227</v>
      </c>
      <c r="E237" s="12">
        <v>19.89</v>
      </c>
      <c r="F237" s="12">
        <v>19.89</v>
      </c>
      <c r="G237" s="6">
        <f t="shared" si="60"/>
        <v>0</v>
      </c>
      <c r="H237" s="7">
        <f t="shared" si="61"/>
        <v>0</v>
      </c>
      <c r="I237" s="8">
        <v>39.222494967342996</v>
      </c>
      <c r="J237" s="9">
        <f t="shared" si="62"/>
        <v>39.222494967342996</v>
      </c>
      <c r="K237" s="3">
        <f t="shared" si="63"/>
        <v>0</v>
      </c>
      <c r="L237" s="7">
        <f t="shared" si="64"/>
        <v>0</v>
      </c>
      <c r="M237" t="s">
        <v>187</v>
      </c>
      <c r="O237" s="3">
        <f>E237-'315019 - P0724'!F237</f>
        <v>0</v>
      </c>
      <c r="P237" s="30">
        <f>I237-'315019 - P0724'!J237</f>
        <v>0</v>
      </c>
    </row>
    <row r="238" spans="1:16" x14ac:dyDescent="0.25">
      <c r="A238">
        <v>236</v>
      </c>
      <c r="C238" t="s">
        <v>8</v>
      </c>
      <c r="D238" s="4" t="s">
        <v>228</v>
      </c>
      <c r="E238" s="12">
        <v>4.71</v>
      </c>
      <c r="F238" s="12">
        <v>4.71</v>
      </c>
      <c r="G238" s="6">
        <f t="shared" si="60"/>
        <v>0</v>
      </c>
      <c r="H238" s="7">
        <f t="shared" si="61"/>
        <v>0</v>
      </c>
      <c r="I238" s="8">
        <v>11.98</v>
      </c>
      <c r="J238" s="9">
        <f t="shared" si="62"/>
        <v>11.98</v>
      </c>
      <c r="K238" s="3">
        <f t="shared" si="63"/>
        <v>0</v>
      </c>
      <c r="L238" s="7">
        <f t="shared" si="64"/>
        <v>0</v>
      </c>
      <c r="M238" t="s">
        <v>187</v>
      </c>
      <c r="O238" s="3">
        <f>E238-'315019 - P0724'!F238</f>
        <v>0</v>
      </c>
      <c r="P238" s="30">
        <f>I238-'315019 - P0724'!J238</f>
        <v>0</v>
      </c>
    </row>
    <row r="239" spans="1:16" x14ac:dyDescent="0.25">
      <c r="A239">
        <v>237</v>
      </c>
      <c r="C239" t="s">
        <v>8</v>
      </c>
      <c r="D239" s="4" t="s">
        <v>229</v>
      </c>
      <c r="E239" s="12">
        <v>51.79</v>
      </c>
      <c r="F239" s="12">
        <v>51.79</v>
      </c>
      <c r="G239" s="6">
        <f t="shared" si="60"/>
        <v>0</v>
      </c>
      <c r="H239" s="7">
        <f t="shared" si="61"/>
        <v>0</v>
      </c>
      <c r="I239" s="8">
        <v>79.680000000000007</v>
      </c>
      <c r="J239" s="9">
        <f t="shared" si="62"/>
        <v>79.680000000000007</v>
      </c>
      <c r="K239" s="3">
        <f t="shared" si="63"/>
        <v>0</v>
      </c>
      <c r="L239" s="7">
        <f t="shared" si="64"/>
        <v>0</v>
      </c>
      <c r="M239" t="s">
        <v>187</v>
      </c>
      <c r="O239" s="3">
        <f>E239-'315019 - P0724'!F239</f>
        <v>0</v>
      </c>
      <c r="P239" s="30">
        <f>I239-'315019 - P0724'!J239</f>
        <v>0</v>
      </c>
    </row>
    <row r="240" spans="1:16" x14ac:dyDescent="0.25">
      <c r="A240">
        <v>238</v>
      </c>
      <c r="C240" t="s">
        <v>8</v>
      </c>
      <c r="D240" s="4" t="s">
        <v>230</v>
      </c>
      <c r="E240" s="12">
        <v>9.76</v>
      </c>
      <c r="F240" s="12">
        <v>9.76</v>
      </c>
      <c r="G240" s="6">
        <f t="shared" si="60"/>
        <v>0</v>
      </c>
      <c r="H240" s="7">
        <f t="shared" si="61"/>
        <v>0</v>
      </c>
      <c r="I240" s="8">
        <v>19.82</v>
      </c>
      <c r="J240" s="9">
        <f t="shared" si="62"/>
        <v>19.82</v>
      </c>
      <c r="K240" s="3">
        <f t="shared" si="63"/>
        <v>0</v>
      </c>
      <c r="L240" s="7">
        <f t="shared" si="64"/>
        <v>0</v>
      </c>
      <c r="M240" t="s">
        <v>187</v>
      </c>
      <c r="O240" s="3">
        <f>E240-'315019 - P0724'!F240</f>
        <v>0</v>
      </c>
      <c r="P240" s="30">
        <f>I240-'315019 - P0724'!J240</f>
        <v>0</v>
      </c>
    </row>
    <row r="241" spans="1:16" x14ac:dyDescent="0.25">
      <c r="A241">
        <v>239</v>
      </c>
      <c r="C241" t="s">
        <v>8</v>
      </c>
      <c r="D241" s="4" t="s">
        <v>231</v>
      </c>
      <c r="E241" s="12">
        <v>2.87</v>
      </c>
      <c r="F241" s="12">
        <v>2.87</v>
      </c>
      <c r="G241" s="6">
        <f t="shared" si="60"/>
        <v>0</v>
      </c>
      <c r="H241" s="7">
        <f t="shared" si="61"/>
        <v>0</v>
      </c>
      <c r="I241" s="8">
        <v>5.82</v>
      </c>
      <c r="J241" s="9">
        <f t="shared" si="62"/>
        <v>5.82</v>
      </c>
      <c r="K241" s="3">
        <f t="shared" si="63"/>
        <v>0</v>
      </c>
      <c r="L241" s="7">
        <f t="shared" si="64"/>
        <v>0</v>
      </c>
      <c r="M241" t="s">
        <v>187</v>
      </c>
      <c r="O241" s="3">
        <f>E241-'315019 - P0724'!F241</f>
        <v>0</v>
      </c>
      <c r="P241" s="30">
        <f>I241-'315019 - P0724'!J241</f>
        <v>0</v>
      </c>
    </row>
    <row r="242" spans="1:16" x14ac:dyDescent="0.25">
      <c r="A242">
        <v>240</v>
      </c>
      <c r="D242" s="34" t="s">
        <v>232</v>
      </c>
      <c r="H242" s="10">
        <f>AVERAGE(H194:H237)</f>
        <v>0</v>
      </c>
      <c r="I242"/>
    </row>
    <row r="243" spans="1:16" x14ac:dyDescent="0.25">
      <c r="A243">
        <v>241</v>
      </c>
      <c r="D243" s="34" t="s">
        <v>233</v>
      </c>
      <c r="I243"/>
      <c r="M243" t="s">
        <v>234</v>
      </c>
      <c r="O243" s="3">
        <f>E243-'315019 - P0724'!F243</f>
        <v>0</v>
      </c>
      <c r="P243" s="30">
        <f>I243-'315019 - P0724'!J243</f>
        <v>0</v>
      </c>
    </row>
    <row r="244" spans="1:16" x14ac:dyDescent="0.25">
      <c r="A244">
        <v>242</v>
      </c>
      <c r="C244" t="s">
        <v>8</v>
      </c>
      <c r="D244" s="4" t="s">
        <v>235</v>
      </c>
      <c r="E244" s="12">
        <v>19.32</v>
      </c>
      <c r="F244" s="12">
        <v>19.32</v>
      </c>
      <c r="G244" s="6">
        <f t="shared" ref="G244:G248" si="65">+F244-E244</f>
        <v>0</v>
      </c>
      <c r="H244" s="7">
        <f t="shared" ref="H244:H248" si="66">(F244-E244)/ABS(E244)</f>
        <v>0</v>
      </c>
      <c r="I244" s="8">
        <v>43.363738242210459</v>
      </c>
      <c r="J244" s="9">
        <f t="shared" ref="J244:J248" si="67">(I244*H244)+I244</f>
        <v>43.363738242210459</v>
      </c>
      <c r="K244" s="3">
        <f t="shared" ref="K244:K248" si="68">J244-I244</f>
        <v>0</v>
      </c>
      <c r="L244" s="7">
        <f t="shared" ref="L244:L248" si="69">(J244-I244)/ABS(I244)</f>
        <v>0</v>
      </c>
      <c r="M244" t="s">
        <v>234</v>
      </c>
      <c r="O244" s="3">
        <f>E244-'315019 - P0724'!F244</f>
        <v>0</v>
      </c>
      <c r="P244" s="30">
        <f>I244-'315019 - P0724'!J244</f>
        <v>0</v>
      </c>
    </row>
    <row r="245" spans="1:16" x14ac:dyDescent="0.25">
      <c r="A245">
        <v>243</v>
      </c>
      <c r="C245" t="s">
        <v>8</v>
      </c>
      <c r="D245" s="4" t="s">
        <v>236</v>
      </c>
      <c r="E245" s="12">
        <v>25.76</v>
      </c>
      <c r="F245" s="12">
        <v>25.76</v>
      </c>
      <c r="G245" s="6">
        <f t="shared" si="65"/>
        <v>0</v>
      </c>
      <c r="H245" s="7">
        <f t="shared" si="66"/>
        <v>0</v>
      </c>
      <c r="I245" s="8">
        <v>54.72</v>
      </c>
      <c r="J245" s="9">
        <f t="shared" si="67"/>
        <v>54.72</v>
      </c>
      <c r="K245" s="3">
        <f t="shared" si="68"/>
        <v>0</v>
      </c>
      <c r="L245" s="7">
        <f t="shared" si="69"/>
        <v>0</v>
      </c>
      <c r="M245" t="s">
        <v>234</v>
      </c>
      <c r="O245" s="3">
        <f>E245-'315019 - P0724'!F245</f>
        <v>0</v>
      </c>
      <c r="P245" s="30">
        <f>I245-'315019 - P0724'!J245</f>
        <v>0</v>
      </c>
    </row>
    <row r="246" spans="1:16" x14ac:dyDescent="0.25">
      <c r="A246">
        <v>244</v>
      </c>
      <c r="C246" t="s">
        <v>8</v>
      </c>
      <c r="D246" s="4" t="s">
        <v>237</v>
      </c>
      <c r="E246" s="12">
        <v>26.28</v>
      </c>
      <c r="F246" s="12">
        <v>26.28</v>
      </c>
      <c r="G246" s="6">
        <f t="shared" si="65"/>
        <v>0</v>
      </c>
      <c r="H246" s="7">
        <f t="shared" si="66"/>
        <v>0</v>
      </c>
      <c r="I246" s="8">
        <v>41.047300934300516</v>
      </c>
      <c r="J246" s="9">
        <f t="shared" si="67"/>
        <v>41.047300934300516</v>
      </c>
      <c r="K246" s="3">
        <f t="shared" si="68"/>
        <v>0</v>
      </c>
      <c r="L246" s="7">
        <f t="shared" si="69"/>
        <v>0</v>
      </c>
      <c r="M246" t="s">
        <v>234</v>
      </c>
      <c r="O246" s="3">
        <f>E246-'315019 - P0724'!F246</f>
        <v>0</v>
      </c>
      <c r="P246" s="30">
        <f>I246-'315019 - P0724'!J246</f>
        <v>0</v>
      </c>
    </row>
    <row r="247" spans="1:16" x14ac:dyDescent="0.25">
      <c r="A247">
        <v>245</v>
      </c>
      <c r="C247" t="s">
        <v>8</v>
      </c>
      <c r="D247" s="4" t="s">
        <v>238</v>
      </c>
      <c r="E247" s="12">
        <v>35.04</v>
      </c>
      <c r="F247" s="12">
        <v>35.04</v>
      </c>
      <c r="G247" s="6">
        <f t="shared" si="65"/>
        <v>0</v>
      </c>
      <c r="H247" s="7">
        <f t="shared" si="66"/>
        <v>0</v>
      </c>
      <c r="I247" s="8">
        <v>54.724364707150258</v>
      </c>
      <c r="J247" s="9">
        <f t="shared" si="67"/>
        <v>54.724364707150258</v>
      </c>
      <c r="K247" s="3">
        <f t="shared" si="68"/>
        <v>0</v>
      </c>
      <c r="L247" s="7">
        <f t="shared" si="69"/>
        <v>0</v>
      </c>
      <c r="M247" t="s">
        <v>234</v>
      </c>
      <c r="O247" s="3">
        <f>E247-'315019 - P0724'!F247</f>
        <v>0</v>
      </c>
      <c r="P247" s="30">
        <f>I247-'315019 - P0724'!J247</f>
        <v>0</v>
      </c>
    </row>
    <row r="248" spans="1:16" x14ac:dyDescent="0.25">
      <c r="A248">
        <v>246</v>
      </c>
      <c r="C248" t="s">
        <v>8</v>
      </c>
      <c r="D248" s="4" t="s">
        <v>239</v>
      </c>
      <c r="E248" s="12">
        <v>43.8</v>
      </c>
      <c r="F248" s="12">
        <v>43.8</v>
      </c>
      <c r="G248" s="6">
        <f t="shared" si="65"/>
        <v>0</v>
      </c>
      <c r="H248" s="7">
        <f t="shared" si="66"/>
        <v>0</v>
      </c>
      <c r="I248" s="8">
        <v>68.401428479999993</v>
      </c>
      <c r="J248" s="9">
        <f t="shared" si="67"/>
        <v>68.401428479999993</v>
      </c>
      <c r="K248" s="3">
        <f t="shared" si="68"/>
        <v>0</v>
      </c>
      <c r="L248" s="7">
        <f t="shared" si="69"/>
        <v>0</v>
      </c>
      <c r="M248" t="s">
        <v>234</v>
      </c>
      <c r="O248" s="3">
        <f>E248-'315019 - P0724'!F248</f>
        <v>0</v>
      </c>
      <c r="P248" s="30">
        <f>I248-'315019 - P0724'!J248</f>
        <v>0</v>
      </c>
    </row>
    <row r="249" spans="1:16" x14ac:dyDescent="0.25">
      <c r="A249">
        <v>247</v>
      </c>
      <c r="D249" s="34" t="s">
        <v>240</v>
      </c>
      <c r="H249" s="10">
        <f>AVERAGE(H244:H248)</f>
        <v>0</v>
      </c>
      <c r="I249"/>
    </row>
    <row r="250" spans="1:16" x14ac:dyDescent="0.25">
      <c r="A250">
        <v>248</v>
      </c>
      <c r="D250" s="34" t="s">
        <v>241</v>
      </c>
      <c r="I250"/>
    </row>
    <row r="251" spans="1:16" x14ac:dyDescent="0.25">
      <c r="A251">
        <v>249</v>
      </c>
      <c r="C251" t="s">
        <v>8</v>
      </c>
      <c r="D251" s="4" t="s">
        <v>242</v>
      </c>
      <c r="E251" s="12">
        <v>8.2200000000000006</v>
      </c>
      <c r="F251" s="11">
        <v>8.2200000000000006</v>
      </c>
      <c r="G251" s="6">
        <f t="shared" ref="G251:G295" si="70">+F251-E251</f>
        <v>0</v>
      </c>
      <c r="H251" s="7">
        <f t="shared" ref="H251:H295" si="71">(F251-E251)/ABS(E251)</f>
        <v>0</v>
      </c>
      <c r="I251" s="8">
        <v>28.54202272220985</v>
      </c>
      <c r="J251" s="9">
        <f t="shared" ref="J251:J295" si="72">(I251*H251)+I251</f>
        <v>28.54202272220985</v>
      </c>
      <c r="K251" s="3">
        <f t="shared" ref="K251:K295" si="73">J251-I251</f>
        <v>0</v>
      </c>
      <c r="L251" s="7">
        <f t="shared" ref="L251:L295" si="74">(J251-I251)/ABS(I251)</f>
        <v>0</v>
      </c>
      <c r="M251" t="s">
        <v>150</v>
      </c>
      <c r="O251" s="3">
        <f>E251-'315019 - P0724'!F251</f>
        <v>0</v>
      </c>
      <c r="P251" s="30">
        <f>I251-'315019 - P0724'!J251</f>
        <v>0</v>
      </c>
    </row>
    <row r="252" spans="1:16" x14ac:dyDescent="0.25">
      <c r="A252">
        <v>250</v>
      </c>
      <c r="C252" t="s">
        <v>8</v>
      </c>
      <c r="D252" s="4" t="s">
        <v>243</v>
      </c>
      <c r="E252" s="12">
        <v>7.68</v>
      </c>
      <c r="F252" s="11">
        <v>7.68</v>
      </c>
      <c r="G252" s="6">
        <f t="shared" si="70"/>
        <v>0</v>
      </c>
      <c r="H252" s="7">
        <f t="shared" si="71"/>
        <v>0</v>
      </c>
      <c r="I252" s="8">
        <v>16.421831032972253</v>
      </c>
      <c r="J252" s="9">
        <f t="shared" si="72"/>
        <v>16.421831032972253</v>
      </c>
      <c r="K252" s="3">
        <f t="shared" si="73"/>
        <v>0</v>
      </c>
      <c r="L252" s="7">
        <f t="shared" si="74"/>
        <v>0</v>
      </c>
      <c r="M252" t="s">
        <v>150</v>
      </c>
      <c r="O252" s="3">
        <f>E252-'315019 - P0724'!F252</f>
        <v>0</v>
      </c>
      <c r="P252" s="30">
        <f>I252-'315019 - P0724'!J252</f>
        <v>0</v>
      </c>
    </row>
    <row r="253" spans="1:16" x14ac:dyDescent="0.25">
      <c r="A253">
        <v>251</v>
      </c>
      <c r="C253" t="s">
        <v>8</v>
      </c>
      <c r="D253" s="4" t="s">
        <v>244</v>
      </c>
      <c r="E253" s="12">
        <v>58.2</v>
      </c>
      <c r="F253" s="12">
        <v>58.2</v>
      </c>
      <c r="G253" s="6">
        <f t="shared" si="70"/>
        <v>0</v>
      </c>
      <c r="H253" s="7">
        <f t="shared" si="71"/>
        <v>0</v>
      </c>
      <c r="I253" s="8">
        <v>83.610119999999995</v>
      </c>
      <c r="J253" s="9">
        <f t="shared" si="72"/>
        <v>83.610119999999995</v>
      </c>
      <c r="K253" s="3">
        <f t="shared" si="73"/>
        <v>0</v>
      </c>
      <c r="L253" s="7">
        <f t="shared" si="74"/>
        <v>0</v>
      </c>
      <c r="M253" t="s">
        <v>150</v>
      </c>
      <c r="O253" s="3">
        <f>E253-'315019 - P0724'!F253</f>
        <v>0</v>
      </c>
      <c r="P253" s="30">
        <f>I253-'315019 - P0724'!J253</f>
        <v>0</v>
      </c>
    </row>
    <row r="254" spans="1:16" x14ac:dyDescent="0.25">
      <c r="A254">
        <v>252</v>
      </c>
      <c r="C254" t="s">
        <v>8</v>
      </c>
      <c r="D254" s="4" t="s">
        <v>245</v>
      </c>
      <c r="E254" s="12">
        <v>3.75</v>
      </c>
      <c r="F254" s="12">
        <v>3.75</v>
      </c>
      <c r="G254" s="6">
        <f t="shared" si="70"/>
        <v>0</v>
      </c>
      <c r="H254" s="7">
        <f t="shared" si="71"/>
        <v>0</v>
      </c>
      <c r="I254" s="8">
        <v>7.7840909090909092</v>
      </c>
      <c r="J254" s="9">
        <f t="shared" si="72"/>
        <v>7.7840909090909092</v>
      </c>
      <c r="K254" s="3">
        <f t="shared" si="73"/>
        <v>0</v>
      </c>
      <c r="L254" s="7">
        <f t="shared" si="74"/>
        <v>0</v>
      </c>
      <c r="M254" t="s">
        <v>150</v>
      </c>
      <c r="O254" s="3">
        <f>E254-'315019 - P0724'!F254</f>
        <v>0</v>
      </c>
      <c r="P254" s="30">
        <f>I254-'315019 - P0724'!J254</f>
        <v>0</v>
      </c>
    </row>
    <row r="255" spans="1:16" x14ac:dyDescent="0.25">
      <c r="A255">
        <v>253</v>
      </c>
      <c r="C255" t="s">
        <v>8</v>
      </c>
      <c r="D255" s="4" t="s">
        <v>246</v>
      </c>
      <c r="E255" s="12">
        <v>7.34</v>
      </c>
      <c r="F255" s="11">
        <v>7.34</v>
      </c>
      <c r="G255" s="6">
        <f t="shared" si="70"/>
        <v>0</v>
      </c>
      <c r="H255" s="7">
        <f t="shared" si="71"/>
        <v>0</v>
      </c>
      <c r="I255" s="8">
        <v>27.961904761904762</v>
      </c>
      <c r="J255" s="9">
        <f t="shared" si="72"/>
        <v>27.961904761904762</v>
      </c>
      <c r="K255" s="3">
        <f t="shared" si="73"/>
        <v>0</v>
      </c>
      <c r="L255" s="7">
        <f t="shared" si="74"/>
        <v>0</v>
      </c>
      <c r="M255" t="s">
        <v>150</v>
      </c>
      <c r="O255" s="3">
        <f>E255-'315019 - P0724'!F255</f>
        <v>0</v>
      </c>
      <c r="P255" s="30">
        <f>I255-'315019 - P0724'!J255</f>
        <v>0</v>
      </c>
    </row>
    <row r="256" spans="1:16" x14ac:dyDescent="0.25">
      <c r="A256">
        <v>254</v>
      </c>
      <c r="C256" t="s">
        <v>8</v>
      </c>
      <c r="D256" s="4" t="s">
        <v>247</v>
      </c>
      <c r="E256" s="12">
        <v>13.75</v>
      </c>
      <c r="F256" s="12">
        <v>13.75</v>
      </c>
      <c r="G256" s="6">
        <f t="shared" si="70"/>
        <v>0</v>
      </c>
      <c r="H256" s="7">
        <f t="shared" si="71"/>
        <v>0</v>
      </c>
      <c r="I256" s="8">
        <v>17.348837209302324</v>
      </c>
      <c r="J256" s="9">
        <f t="shared" si="72"/>
        <v>17.348837209302324</v>
      </c>
      <c r="K256" s="3">
        <f t="shared" si="73"/>
        <v>0</v>
      </c>
      <c r="L256" s="7">
        <f t="shared" si="74"/>
        <v>0</v>
      </c>
      <c r="M256" t="s">
        <v>150</v>
      </c>
      <c r="O256" s="3">
        <f>E256-'315019 - P0724'!F256</f>
        <v>0</v>
      </c>
      <c r="P256" s="30">
        <f>I256-'315019 - P0724'!J256</f>
        <v>0</v>
      </c>
    </row>
    <row r="257" spans="1:16" x14ac:dyDescent="0.25">
      <c r="A257">
        <v>255</v>
      </c>
      <c r="C257" t="s">
        <v>8</v>
      </c>
      <c r="D257" s="4" t="s">
        <v>248</v>
      </c>
      <c r="E257" s="12">
        <v>10.25</v>
      </c>
      <c r="F257" s="12">
        <v>10.25</v>
      </c>
      <c r="G257" s="6">
        <f t="shared" si="70"/>
        <v>0</v>
      </c>
      <c r="H257" s="7">
        <f t="shared" si="71"/>
        <v>0</v>
      </c>
      <c r="I257" s="8">
        <v>13.461538461538462</v>
      </c>
      <c r="J257" s="9">
        <f t="shared" si="72"/>
        <v>13.461538461538462</v>
      </c>
      <c r="K257" s="3">
        <f t="shared" si="73"/>
        <v>0</v>
      </c>
      <c r="L257" s="7">
        <f t="shared" si="74"/>
        <v>0</v>
      </c>
      <c r="M257" t="s">
        <v>150</v>
      </c>
      <c r="O257" s="3">
        <f>E257-'315019 - P0724'!F257</f>
        <v>0</v>
      </c>
      <c r="P257" s="30">
        <f>I257-'315019 - P0724'!J257</f>
        <v>0</v>
      </c>
    </row>
    <row r="258" spans="1:16" x14ac:dyDescent="0.25">
      <c r="A258">
        <v>256</v>
      </c>
      <c r="C258" t="s">
        <v>8</v>
      </c>
      <c r="D258" s="4" t="s">
        <v>249</v>
      </c>
      <c r="E258" s="12">
        <v>5.75</v>
      </c>
      <c r="F258" s="12">
        <v>5.75</v>
      </c>
      <c r="G258" s="6">
        <f t="shared" si="70"/>
        <v>0</v>
      </c>
      <c r="H258" s="7">
        <f t="shared" si="71"/>
        <v>0</v>
      </c>
      <c r="I258" s="8">
        <v>15.717408000000002</v>
      </c>
      <c r="J258" s="9">
        <f t="shared" si="72"/>
        <v>15.717408000000002</v>
      </c>
      <c r="K258" s="3">
        <f t="shared" si="73"/>
        <v>0</v>
      </c>
      <c r="L258" s="7">
        <f t="shared" si="74"/>
        <v>0</v>
      </c>
      <c r="M258" t="s">
        <v>187</v>
      </c>
      <c r="O258" s="3">
        <f>E258-'315019 - P0724'!F258</f>
        <v>0</v>
      </c>
      <c r="P258" s="30">
        <f>I258-'315019 - P0724'!J258</f>
        <v>0</v>
      </c>
    </row>
    <row r="259" spans="1:16" x14ac:dyDescent="0.25">
      <c r="A259">
        <v>257</v>
      </c>
      <c r="C259" t="s">
        <v>8</v>
      </c>
      <c r="D259" s="4" t="s">
        <v>250</v>
      </c>
      <c r="E259" s="12">
        <v>18.22</v>
      </c>
      <c r="F259" s="5">
        <v>18.22</v>
      </c>
      <c r="G259" s="6">
        <f t="shared" si="70"/>
        <v>0</v>
      </c>
      <c r="H259" s="7">
        <f t="shared" si="71"/>
        <v>0</v>
      </c>
      <c r="I259" s="8">
        <v>36.44</v>
      </c>
      <c r="J259" s="9">
        <f t="shared" si="72"/>
        <v>36.44</v>
      </c>
      <c r="K259" s="3">
        <f t="shared" si="73"/>
        <v>0</v>
      </c>
      <c r="L259" s="7">
        <f t="shared" si="74"/>
        <v>0</v>
      </c>
      <c r="M259" t="s">
        <v>150</v>
      </c>
      <c r="O259" s="3">
        <f>E259-'315019 - P0724'!F259</f>
        <v>0</v>
      </c>
      <c r="P259" s="30">
        <f>I259-'315019 - P0724'!J259</f>
        <v>0</v>
      </c>
    </row>
    <row r="260" spans="1:16" x14ac:dyDescent="0.25">
      <c r="A260">
        <v>258</v>
      </c>
      <c r="C260" t="s">
        <v>8</v>
      </c>
      <c r="D260" s="4" t="s">
        <v>251</v>
      </c>
      <c r="E260" s="12">
        <v>2.21</v>
      </c>
      <c r="F260" s="5">
        <v>2.21</v>
      </c>
      <c r="G260" s="6">
        <f t="shared" si="70"/>
        <v>0</v>
      </c>
      <c r="H260" s="7">
        <f t="shared" si="71"/>
        <v>0</v>
      </c>
      <c r="I260" s="8">
        <v>4.5939072847682123</v>
      </c>
      <c r="J260" s="9">
        <f t="shared" si="72"/>
        <v>4.5939072847682123</v>
      </c>
      <c r="K260" s="3">
        <f t="shared" si="73"/>
        <v>0</v>
      </c>
      <c r="L260" s="7">
        <f t="shared" si="74"/>
        <v>0</v>
      </c>
      <c r="M260" t="s">
        <v>150</v>
      </c>
      <c r="O260" s="3">
        <f>E260-'315019 - P0724'!F260</f>
        <v>0</v>
      </c>
      <c r="P260" s="30">
        <f>I260-'315019 - P0724'!J260</f>
        <v>0</v>
      </c>
    </row>
    <row r="261" spans="1:16" x14ac:dyDescent="0.25">
      <c r="A261">
        <v>259</v>
      </c>
      <c r="C261" t="s">
        <v>8</v>
      </c>
      <c r="D261" s="4" t="s">
        <v>252</v>
      </c>
      <c r="E261" s="12">
        <v>3.3</v>
      </c>
      <c r="F261" s="5">
        <v>3.3</v>
      </c>
      <c r="G261" s="6">
        <f t="shared" si="70"/>
        <v>0</v>
      </c>
      <c r="H261" s="7">
        <f t="shared" si="71"/>
        <v>0</v>
      </c>
      <c r="I261" s="8">
        <v>7.177170731707319</v>
      </c>
      <c r="J261" s="9">
        <f t="shared" si="72"/>
        <v>7.177170731707319</v>
      </c>
      <c r="K261" s="3">
        <f t="shared" si="73"/>
        <v>0</v>
      </c>
      <c r="L261" s="7">
        <f t="shared" si="74"/>
        <v>0</v>
      </c>
      <c r="M261" t="s">
        <v>150</v>
      </c>
      <c r="O261" s="3">
        <f>E261-'315019 - P0724'!F261</f>
        <v>0</v>
      </c>
      <c r="P261" s="30">
        <f>I261-'315019 - P0724'!J261</f>
        <v>0</v>
      </c>
    </row>
    <row r="262" spans="1:16" x14ac:dyDescent="0.25">
      <c r="A262">
        <v>260</v>
      </c>
      <c r="C262" t="s">
        <v>8</v>
      </c>
      <c r="D262" s="4" t="s">
        <v>253</v>
      </c>
      <c r="E262" s="12">
        <v>123.23</v>
      </c>
      <c r="F262" s="12">
        <v>123.23</v>
      </c>
      <c r="G262" s="6">
        <f t="shared" si="70"/>
        <v>0</v>
      </c>
      <c r="H262" s="7">
        <f t="shared" si="71"/>
        <v>0</v>
      </c>
      <c r="I262" s="8">
        <v>262.95999999999998</v>
      </c>
      <c r="J262" s="9">
        <f t="shared" si="72"/>
        <v>262.95999999999998</v>
      </c>
      <c r="K262" s="3">
        <f t="shared" si="73"/>
        <v>0</v>
      </c>
      <c r="L262" s="7">
        <f t="shared" si="74"/>
        <v>0</v>
      </c>
      <c r="M262" t="s">
        <v>150</v>
      </c>
      <c r="O262" s="3">
        <f>E262-'315019 - P0724'!F262</f>
        <v>0</v>
      </c>
      <c r="P262" s="30">
        <f>I262-'315019 - P0724'!J262</f>
        <v>0</v>
      </c>
    </row>
    <row r="263" spans="1:16" x14ac:dyDescent="0.25">
      <c r="A263">
        <v>261</v>
      </c>
      <c r="C263" t="s">
        <v>8</v>
      </c>
      <c r="D263" s="4" t="s">
        <v>254</v>
      </c>
      <c r="E263" s="12">
        <v>121.84</v>
      </c>
      <c r="F263" s="12">
        <v>121.84</v>
      </c>
      <c r="G263" s="6">
        <f t="shared" si="70"/>
        <v>0</v>
      </c>
      <c r="H263" s="7">
        <f t="shared" si="71"/>
        <v>0</v>
      </c>
      <c r="I263" s="8">
        <v>219.99</v>
      </c>
      <c r="J263" s="9">
        <f t="shared" si="72"/>
        <v>219.99</v>
      </c>
      <c r="K263" s="3">
        <f t="shared" si="73"/>
        <v>0</v>
      </c>
      <c r="L263" s="7">
        <f t="shared" si="74"/>
        <v>0</v>
      </c>
      <c r="M263" t="s">
        <v>150</v>
      </c>
      <c r="O263" s="3">
        <f>E263-'315019 - P0724'!F263</f>
        <v>0</v>
      </c>
      <c r="P263" s="30">
        <f>I263-'315019 - P0724'!J263</f>
        <v>0</v>
      </c>
    </row>
    <row r="264" spans="1:16" x14ac:dyDescent="0.25">
      <c r="A264">
        <v>262</v>
      </c>
      <c r="C264" t="s">
        <v>8</v>
      </c>
      <c r="D264" s="4" t="s">
        <v>255</v>
      </c>
      <c r="E264" s="5">
        <v>10.8</v>
      </c>
      <c r="F264" s="5">
        <v>10.8</v>
      </c>
      <c r="G264" s="6">
        <f t="shared" si="70"/>
        <v>0</v>
      </c>
      <c r="H264" s="7">
        <f t="shared" si="71"/>
        <v>0</v>
      </c>
      <c r="I264" s="8">
        <v>23.043154761904759</v>
      </c>
      <c r="J264" s="9">
        <f t="shared" si="72"/>
        <v>23.043154761904759</v>
      </c>
      <c r="K264" s="3">
        <f t="shared" si="73"/>
        <v>0</v>
      </c>
      <c r="L264" s="7">
        <f t="shared" si="74"/>
        <v>0</v>
      </c>
      <c r="M264" s="7" t="s">
        <v>150</v>
      </c>
      <c r="O264" s="3">
        <f>E264-'315019 - P0724'!F264</f>
        <v>0</v>
      </c>
      <c r="P264" s="30">
        <f>I264-'315019 - P0724'!J264</f>
        <v>0</v>
      </c>
    </row>
    <row r="265" spans="1:16" x14ac:dyDescent="0.25">
      <c r="A265">
        <v>263</v>
      </c>
      <c r="C265" t="s">
        <v>8</v>
      </c>
      <c r="D265" s="4" t="s">
        <v>256</v>
      </c>
      <c r="E265" s="5">
        <v>12.96</v>
      </c>
      <c r="F265" s="5">
        <v>12.96</v>
      </c>
      <c r="G265" s="6">
        <f t="shared" si="70"/>
        <v>0</v>
      </c>
      <c r="H265" s="7">
        <f t="shared" si="71"/>
        <v>0</v>
      </c>
      <c r="I265" s="8">
        <v>30.49</v>
      </c>
      <c r="J265" s="9">
        <f t="shared" si="72"/>
        <v>30.49</v>
      </c>
      <c r="K265" s="3">
        <f t="shared" si="73"/>
        <v>0</v>
      </c>
      <c r="L265" s="7">
        <f t="shared" si="74"/>
        <v>0</v>
      </c>
      <c r="M265" s="7" t="s">
        <v>150</v>
      </c>
      <c r="O265" s="3">
        <f>E265-'315019 - P0724'!F265</f>
        <v>0</v>
      </c>
      <c r="P265" s="30">
        <f>I265-'315019 - P0724'!J265</f>
        <v>0</v>
      </c>
    </row>
    <row r="266" spans="1:16" x14ac:dyDescent="0.25">
      <c r="A266">
        <v>264</v>
      </c>
      <c r="C266" t="s">
        <v>8</v>
      </c>
      <c r="D266" s="4" t="s">
        <v>257</v>
      </c>
      <c r="E266" s="5">
        <v>8.35</v>
      </c>
      <c r="F266" s="5">
        <v>8.35</v>
      </c>
      <c r="G266" s="6">
        <f t="shared" si="70"/>
        <v>0</v>
      </c>
      <c r="H266" s="7">
        <f t="shared" si="71"/>
        <v>0</v>
      </c>
      <c r="I266" s="8">
        <v>17.815772431657845</v>
      </c>
      <c r="J266" s="9">
        <f t="shared" si="72"/>
        <v>17.815772431657845</v>
      </c>
      <c r="K266" s="3">
        <f t="shared" si="73"/>
        <v>0</v>
      </c>
      <c r="L266" s="7">
        <f t="shared" si="74"/>
        <v>0</v>
      </c>
      <c r="M266" t="s">
        <v>150</v>
      </c>
      <c r="O266" s="3">
        <f>E266-'315019 - P0724'!F266</f>
        <v>0</v>
      </c>
      <c r="P266" s="30">
        <f>I266-'315019 - P0724'!J266</f>
        <v>0</v>
      </c>
    </row>
    <row r="267" spans="1:16" x14ac:dyDescent="0.25">
      <c r="A267">
        <v>265</v>
      </c>
      <c r="C267" t="s">
        <v>8</v>
      </c>
      <c r="D267" s="4" t="s">
        <v>258</v>
      </c>
      <c r="E267" s="5">
        <v>3.44</v>
      </c>
      <c r="F267" s="5">
        <v>3.44</v>
      </c>
      <c r="G267" s="6">
        <f t="shared" si="70"/>
        <v>0</v>
      </c>
      <c r="H267" s="7">
        <f t="shared" si="71"/>
        <v>0</v>
      </c>
      <c r="I267" s="8">
        <v>6.5289583333333336</v>
      </c>
      <c r="J267" s="9">
        <f t="shared" si="72"/>
        <v>6.5289583333333336</v>
      </c>
      <c r="K267" s="3">
        <f t="shared" si="73"/>
        <v>0</v>
      </c>
      <c r="L267" s="7">
        <f t="shared" si="74"/>
        <v>0</v>
      </c>
      <c r="M267" t="s">
        <v>150</v>
      </c>
      <c r="O267" s="3">
        <f>E267-'315019 - P0724'!F267</f>
        <v>0</v>
      </c>
      <c r="P267" s="30">
        <f>I267-'315019 - P0724'!J267</f>
        <v>0</v>
      </c>
    </row>
    <row r="268" spans="1:16" x14ac:dyDescent="0.25">
      <c r="A268">
        <v>266</v>
      </c>
      <c r="C268" t="s">
        <v>8</v>
      </c>
      <c r="D268" s="4" t="s">
        <v>259</v>
      </c>
      <c r="E268" s="5">
        <v>2.64</v>
      </c>
      <c r="F268" s="5">
        <v>2.64</v>
      </c>
      <c r="G268" s="6">
        <f t="shared" si="70"/>
        <v>0</v>
      </c>
      <c r="H268" s="7">
        <f t="shared" si="71"/>
        <v>0</v>
      </c>
      <c r="I268" s="8">
        <v>5.9648076923076916</v>
      </c>
      <c r="J268" s="9">
        <f t="shared" si="72"/>
        <v>5.9648076923076916</v>
      </c>
      <c r="K268" s="3">
        <f t="shared" si="73"/>
        <v>0</v>
      </c>
      <c r="L268" s="7">
        <f t="shared" si="74"/>
        <v>0</v>
      </c>
      <c r="M268" t="s">
        <v>150</v>
      </c>
      <c r="O268" s="3">
        <f>E268-'315019 - P0724'!F268</f>
        <v>0</v>
      </c>
      <c r="P268" s="30">
        <f>I268-'315019 - P0724'!J268</f>
        <v>0</v>
      </c>
    </row>
    <row r="269" spans="1:16" x14ac:dyDescent="0.25">
      <c r="A269">
        <v>267</v>
      </c>
      <c r="C269" t="s">
        <v>8</v>
      </c>
      <c r="D269" s="4" t="s">
        <v>260</v>
      </c>
      <c r="E269" s="5">
        <v>2.64</v>
      </c>
      <c r="F269" s="5">
        <v>2.64</v>
      </c>
      <c r="G269" s="6">
        <f t="shared" si="70"/>
        <v>0</v>
      </c>
      <c r="H269" s="7">
        <f t="shared" si="71"/>
        <v>0</v>
      </c>
      <c r="I269" s="8">
        <v>4.9814285714285704</v>
      </c>
      <c r="J269" s="9">
        <f t="shared" si="72"/>
        <v>4.9814285714285704</v>
      </c>
      <c r="K269" s="3">
        <f t="shared" si="73"/>
        <v>0</v>
      </c>
      <c r="L269" s="7">
        <f t="shared" si="74"/>
        <v>0</v>
      </c>
      <c r="M269" t="s">
        <v>150</v>
      </c>
      <c r="O269" s="3">
        <f>E269-'315019 - P0724'!F269</f>
        <v>0</v>
      </c>
      <c r="P269" s="30">
        <f>I269-'315019 - P0724'!J269</f>
        <v>0</v>
      </c>
    </row>
    <row r="270" spans="1:16" x14ac:dyDescent="0.25">
      <c r="A270">
        <v>268</v>
      </c>
      <c r="C270" t="s">
        <v>8</v>
      </c>
      <c r="D270" s="4" t="s">
        <v>261</v>
      </c>
      <c r="E270" s="5">
        <v>1.98</v>
      </c>
      <c r="F270" s="5">
        <v>1.98</v>
      </c>
      <c r="G270" s="6">
        <f t="shared" si="70"/>
        <v>0</v>
      </c>
      <c r="H270" s="7">
        <f t="shared" si="71"/>
        <v>0</v>
      </c>
      <c r="I270" s="8">
        <v>3.5054288194444445</v>
      </c>
      <c r="J270" s="9">
        <f t="shared" si="72"/>
        <v>3.5054288194444445</v>
      </c>
      <c r="K270" s="3">
        <f t="shared" si="73"/>
        <v>0</v>
      </c>
      <c r="L270" s="7">
        <f t="shared" si="74"/>
        <v>0</v>
      </c>
      <c r="M270" t="s">
        <v>150</v>
      </c>
      <c r="O270" s="3">
        <f>E270-'315019 - P0724'!F270</f>
        <v>0</v>
      </c>
      <c r="P270" s="30">
        <f>I270-'315019 - P0724'!J270</f>
        <v>0</v>
      </c>
    </row>
    <row r="271" spans="1:16" x14ac:dyDescent="0.25">
      <c r="A271">
        <v>269</v>
      </c>
      <c r="C271" t="s">
        <v>8</v>
      </c>
      <c r="D271" s="4" t="s">
        <v>262</v>
      </c>
      <c r="E271" s="5">
        <v>3.2</v>
      </c>
      <c r="F271" s="5">
        <v>3.2</v>
      </c>
      <c r="G271" s="6">
        <f t="shared" si="70"/>
        <v>0</v>
      </c>
      <c r="H271" s="7">
        <f t="shared" si="71"/>
        <v>0</v>
      </c>
      <c r="I271" s="8">
        <v>9.5772187500000001</v>
      </c>
      <c r="J271" s="9">
        <f t="shared" si="72"/>
        <v>9.5772187500000001</v>
      </c>
      <c r="K271" s="3">
        <f t="shared" si="73"/>
        <v>0</v>
      </c>
      <c r="L271" s="7">
        <f t="shared" si="74"/>
        <v>0</v>
      </c>
      <c r="M271" t="s">
        <v>150</v>
      </c>
      <c r="O271" s="3">
        <f>E271-'315019 - P0724'!F271</f>
        <v>0</v>
      </c>
      <c r="P271" s="30">
        <f>I271-'315019 - P0724'!J271</f>
        <v>0</v>
      </c>
    </row>
    <row r="272" spans="1:16" x14ac:dyDescent="0.25">
      <c r="A272">
        <v>270</v>
      </c>
      <c r="C272" t="s">
        <v>8</v>
      </c>
      <c r="D272" s="4" t="s">
        <v>263</v>
      </c>
      <c r="E272" s="5">
        <v>2.56</v>
      </c>
      <c r="F272" s="5">
        <v>2.56</v>
      </c>
      <c r="G272" s="6">
        <f t="shared" si="70"/>
        <v>0</v>
      </c>
      <c r="H272" s="7">
        <f t="shared" si="71"/>
        <v>0</v>
      </c>
      <c r="I272" s="8">
        <v>5.0988055555555549</v>
      </c>
      <c r="J272" s="9">
        <f t="shared" si="72"/>
        <v>5.0988055555555549</v>
      </c>
      <c r="K272" s="3">
        <f t="shared" si="73"/>
        <v>0</v>
      </c>
      <c r="L272" s="7">
        <f t="shared" si="74"/>
        <v>0</v>
      </c>
      <c r="M272" t="s">
        <v>150</v>
      </c>
      <c r="O272" s="3">
        <f>E272-'315019 - P0724'!F272</f>
        <v>0</v>
      </c>
      <c r="P272" s="30">
        <f>I272-'315019 - P0724'!J272</f>
        <v>0</v>
      </c>
    </row>
    <row r="273" spans="1:16" x14ac:dyDescent="0.25">
      <c r="A273">
        <v>271</v>
      </c>
      <c r="C273" t="s">
        <v>8</v>
      </c>
      <c r="D273" s="4" t="s">
        <v>264</v>
      </c>
      <c r="E273" s="12">
        <v>34.130000000000003</v>
      </c>
      <c r="F273" s="11">
        <v>34.130000000000003</v>
      </c>
      <c r="G273" s="6">
        <f t="shared" si="70"/>
        <v>0</v>
      </c>
      <c r="H273" s="7">
        <f t="shared" si="71"/>
        <v>0</v>
      </c>
      <c r="I273" s="8">
        <v>83.99904491032467</v>
      </c>
      <c r="J273" s="9">
        <f t="shared" si="72"/>
        <v>83.99904491032467</v>
      </c>
      <c r="K273" s="3">
        <f t="shared" si="73"/>
        <v>0</v>
      </c>
      <c r="L273" s="7">
        <f t="shared" si="74"/>
        <v>0</v>
      </c>
      <c r="M273" t="s">
        <v>150</v>
      </c>
      <c r="O273" s="3">
        <f>E273-'315019 - P0724'!F273</f>
        <v>0</v>
      </c>
      <c r="P273" s="30">
        <f>I273-'315019 - P0724'!J273</f>
        <v>0</v>
      </c>
    </row>
    <row r="274" spans="1:16" x14ac:dyDescent="0.25">
      <c r="A274">
        <v>272</v>
      </c>
      <c r="C274" t="s">
        <v>8</v>
      </c>
      <c r="D274" s="4" t="s">
        <v>265</v>
      </c>
      <c r="E274" s="12">
        <v>40.14</v>
      </c>
      <c r="F274" s="11">
        <v>40.14</v>
      </c>
      <c r="G274" s="6">
        <f t="shared" si="70"/>
        <v>0</v>
      </c>
      <c r="H274" s="7">
        <f t="shared" si="71"/>
        <v>0</v>
      </c>
      <c r="I274" s="8">
        <v>100.73811614890289</v>
      </c>
      <c r="J274" s="9">
        <f t="shared" si="72"/>
        <v>100.73811614890289</v>
      </c>
      <c r="K274" s="3">
        <f t="shared" si="73"/>
        <v>0</v>
      </c>
      <c r="L274" s="7">
        <f t="shared" si="74"/>
        <v>0</v>
      </c>
      <c r="M274" t="s">
        <v>150</v>
      </c>
      <c r="O274" s="3">
        <f>E274-'315019 - P0724'!F274</f>
        <v>0</v>
      </c>
      <c r="P274" s="30">
        <f>I274-'315019 - P0724'!J274</f>
        <v>0</v>
      </c>
    </row>
    <row r="275" spans="1:16" x14ac:dyDescent="0.25">
      <c r="A275">
        <v>273</v>
      </c>
      <c r="C275" t="s">
        <v>8</v>
      </c>
      <c r="D275" s="4" t="s">
        <v>266</v>
      </c>
      <c r="E275" s="12">
        <v>0.71</v>
      </c>
      <c r="F275" s="11">
        <v>0.71</v>
      </c>
      <c r="G275" s="6">
        <f t="shared" si="70"/>
        <v>0</v>
      </c>
      <c r="H275" s="7">
        <f t="shared" si="71"/>
        <v>0</v>
      </c>
      <c r="I275" s="8">
        <v>1.3974603174603173</v>
      </c>
      <c r="J275" s="9">
        <f t="shared" si="72"/>
        <v>1.3974603174603173</v>
      </c>
      <c r="K275" s="3">
        <f t="shared" si="73"/>
        <v>0</v>
      </c>
      <c r="L275" s="7">
        <f t="shared" si="74"/>
        <v>0</v>
      </c>
      <c r="M275" t="s">
        <v>150</v>
      </c>
      <c r="O275" s="3">
        <f>E275-'315019 - P0724'!F275</f>
        <v>0</v>
      </c>
      <c r="P275" s="30">
        <f>I275-'315019 - P0724'!J275</f>
        <v>0</v>
      </c>
    </row>
    <row r="276" spans="1:16" x14ac:dyDescent="0.25">
      <c r="A276">
        <v>274</v>
      </c>
      <c r="C276" t="s">
        <v>8</v>
      </c>
      <c r="D276" s="4" t="s">
        <v>267</v>
      </c>
      <c r="E276" s="12">
        <v>15.02</v>
      </c>
      <c r="F276" s="11">
        <v>15.02</v>
      </c>
      <c r="G276" s="6">
        <f t="shared" si="70"/>
        <v>0</v>
      </c>
      <c r="H276" s="7">
        <f t="shared" si="71"/>
        <v>0</v>
      </c>
      <c r="I276" s="8">
        <v>39.554925957158105</v>
      </c>
      <c r="J276" s="9">
        <f t="shared" si="72"/>
        <v>39.554925957158105</v>
      </c>
      <c r="K276" s="3">
        <f t="shared" si="73"/>
        <v>0</v>
      </c>
      <c r="L276" s="7">
        <f t="shared" si="74"/>
        <v>0</v>
      </c>
      <c r="M276" t="s">
        <v>150</v>
      </c>
      <c r="O276" s="3">
        <f>E276-'315019 - P0724'!F276</f>
        <v>0</v>
      </c>
      <c r="P276" s="30">
        <f>I276-'315019 - P0724'!J276</f>
        <v>0</v>
      </c>
    </row>
    <row r="277" spans="1:16" x14ac:dyDescent="0.25">
      <c r="A277">
        <v>275</v>
      </c>
      <c r="C277" t="s">
        <v>8</v>
      </c>
      <c r="D277" s="4" t="s">
        <v>268</v>
      </c>
      <c r="E277" s="12">
        <v>12.5</v>
      </c>
      <c r="F277" s="11">
        <v>12.5</v>
      </c>
      <c r="G277" s="6">
        <f t="shared" si="70"/>
        <v>0</v>
      </c>
      <c r="H277" s="7">
        <f t="shared" si="71"/>
        <v>0</v>
      </c>
      <c r="I277" s="8">
        <v>21.214819136522753</v>
      </c>
      <c r="J277" s="9">
        <f t="shared" si="72"/>
        <v>21.214819136522753</v>
      </c>
      <c r="K277" s="3">
        <f t="shared" si="73"/>
        <v>0</v>
      </c>
      <c r="L277" s="7">
        <f t="shared" si="74"/>
        <v>0</v>
      </c>
      <c r="M277" t="s">
        <v>187</v>
      </c>
      <c r="O277" s="3">
        <f>E277-'315019 - P0724'!F277</f>
        <v>0</v>
      </c>
      <c r="P277" s="30">
        <f>I277-'315019 - P0724'!J277</f>
        <v>0</v>
      </c>
    </row>
    <row r="278" spans="1:16" x14ac:dyDescent="0.25">
      <c r="A278">
        <v>276</v>
      </c>
      <c r="C278" t="s">
        <v>8</v>
      </c>
      <c r="D278" s="4" t="s">
        <v>269</v>
      </c>
      <c r="E278" s="12">
        <v>12</v>
      </c>
      <c r="F278" s="12">
        <v>12</v>
      </c>
      <c r="G278" s="6">
        <f>+F278-E278</f>
        <v>0</v>
      </c>
      <c r="H278" s="7">
        <f>(F278-E278)/ABS(E278)</f>
        <v>0</v>
      </c>
      <c r="I278" s="8">
        <v>18.47</v>
      </c>
      <c r="J278" s="9">
        <f>(I278*H278)+I278</f>
        <v>18.47</v>
      </c>
      <c r="K278" s="3">
        <f>J278-I278</f>
        <v>0</v>
      </c>
      <c r="L278" s="7">
        <f>(J278-I278)/ABS(I278)</f>
        <v>0</v>
      </c>
      <c r="M278" t="s">
        <v>187</v>
      </c>
      <c r="O278" s="3">
        <f>E278-'315019 - P0724'!F278</f>
        <v>0</v>
      </c>
      <c r="P278" s="30">
        <f>I278-'315019 - P0724'!J278</f>
        <v>0</v>
      </c>
    </row>
    <row r="279" spans="1:16" x14ac:dyDescent="0.25">
      <c r="A279">
        <v>277</v>
      </c>
      <c r="C279" t="s">
        <v>8</v>
      </c>
      <c r="D279" s="4" t="s">
        <v>270</v>
      </c>
      <c r="E279" s="12">
        <v>8.9499999999999993</v>
      </c>
      <c r="F279" s="11">
        <v>8.9499999999999993</v>
      </c>
      <c r="G279" s="6">
        <f t="shared" si="70"/>
        <v>0</v>
      </c>
      <c r="H279" s="7">
        <f t="shared" si="71"/>
        <v>0</v>
      </c>
      <c r="I279" s="8">
        <v>29.456687862360731</v>
      </c>
      <c r="J279" s="9">
        <f t="shared" si="72"/>
        <v>29.456687862360731</v>
      </c>
      <c r="K279" s="3">
        <f t="shared" si="73"/>
        <v>0</v>
      </c>
      <c r="L279" s="7">
        <f t="shared" si="74"/>
        <v>0</v>
      </c>
      <c r="M279" t="s">
        <v>187</v>
      </c>
      <c r="O279" s="3">
        <f>E279-'315019 - P0724'!F279</f>
        <v>0</v>
      </c>
      <c r="P279" s="30">
        <f>I279-'315019 - P0724'!J279</f>
        <v>0</v>
      </c>
    </row>
    <row r="280" spans="1:16" x14ac:dyDescent="0.25">
      <c r="A280">
        <v>278</v>
      </c>
      <c r="C280" t="s">
        <v>8</v>
      </c>
      <c r="D280" s="4" t="s">
        <v>271</v>
      </c>
      <c r="E280" s="16">
        <v>46.13</v>
      </c>
      <c r="F280" s="12">
        <v>46.13</v>
      </c>
      <c r="G280" s="6">
        <f t="shared" si="70"/>
        <v>0</v>
      </c>
      <c r="H280" s="7">
        <f t="shared" si="71"/>
        <v>0</v>
      </c>
      <c r="I280" s="8">
        <v>71.680000000000007</v>
      </c>
      <c r="J280" s="9">
        <f t="shared" si="72"/>
        <v>71.680000000000007</v>
      </c>
      <c r="K280" s="3">
        <f t="shared" si="73"/>
        <v>0</v>
      </c>
      <c r="L280" s="7">
        <f t="shared" si="74"/>
        <v>0</v>
      </c>
      <c r="M280" t="s">
        <v>187</v>
      </c>
      <c r="O280" s="3">
        <f>E280-'315019 - P0724'!F280</f>
        <v>0</v>
      </c>
      <c r="P280" s="30">
        <f>I280-'315019 - P0724'!J280</f>
        <v>0</v>
      </c>
    </row>
    <row r="281" spans="1:16" x14ac:dyDescent="0.25">
      <c r="A281">
        <v>279</v>
      </c>
      <c r="C281" t="s">
        <v>8</v>
      </c>
      <c r="D281" s="4" t="s">
        <v>272</v>
      </c>
      <c r="E281" s="5">
        <v>5.85</v>
      </c>
      <c r="F281" s="5">
        <v>5.85</v>
      </c>
      <c r="G281" s="6">
        <f t="shared" si="70"/>
        <v>0</v>
      </c>
      <c r="H281" s="7">
        <f t="shared" si="71"/>
        <v>0</v>
      </c>
      <c r="I281" s="8">
        <v>6.9</v>
      </c>
      <c r="J281" s="9">
        <f t="shared" si="72"/>
        <v>6.9</v>
      </c>
      <c r="K281" s="3">
        <f t="shared" si="73"/>
        <v>0</v>
      </c>
      <c r="L281" s="7">
        <f t="shared" si="74"/>
        <v>0</v>
      </c>
      <c r="M281" t="s">
        <v>150</v>
      </c>
      <c r="O281" s="3">
        <f>E281-'315019 - P0724'!F281</f>
        <v>0</v>
      </c>
      <c r="P281" s="30">
        <f>I281-'315019 - P0724'!J281</f>
        <v>0</v>
      </c>
    </row>
    <row r="282" spans="1:16" x14ac:dyDescent="0.25">
      <c r="A282">
        <v>280</v>
      </c>
      <c r="C282" t="s">
        <v>8</v>
      </c>
      <c r="D282" s="4" t="s">
        <v>273</v>
      </c>
      <c r="E282" s="5">
        <v>6.93</v>
      </c>
      <c r="F282" s="5">
        <v>6.93</v>
      </c>
      <c r="G282" s="6">
        <f t="shared" si="70"/>
        <v>0</v>
      </c>
      <c r="H282" s="7">
        <f t="shared" si="71"/>
        <v>0</v>
      </c>
      <c r="I282" s="8">
        <v>13.99</v>
      </c>
      <c r="J282" s="9">
        <f t="shared" si="72"/>
        <v>13.99</v>
      </c>
      <c r="K282" s="3">
        <f t="shared" si="73"/>
        <v>0</v>
      </c>
      <c r="L282" s="7">
        <f t="shared" si="74"/>
        <v>0</v>
      </c>
      <c r="M282" t="s">
        <v>150</v>
      </c>
      <c r="O282" s="3">
        <f>E282-'315019 - P0724'!F282</f>
        <v>0</v>
      </c>
      <c r="P282" s="30">
        <f>I282-'315019 - P0724'!J282</f>
        <v>0</v>
      </c>
    </row>
    <row r="283" spans="1:16" x14ac:dyDescent="0.25">
      <c r="A283">
        <v>281</v>
      </c>
      <c r="C283" t="s">
        <v>8</v>
      </c>
      <c r="D283" s="4" t="s">
        <v>274</v>
      </c>
      <c r="E283" s="5">
        <v>6.93</v>
      </c>
      <c r="F283" s="5">
        <v>6.93</v>
      </c>
      <c r="G283" s="6">
        <f t="shared" si="70"/>
        <v>0</v>
      </c>
      <c r="H283" s="7">
        <f t="shared" si="71"/>
        <v>0</v>
      </c>
      <c r="I283" s="8">
        <v>7.9</v>
      </c>
      <c r="J283" s="9">
        <f t="shared" si="72"/>
        <v>7.9</v>
      </c>
      <c r="K283" s="3">
        <f t="shared" si="73"/>
        <v>0</v>
      </c>
      <c r="L283" s="7">
        <f t="shared" si="74"/>
        <v>0</v>
      </c>
      <c r="M283" t="s">
        <v>150</v>
      </c>
      <c r="O283" s="3">
        <f>E283-'315019 - P0724'!F283</f>
        <v>0</v>
      </c>
      <c r="P283" s="30">
        <f>I283-'315019 - P0724'!J283</f>
        <v>0</v>
      </c>
    </row>
    <row r="284" spans="1:16" x14ac:dyDescent="0.25">
      <c r="A284">
        <v>282</v>
      </c>
      <c r="C284" t="s">
        <v>8</v>
      </c>
      <c r="D284" s="4" t="s">
        <v>275</v>
      </c>
      <c r="E284" s="12">
        <v>2.56</v>
      </c>
      <c r="F284" s="11">
        <v>2.56</v>
      </c>
      <c r="G284" s="6">
        <f t="shared" si="70"/>
        <v>0</v>
      </c>
      <c r="H284" s="7">
        <f t="shared" si="71"/>
        <v>0</v>
      </c>
      <c r="I284" s="8">
        <v>8.0228714375055841</v>
      </c>
      <c r="J284" s="9">
        <f t="shared" si="72"/>
        <v>8.0228714375055841</v>
      </c>
      <c r="K284" s="3">
        <f t="shared" si="73"/>
        <v>0</v>
      </c>
      <c r="L284" s="7">
        <f t="shared" si="74"/>
        <v>0</v>
      </c>
      <c r="M284" t="s">
        <v>150</v>
      </c>
      <c r="O284" s="3">
        <f>E284-'315019 - P0724'!F284</f>
        <v>0</v>
      </c>
      <c r="P284" s="30">
        <f>I284-'315019 - P0724'!J284</f>
        <v>0</v>
      </c>
    </row>
    <row r="285" spans="1:16" x14ac:dyDescent="0.25">
      <c r="A285">
        <v>283</v>
      </c>
      <c r="C285" t="s">
        <v>8</v>
      </c>
      <c r="D285" s="4" t="s">
        <v>276</v>
      </c>
      <c r="E285" s="12">
        <v>3.71</v>
      </c>
      <c r="F285" s="11">
        <v>3.71</v>
      </c>
      <c r="G285" s="6">
        <f t="shared" si="70"/>
        <v>0</v>
      </c>
      <c r="H285" s="7">
        <f t="shared" si="71"/>
        <v>0</v>
      </c>
      <c r="I285" s="8">
        <v>9.2527255216693405</v>
      </c>
      <c r="J285" s="9">
        <f t="shared" si="72"/>
        <v>9.2527255216693405</v>
      </c>
      <c r="K285" s="3">
        <f t="shared" si="73"/>
        <v>0</v>
      </c>
      <c r="L285" s="7">
        <f t="shared" si="74"/>
        <v>0</v>
      </c>
      <c r="M285" t="s">
        <v>150</v>
      </c>
      <c r="O285" s="3">
        <f>E285-'315019 - P0724'!F285</f>
        <v>0</v>
      </c>
      <c r="P285" s="30">
        <f>I285-'315019 - P0724'!J285</f>
        <v>0</v>
      </c>
    </row>
    <row r="286" spans="1:16" x14ac:dyDescent="0.25">
      <c r="A286">
        <v>284</v>
      </c>
      <c r="C286" t="s">
        <v>277</v>
      </c>
      <c r="D286" s="4" t="s">
        <v>278</v>
      </c>
      <c r="E286" s="11">
        <v>85.35</v>
      </c>
      <c r="F286" s="11">
        <v>85.35</v>
      </c>
      <c r="G286" s="6">
        <f t="shared" si="70"/>
        <v>0</v>
      </c>
      <c r="H286" s="7">
        <f t="shared" si="71"/>
        <v>0</v>
      </c>
      <c r="I286" s="8">
        <v>129.08106565176024</v>
      </c>
      <c r="J286" s="9">
        <f t="shared" si="72"/>
        <v>129.08106565176024</v>
      </c>
      <c r="K286" s="3">
        <f t="shared" si="73"/>
        <v>0</v>
      </c>
      <c r="L286" s="7">
        <f t="shared" si="74"/>
        <v>0</v>
      </c>
      <c r="M286" t="s">
        <v>150</v>
      </c>
      <c r="O286" s="3">
        <f>E286-'315019 - P0724'!F286</f>
        <v>0</v>
      </c>
      <c r="P286" s="30">
        <f>I286-'315019 - P0724'!J286</f>
        <v>0</v>
      </c>
    </row>
    <row r="287" spans="1:16" x14ac:dyDescent="0.25">
      <c r="A287">
        <v>285</v>
      </c>
      <c r="C287" t="s">
        <v>8</v>
      </c>
      <c r="D287" s="4" t="s">
        <v>279</v>
      </c>
      <c r="E287" s="12">
        <v>3.47</v>
      </c>
      <c r="F287" s="12">
        <v>3.47</v>
      </c>
      <c r="G287" s="6">
        <f t="shared" si="70"/>
        <v>0</v>
      </c>
      <c r="H287" s="7">
        <f t="shared" si="71"/>
        <v>0</v>
      </c>
      <c r="I287" s="8">
        <v>9.272871621621622</v>
      </c>
      <c r="J287" s="9">
        <f t="shared" si="72"/>
        <v>9.272871621621622</v>
      </c>
      <c r="K287" s="3">
        <f t="shared" si="73"/>
        <v>0</v>
      </c>
      <c r="L287" s="7">
        <f t="shared" si="74"/>
        <v>0</v>
      </c>
      <c r="M287" t="s">
        <v>150</v>
      </c>
      <c r="O287" s="3">
        <f>E287-'315019 - P0724'!F287</f>
        <v>0</v>
      </c>
      <c r="P287" s="30">
        <f>I287-'315019 - P0724'!J287</f>
        <v>0</v>
      </c>
    </row>
    <row r="288" spans="1:16" x14ac:dyDescent="0.25">
      <c r="A288">
        <v>286</v>
      </c>
      <c r="C288" t="s">
        <v>8</v>
      </c>
      <c r="D288" s="4" t="s">
        <v>280</v>
      </c>
      <c r="E288" s="12">
        <v>3.03</v>
      </c>
      <c r="F288" s="12">
        <v>3.03</v>
      </c>
      <c r="G288" s="6">
        <f t="shared" si="70"/>
        <v>0</v>
      </c>
      <c r="H288" s="7">
        <f t="shared" si="71"/>
        <v>0</v>
      </c>
      <c r="I288" s="8">
        <v>6.4226640926640925</v>
      </c>
      <c r="J288" s="9">
        <f t="shared" si="72"/>
        <v>6.4226640926640925</v>
      </c>
      <c r="K288" s="3">
        <f t="shared" si="73"/>
        <v>0</v>
      </c>
      <c r="L288" s="7">
        <f t="shared" si="74"/>
        <v>0</v>
      </c>
      <c r="M288" t="s">
        <v>150</v>
      </c>
      <c r="O288" s="3">
        <f>E288-'315019 - P0724'!F288</f>
        <v>0</v>
      </c>
      <c r="P288" s="30">
        <f>I288-'315019 - P0724'!J288</f>
        <v>0</v>
      </c>
    </row>
    <row r="289" spans="1:16" x14ac:dyDescent="0.25">
      <c r="A289">
        <v>287</v>
      </c>
      <c r="C289" t="s">
        <v>8</v>
      </c>
      <c r="D289" s="4" t="s">
        <v>281</v>
      </c>
      <c r="E289" s="12">
        <v>12.95</v>
      </c>
      <c r="F289" s="12">
        <v>12.95</v>
      </c>
      <c r="G289" s="6">
        <f t="shared" si="70"/>
        <v>0</v>
      </c>
      <c r="H289" s="7">
        <f t="shared" si="71"/>
        <v>0</v>
      </c>
      <c r="I289" s="8">
        <v>25.9</v>
      </c>
      <c r="J289" s="9">
        <f t="shared" si="72"/>
        <v>25.9</v>
      </c>
      <c r="K289" s="3">
        <f t="shared" si="73"/>
        <v>0</v>
      </c>
      <c r="L289" s="7">
        <f t="shared" si="74"/>
        <v>0</v>
      </c>
      <c r="M289" t="s">
        <v>150</v>
      </c>
      <c r="O289" s="3">
        <f>E289-'315019 - P0724'!F289</f>
        <v>0</v>
      </c>
      <c r="P289" s="30">
        <f>I289-'315019 - P0724'!J289</f>
        <v>0</v>
      </c>
    </row>
    <row r="290" spans="1:16" x14ac:dyDescent="0.25">
      <c r="A290">
        <v>288</v>
      </c>
      <c r="C290" t="s">
        <v>8</v>
      </c>
      <c r="D290" s="4" t="s">
        <v>282</v>
      </c>
      <c r="E290" s="12">
        <v>9.27</v>
      </c>
      <c r="F290" s="12">
        <v>9.27</v>
      </c>
      <c r="G290" s="6">
        <f t="shared" si="70"/>
        <v>0</v>
      </c>
      <c r="H290" s="7">
        <f t="shared" si="71"/>
        <v>0</v>
      </c>
      <c r="I290" s="8">
        <v>18.54</v>
      </c>
      <c r="J290" s="9">
        <f t="shared" si="72"/>
        <v>18.54</v>
      </c>
      <c r="K290" s="3">
        <f t="shared" si="73"/>
        <v>0</v>
      </c>
      <c r="L290" s="7">
        <f t="shared" si="74"/>
        <v>0</v>
      </c>
      <c r="M290" t="s">
        <v>150</v>
      </c>
      <c r="O290" s="3">
        <f>E290-'315019 - P0724'!F290</f>
        <v>0</v>
      </c>
      <c r="P290" s="30">
        <f>I290-'315019 - P0724'!J290</f>
        <v>0</v>
      </c>
    </row>
    <row r="291" spans="1:16" x14ac:dyDescent="0.25">
      <c r="A291">
        <v>289</v>
      </c>
      <c r="C291" t="s">
        <v>8</v>
      </c>
      <c r="D291" s="4" t="s">
        <v>283</v>
      </c>
      <c r="E291" s="12">
        <v>4.38</v>
      </c>
      <c r="F291" s="12">
        <v>4.38</v>
      </c>
      <c r="G291" s="6">
        <f t="shared" si="70"/>
        <v>0</v>
      </c>
      <c r="H291" s="7">
        <f t="shared" si="71"/>
        <v>0</v>
      </c>
      <c r="I291" s="8">
        <v>19.878299999999999</v>
      </c>
      <c r="J291" s="9">
        <f t="shared" si="72"/>
        <v>19.878299999999999</v>
      </c>
      <c r="K291" s="3">
        <f t="shared" si="73"/>
        <v>0</v>
      </c>
      <c r="L291" s="7">
        <f t="shared" si="74"/>
        <v>0</v>
      </c>
      <c r="M291" t="s">
        <v>150</v>
      </c>
      <c r="O291" s="3">
        <f>E291-'315019 - P0724'!F291</f>
        <v>0</v>
      </c>
      <c r="P291" s="30">
        <f>I291-'315019 - P0724'!J291</f>
        <v>0</v>
      </c>
    </row>
    <row r="292" spans="1:16" x14ac:dyDescent="0.25">
      <c r="A292">
        <v>290</v>
      </c>
      <c r="C292" t="s">
        <v>8</v>
      </c>
      <c r="D292" s="4" t="s">
        <v>284</v>
      </c>
      <c r="E292" s="12">
        <v>7.78</v>
      </c>
      <c r="F292" s="12">
        <v>7.78</v>
      </c>
      <c r="G292" s="6">
        <f t="shared" si="70"/>
        <v>0</v>
      </c>
      <c r="H292" s="7">
        <f t="shared" si="71"/>
        <v>0</v>
      </c>
      <c r="I292" s="8">
        <v>20.218751857355123</v>
      </c>
      <c r="J292" s="9">
        <f t="shared" si="72"/>
        <v>20.218751857355123</v>
      </c>
      <c r="K292" s="3">
        <f t="shared" si="73"/>
        <v>0</v>
      </c>
      <c r="L292" s="7">
        <f t="shared" si="74"/>
        <v>0</v>
      </c>
      <c r="M292" t="s">
        <v>150</v>
      </c>
      <c r="O292" s="3">
        <f>E292-'315019 - P0724'!F292</f>
        <v>0</v>
      </c>
      <c r="P292" s="30">
        <f>I292-'315019 - P0724'!J292</f>
        <v>0</v>
      </c>
    </row>
    <row r="293" spans="1:16" x14ac:dyDescent="0.25">
      <c r="A293">
        <v>291</v>
      </c>
      <c r="C293" t="s">
        <v>8</v>
      </c>
      <c r="D293" s="4" t="s">
        <v>285</v>
      </c>
      <c r="E293" s="12">
        <v>0.98</v>
      </c>
      <c r="F293" s="12">
        <v>0.98</v>
      </c>
      <c r="G293" s="6">
        <f t="shared" si="70"/>
        <v>0</v>
      </c>
      <c r="H293" s="7">
        <f t="shared" si="71"/>
        <v>0</v>
      </c>
      <c r="I293" s="8">
        <v>2.0746808510638299</v>
      </c>
      <c r="J293" s="9">
        <f t="shared" si="72"/>
        <v>2.0746808510638299</v>
      </c>
      <c r="K293" s="3">
        <f t="shared" si="73"/>
        <v>0</v>
      </c>
      <c r="L293" s="7">
        <f t="shared" si="74"/>
        <v>0</v>
      </c>
      <c r="M293" t="s">
        <v>150</v>
      </c>
      <c r="O293" s="3">
        <f>E293-'315019 - P0724'!F293</f>
        <v>0</v>
      </c>
      <c r="P293" s="30">
        <f>I293-'315019 - P0724'!J293</f>
        <v>0</v>
      </c>
    </row>
    <row r="294" spans="1:16" x14ac:dyDescent="0.25">
      <c r="A294">
        <v>292</v>
      </c>
      <c r="C294" t="s">
        <v>8</v>
      </c>
      <c r="D294" s="4" t="s">
        <v>286</v>
      </c>
      <c r="E294" s="12">
        <v>0.56999999999999995</v>
      </c>
      <c r="F294" s="12">
        <v>0.56999999999999995</v>
      </c>
      <c r="G294" s="6">
        <f t="shared" si="70"/>
        <v>0</v>
      </c>
      <c r="H294" s="7">
        <f t="shared" si="71"/>
        <v>0</v>
      </c>
      <c r="I294" s="8">
        <v>1.29</v>
      </c>
      <c r="J294" s="9">
        <f t="shared" si="72"/>
        <v>1.29</v>
      </c>
      <c r="K294" s="3">
        <f t="shared" si="73"/>
        <v>0</v>
      </c>
      <c r="L294" s="7">
        <f t="shared" si="74"/>
        <v>0</v>
      </c>
      <c r="M294" t="s">
        <v>150</v>
      </c>
      <c r="O294" s="3">
        <f>E294-'315019 - P0724'!F294</f>
        <v>0</v>
      </c>
      <c r="P294" s="30">
        <f>I294-'315019 - P0724'!J294</f>
        <v>0</v>
      </c>
    </row>
    <row r="295" spans="1:16" x14ac:dyDescent="0.25">
      <c r="A295">
        <v>293</v>
      </c>
      <c r="C295" t="s">
        <v>8</v>
      </c>
      <c r="D295" s="4" t="s">
        <v>287</v>
      </c>
      <c r="E295" s="12">
        <v>3.2</v>
      </c>
      <c r="F295" s="12">
        <v>3.2</v>
      </c>
      <c r="G295" s="6">
        <f t="shared" si="70"/>
        <v>0</v>
      </c>
      <c r="H295" s="7">
        <f t="shared" si="71"/>
        <v>0</v>
      </c>
      <c r="I295" s="8">
        <v>9.2899999999999991</v>
      </c>
      <c r="J295" s="9">
        <f t="shared" si="72"/>
        <v>9.2899999999999991</v>
      </c>
      <c r="K295" s="3">
        <f t="shared" si="73"/>
        <v>0</v>
      </c>
      <c r="L295" s="7">
        <f t="shared" si="74"/>
        <v>0</v>
      </c>
      <c r="M295" t="s">
        <v>150</v>
      </c>
      <c r="O295" s="3">
        <f>E295-'315019 - P0724'!F295</f>
        <v>0</v>
      </c>
      <c r="P295" s="30">
        <f>I295-'315019 - P0724'!J295</f>
        <v>0</v>
      </c>
    </row>
    <row r="296" spans="1:16" x14ac:dyDescent="0.25">
      <c r="A296">
        <v>294</v>
      </c>
      <c r="D296" s="34" t="s">
        <v>288</v>
      </c>
      <c r="H296" s="10">
        <f>AVERAGE(H251:H290)</f>
        <v>0</v>
      </c>
      <c r="I296"/>
    </row>
    <row r="297" spans="1:16" x14ac:dyDescent="0.25">
      <c r="A297">
        <v>295</v>
      </c>
      <c r="D297" s="34" t="s">
        <v>289</v>
      </c>
      <c r="I297"/>
      <c r="M297" t="s">
        <v>187</v>
      </c>
    </row>
    <row r="298" spans="1:16" x14ac:dyDescent="0.25">
      <c r="A298">
        <v>296</v>
      </c>
      <c r="B298" t="s">
        <v>468</v>
      </c>
      <c r="C298" t="s">
        <v>291</v>
      </c>
      <c r="D298" s="4" t="s">
        <v>292</v>
      </c>
      <c r="E298" s="12">
        <v>83.45</v>
      </c>
      <c r="F298" s="12">
        <v>83.45</v>
      </c>
      <c r="G298" s="6">
        <f t="shared" ref="G298:G331" si="75">+F298-E298</f>
        <v>0</v>
      </c>
      <c r="H298" s="7">
        <f t="shared" ref="H298:H331" si="76">(F298-E298)/ABS(E298)</f>
        <v>0</v>
      </c>
      <c r="I298" s="8">
        <v>116.82130707692306</v>
      </c>
      <c r="J298" s="9">
        <f t="shared" ref="J298:J331" si="77">(I298*H298)+I298</f>
        <v>116.82130707692306</v>
      </c>
      <c r="K298" s="3">
        <f t="shared" ref="K298:K331" si="78">J298-I298</f>
        <v>0</v>
      </c>
      <c r="L298" s="7">
        <f t="shared" ref="L298:L331" si="79">(J298-I298)/ABS(I298)</f>
        <v>0</v>
      </c>
      <c r="M298" t="s">
        <v>187</v>
      </c>
      <c r="O298" s="3">
        <f>E298-'315019 - P0724'!F298</f>
        <v>0</v>
      </c>
      <c r="P298" s="30">
        <f>I298-'315019 - P0724'!J298</f>
        <v>0</v>
      </c>
    </row>
    <row r="299" spans="1:16" x14ac:dyDescent="0.25">
      <c r="A299">
        <v>297</v>
      </c>
      <c r="B299" t="s">
        <v>471</v>
      </c>
      <c r="C299" t="s">
        <v>291</v>
      </c>
      <c r="D299" s="4" t="s">
        <v>293</v>
      </c>
      <c r="E299" s="12">
        <v>17.16</v>
      </c>
      <c r="F299" s="12">
        <v>17.16</v>
      </c>
      <c r="G299" s="6">
        <f t="shared" si="75"/>
        <v>0</v>
      </c>
      <c r="H299" s="7">
        <f t="shared" si="76"/>
        <v>0</v>
      </c>
      <c r="I299" s="8">
        <v>23.58</v>
      </c>
      <c r="J299" s="9">
        <f t="shared" si="77"/>
        <v>23.58</v>
      </c>
      <c r="K299" s="3">
        <f t="shared" si="78"/>
        <v>0</v>
      </c>
      <c r="L299" s="7">
        <f t="shared" si="79"/>
        <v>0</v>
      </c>
      <c r="M299" t="s">
        <v>187</v>
      </c>
      <c r="O299" s="3">
        <f>E299-'315019 - P0724'!F299</f>
        <v>0</v>
      </c>
      <c r="P299" s="30">
        <f>I299-'315019 - P0724'!J299</f>
        <v>0</v>
      </c>
    </row>
    <row r="300" spans="1:16" x14ac:dyDescent="0.25">
      <c r="A300">
        <v>298</v>
      </c>
      <c r="B300" t="s">
        <v>468</v>
      </c>
      <c r="C300" t="s">
        <v>291</v>
      </c>
      <c r="D300" s="4" t="s">
        <v>295</v>
      </c>
      <c r="E300" s="12">
        <v>20.45</v>
      </c>
      <c r="F300" s="12">
        <v>20.45</v>
      </c>
      <c r="G300" s="6">
        <f t="shared" si="75"/>
        <v>0</v>
      </c>
      <c r="H300" s="7">
        <f t="shared" si="76"/>
        <v>0</v>
      </c>
      <c r="I300" s="8">
        <v>28.117117241379304</v>
      </c>
      <c r="J300" s="9">
        <f t="shared" si="77"/>
        <v>28.117117241379304</v>
      </c>
      <c r="K300" s="3">
        <f t="shared" si="78"/>
        <v>0</v>
      </c>
      <c r="L300" s="7">
        <f t="shared" si="79"/>
        <v>0</v>
      </c>
      <c r="M300" t="s">
        <v>187</v>
      </c>
      <c r="O300" s="3">
        <f>E300-'315019 - P0724'!F300</f>
        <v>0</v>
      </c>
      <c r="P300" s="30">
        <f>I300-'315019 - P0724'!J300</f>
        <v>0</v>
      </c>
    </row>
    <row r="301" spans="1:16" x14ac:dyDescent="0.25">
      <c r="A301">
        <v>299</v>
      </c>
      <c r="B301" t="s">
        <v>471</v>
      </c>
      <c r="C301" t="s">
        <v>291</v>
      </c>
      <c r="D301" s="4" t="s">
        <v>296</v>
      </c>
      <c r="E301" s="12">
        <v>35.15</v>
      </c>
      <c r="F301" s="12">
        <v>35.15</v>
      </c>
      <c r="G301" s="6">
        <f t="shared" si="75"/>
        <v>0</v>
      </c>
      <c r="H301" s="7">
        <f t="shared" si="76"/>
        <v>0</v>
      </c>
      <c r="I301" s="8">
        <v>48.263872071910107</v>
      </c>
      <c r="J301" s="9">
        <f t="shared" si="77"/>
        <v>48.263872071910107</v>
      </c>
      <c r="K301" s="3">
        <f t="shared" si="78"/>
        <v>0</v>
      </c>
      <c r="L301" s="7">
        <f t="shared" si="79"/>
        <v>0</v>
      </c>
      <c r="M301" t="s">
        <v>187</v>
      </c>
      <c r="O301" s="3">
        <f>E301-'315019 - P0724'!F301</f>
        <v>0</v>
      </c>
      <c r="P301" s="30">
        <f>I301-'315019 - P0724'!J301</f>
        <v>0</v>
      </c>
    </row>
    <row r="302" spans="1:16" x14ac:dyDescent="0.25">
      <c r="A302">
        <v>300</v>
      </c>
      <c r="B302" t="s">
        <v>472</v>
      </c>
      <c r="C302" t="s">
        <v>291</v>
      </c>
      <c r="D302" s="4" t="s">
        <v>297</v>
      </c>
      <c r="E302" s="12">
        <v>7.16</v>
      </c>
      <c r="F302" s="12">
        <v>7.16</v>
      </c>
      <c r="G302" s="6">
        <f t="shared" si="75"/>
        <v>0</v>
      </c>
      <c r="H302" s="7">
        <f t="shared" si="76"/>
        <v>0</v>
      </c>
      <c r="I302" s="8">
        <v>9.85</v>
      </c>
      <c r="J302" s="9">
        <f t="shared" si="77"/>
        <v>9.85</v>
      </c>
      <c r="K302" s="3">
        <f t="shared" si="78"/>
        <v>0</v>
      </c>
      <c r="L302" s="7">
        <f t="shared" si="79"/>
        <v>0</v>
      </c>
      <c r="M302" t="s">
        <v>187</v>
      </c>
      <c r="O302" s="3">
        <f>E302-'315019 - P0724'!F302</f>
        <v>0</v>
      </c>
      <c r="P302" s="30">
        <f>I302-'315019 - P0724'!J302</f>
        <v>0</v>
      </c>
    </row>
    <row r="303" spans="1:16" x14ac:dyDescent="0.25">
      <c r="A303">
        <v>301</v>
      </c>
      <c r="B303" t="s">
        <v>486</v>
      </c>
      <c r="C303" t="s">
        <v>291</v>
      </c>
      <c r="D303" s="4" t="s">
        <v>298</v>
      </c>
      <c r="E303" s="12">
        <v>0.49</v>
      </c>
      <c r="F303" s="12">
        <v>0.49</v>
      </c>
      <c r="G303" s="6">
        <f t="shared" si="75"/>
        <v>0</v>
      </c>
      <c r="H303" s="7">
        <f t="shared" si="76"/>
        <v>0</v>
      </c>
      <c r="I303" s="8">
        <v>0.69</v>
      </c>
      <c r="J303" s="9">
        <f t="shared" si="77"/>
        <v>0.69</v>
      </c>
      <c r="K303" s="3">
        <f t="shared" si="78"/>
        <v>0</v>
      </c>
      <c r="L303" s="7">
        <f t="shared" si="79"/>
        <v>0</v>
      </c>
      <c r="M303" t="s">
        <v>187</v>
      </c>
      <c r="O303" s="3">
        <f>E303-'315019 - P0724'!F303</f>
        <v>0</v>
      </c>
      <c r="P303" s="30">
        <f>I303-'315019 - P0724'!J303</f>
        <v>0</v>
      </c>
    </row>
    <row r="304" spans="1:16" x14ac:dyDescent="0.25">
      <c r="A304">
        <v>302</v>
      </c>
      <c r="B304" t="s">
        <v>471</v>
      </c>
      <c r="C304" t="s">
        <v>291</v>
      </c>
      <c r="D304" s="4" t="s">
        <v>299</v>
      </c>
      <c r="E304" s="12">
        <v>21.81</v>
      </c>
      <c r="F304" s="12">
        <v>21.81</v>
      </c>
      <c r="G304" s="6">
        <f t="shared" si="75"/>
        <v>0</v>
      </c>
      <c r="H304" s="7">
        <f t="shared" si="76"/>
        <v>0</v>
      </c>
      <c r="I304" s="8">
        <v>29.968966617429842</v>
      </c>
      <c r="J304" s="9">
        <f t="shared" si="77"/>
        <v>29.968966617429842</v>
      </c>
      <c r="K304" s="3">
        <f t="shared" si="78"/>
        <v>0</v>
      </c>
      <c r="L304" s="7">
        <f t="shared" si="79"/>
        <v>0</v>
      </c>
      <c r="M304" t="s">
        <v>187</v>
      </c>
      <c r="O304" s="3">
        <f>E304-'315019 - P0724'!F304</f>
        <v>0</v>
      </c>
      <c r="P304" s="30">
        <f>I304-'315019 - P0724'!J304</f>
        <v>0</v>
      </c>
    </row>
    <row r="305" spans="1:16" x14ac:dyDescent="0.25">
      <c r="A305">
        <v>303</v>
      </c>
      <c r="B305" s="28" t="s">
        <v>471</v>
      </c>
      <c r="C305" t="s">
        <v>291</v>
      </c>
      <c r="D305" s="4" t="s">
        <v>300</v>
      </c>
      <c r="E305" s="12">
        <v>2.2000000000000002</v>
      </c>
      <c r="F305" s="12">
        <v>2.2000000000000002</v>
      </c>
      <c r="G305" s="6">
        <f t="shared" si="75"/>
        <v>0</v>
      </c>
      <c r="H305" s="7">
        <f t="shared" si="76"/>
        <v>0</v>
      </c>
      <c r="I305" s="8">
        <v>3.0480105109489042</v>
      </c>
      <c r="J305" s="9">
        <f t="shared" si="77"/>
        <v>3.0480105109489042</v>
      </c>
      <c r="K305" s="3">
        <f t="shared" si="78"/>
        <v>0</v>
      </c>
      <c r="L305" s="7">
        <f t="shared" si="79"/>
        <v>0</v>
      </c>
      <c r="M305" t="s">
        <v>187</v>
      </c>
      <c r="O305" s="3">
        <f>E305-'315019 - P0724'!F305</f>
        <v>0</v>
      </c>
      <c r="P305" s="30">
        <f>I305-'315019 - P0724'!J305</f>
        <v>0</v>
      </c>
    </row>
    <row r="306" spans="1:16" x14ac:dyDescent="0.25">
      <c r="A306">
        <v>304</v>
      </c>
      <c r="B306" t="s">
        <v>471</v>
      </c>
      <c r="C306" t="s">
        <v>291</v>
      </c>
      <c r="D306" s="4" t="s">
        <v>301</v>
      </c>
      <c r="E306" s="12">
        <v>2.73</v>
      </c>
      <c r="F306" s="12">
        <v>2.73</v>
      </c>
      <c r="G306" s="6">
        <f t="shared" si="75"/>
        <v>0</v>
      </c>
      <c r="H306" s="7">
        <f t="shared" si="76"/>
        <v>0</v>
      </c>
      <c r="I306" s="8">
        <v>3.751827692307693</v>
      </c>
      <c r="J306" s="9">
        <f t="shared" si="77"/>
        <v>3.751827692307693</v>
      </c>
      <c r="K306" s="3">
        <f t="shared" si="78"/>
        <v>0</v>
      </c>
      <c r="L306" s="7">
        <f t="shared" si="79"/>
        <v>0</v>
      </c>
      <c r="M306" t="s">
        <v>187</v>
      </c>
      <c r="O306" s="3">
        <f>E306-'315019 - P0724'!F306</f>
        <v>0</v>
      </c>
      <c r="P306" s="30">
        <f>I306-'315019 - P0724'!J306</f>
        <v>0</v>
      </c>
    </row>
    <row r="307" spans="1:16" x14ac:dyDescent="0.25">
      <c r="A307">
        <v>305</v>
      </c>
      <c r="B307" t="s">
        <v>469</v>
      </c>
      <c r="C307" t="s">
        <v>291</v>
      </c>
      <c r="D307" s="4" t="s">
        <v>302</v>
      </c>
      <c r="E307" s="12">
        <v>0.9</v>
      </c>
      <c r="F307" s="12">
        <v>0.9</v>
      </c>
      <c r="G307" s="6">
        <f t="shared" si="75"/>
        <v>0</v>
      </c>
      <c r="H307" s="7">
        <f t="shared" si="76"/>
        <v>0</v>
      </c>
      <c r="I307" s="8">
        <v>1.7875199999999998</v>
      </c>
      <c r="J307" s="9">
        <f t="shared" si="77"/>
        <v>1.7875199999999998</v>
      </c>
      <c r="K307" s="3">
        <f t="shared" si="78"/>
        <v>0</v>
      </c>
      <c r="L307" s="7">
        <f t="shared" si="79"/>
        <v>0</v>
      </c>
      <c r="M307" t="s">
        <v>187</v>
      </c>
      <c r="O307" s="3">
        <f>E307-'315019 - P0724'!F307</f>
        <v>0</v>
      </c>
      <c r="P307" s="30">
        <f>I307-'315019 - P0724'!J307</f>
        <v>0</v>
      </c>
    </row>
    <row r="308" spans="1:16" x14ac:dyDescent="0.25">
      <c r="A308">
        <v>306</v>
      </c>
      <c r="B308" t="s">
        <v>303</v>
      </c>
      <c r="C308" t="s">
        <v>291</v>
      </c>
      <c r="D308" s="4" t="s">
        <v>304</v>
      </c>
      <c r="E308" s="12">
        <v>66.48</v>
      </c>
      <c r="F308" s="12">
        <v>66.48</v>
      </c>
      <c r="G308" s="6">
        <f t="shared" si="75"/>
        <v>0</v>
      </c>
      <c r="H308" s="7">
        <f t="shared" si="76"/>
        <v>0</v>
      </c>
      <c r="I308" s="8">
        <v>91.32</v>
      </c>
      <c r="J308" s="9">
        <f t="shared" si="77"/>
        <v>91.32</v>
      </c>
      <c r="K308" s="3">
        <f t="shared" si="78"/>
        <v>0</v>
      </c>
      <c r="L308" s="7">
        <f t="shared" si="79"/>
        <v>0</v>
      </c>
      <c r="M308" t="s">
        <v>187</v>
      </c>
      <c r="O308" s="3">
        <f>E308-'315019 - P0724'!F308</f>
        <v>0</v>
      </c>
      <c r="P308" s="30">
        <f>I308-'315019 - P0724'!J308</f>
        <v>0</v>
      </c>
    </row>
    <row r="309" spans="1:16" x14ac:dyDescent="0.25">
      <c r="A309">
        <v>307</v>
      </c>
      <c r="B309" t="s">
        <v>305</v>
      </c>
      <c r="C309" t="s">
        <v>291</v>
      </c>
      <c r="D309" s="4" t="s">
        <v>306</v>
      </c>
      <c r="E309" s="12">
        <v>26.81</v>
      </c>
      <c r="F309" s="12">
        <v>26.81</v>
      </c>
      <c r="G309" s="13">
        <f t="shared" si="75"/>
        <v>0</v>
      </c>
      <c r="H309" s="7">
        <f t="shared" si="76"/>
        <v>0</v>
      </c>
      <c r="I309" s="8">
        <v>41.25</v>
      </c>
      <c r="J309" s="9">
        <f t="shared" si="77"/>
        <v>41.25</v>
      </c>
      <c r="K309" s="3">
        <f t="shared" si="78"/>
        <v>0</v>
      </c>
      <c r="L309" s="7">
        <f t="shared" si="79"/>
        <v>0</v>
      </c>
      <c r="M309" t="s">
        <v>187</v>
      </c>
      <c r="O309" s="3">
        <f>E309-'315019 - P0724'!F309</f>
        <v>0</v>
      </c>
      <c r="P309" s="30">
        <f>I309-'315019 - P0724'!J309</f>
        <v>0</v>
      </c>
    </row>
    <row r="310" spans="1:16" x14ac:dyDescent="0.25">
      <c r="A310">
        <v>308</v>
      </c>
      <c r="B310" t="s">
        <v>303</v>
      </c>
      <c r="C310" t="s">
        <v>291</v>
      </c>
      <c r="D310" s="4" t="s">
        <v>307</v>
      </c>
      <c r="E310" s="12">
        <v>38.020000000000003</v>
      </c>
      <c r="F310" s="12">
        <v>38.020000000000003</v>
      </c>
      <c r="G310" s="6">
        <f t="shared" si="75"/>
        <v>0</v>
      </c>
      <c r="H310" s="7">
        <f t="shared" si="76"/>
        <v>0</v>
      </c>
      <c r="I310" s="8">
        <v>52.23</v>
      </c>
      <c r="J310" s="9">
        <f t="shared" si="77"/>
        <v>52.23</v>
      </c>
      <c r="K310" s="3">
        <f t="shared" si="78"/>
        <v>0</v>
      </c>
      <c r="L310" s="7">
        <f t="shared" si="79"/>
        <v>0</v>
      </c>
      <c r="M310" t="s">
        <v>187</v>
      </c>
      <c r="O310" s="3">
        <f>E310-'315019 - P0724'!F310</f>
        <v>0</v>
      </c>
      <c r="P310" s="30">
        <f>I310-'315019 - P0724'!J310</f>
        <v>0</v>
      </c>
    </row>
    <row r="311" spans="1:16" x14ac:dyDescent="0.25">
      <c r="A311">
        <v>309</v>
      </c>
      <c r="B311" t="s">
        <v>303</v>
      </c>
      <c r="C311" t="s">
        <v>291</v>
      </c>
      <c r="D311" s="4" t="s">
        <v>308</v>
      </c>
      <c r="E311" s="12">
        <v>95.36</v>
      </c>
      <c r="F311" s="12">
        <v>95.36</v>
      </c>
      <c r="G311" s="6">
        <f t="shared" si="75"/>
        <v>0</v>
      </c>
      <c r="H311" s="7">
        <f t="shared" si="76"/>
        <v>0</v>
      </c>
      <c r="I311" s="8">
        <v>130.96011922503726</v>
      </c>
      <c r="J311" s="9">
        <f t="shared" si="77"/>
        <v>130.96011922503726</v>
      </c>
      <c r="K311" s="3">
        <f t="shared" si="78"/>
        <v>0</v>
      </c>
      <c r="L311" s="7">
        <f t="shared" si="79"/>
        <v>0</v>
      </c>
      <c r="M311" t="s">
        <v>187</v>
      </c>
      <c r="O311" s="3">
        <f>E311-'315019 - P0724'!F311</f>
        <v>0</v>
      </c>
      <c r="P311" s="30">
        <f>I311-'315019 - P0724'!J311</f>
        <v>0</v>
      </c>
    </row>
    <row r="312" spans="1:16" x14ac:dyDescent="0.25">
      <c r="A312">
        <v>310</v>
      </c>
      <c r="B312" t="s">
        <v>303</v>
      </c>
      <c r="C312" t="s">
        <v>291</v>
      </c>
      <c r="D312" s="4" t="s">
        <v>309</v>
      </c>
      <c r="E312" s="12">
        <v>15.89</v>
      </c>
      <c r="F312" s="12">
        <v>15.89</v>
      </c>
      <c r="G312" s="6">
        <f t="shared" si="75"/>
        <v>0</v>
      </c>
      <c r="H312" s="7">
        <f t="shared" si="76"/>
        <v>0</v>
      </c>
      <c r="I312" s="8">
        <v>21.821258516129031</v>
      </c>
      <c r="J312" s="9">
        <f t="shared" si="77"/>
        <v>21.821258516129031</v>
      </c>
      <c r="K312" s="3">
        <f t="shared" si="78"/>
        <v>0</v>
      </c>
      <c r="L312" s="7">
        <f t="shared" si="79"/>
        <v>0</v>
      </c>
      <c r="M312" t="s">
        <v>187</v>
      </c>
      <c r="O312" s="3">
        <f>E312-'315019 - P0724'!F312</f>
        <v>0</v>
      </c>
      <c r="P312" s="30">
        <f>I312-'315019 - P0724'!J312</f>
        <v>0</v>
      </c>
    </row>
    <row r="313" spans="1:16" x14ac:dyDescent="0.25">
      <c r="A313">
        <v>311</v>
      </c>
      <c r="B313" t="s">
        <v>303</v>
      </c>
      <c r="C313" t="s">
        <v>291</v>
      </c>
      <c r="D313" s="4" t="s">
        <v>310</v>
      </c>
      <c r="E313" s="12">
        <v>8.59</v>
      </c>
      <c r="F313" s="12">
        <v>8.59</v>
      </c>
      <c r="G313" s="6">
        <f t="shared" si="75"/>
        <v>0</v>
      </c>
      <c r="H313" s="7">
        <f t="shared" si="76"/>
        <v>0</v>
      </c>
      <c r="I313" s="8">
        <v>11.8</v>
      </c>
      <c r="J313" s="9">
        <f t="shared" si="77"/>
        <v>11.8</v>
      </c>
      <c r="K313" s="3">
        <f t="shared" si="78"/>
        <v>0</v>
      </c>
      <c r="L313" s="7">
        <f t="shared" si="79"/>
        <v>0</v>
      </c>
      <c r="M313" t="s">
        <v>187</v>
      </c>
      <c r="O313" s="3">
        <f>E313-'315019 - P0724'!F313</f>
        <v>0</v>
      </c>
      <c r="P313" s="30">
        <f>I313-'315019 - P0724'!J313</f>
        <v>0</v>
      </c>
    </row>
    <row r="314" spans="1:16" x14ac:dyDescent="0.25">
      <c r="A314">
        <v>312</v>
      </c>
      <c r="B314" t="s">
        <v>319</v>
      </c>
      <c r="C314" t="s">
        <v>291</v>
      </c>
      <c r="D314" s="4" t="s">
        <v>311</v>
      </c>
      <c r="E314" s="12">
        <v>11.51</v>
      </c>
      <c r="F314" s="12">
        <v>11.51</v>
      </c>
      <c r="G314" s="6">
        <f t="shared" si="75"/>
        <v>0</v>
      </c>
      <c r="H314" s="7">
        <f t="shared" si="76"/>
        <v>0</v>
      </c>
      <c r="I314" s="8">
        <v>21.72</v>
      </c>
      <c r="J314" s="9">
        <f t="shared" si="77"/>
        <v>21.72</v>
      </c>
      <c r="K314" s="3">
        <f t="shared" si="78"/>
        <v>0</v>
      </c>
      <c r="L314" s="7">
        <f t="shared" si="79"/>
        <v>0</v>
      </c>
      <c r="M314" t="s">
        <v>187</v>
      </c>
      <c r="O314" s="3">
        <f>E314-'315019 - P0724'!F314</f>
        <v>0</v>
      </c>
      <c r="P314" s="30">
        <f>I314-'315019 - P0724'!J314</f>
        <v>0</v>
      </c>
    </row>
    <row r="315" spans="1:16" x14ac:dyDescent="0.25">
      <c r="A315">
        <v>313</v>
      </c>
      <c r="B315" t="s">
        <v>303</v>
      </c>
      <c r="C315" t="s">
        <v>291</v>
      </c>
      <c r="D315" s="4" t="s">
        <v>312</v>
      </c>
      <c r="E315" s="12">
        <v>175</v>
      </c>
      <c r="F315" s="12">
        <v>175</v>
      </c>
      <c r="G315" s="6">
        <f t="shared" si="75"/>
        <v>0</v>
      </c>
      <c r="H315" s="7">
        <f t="shared" si="76"/>
        <v>0</v>
      </c>
      <c r="I315" s="8">
        <v>284.09826122118881</v>
      </c>
      <c r="J315" s="9">
        <f t="shared" si="77"/>
        <v>284.09826122118881</v>
      </c>
      <c r="K315" s="3">
        <f t="shared" si="78"/>
        <v>0</v>
      </c>
      <c r="L315" s="7">
        <f t="shared" si="79"/>
        <v>0</v>
      </c>
      <c r="M315" t="s">
        <v>187</v>
      </c>
      <c r="O315" s="3">
        <f>E315-'315019 - P0724'!F315</f>
        <v>0</v>
      </c>
      <c r="P315" s="30">
        <f>I315-'315019 - P0724'!J315</f>
        <v>0</v>
      </c>
    </row>
    <row r="316" spans="1:16" x14ac:dyDescent="0.25">
      <c r="A316">
        <v>314</v>
      </c>
      <c r="B316" t="s">
        <v>470</v>
      </c>
      <c r="C316" t="s">
        <v>291</v>
      </c>
      <c r="D316" s="4" t="s">
        <v>313</v>
      </c>
      <c r="E316" s="12">
        <v>175</v>
      </c>
      <c r="F316" s="12">
        <v>175</v>
      </c>
      <c r="G316" s="6">
        <f t="shared" si="75"/>
        <v>0</v>
      </c>
      <c r="H316" s="7">
        <f t="shared" si="76"/>
        <v>0</v>
      </c>
      <c r="I316" s="8">
        <v>284.09826122118881</v>
      </c>
      <c r="J316" s="9">
        <f t="shared" si="77"/>
        <v>284.09826122118881</v>
      </c>
      <c r="K316" s="3">
        <f t="shared" si="78"/>
        <v>0</v>
      </c>
      <c r="L316" s="7">
        <f t="shared" si="79"/>
        <v>0</v>
      </c>
      <c r="M316" t="s">
        <v>187</v>
      </c>
      <c r="O316" s="3">
        <f>E316-'315019 - P0724'!F316</f>
        <v>0</v>
      </c>
      <c r="P316" s="30">
        <f>I316-'315019 - P0724'!J316</f>
        <v>0</v>
      </c>
    </row>
    <row r="317" spans="1:16" x14ac:dyDescent="0.25">
      <c r="A317">
        <v>315</v>
      </c>
      <c r="B317" t="s">
        <v>303</v>
      </c>
      <c r="C317" t="s">
        <v>291</v>
      </c>
      <c r="D317" s="4" t="s">
        <v>314</v>
      </c>
      <c r="E317" s="12">
        <v>20.73</v>
      </c>
      <c r="F317" s="12">
        <v>20.73</v>
      </c>
      <c r="G317" s="6">
        <f t="shared" si="75"/>
        <v>0</v>
      </c>
      <c r="H317" s="7">
        <f t="shared" si="76"/>
        <v>0</v>
      </c>
      <c r="I317" s="8">
        <v>33.65</v>
      </c>
      <c r="J317" s="9">
        <f t="shared" si="77"/>
        <v>33.65</v>
      </c>
      <c r="K317" s="3">
        <f t="shared" si="78"/>
        <v>0</v>
      </c>
      <c r="L317" s="7">
        <f t="shared" si="79"/>
        <v>0</v>
      </c>
      <c r="M317" t="s">
        <v>187</v>
      </c>
      <c r="O317" s="3">
        <f>E317-'315019 - P0724'!F317</f>
        <v>0</v>
      </c>
      <c r="P317" s="30">
        <f>I317-'315019 - P0724'!J317</f>
        <v>0</v>
      </c>
    </row>
    <row r="318" spans="1:16" x14ac:dyDescent="0.25">
      <c r="A318">
        <v>316</v>
      </c>
      <c r="B318" t="s">
        <v>470</v>
      </c>
      <c r="C318" t="s">
        <v>291</v>
      </c>
      <c r="D318" s="4" t="s">
        <v>315</v>
      </c>
      <c r="E318" s="12">
        <v>11.34</v>
      </c>
      <c r="F318" s="12">
        <v>11.34</v>
      </c>
      <c r="G318" s="6">
        <f t="shared" si="75"/>
        <v>0</v>
      </c>
      <c r="H318" s="7">
        <f t="shared" si="76"/>
        <v>0</v>
      </c>
      <c r="I318" s="8">
        <v>17.673479758926415</v>
      </c>
      <c r="J318" s="9">
        <f t="shared" si="77"/>
        <v>17.673479758926415</v>
      </c>
      <c r="K318" s="3">
        <f t="shared" si="78"/>
        <v>0</v>
      </c>
      <c r="L318" s="7">
        <f t="shared" si="79"/>
        <v>0</v>
      </c>
      <c r="M318" t="s">
        <v>187</v>
      </c>
      <c r="O318" s="3">
        <f>E318-'315019 - P0724'!F318</f>
        <v>0</v>
      </c>
      <c r="P318" s="30">
        <f>I318-'315019 - P0724'!J318</f>
        <v>0</v>
      </c>
    </row>
    <row r="319" spans="1:16" x14ac:dyDescent="0.25">
      <c r="A319">
        <v>317</v>
      </c>
      <c r="B319" t="s">
        <v>473</v>
      </c>
      <c r="C319" t="s">
        <v>291</v>
      </c>
      <c r="D319" s="4" t="s">
        <v>316</v>
      </c>
      <c r="E319" s="12">
        <v>36.4</v>
      </c>
      <c r="F319" s="12">
        <v>36.4</v>
      </c>
      <c r="G319" s="6">
        <f t="shared" si="75"/>
        <v>0</v>
      </c>
      <c r="H319" s="7">
        <f t="shared" si="76"/>
        <v>0</v>
      </c>
      <c r="I319" s="8">
        <v>56</v>
      </c>
      <c r="J319" s="9">
        <f t="shared" si="77"/>
        <v>56</v>
      </c>
      <c r="K319" s="3">
        <f t="shared" si="78"/>
        <v>0</v>
      </c>
      <c r="L319" s="7">
        <f t="shared" si="79"/>
        <v>0</v>
      </c>
      <c r="M319" t="s">
        <v>187</v>
      </c>
      <c r="O319" s="3">
        <f>E319-'315019 - P0724'!F319</f>
        <v>0</v>
      </c>
      <c r="P319" s="30">
        <f>I319-'315019 - P0724'!J319</f>
        <v>0</v>
      </c>
    </row>
    <row r="320" spans="1:16" x14ac:dyDescent="0.25">
      <c r="A320">
        <v>318</v>
      </c>
      <c r="B320" t="s">
        <v>470</v>
      </c>
      <c r="C320" t="s">
        <v>291</v>
      </c>
      <c r="D320" s="4" t="s">
        <v>317</v>
      </c>
      <c r="E320" s="12">
        <v>32.81</v>
      </c>
      <c r="F320" s="12">
        <v>32.81</v>
      </c>
      <c r="G320" s="6">
        <f t="shared" si="75"/>
        <v>0</v>
      </c>
      <c r="H320" s="7">
        <f t="shared" si="76"/>
        <v>0</v>
      </c>
      <c r="I320" s="8">
        <v>85.12</v>
      </c>
      <c r="J320" s="9">
        <f t="shared" si="77"/>
        <v>85.12</v>
      </c>
      <c r="K320" s="3">
        <f t="shared" si="78"/>
        <v>0</v>
      </c>
      <c r="L320" s="7">
        <f t="shared" si="79"/>
        <v>0</v>
      </c>
      <c r="M320" t="s">
        <v>187</v>
      </c>
      <c r="O320" s="3">
        <f>E320-'315019 - P0724'!F320</f>
        <v>0</v>
      </c>
      <c r="P320" s="30">
        <f>I320-'315019 - P0724'!J320</f>
        <v>0</v>
      </c>
    </row>
    <row r="321" spans="1:16" x14ac:dyDescent="0.25">
      <c r="A321">
        <v>319</v>
      </c>
      <c r="B321" t="s">
        <v>473</v>
      </c>
      <c r="C321" t="s">
        <v>291</v>
      </c>
      <c r="D321" s="4" t="s">
        <v>318</v>
      </c>
      <c r="E321" s="12">
        <v>21.15</v>
      </c>
      <c r="F321" s="12">
        <v>21.15</v>
      </c>
      <c r="G321" s="6">
        <f t="shared" si="75"/>
        <v>0</v>
      </c>
      <c r="H321" s="7">
        <f t="shared" si="76"/>
        <v>0</v>
      </c>
      <c r="I321" s="8">
        <v>32.590000000000003</v>
      </c>
      <c r="J321" s="9">
        <f t="shared" si="77"/>
        <v>32.590000000000003</v>
      </c>
      <c r="K321" s="3">
        <f t="shared" si="78"/>
        <v>0</v>
      </c>
      <c r="L321" s="7">
        <f t="shared" si="79"/>
        <v>0</v>
      </c>
      <c r="M321" t="s">
        <v>187</v>
      </c>
      <c r="O321" s="3">
        <f>E321-'315019 - P0724'!F321</f>
        <v>0</v>
      </c>
      <c r="P321" s="30">
        <f>I321-'315019 - P0724'!J321</f>
        <v>0</v>
      </c>
    </row>
    <row r="322" spans="1:16" x14ac:dyDescent="0.25">
      <c r="A322">
        <v>320</v>
      </c>
      <c r="B322" t="s">
        <v>319</v>
      </c>
      <c r="C322" t="s">
        <v>291</v>
      </c>
      <c r="D322" s="4" t="s">
        <v>320</v>
      </c>
      <c r="E322" s="12">
        <v>1.34</v>
      </c>
      <c r="F322" s="12">
        <v>1.34</v>
      </c>
      <c r="G322" s="6">
        <f t="shared" si="75"/>
        <v>0</v>
      </c>
      <c r="H322" s="7">
        <f t="shared" si="76"/>
        <v>0</v>
      </c>
      <c r="I322" s="8">
        <v>2.5299999999999998</v>
      </c>
      <c r="J322" s="9">
        <f t="shared" si="77"/>
        <v>2.5299999999999998</v>
      </c>
      <c r="K322" s="3">
        <f t="shared" si="78"/>
        <v>0</v>
      </c>
      <c r="L322" s="7">
        <f t="shared" si="79"/>
        <v>0</v>
      </c>
      <c r="M322" t="s">
        <v>187</v>
      </c>
      <c r="O322" s="3">
        <f>E322-'315019 - P0724'!F322</f>
        <v>0</v>
      </c>
      <c r="P322" s="30">
        <f>I322-'315019 - P0724'!J322</f>
        <v>0</v>
      </c>
    </row>
    <row r="323" spans="1:16" x14ac:dyDescent="0.25">
      <c r="A323">
        <v>321</v>
      </c>
      <c r="B323" t="s">
        <v>473</v>
      </c>
      <c r="C323" t="s">
        <v>291</v>
      </c>
      <c r="D323" s="4" t="s">
        <v>321</v>
      </c>
      <c r="E323" s="12">
        <v>1.7</v>
      </c>
      <c r="F323" s="12">
        <v>1.7</v>
      </c>
      <c r="G323" s="6">
        <f t="shared" si="75"/>
        <v>0</v>
      </c>
      <c r="H323" s="7">
        <f t="shared" si="76"/>
        <v>0</v>
      </c>
      <c r="I323" s="8">
        <v>2.62</v>
      </c>
      <c r="J323" s="9">
        <f t="shared" si="77"/>
        <v>2.62</v>
      </c>
      <c r="K323" s="3">
        <f t="shared" si="78"/>
        <v>0</v>
      </c>
      <c r="L323" s="7">
        <f t="shared" si="79"/>
        <v>0</v>
      </c>
      <c r="M323" t="s">
        <v>187</v>
      </c>
      <c r="O323" s="3">
        <f>E323-'315019 - P0724'!F323</f>
        <v>0</v>
      </c>
      <c r="P323" s="30">
        <f>I323-'315019 - P0724'!J323</f>
        <v>0</v>
      </c>
    </row>
    <row r="324" spans="1:16" x14ac:dyDescent="0.25">
      <c r="A324">
        <v>322</v>
      </c>
      <c r="B324" t="s">
        <v>474</v>
      </c>
      <c r="C324" t="s">
        <v>291</v>
      </c>
      <c r="D324" s="4" t="s">
        <v>323</v>
      </c>
      <c r="E324" s="16">
        <v>35.229999999999997</v>
      </c>
      <c r="F324" s="12">
        <v>35.229999999999997</v>
      </c>
      <c r="G324" s="6">
        <f t="shared" si="75"/>
        <v>0</v>
      </c>
      <c r="H324" s="7">
        <f t="shared" si="76"/>
        <v>0</v>
      </c>
      <c r="I324" s="8">
        <v>54.21</v>
      </c>
      <c r="J324" s="9">
        <f t="shared" si="77"/>
        <v>54.21</v>
      </c>
      <c r="K324" s="3">
        <f t="shared" si="78"/>
        <v>0</v>
      </c>
      <c r="L324" s="7">
        <f t="shared" si="79"/>
        <v>0</v>
      </c>
      <c r="M324" t="s">
        <v>187</v>
      </c>
      <c r="O324" s="3">
        <f>E324-'315019 - P0724'!F324</f>
        <v>0</v>
      </c>
      <c r="P324" s="30">
        <f>I324-'315019 - P0724'!J324</f>
        <v>0</v>
      </c>
    </row>
    <row r="325" spans="1:16" x14ac:dyDescent="0.25">
      <c r="A325">
        <v>323</v>
      </c>
      <c r="B325" t="s">
        <v>474</v>
      </c>
      <c r="C325" t="s">
        <v>291</v>
      </c>
      <c r="D325" s="4" t="s">
        <v>324</v>
      </c>
      <c r="E325" s="16">
        <v>19.350000000000001</v>
      </c>
      <c r="F325" s="12">
        <v>19.350000000000001</v>
      </c>
      <c r="G325" s="6">
        <f t="shared" si="75"/>
        <v>0</v>
      </c>
      <c r="H325" s="7">
        <f t="shared" si="76"/>
        <v>0</v>
      </c>
      <c r="I325" s="8">
        <v>34.01</v>
      </c>
      <c r="J325" s="9">
        <f t="shared" si="77"/>
        <v>34.01</v>
      </c>
      <c r="K325" s="3">
        <f t="shared" si="78"/>
        <v>0</v>
      </c>
      <c r="L325" s="7">
        <f t="shared" si="79"/>
        <v>0</v>
      </c>
      <c r="M325" t="s">
        <v>187</v>
      </c>
      <c r="O325" s="3">
        <f>E325-'315019 - P0724'!F325</f>
        <v>0</v>
      </c>
      <c r="P325" s="30">
        <f>I325-'315019 - P0724'!J325</f>
        <v>0</v>
      </c>
    </row>
    <row r="326" spans="1:16" x14ac:dyDescent="0.25">
      <c r="A326">
        <v>324</v>
      </c>
      <c r="B326" t="s">
        <v>474</v>
      </c>
      <c r="C326" t="s">
        <v>291</v>
      </c>
      <c r="D326" s="4" t="s">
        <v>325</v>
      </c>
      <c r="E326" s="16">
        <v>13.97</v>
      </c>
      <c r="F326" s="12">
        <v>13.97</v>
      </c>
      <c r="G326" s="6">
        <f t="shared" si="75"/>
        <v>0</v>
      </c>
      <c r="H326" s="7">
        <f t="shared" si="76"/>
        <v>0</v>
      </c>
      <c r="I326" s="8">
        <v>21.5</v>
      </c>
      <c r="J326" s="9">
        <f t="shared" si="77"/>
        <v>21.5</v>
      </c>
      <c r="K326" s="3">
        <f t="shared" si="78"/>
        <v>0</v>
      </c>
      <c r="L326" s="7">
        <f t="shared" si="79"/>
        <v>0</v>
      </c>
      <c r="M326" t="s">
        <v>187</v>
      </c>
      <c r="O326" s="3">
        <f>E326-'315019 - P0724'!F326</f>
        <v>0</v>
      </c>
      <c r="P326" s="30">
        <f>I326-'315019 - P0724'!J326</f>
        <v>0</v>
      </c>
    </row>
    <row r="327" spans="1:16" x14ac:dyDescent="0.25">
      <c r="A327">
        <v>325</v>
      </c>
      <c r="B327" t="s">
        <v>474</v>
      </c>
      <c r="C327" t="s">
        <v>291</v>
      </c>
      <c r="D327" s="4" t="s">
        <v>326</v>
      </c>
      <c r="E327" s="16">
        <v>4.5599999999999996</v>
      </c>
      <c r="F327" s="12">
        <v>4.5599999999999996</v>
      </c>
      <c r="G327" s="6">
        <f t="shared" si="75"/>
        <v>0</v>
      </c>
      <c r="H327" s="7">
        <f t="shared" si="76"/>
        <v>0</v>
      </c>
      <c r="I327" s="8">
        <v>9.14</v>
      </c>
      <c r="J327" s="9">
        <f t="shared" si="77"/>
        <v>9.14</v>
      </c>
      <c r="K327" s="3">
        <f t="shared" si="78"/>
        <v>0</v>
      </c>
      <c r="L327" s="7">
        <f t="shared" si="79"/>
        <v>0</v>
      </c>
      <c r="M327" t="s">
        <v>187</v>
      </c>
      <c r="O327" s="3">
        <f>E327-'315019 - P0724'!F327</f>
        <v>0</v>
      </c>
      <c r="P327" s="30">
        <f>I327-'315019 - P0724'!J327</f>
        <v>0</v>
      </c>
    </row>
    <row r="328" spans="1:16" x14ac:dyDescent="0.25">
      <c r="A328">
        <v>326</v>
      </c>
      <c r="B328" t="s">
        <v>475</v>
      </c>
      <c r="C328" t="s">
        <v>291</v>
      </c>
      <c r="D328" s="4" t="s">
        <v>327</v>
      </c>
      <c r="E328" s="16">
        <v>3.49</v>
      </c>
      <c r="F328" s="12">
        <v>3.49</v>
      </c>
      <c r="G328" s="6">
        <f t="shared" si="75"/>
        <v>0</v>
      </c>
      <c r="H328" s="7">
        <f t="shared" si="76"/>
        <v>0</v>
      </c>
      <c r="I328" s="8">
        <v>6.59</v>
      </c>
      <c r="J328" s="9">
        <f t="shared" si="77"/>
        <v>6.59</v>
      </c>
      <c r="K328" s="3">
        <f t="shared" si="78"/>
        <v>0</v>
      </c>
      <c r="L328" s="7">
        <f t="shared" si="79"/>
        <v>0</v>
      </c>
      <c r="M328" t="s">
        <v>187</v>
      </c>
      <c r="O328" s="3">
        <f>E328-'315019 - P0724'!F328</f>
        <v>0</v>
      </c>
      <c r="P328" s="30">
        <f>I328-'315019 - P0724'!J328</f>
        <v>0</v>
      </c>
    </row>
    <row r="329" spans="1:16" x14ac:dyDescent="0.25">
      <c r="A329">
        <v>327</v>
      </c>
      <c r="B329" t="s">
        <v>474</v>
      </c>
      <c r="C329" t="s">
        <v>291</v>
      </c>
      <c r="D329" s="4" t="s">
        <v>328</v>
      </c>
      <c r="E329" s="16">
        <v>5.68</v>
      </c>
      <c r="F329" s="12">
        <v>5.68</v>
      </c>
      <c r="G329" s="6">
        <f t="shared" si="75"/>
        <v>0</v>
      </c>
      <c r="H329" s="7">
        <f t="shared" si="76"/>
        <v>0</v>
      </c>
      <c r="I329" s="8">
        <v>8.77</v>
      </c>
      <c r="J329" s="9">
        <f t="shared" si="77"/>
        <v>8.77</v>
      </c>
      <c r="K329" s="3">
        <f t="shared" si="78"/>
        <v>0</v>
      </c>
      <c r="L329" s="7">
        <f t="shared" si="79"/>
        <v>0</v>
      </c>
      <c r="M329" t="s">
        <v>187</v>
      </c>
      <c r="O329" s="3">
        <f>E329-'315019 - P0724'!F329</f>
        <v>0</v>
      </c>
      <c r="P329" s="30">
        <f>I329-'315019 - P0724'!J329</f>
        <v>0</v>
      </c>
    </row>
    <row r="330" spans="1:16" x14ac:dyDescent="0.25">
      <c r="A330">
        <v>328</v>
      </c>
      <c r="B330" t="s">
        <v>473</v>
      </c>
      <c r="C330" t="s">
        <v>291</v>
      </c>
      <c r="D330" s="4" t="s">
        <v>329</v>
      </c>
      <c r="E330" s="16">
        <v>5.22</v>
      </c>
      <c r="F330" s="12">
        <v>5.22</v>
      </c>
      <c r="G330" s="6">
        <f t="shared" si="75"/>
        <v>0</v>
      </c>
      <c r="H330" s="7">
        <f t="shared" si="76"/>
        <v>0</v>
      </c>
      <c r="I330" s="8">
        <v>8.0399999999999991</v>
      </c>
      <c r="J330" s="9">
        <f t="shared" si="77"/>
        <v>8.0399999999999991</v>
      </c>
      <c r="K330" s="3">
        <f t="shared" si="78"/>
        <v>0</v>
      </c>
      <c r="L330" s="7">
        <f t="shared" si="79"/>
        <v>0</v>
      </c>
      <c r="M330" t="s">
        <v>187</v>
      </c>
      <c r="O330" s="3">
        <f>E330-'315019 - P0724'!F330</f>
        <v>0</v>
      </c>
      <c r="P330" s="30">
        <f>I330-'315019 - P0724'!J330</f>
        <v>0</v>
      </c>
    </row>
    <row r="331" spans="1:16" x14ac:dyDescent="0.25">
      <c r="A331">
        <v>329</v>
      </c>
      <c r="B331" t="s">
        <v>474</v>
      </c>
      <c r="C331" t="s">
        <v>291</v>
      </c>
      <c r="D331" s="4" t="s">
        <v>330</v>
      </c>
      <c r="E331" s="16">
        <v>34.32</v>
      </c>
      <c r="F331" s="12">
        <v>34.32</v>
      </c>
      <c r="G331" s="6">
        <f t="shared" si="75"/>
        <v>0</v>
      </c>
      <c r="H331" s="7">
        <f t="shared" si="76"/>
        <v>0</v>
      </c>
      <c r="I331" s="8">
        <v>52.8</v>
      </c>
      <c r="J331" s="9">
        <f t="shared" si="77"/>
        <v>52.8</v>
      </c>
      <c r="K331" s="3">
        <f t="shared" si="78"/>
        <v>0</v>
      </c>
      <c r="L331" s="7">
        <f t="shared" si="79"/>
        <v>0</v>
      </c>
      <c r="M331" t="s">
        <v>187</v>
      </c>
      <c r="O331" s="3">
        <f>E331-'315019 - P0724'!F331</f>
        <v>0</v>
      </c>
      <c r="P331" s="30">
        <f>I331-'315019 - P0724'!J331</f>
        <v>0</v>
      </c>
    </row>
    <row r="332" spans="1:16" x14ac:dyDescent="0.25">
      <c r="A332">
        <v>330</v>
      </c>
      <c r="B332" t="s">
        <v>474</v>
      </c>
      <c r="C332" t="s">
        <v>291</v>
      </c>
      <c r="D332" s="4" t="s">
        <v>331</v>
      </c>
      <c r="E332" s="16">
        <v>2.96</v>
      </c>
      <c r="F332" s="12">
        <v>2.96</v>
      </c>
      <c r="G332" s="6">
        <f>+F332-E332</f>
        <v>0</v>
      </c>
      <c r="H332" s="7">
        <f>(F332-E332)/ABS(E332)</f>
        <v>0</v>
      </c>
      <c r="I332" s="8">
        <v>4.5599999999999996</v>
      </c>
      <c r="J332" s="9">
        <f>(I332*H332)+I332</f>
        <v>4.5599999999999996</v>
      </c>
      <c r="K332" s="3">
        <f>J332-I332</f>
        <v>0</v>
      </c>
      <c r="L332" s="7">
        <f>(J332-I332)/ABS(I332)</f>
        <v>0</v>
      </c>
      <c r="M332" t="s">
        <v>187</v>
      </c>
      <c r="O332" s="3">
        <f>E332-'315019 - P0724'!F332</f>
        <v>0</v>
      </c>
      <c r="P332" s="30">
        <f>I332-'315019 - P0724'!J332</f>
        <v>0</v>
      </c>
    </row>
    <row r="333" spans="1:16" x14ac:dyDescent="0.25">
      <c r="A333">
        <v>331</v>
      </c>
      <c r="B333" t="s">
        <v>473</v>
      </c>
      <c r="C333" t="s">
        <v>291</v>
      </c>
      <c r="D333" s="4" t="s">
        <v>332</v>
      </c>
      <c r="E333" s="12">
        <v>197</v>
      </c>
      <c r="F333" s="12">
        <v>197</v>
      </c>
      <c r="G333" s="6">
        <f t="shared" ref="G333:G345" si="80">+F333-E333</f>
        <v>0</v>
      </c>
      <c r="H333" s="7">
        <f t="shared" ref="H333:H345" si="81">(F333-E333)/ABS(E333)</f>
        <v>0</v>
      </c>
      <c r="I333" s="8">
        <v>303.08</v>
      </c>
      <c r="J333" s="9">
        <f t="shared" ref="J333:J345" si="82">(I333*H333)+I333</f>
        <v>303.08</v>
      </c>
      <c r="K333" s="3">
        <f t="shared" ref="K333:K345" si="83">J333-I333</f>
        <v>0</v>
      </c>
      <c r="L333" s="7">
        <f t="shared" ref="L333:L345" si="84">(J333-I333)/ABS(I333)</f>
        <v>0</v>
      </c>
      <c r="M333" t="s">
        <v>187</v>
      </c>
      <c r="O333" s="3">
        <f>E333-'315019 - P0724'!F333</f>
        <v>0</v>
      </c>
      <c r="P333" s="30">
        <f>I333-'315019 - P0724'!J333</f>
        <v>0</v>
      </c>
    </row>
    <row r="334" spans="1:16" x14ac:dyDescent="0.25">
      <c r="A334">
        <v>332</v>
      </c>
      <c r="B334" t="s">
        <v>319</v>
      </c>
      <c r="C334" t="s">
        <v>291</v>
      </c>
      <c r="D334" s="4" t="s">
        <v>333</v>
      </c>
      <c r="E334" s="12">
        <v>83</v>
      </c>
      <c r="F334" s="12">
        <v>83</v>
      </c>
      <c r="G334" s="6">
        <f t="shared" si="80"/>
        <v>0</v>
      </c>
      <c r="H334" s="7">
        <f t="shared" si="81"/>
        <v>0</v>
      </c>
      <c r="I334" s="8">
        <v>100.7</v>
      </c>
      <c r="J334" s="9">
        <f t="shared" si="82"/>
        <v>100.7</v>
      </c>
      <c r="K334" s="3">
        <f t="shared" si="83"/>
        <v>0</v>
      </c>
      <c r="L334" s="7">
        <f t="shared" si="84"/>
        <v>0</v>
      </c>
      <c r="M334" t="s">
        <v>187</v>
      </c>
      <c r="O334" s="3">
        <f>E334-'315019 - P0724'!F334</f>
        <v>0</v>
      </c>
      <c r="P334" s="30">
        <f>I334-'315019 - P0724'!J334</f>
        <v>0</v>
      </c>
    </row>
    <row r="335" spans="1:16" x14ac:dyDescent="0.25">
      <c r="A335">
        <v>333</v>
      </c>
      <c r="B335" t="s">
        <v>305</v>
      </c>
      <c r="C335" t="s">
        <v>291</v>
      </c>
      <c r="D335" s="4" t="s">
        <v>334</v>
      </c>
      <c r="E335" s="12">
        <v>10</v>
      </c>
      <c r="F335" s="12">
        <v>10</v>
      </c>
      <c r="G335" s="6">
        <f t="shared" si="80"/>
        <v>0</v>
      </c>
      <c r="H335" s="7">
        <f t="shared" si="81"/>
        <v>0</v>
      </c>
      <c r="I335" s="8">
        <v>15.39</v>
      </c>
      <c r="J335" s="9">
        <f t="shared" si="82"/>
        <v>15.39</v>
      </c>
      <c r="K335" s="3">
        <f t="shared" si="83"/>
        <v>0</v>
      </c>
      <c r="L335" s="7">
        <f t="shared" si="84"/>
        <v>0</v>
      </c>
      <c r="M335" t="s">
        <v>187</v>
      </c>
      <c r="O335" s="3">
        <f>E335-'315019 - P0724'!F335</f>
        <v>0</v>
      </c>
      <c r="P335" s="30">
        <f>I335-'315019 - P0724'!J335</f>
        <v>0</v>
      </c>
    </row>
    <row r="336" spans="1:16" x14ac:dyDescent="0.25">
      <c r="A336">
        <v>334</v>
      </c>
      <c r="B336" t="s">
        <v>476</v>
      </c>
      <c r="C336" t="s">
        <v>291</v>
      </c>
      <c r="D336" s="4" t="s">
        <v>335</v>
      </c>
      <c r="E336" s="12">
        <v>2.5099999999999998</v>
      </c>
      <c r="F336" s="12">
        <v>2.5099999999999998</v>
      </c>
      <c r="G336" s="6">
        <f t="shared" si="80"/>
        <v>0</v>
      </c>
      <c r="H336" s="7">
        <f t="shared" si="81"/>
        <v>0</v>
      </c>
      <c r="I336" s="8">
        <v>5.14</v>
      </c>
      <c r="J336" s="9">
        <f t="shared" si="82"/>
        <v>5.14</v>
      </c>
      <c r="K336" s="3">
        <f t="shared" si="83"/>
        <v>0</v>
      </c>
      <c r="L336" s="7">
        <f t="shared" si="84"/>
        <v>0</v>
      </c>
      <c r="M336" t="s">
        <v>187</v>
      </c>
      <c r="O336" s="3">
        <f>E336-'315019 - P0724'!F336</f>
        <v>0</v>
      </c>
      <c r="P336" s="30">
        <f>I336-'315019 - P0724'!J336</f>
        <v>0</v>
      </c>
    </row>
    <row r="337" spans="1:16" x14ac:dyDescent="0.25">
      <c r="A337">
        <v>335</v>
      </c>
      <c r="B337" t="s">
        <v>477</v>
      </c>
      <c r="C337" t="s">
        <v>291</v>
      </c>
      <c r="D337" s="4" t="s">
        <v>336</v>
      </c>
      <c r="E337" s="12">
        <v>5.44</v>
      </c>
      <c r="F337" s="12">
        <v>5.44</v>
      </c>
      <c r="G337" s="6">
        <f t="shared" si="80"/>
        <v>0</v>
      </c>
      <c r="H337" s="7">
        <f t="shared" si="81"/>
        <v>0</v>
      </c>
      <c r="I337" s="8">
        <v>9.49</v>
      </c>
      <c r="J337" s="9">
        <f t="shared" si="82"/>
        <v>9.49</v>
      </c>
      <c r="K337" s="3">
        <f t="shared" si="83"/>
        <v>0</v>
      </c>
      <c r="L337" s="7">
        <f t="shared" si="84"/>
        <v>0</v>
      </c>
      <c r="M337" t="s">
        <v>187</v>
      </c>
      <c r="O337" s="3">
        <f>E337-'315019 - P0724'!F337</f>
        <v>0</v>
      </c>
      <c r="P337" s="30">
        <f>I337-'315019 - P0724'!J337</f>
        <v>0</v>
      </c>
    </row>
    <row r="338" spans="1:16" x14ac:dyDescent="0.25">
      <c r="A338">
        <v>336</v>
      </c>
      <c r="B338" t="s">
        <v>463</v>
      </c>
      <c r="C338" t="s">
        <v>291</v>
      </c>
      <c r="D338" s="4" t="s">
        <v>337</v>
      </c>
      <c r="E338" s="12">
        <v>115.32</v>
      </c>
      <c r="F338" s="12">
        <v>115.32</v>
      </c>
      <c r="G338" s="6">
        <f t="shared" si="80"/>
        <v>0</v>
      </c>
      <c r="H338" s="7">
        <f t="shared" si="81"/>
        <v>0</v>
      </c>
      <c r="I338" s="8">
        <v>177.42</v>
      </c>
      <c r="J338" s="9">
        <f t="shared" si="82"/>
        <v>177.42</v>
      </c>
      <c r="K338" s="3">
        <f t="shared" si="83"/>
        <v>0</v>
      </c>
      <c r="L338" s="7">
        <f t="shared" si="84"/>
        <v>0</v>
      </c>
      <c r="M338" t="s">
        <v>187</v>
      </c>
      <c r="O338" s="3">
        <f>E338-'315019 - P0724'!F338</f>
        <v>0</v>
      </c>
      <c r="P338" s="30">
        <f>I338-'315019 - P0724'!J338</f>
        <v>0</v>
      </c>
    </row>
    <row r="339" spans="1:16" x14ac:dyDescent="0.25">
      <c r="A339">
        <v>337</v>
      </c>
      <c r="B339" t="s">
        <v>463</v>
      </c>
      <c r="C339" t="s">
        <v>291</v>
      </c>
      <c r="D339" s="4" t="s">
        <v>338</v>
      </c>
      <c r="E339" s="12">
        <v>0.89</v>
      </c>
      <c r="F339" s="12">
        <v>0.89</v>
      </c>
      <c r="G339" s="6">
        <f t="shared" si="80"/>
        <v>0</v>
      </c>
      <c r="H339" s="7">
        <f t="shared" si="81"/>
        <v>0</v>
      </c>
      <c r="I339" s="8">
        <v>1.37</v>
      </c>
      <c r="J339" s="9">
        <f t="shared" si="82"/>
        <v>1.37</v>
      </c>
      <c r="K339" s="3">
        <f t="shared" si="83"/>
        <v>0</v>
      </c>
      <c r="L339" s="7">
        <f t="shared" si="84"/>
        <v>0</v>
      </c>
      <c r="M339" t="s">
        <v>187</v>
      </c>
      <c r="O339" s="3">
        <f>E339-'315019 - P0724'!F339</f>
        <v>0</v>
      </c>
      <c r="P339" s="30">
        <f>I339-'315019 - P0724'!J339</f>
        <v>0</v>
      </c>
    </row>
    <row r="340" spans="1:16" x14ac:dyDescent="0.25">
      <c r="A340">
        <v>338</v>
      </c>
      <c r="B340" t="s">
        <v>463</v>
      </c>
      <c r="C340" t="s">
        <v>291</v>
      </c>
      <c r="D340" s="4" t="s">
        <v>339</v>
      </c>
      <c r="E340" s="12">
        <v>33.590000000000003</v>
      </c>
      <c r="F340" s="12">
        <v>33.590000000000003</v>
      </c>
      <c r="G340" s="6">
        <f t="shared" si="80"/>
        <v>0</v>
      </c>
      <c r="H340" s="7">
        <f t="shared" si="81"/>
        <v>0</v>
      </c>
      <c r="I340" s="8">
        <v>51.68</v>
      </c>
      <c r="J340" s="9">
        <f t="shared" si="82"/>
        <v>51.68</v>
      </c>
      <c r="K340" s="3">
        <f t="shared" si="83"/>
        <v>0</v>
      </c>
      <c r="L340" s="7">
        <f t="shared" si="84"/>
        <v>0</v>
      </c>
      <c r="M340" t="s">
        <v>187</v>
      </c>
      <c r="O340" s="3">
        <f>E340-'315019 - P0724'!F340</f>
        <v>0</v>
      </c>
      <c r="P340" s="30">
        <f>I340-'315019 - P0724'!J340</f>
        <v>0</v>
      </c>
    </row>
    <row r="341" spans="1:16" x14ac:dyDescent="0.25">
      <c r="A341">
        <v>339</v>
      </c>
      <c r="B341" t="s">
        <v>463</v>
      </c>
      <c r="C341" t="s">
        <v>291</v>
      </c>
      <c r="D341" s="4" t="s">
        <v>464</v>
      </c>
      <c r="E341" s="12">
        <v>14.78</v>
      </c>
      <c r="F341" s="12">
        <v>14.78</v>
      </c>
      <c r="G341" s="6">
        <f t="shared" si="80"/>
        <v>0</v>
      </c>
      <c r="H341" s="7">
        <f t="shared" si="81"/>
        <v>0</v>
      </c>
      <c r="I341" s="8">
        <v>22.74</v>
      </c>
      <c r="J341" s="9">
        <f t="shared" si="82"/>
        <v>22.74</v>
      </c>
      <c r="K341" s="3">
        <f t="shared" si="83"/>
        <v>0</v>
      </c>
      <c r="L341" s="7">
        <f t="shared" si="84"/>
        <v>0</v>
      </c>
      <c r="M341" t="s">
        <v>187</v>
      </c>
      <c r="O341" s="3">
        <f>E341-'315019 - P0724'!F341</f>
        <v>0</v>
      </c>
      <c r="P341" s="30">
        <f>I341-'315019 - P0724'!J341</f>
        <v>0</v>
      </c>
    </row>
    <row r="342" spans="1:16" x14ac:dyDescent="0.25">
      <c r="A342">
        <v>340</v>
      </c>
      <c r="B342" t="s">
        <v>463</v>
      </c>
      <c r="C342" t="s">
        <v>291</v>
      </c>
      <c r="D342" s="4" t="s">
        <v>466</v>
      </c>
      <c r="E342" s="12">
        <v>2.21</v>
      </c>
      <c r="F342" s="12">
        <v>2.21</v>
      </c>
      <c r="G342" s="6">
        <f t="shared" si="80"/>
        <v>0</v>
      </c>
      <c r="H342" s="7">
        <f t="shared" si="81"/>
        <v>0</v>
      </c>
      <c r="I342" s="8">
        <v>3.8</v>
      </c>
      <c r="J342" s="9">
        <f t="shared" si="82"/>
        <v>3.8</v>
      </c>
      <c r="K342" s="3">
        <f t="shared" si="83"/>
        <v>0</v>
      </c>
      <c r="L342" s="7">
        <f t="shared" si="84"/>
        <v>0</v>
      </c>
      <c r="M342" t="s">
        <v>187</v>
      </c>
      <c r="O342" s="3">
        <f>E342-'315019 - P0724'!F342</f>
        <v>0</v>
      </c>
      <c r="P342" s="30">
        <f>I342-'315019 - P0724'!J342</f>
        <v>0</v>
      </c>
    </row>
    <row r="343" spans="1:16" x14ac:dyDescent="0.25">
      <c r="A343">
        <v>341</v>
      </c>
      <c r="B343" t="s">
        <v>463</v>
      </c>
      <c r="C343" t="s">
        <v>291</v>
      </c>
      <c r="D343" s="4" t="s">
        <v>467</v>
      </c>
      <c r="E343" s="12">
        <v>30.62</v>
      </c>
      <c r="F343" s="12">
        <v>30.62</v>
      </c>
      <c r="G343" s="6">
        <f t="shared" si="80"/>
        <v>0</v>
      </c>
      <c r="H343" s="7">
        <f t="shared" si="81"/>
        <v>0</v>
      </c>
      <c r="I343" s="8">
        <v>52.76</v>
      </c>
      <c r="J343" s="9">
        <f t="shared" si="82"/>
        <v>52.76</v>
      </c>
      <c r="K343" s="3">
        <f t="shared" si="83"/>
        <v>0</v>
      </c>
      <c r="L343" s="7">
        <f t="shared" si="84"/>
        <v>0</v>
      </c>
      <c r="M343" t="s">
        <v>187</v>
      </c>
      <c r="O343" s="3">
        <f>E343-'315019 - P0724'!F343</f>
        <v>0</v>
      </c>
      <c r="P343" s="30">
        <f>I343-'315019 - P0724'!J343</f>
        <v>0</v>
      </c>
    </row>
    <row r="344" spans="1:16" x14ac:dyDescent="0.25">
      <c r="A344">
        <v>342</v>
      </c>
      <c r="B344" t="s">
        <v>485</v>
      </c>
      <c r="C344" t="s">
        <v>291</v>
      </c>
      <c r="D344" s="4" t="s">
        <v>488</v>
      </c>
      <c r="E344" s="12">
        <v>147</v>
      </c>
      <c r="F344" s="12">
        <v>147</v>
      </c>
      <c r="G344" s="6">
        <f t="shared" si="80"/>
        <v>0</v>
      </c>
      <c r="H344" s="7">
        <f t="shared" si="81"/>
        <v>0</v>
      </c>
      <c r="I344" s="8">
        <v>226.16</v>
      </c>
      <c r="J344" s="9">
        <f t="shared" si="82"/>
        <v>226.16</v>
      </c>
      <c r="K344" s="3">
        <f t="shared" si="83"/>
        <v>0</v>
      </c>
      <c r="L344" s="7">
        <f t="shared" si="84"/>
        <v>0</v>
      </c>
      <c r="M344" t="s">
        <v>187</v>
      </c>
      <c r="O344" s="3">
        <f>E344-'315019 - P0724'!F344</f>
        <v>0</v>
      </c>
      <c r="P344" s="30">
        <f>I344-'315019 - P0724'!J344</f>
        <v>0</v>
      </c>
    </row>
    <row r="345" spans="1:16" x14ac:dyDescent="0.25">
      <c r="A345">
        <v>343</v>
      </c>
      <c r="B345" t="s">
        <v>290</v>
      </c>
      <c r="C345" t="s">
        <v>291</v>
      </c>
      <c r="D345" s="4" t="s">
        <v>489</v>
      </c>
      <c r="E345" s="12">
        <v>66.349999999999994</v>
      </c>
      <c r="F345" s="12">
        <v>66.349999999999994</v>
      </c>
      <c r="G345" s="6">
        <f t="shared" si="80"/>
        <v>0</v>
      </c>
      <c r="H345" s="7">
        <f t="shared" si="81"/>
        <v>0</v>
      </c>
      <c r="I345" s="8">
        <v>102.08</v>
      </c>
      <c r="J345" s="9">
        <f t="shared" si="82"/>
        <v>102.08</v>
      </c>
      <c r="K345" s="3">
        <f t="shared" si="83"/>
        <v>0</v>
      </c>
      <c r="L345" s="7">
        <f t="shared" si="84"/>
        <v>0</v>
      </c>
      <c r="M345" t="s">
        <v>187</v>
      </c>
      <c r="O345" s="3">
        <f>E345-'315019 - P0724'!F345</f>
        <v>0</v>
      </c>
      <c r="P345" s="30">
        <f>I345-'315019 - P0724'!J345</f>
        <v>0</v>
      </c>
    </row>
    <row r="346" spans="1:16" x14ac:dyDescent="0.25">
      <c r="A346">
        <v>344</v>
      </c>
      <c r="D346" s="34" t="s">
        <v>340</v>
      </c>
      <c r="H346" s="10">
        <f>AVERAGE(H298:H343)</f>
        <v>0</v>
      </c>
      <c r="I346"/>
    </row>
    <row r="347" spans="1:16" x14ac:dyDescent="0.25">
      <c r="A347">
        <v>345</v>
      </c>
      <c r="D347" s="34" t="s">
        <v>341</v>
      </c>
      <c r="I347"/>
      <c r="M347" t="s">
        <v>7</v>
      </c>
    </row>
    <row r="348" spans="1:16" x14ac:dyDescent="0.25">
      <c r="A348">
        <v>346</v>
      </c>
      <c r="D348" s="34" t="s">
        <v>342</v>
      </c>
      <c r="I348"/>
      <c r="O348" s="3">
        <f>E348-'315019 - P0724'!F348</f>
        <v>0</v>
      </c>
      <c r="P348" s="30">
        <f>I348-'315019 - P0724'!J348</f>
        <v>0</v>
      </c>
    </row>
    <row r="349" spans="1:16" x14ac:dyDescent="0.25">
      <c r="A349">
        <v>347</v>
      </c>
      <c r="B349" t="s">
        <v>470</v>
      </c>
      <c r="C349" s="28" t="s">
        <v>454</v>
      </c>
      <c r="D349" s="4" t="s">
        <v>497</v>
      </c>
      <c r="E349" s="11">
        <v>1450</v>
      </c>
      <c r="F349" s="11">
        <v>1450</v>
      </c>
      <c r="G349" s="6">
        <f t="shared" ref="G349:G356" si="85">+F349-E349</f>
        <v>0</v>
      </c>
      <c r="H349" s="7">
        <f t="shared" ref="H349:H356" si="86">(F349-E349)/ABS(E349)</f>
        <v>0</v>
      </c>
      <c r="I349" s="8">
        <v>118.24570098910753</v>
      </c>
      <c r="J349" s="9">
        <f t="shared" ref="J349:J356" si="87">(I349*H349)+I349</f>
        <v>118.24570098910753</v>
      </c>
      <c r="K349" s="3">
        <f t="shared" ref="K349:K356" si="88">J349-I349</f>
        <v>0</v>
      </c>
      <c r="L349" s="7">
        <f t="shared" ref="L349:L356" si="89">(J349-I349)/ABS(I349)</f>
        <v>0</v>
      </c>
      <c r="M349" t="s">
        <v>7</v>
      </c>
      <c r="O349" s="3">
        <f>E349-'315019 - P0724'!F349</f>
        <v>0</v>
      </c>
      <c r="P349" s="30">
        <f>I349-'315019 - P0724'!J349</f>
        <v>0</v>
      </c>
    </row>
    <row r="350" spans="1:16" x14ac:dyDescent="0.25">
      <c r="A350">
        <v>348</v>
      </c>
      <c r="B350" t="s">
        <v>290</v>
      </c>
      <c r="C350" s="28" t="s">
        <v>344</v>
      </c>
      <c r="D350" s="4" t="s">
        <v>345</v>
      </c>
      <c r="E350" s="11">
        <v>4.93</v>
      </c>
      <c r="F350" s="11">
        <v>4.93</v>
      </c>
      <c r="G350" s="6">
        <f t="shared" si="85"/>
        <v>0</v>
      </c>
      <c r="H350" s="7">
        <f t="shared" si="86"/>
        <v>0</v>
      </c>
      <c r="I350" s="8">
        <v>10.18301417057406</v>
      </c>
      <c r="J350" s="9">
        <f t="shared" si="87"/>
        <v>10.18301417057406</v>
      </c>
      <c r="K350" s="3">
        <f t="shared" si="88"/>
        <v>0</v>
      </c>
      <c r="L350" s="7">
        <f t="shared" si="89"/>
        <v>0</v>
      </c>
      <c r="M350" t="s">
        <v>7</v>
      </c>
      <c r="O350" s="3">
        <f>E350-'315019 - P0724'!F350</f>
        <v>0</v>
      </c>
      <c r="P350" s="30">
        <f>I350-'315019 - P0724'!J350</f>
        <v>0</v>
      </c>
    </row>
    <row r="351" spans="1:16" x14ac:dyDescent="0.25">
      <c r="A351">
        <v>349</v>
      </c>
      <c r="B351" t="s">
        <v>463</v>
      </c>
      <c r="C351" s="28" t="s">
        <v>344</v>
      </c>
      <c r="D351" s="4" t="s">
        <v>346</v>
      </c>
      <c r="E351" s="11">
        <v>6.5</v>
      </c>
      <c r="F351" s="11">
        <v>6.5</v>
      </c>
      <c r="G351" s="6">
        <f t="shared" si="85"/>
        <v>0</v>
      </c>
      <c r="H351" s="7">
        <f t="shared" si="86"/>
        <v>0</v>
      </c>
      <c r="I351" s="8">
        <v>11.46</v>
      </c>
      <c r="J351" s="9">
        <f t="shared" si="87"/>
        <v>11.46</v>
      </c>
      <c r="K351" s="3">
        <f t="shared" si="88"/>
        <v>0</v>
      </c>
      <c r="L351" s="7">
        <f t="shared" si="89"/>
        <v>0</v>
      </c>
      <c r="M351" t="s">
        <v>7</v>
      </c>
      <c r="O351" s="3">
        <f>E351-'315019 - P0724'!F351</f>
        <v>0</v>
      </c>
      <c r="P351" s="30">
        <f>I351-'315019 - P0724'!J351</f>
        <v>0</v>
      </c>
    </row>
    <row r="352" spans="1:16" x14ac:dyDescent="0.25">
      <c r="A352">
        <v>350</v>
      </c>
      <c r="B352" t="s">
        <v>463</v>
      </c>
      <c r="C352" s="28" t="s">
        <v>347</v>
      </c>
      <c r="D352" s="4" t="s">
        <v>348</v>
      </c>
      <c r="E352" s="11">
        <v>4.7699999999999996</v>
      </c>
      <c r="F352" s="11">
        <v>4.7699999999999996</v>
      </c>
      <c r="G352" s="6">
        <f t="shared" si="85"/>
        <v>0</v>
      </c>
      <c r="H352" s="7">
        <f t="shared" si="86"/>
        <v>0</v>
      </c>
      <c r="I352" s="8">
        <v>6.82</v>
      </c>
      <c r="J352" s="9">
        <f t="shared" si="87"/>
        <v>6.82</v>
      </c>
      <c r="K352" s="3">
        <f t="shared" si="88"/>
        <v>0</v>
      </c>
      <c r="L352" s="7">
        <f t="shared" si="89"/>
        <v>0</v>
      </c>
      <c r="M352" t="s">
        <v>7</v>
      </c>
      <c r="O352" s="3">
        <f>E352-'315019 - P0724'!F352</f>
        <v>0</v>
      </c>
      <c r="P352" s="30">
        <f>I352-'315019 - P0724'!J352</f>
        <v>0</v>
      </c>
    </row>
    <row r="353" spans="1:16" x14ac:dyDescent="0.25">
      <c r="A353">
        <v>351</v>
      </c>
      <c r="B353" t="s">
        <v>463</v>
      </c>
      <c r="C353" s="28" t="s">
        <v>347</v>
      </c>
      <c r="D353" s="4" t="s">
        <v>349</v>
      </c>
      <c r="E353" s="11">
        <v>104</v>
      </c>
      <c r="F353" s="11">
        <v>104</v>
      </c>
      <c r="G353" s="6">
        <f t="shared" si="85"/>
        <v>0</v>
      </c>
      <c r="H353" s="7">
        <f t="shared" si="86"/>
        <v>0</v>
      </c>
      <c r="I353" s="8">
        <v>159.78</v>
      </c>
      <c r="J353" s="9">
        <f t="shared" si="87"/>
        <v>159.78</v>
      </c>
      <c r="K353" s="3">
        <f t="shared" si="88"/>
        <v>0</v>
      </c>
      <c r="L353" s="7">
        <f t="shared" si="89"/>
        <v>0</v>
      </c>
      <c r="M353" t="s">
        <v>7</v>
      </c>
      <c r="O353" s="3">
        <f>E353-'315019 - P0724'!F353</f>
        <v>0</v>
      </c>
      <c r="P353" s="30">
        <f>I353-'315019 - P0724'!J353</f>
        <v>0</v>
      </c>
    </row>
    <row r="354" spans="1:16" x14ac:dyDescent="0.25">
      <c r="A354">
        <v>352</v>
      </c>
      <c r="B354" t="s">
        <v>445</v>
      </c>
      <c r="C354" s="28" t="s">
        <v>343</v>
      </c>
      <c r="D354" s="4" t="s">
        <v>446</v>
      </c>
      <c r="E354" s="11">
        <v>49.89</v>
      </c>
      <c r="F354" s="11">
        <v>49.89</v>
      </c>
      <c r="G354" s="6">
        <f t="shared" si="85"/>
        <v>0</v>
      </c>
      <c r="H354" s="7">
        <f t="shared" si="86"/>
        <v>0</v>
      </c>
      <c r="I354" s="8">
        <v>66.30376269809021</v>
      </c>
      <c r="J354" s="9">
        <f t="shared" si="87"/>
        <v>66.30376269809021</v>
      </c>
      <c r="K354" s="3">
        <f t="shared" si="88"/>
        <v>0</v>
      </c>
      <c r="L354" s="7">
        <f t="shared" si="89"/>
        <v>0</v>
      </c>
      <c r="M354" t="s">
        <v>7</v>
      </c>
      <c r="O354" s="3">
        <f>E354-'315019 - P0724'!F354</f>
        <v>0</v>
      </c>
      <c r="P354" s="30">
        <f>I354-'315019 - P0724'!J354</f>
        <v>0</v>
      </c>
    </row>
    <row r="355" spans="1:16" x14ac:dyDescent="0.25">
      <c r="A355">
        <v>353</v>
      </c>
      <c r="B355" t="s">
        <v>303</v>
      </c>
      <c r="C355" s="28" t="s">
        <v>343</v>
      </c>
      <c r="D355" s="4" t="s">
        <v>350</v>
      </c>
      <c r="E355" s="11">
        <v>28.21</v>
      </c>
      <c r="F355" s="11">
        <v>28.21</v>
      </c>
      <c r="G355" s="6">
        <f t="shared" si="85"/>
        <v>0</v>
      </c>
      <c r="H355" s="7">
        <f t="shared" si="86"/>
        <v>0</v>
      </c>
      <c r="I355" s="8">
        <v>60.400819101768519</v>
      </c>
      <c r="J355" s="9">
        <f t="shared" si="87"/>
        <v>60.400819101768519</v>
      </c>
      <c r="K355" s="3">
        <f t="shared" si="88"/>
        <v>0</v>
      </c>
      <c r="L355" s="7">
        <f t="shared" si="89"/>
        <v>0</v>
      </c>
      <c r="M355" t="s">
        <v>7</v>
      </c>
      <c r="O355" s="3">
        <f>E355-'315019 - P0724'!F355</f>
        <v>0</v>
      </c>
      <c r="P355" s="30">
        <f>I355-'315019 - P0724'!J355</f>
        <v>0</v>
      </c>
    </row>
    <row r="356" spans="1:16" x14ac:dyDescent="0.25">
      <c r="A356">
        <v>354</v>
      </c>
      <c r="B356" t="s">
        <v>303</v>
      </c>
      <c r="C356" s="28" t="s">
        <v>351</v>
      </c>
      <c r="D356" s="4" t="s">
        <v>352</v>
      </c>
      <c r="E356" s="11">
        <v>20.36</v>
      </c>
      <c r="F356" s="11">
        <v>20.36</v>
      </c>
      <c r="G356" s="6">
        <f t="shared" si="85"/>
        <v>0</v>
      </c>
      <c r="H356" s="7">
        <f t="shared" si="86"/>
        <v>0</v>
      </c>
      <c r="I356" s="8">
        <v>33.75</v>
      </c>
      <c r="J356" s="9">
        <f t="shared" si="87"/>
        <v>33.75</v>
      </c>
      <c r="K356" s="3">
        <f t="shared" si="88"/>
        <v>0</v>
      </c>
      <c r="L356" s="7">
        <f t="shared" si="89"/>
        <v>0</v>
      </c>
      <c r="M356" t="s">
        <v>7</v>
      </c>
      <c r="O356" s="3">
        <f>E356-'315019 - P0724'!F356</f>
        <v>0</v>
      </c>
      <c r="P356" s="30">
        <f>I356-'315019 - P0724'!J356</f>
        <v>0</v>
      </c>
    </row>
    <row r="357" spans="1:16" x14ac:dyDescent="0.25">
      <c r="A357">
        <v>355</v>
      </c>
      <c r="C357" s="28"/>
      <c r="D357" s="34" t="s">
        <v>353</v>
      </c>
      <c r="I357"/>
    </row>
    <row r="358" spans="1:16" x14ac:dyDescent="0.25">
      <c r="A358">
        <v>356</v>
      </c>
      <c r="B358" t="s">
        <v>294</v>
      </c>
      <c r="C358" s="28" t="s">
        <v>354</v>
      </c>
      <c r="D358" s="4" t="s">
        <v>355</v>
      </c>
      <c r="E358" s="12">
        <v>5.98</v>
      </c>
      <c r="F358" s="12">
        <v>5.98</v>
      </c>
      <c r="G358" s="6">
        <f>+F358-E358</f>
        <v>0</v>
      </c>
      <c r="H358" s="7">
        <f>(F358-E358)/ABS(E358)</f>
        <v>0</v>
      </c>
      <c r="I358" s="12">
        <v>10.64931506849315</v>
      </c>
      <c r="J358" s="12">
        <f>(I358*H358)+I358</f>
        <v>10.64931506849315</v>
      </c>
      <c r="K358" s="3">
        <f>J358-I358</f>
        <v>0</v>
      </c>
      <c r="L358" s="7">
        <f>(J358-I358)/ABS(I358)</f>
        <v>0</v>
      </c>
      <c r="M358" t="s">
        <v>150</v>
      </c>
      <c r="O358" s="3">
        <f>E358-'315019 - P0724'!F358</f>
        <v>0</v>
      </c>
      <c r="P358" s="30">
        <f>I358-'315019 - P0724'!J358</f>
        <v>0</v>
      </c>
    </row>
    <row r="359" spans="1:16" x14ac:dyDescent="0.25">
      <c r="A359">
        <v>357</v>
      </c>
      <c r="C359" s="28"/>
      <c r="D359" s="34" t="s">
        <v>356</v>
      </c>
      <c r="I359"/>
    </row>
    <row r="360" spans="1:16" x14ac:dyDescent="0.25">
      <c r="A360">
        <v>358</v>
      </c>
      <c r="B360" t="s">
        <v>502</v>
      </c>
      <c r="C360" s="28" t="s">
        <v>454</v>
      </c>
      <c r="D360" s="4" t="s">
        <v>503</v>
      </c>
      <c r="E360" s="11">
        <v>1517</v>
      </c>
      <c r="F360" s="11">
        <v>1517</v>
      </c>
      <c r="G360" s="13">
        <f t="shared" ref="G360:G394" si="90">+F360-E360</f>
        <v>0</v>
      </c>
      <c r="H360" s="7">
        <f t="shared" ref="H360:H394" si="91">(F360-E360)/ABS(E360)</f>
        <v>0</v>
      </c>
      <c r="I360" s="8">
        <v>83.5202093596059</v>
      </c>
      <c r="J360" s="9">
        <f t="shared" ref="J360:J394" si="92">(I360*H360)+I360</f>
        <v>83.5202093596059</v>
      </c>
      <c r="K360" s="3">
        <f t="shared" ref="K360:K394" si="93">J360-I360</f>
        <v>0</v>
      </c>
      <c r="L360" s="7">
        <f t="shared" ref="L360:L394" si="94">(J360-I360)/ABS(I360)</f>
        <v>0</v>
      </c>
      <c r="M360" t="s">
        <v>7</v>
      </c>
      <c r="O360" s="3">
        <f>E360-'315019 - P0724'!F360</f>
        <v>0</v>
      </c>
      <c r="P360" s="30">
        <f>I360-'315019 - P0724'!J360</f>
        <v>0</v>
      </c>
    </row>
    <row r="361" spans="1:16" x14ac:dyDescent="0.25">
      <c r="A361">
        <v>359</v>
      </c>
      <c r="B361" t="s">
        <v>290</v>
      </c>
      <c r="C361" s="28" t="s">
        <v>454</v>
      </c>
      <c r="D361" s="4" t="s">
        <v>498</v>
      </c>
      <c r="E361" s="11">
        <v>1710</v>
      </c>
      <c r="F361" s="11">
        <v>1710</v>
      </c>
      <c r="G361" s="13">
        <f t="shared" si="90"/>
        <v>0</v>
      </c>
      <c r="H361" s="7">
        <f t="shared" si="91"/>
        <v>0</v>
      </c>
      <c r="I361" s="8">
        <v>41.429553882394785</v>
      </c>
      <c r="J361" s="9">
        <f t="shared" si="92"/>
        <v>41.429553882394785</v>
      </c>
      <c r="K361" s="3">
        <f t="shared" si="93"/>
        <v>0</v>
      </c>
      <c r="L361" s="7">
        <f t="shared" si="94"/>
        <v>0</v>
      </c>
      <c r="M361" t="s">
        <v>7</v>
      </c>
      <c r="O361" s="3">
        <f>E361-'315019 - P0724'!F361</f>
        <v>0</v>
      </c>
      <c r="P361" s="30">
        <f>I361-'315019 - P0724'!J361</f>
        <v>0</v>
      </c>
    </row>
    <row r="362" spans="1:16" x14ac:dyDescent="0.25">
      <c r="A362">
        <v>360</v>
      </c>
      <c r="B362" t="s">
        <v>290</v>
      </c>
      <c r="C362" s="28" t="s">
        <v>454</v>
      </c>
      <c r="D362" s="4" t="s">
        <v>495</v>
      </c>
      <c r="E362" s="11">
        <v>76.16</v>
      </c>
      <c r="F362" s="11">
        <v>76.16</v>
      </c>
      <c r="G362" s="13">
        <f t="shared" si="90"/>
        <v>0</v>
      </c>
      <c r="H362" s="7">
        <f t="shared" si="91"/>
        <v>0</v>
      </c>
      <c r="I362" s="8">
        <v>118.41812494751909</v>
      </c>
      <c r="J362" s="9">
        <f t="shared" si="92"/>
        <v>118.41812494751909</v>
      </c>
      <c r="K362" s="3">
        <f t="shared" si="93"/>
        <v>0</v>
      </c>
      <c r="L362" s="7">
        <f t="shared" si="94"/>
        <v>0</v>
      </c>
      <c r="M362" t="s">
        <v>7</v>
      </c>
      <c r="O362" s="3">
        <f>E362-'315019 - P0724'!F362</f>
        <v>0</v>
      </c>
      <c r="P362" s="30">
        <f>I362-'315019 - P0724'!J362</f>
        <v>0</v>
      </c>
    </row>
    <row r="363" spans="1:16" x14ac:dyDescent="0.25">
      <c r="A363">
        <v>361</v>
      </c>
      <c r="B363" t="s">
        <v>290</v>
      </c>
      <c r="C363" s="28" t="s">
        <v>454</v>
      </c>
      <c r="D363" s="4" t="s">
        <v>496</v>
      </c>
      <c r="E363" s="11">
        <v>1860</v>
      </c>
      <c r="F363" s="11">
        <v>1860</v>
      </c>
      <c r="G363" s="13">
        <f t="shared" si="90"/>
        <v>0</v>
      </c>
      <c r="H363" s="7">
        <f t="shared" si="91"/>
        <v>0</v>
      </c>
      <c r="I363" s="8">
        <v>249.52645395508233</v>
      </c>
      <c r="J363" s="9">
        <f t="shared" si="92"/>
        <v>249.52645395508233</v>
      </c>
      <c r="K363" s="3">
        <f t="shared" si="93"/>
        <v>0</v>
      </c>
      <c r="L363" s="7">
        <f t="shared" si="94"/>
        <v>0</v>
      </c>
      <c r="M363" t="s">
        <v>7</v>
      </c>
      <c r="O363" s="3">
        <f>E363-'315019 - P0724'!F363</f>
        <v>0</v>
      </c>
      <c r="P363" s="30">
        <f>I363-'315019 - P0724'!J363</f>
        <v>0</v>
      </c>
    </row>
    <row r="364" spans="1:16" x14ac:dyDescent="0.25">
      <c r="A364">
        <v>362</v>
      </c>
      <c r="B364" t="s">
        <v>483</v>
      </c>
      <c r="C364" s="28" t="s">
        <v>351</v>
      </c>
      <c r="D364" s="4" t="s">
        <v>357</v>
      </c>
      <c r="E364" s="11">
        <v>2709</v>
      </c>
      <c r="F364" s="11">
        <v>2709</v>
      </c>
      <c r="G364" s="13">
        <f t="shared" si="90"/>
        <v>0</v>
      </c>
      <c r="H364" s="7">
        <f t="shared" si="91"/>
        <v>0</v>
      </c>
      <c r="I364" s="8">
        <v>5.1687034714890512</v>
      </c>
      <c r="J364" s="9">
        <f t="shared" si="92"/>
        <v>5.1687034714890512</v>
      </c>
      <c r="K364" s="3">
        <f t="shared" si="93"/>
        <v>0</v>
      </c>
      <c r="L364" s="7">
        <f t="shared" si="94"/>
        <v>0</v>
      </c>
      <c r="M364" t="s">
        <v>7</v>
      </c>
      <c r="O364" s="3">
        <f>E364-'315019 - P0724'!F364</f>
        <v>0</v>
      </c>
      <c r="P364" s="30">
        <f>I364-'315019 - P0724'!J364</f>
        <v>0</v>
      </c>
    </row>
    <row r="365" spans="1:16" x14ac:dyDescent="0.25">
      <c r="A365">
        <v>363</v>
      </c>
      <c r="B365" t="s">
        <v>484</v>
      </c>
      <c r="C365" s="28" t="s">
        <v>351</v>
      </c>
      <c r="D365" s="4" t="s">
        <v>358</v>
      </c>
      <c r="E365" s="11">
        <v>2709</v>
      </c>
      <c r="F365" s="11">
        <v>2709</v>
      </c>
      <c r="G365" s="13">
        <f t="shared" si="90"/>
        <v>0</v>
      </c>
      <c r="H365" s="7">
        <f t="shared" si="91"/>
        <v>0</v>
      </c>
      <c r="I365" s="8">
        <v>8.0702736339232413</v>
      </c>
      <c r="J365" s="9">
        <f t="shared" si="92"/>
        <v>8.0702736339232413</v>
      </c>
      <c r="K365" s="3">
        <f t="shared" si="93"/>
        <v>0</v>
      </c>
      <c r="L365" s="7">
        <f t="shared" si="94"/>
        <v>0</v>
      </c>
      <c r="M365" t="s">
        <v>7</v>
      </c>
      <c r="O365" s="3">
        <f>E365-'315019 - P0724'!F365</f>
        <v>0</v>
      </c>
      <c r="P365" s="30">
        <f>I365-'315019 - P0724'!J365</f>
        <v>0</v>
      </c>
    </row>
    <row r="366" spans="1:16" x14ac:dyDescent="0.25">
      <c r="A366">
        <v>364</v>
      </c>
      <c r="B366" t="s">
        <v>290</v>
      </c>
      <c r="C366" s="28" t="s">
        <v>351</v>
      </c>
      <c r="D366" s="4" t="s">
        <v>359</v>
      </c>
      <c r="E366" s="11">
        <v>2709</v>
      </c>
      <c r="F366" s="11">
        <v>2709</v>
      </c>
      <c r="G366" s="13">
        <f t="shared" si="90"/>
        <v>0</v>
      </c>
      <c r="H366" s="7">
        <f t="shared" si="91"/>
        <v>0</v>
      </c>
      <c r="I366" s="8">
        <v>11.040593760943526</v>
      </c>
      <c r="J366" s="9">
        <f t="shared" si="92"/>
        <v>11.040593760943526</v>
      </c>
      <c r="K366" s="3">
        <f t="shared" si="93"/>
        <v>0</v>
      </c>
      <c r="L366" s="7">
        <f t="shared" si="94"/>
        <v>0</v>
      </c>
      <c r="M366" t="s">
        <v>7</v>
      </c>
      <c r="O366" s="3">
        <f>E366-'315019 - P0724'!F366</f>
        <v>0</v>
      </c>
      <c r="P366" s="30">
        <f>I366-'315019 - P0724'!J366</f>
        <v>0</v>
      </c>
    </row>
    <row r="367" spans="1:16" x14ac:dyDescent="0.25">
      <c r="A367">
        <v>365</v>
      </c>
      <c r="B367" t="s">
        <v>476</v>
      </c>
      <c r="C367" s="28" t="s">
        <v>351</v>
      </c>
      <c r="D367" s="4" t="s">
        <v>360</v>
      </c>
      <c r="E367" s="11">
        <v>3148</v>
      </c>
      <c r="F367" s="11">
        <v>3148</v>
      </c>
      <c r="G367" s="13">
        <f t="shared" si="90"/>
        <v>0</v>
      </c>
      <c r="H367" s="7">
        <f t="shared" si="91"/>
        <v>0</v>
      </c>
      <c r="I367" s="8">
        <v>14.3</v>
      </c>
      <c r="J367" s="9">
        <f t="shared" si="92"/>
        <v>14.3</v>
      </c>
      <c r="K367" s="3">
        <f t="shared" si="93"/>
        <v>0</v>
      </c>
      <c r="L367" s="7">
        <f t="shared" si="94"/>
        <v>0</v>
      </c>
      <c r="M367" t="s">
        <v>7</v>
      </c>
      <c r="O367" s="3">
        <f>E367-'315019 - P0724'!F367</f>
        <v>0</v>
      </c>
      <c r="P367" s="30">
        <f>I367-'315019 - P0724'!J367</f>
        <v>0</v>
      </c>
    </row>
    <row r="368" spans="1:16" x14ac:dyDescent="0.25">
      <c r="A368">
        <v>366</v>
      </c>
      <c r="B368" t="s">
        <v>478</v>
      </c>
      <c r="C368" s="28" t="s">
        <v>351</v>
      </c>
      <c r="D368" s="4" t="s">
        <v>361</v>
      </c>
      <c r="E368" s="11">
        <v>3065</v>
      </c>
      <c r="F368" s="11">
        <v>3065</v>
      </c>
      <c r="G368" s="13">
        <f t="shared" si="90"/>
        <v>0</v>
      </c>
      <c r="H368" s="7">
        <f t="shared" si="91"/>
        <v>0</v>
      </c>
      <c r="I368" s="8">
        <v>19.904756025519848</v>
      </c>
      <c r="J368" s="9">
        <f t="shared" si="92"/>
        <v>19.904756025519848</v>
      </c>
      <c r="K368" s="3">
        <f t="shared" si="93"/>
        <v>0</v>
      </c>
      <c r="L368" s="7">
        <f t="shared" si="94"/>
        <v>0</v>
      </c>
      <c r="M368" t="s">
        <v>7</v>
      </c>
      <c r="O368" s="3">
        <f>E368-'315019 - P0724'!F368</f>
        <v>0</v>
      </c>
      <c r="P368" s="30">
        <f>I368-'315019 - P0724'!J368</f>
        <v>0</v>
      </c>
    </row>
    <row r="369" spans="1:16" x14ac:dyDescent="0.25">
      <c r="A369">
        <v>367</v>
      </c>
      <c r="B369" t="s">
        <v>445</v>
      </c>
      <c r="C369" s="28" t="s">
        <v>351</v>
      </c>
      <c r="D369" s="4" t="s">
        <v>362</v>
      </c>
      <c r="E369" s="11">
        <v>3065</v>
      </c>
      <c r="F369" s="11">
        <v>3065</v>
      </c>
      <c r="G369" s="13">
        <f t="shared" si="90"/>
        <v>0</v>
      </c>
      <c r="H369" s="7">
        <f t="shared" si="91"/>
        <v>0</v>
      </c>
      <c r="I369" s="8">
        <v>23.00692071335494</v>
      </c>
      <c r="J369" s="9">
        <f t="shared" si="92"/>
        <v>23.00692071335494</v>
      </c>
      <c r="K369" s="3">
        <f t="shared" si="93"/>
        <v>0</v>
      </c>
      <c r="L369" s="7">
        <f t="shared" si="94"/>
        <v>0</v>
      </c>
      <c r="M369" t="s">
        <v>7</v>
      </c>
      <c r="O369" s="3">
        <f>E369-'315019 - P0724'!F369</f>
        <v>0</v>
      </c>
      <c r="P369" s="30">
        <f>I369-'315019 - P0724'!J369</f>
        <v>0</v>
      </c>
    </row>
    <row r="370" spans="1:16" x14ac:dyDescent="0.25">
      <c r="A370">
        <v>368</v>
      </c>
      <c r="B370" t="s">
        <v>478</v>
      </c>
      <c r="C370" s="28" t="s">
        <v>351</v>
      </c>
      <c r="D370" s="4" t="s">
        <v>363</v>
      </c>
      <c r="E370" s="11">
        <v>3135</v>
      </c>
      <c r="F370" s="11">
        <v>3135</v>
      </c>
      <c r="G370" s="13">
        <f t="shared" si="90"/>
        <v>0</v>
      </c>
      <c r="H370" s="7">
        <f t="shared" si="91"/>
        <v>0</v>
      </c>
      <c r="I370" s="8">
        <v>26.876311326468805</v>
      </c>
      <c r="J370" s="9">
        <f t="shared" si="92"/>
        <v>26.876311326468805</v>
      </c>
      <c r="K370" s="3">
        <f t="shared" si="93"/>
        <v>0</v>
      </c>
      <c r="L370" s="7">
        <f t="shared" si="94"/>
        <v>0</v>
      </c>
      <c r="M370" t="s">
        <v>7</v>
      </c>
      <c r="O370" s="3">
        <f>E370-'315019 - P0724'!F370</f>
        <v>0</v>
      </c>
      <c r="P370" s="30">
        <f>I370-'315019 - P0724'!J370</f>
        <v>0</v>
      </c>
    </row>
    <row r="371" spans="1:16" x14ac:dyDescent="0.25">
      <c r="A371">
        <v>369</v>
      </c>
      <c r="B371" t="s">
        <v>481</v>
      </c>
      <c r="C371" s="28" t="s">
        <v>351</v>
      </c>
      <c r="D371" s="4" t="s">
        <v>364</v>
      </c>
      <c r="E371" s="11">
        <v>2931</v>
      </c>
      <c r="F371" s="11">
        <v>2931</v>
      </c>
      <c r="G371" s="13">
        <f t="shared" si="90"/>
        <v>0</v>
      </c>
      <c r="H371" s="7">
        <f t="shared" si="91"/>
        <v>0</v>
      </c>
      <c r="I371" s="8">
        <v>5.5842827924987404</v>
      </c>
      <c r="J371" s="9">
        <f t="shared" si="92"/>
        <v>5.5842827924987404</v>
      </c>
      <c r="K371" s="3">
        <f t="shared" si="93"/>
        <v>0</v>
      </c>
      <c r="L371" s="7">
        <f t="shared" si="94"/>
        <v>0</v>
      </c>
      <c r="M371" t="s">
        <v>7</v>
      </c>
      <c r="O371" s="3">
        <f>E371-'315019 - P0724'!F371</f>
        <v>0</v>
      </c>
      <c r="P371" s="30">
        <f>I371-'315019 - P0724'!J371</f>
        <v>0</v>
      </c>
    </row>
    <row r="372" spans="1:16" x14ac:dyDescent="0.25">
      <c r="A372">
        <v>370</v>
      </c>
      <c r="B372" t="s">
        <v>479</v>
      </c>
      <c r="C372" t="s">
        <v>365</v>
      </c>
      <c r="D372" s="4" t="s">
        <v>366</v>
      </c>
      <c r="E372" s="11">
        <v>3205</v>
      </c>
      <c r="F372" s="11">
        <v>3205</v>
      </c>
      <c r="G372" s="13">
        <f t="shared" si="90"/>
        <v>0</v>
      </c>
      <c r="H372" s="7">
        <f t="shared" si="91"/>
        <v>0</v>
      </c>
      <c r="I372" s="8">
        <v>12.576720322698609</v>
      </c>
      <c r="J372" s="9">
        <f t="shared" si="92"/>
        <v>12.576720322698609</v>
      </c>
      <c r="K372" s="3">
        <f t="shared" si="93"/>
        <v>0</v>
      </c>
      <c r="L372" s="7">
        <f t="shared" si="94"/>
        <v>0</v>
      </c>
      <c r="M372" t="s">
        <v>7</v>
      </c>
      <c r="O372" s="3">
        <f>E372-'315019 - P0724'!F372</f>
        <v>0</v>
      </c>
      <c r="P372" s="30">
        <f>I372-'315019 - P0724'!J372</f>
        <v>0</v>
      </c>
    </row>
    <row r="373" spans="1:16" x14ac:dyDescent="0.25">
      <c r="A373">
        <v>371</v>
      </c>
      <c r="B373" t="s">
        <v>470</v>
      </c>
      <c r="C373" t="s">
        <v>365</v>
      </c>
      <c r="D373" s="4" t="s">
        <v>367</v>
      </c>
      <c r="E373" s="11">
        <v>2952</v>
      </c>
      <c r="F373" s="11">
        <v>2952</v>
      </c>
      <c r="G373" s="13">
        <f t="shared" si="90"/>
        <v>0</v>
      </c>
      <c r="H373" s="7">
        <f t="shared" si="91"/>
        <v>0</v>
      </c>
      <c r="I373" s="8">
        <v>24.324911704207679</v>
      </c>
      <c r="J373" s="9">
        <f t="shared" si="92"/>
        <v>24.324911704207679</v>
      </c>
      <c r="K373" s="3">
        <f t="shared" si="93"/>
        <v>0</v>
      </c>
      <c r="L373" s="7">
        <f t="shared" si="94"/>
        <v>0</v>
      </c>
      <c r="M373" t="s">
        <v>7</v>
      </c>
      <c r="O373" s="3">
        <f>E373-'315019 - P0724'!F373</f>
        <v>0</v>
      </c>
      <c r="P373" s="30">
        <f>I373-'315019 - P0724'!J373</f>
        <v>0</v>
      </c>
    </row>
    <row r="374" spans="1:16" x14ac:dyDescent="0.25">
      <c r="A374">
        <v>372</v>
      </c>
      <c r="B374" t="s">
        <v>303</v>
      </c>
      <c r="C374" t="s">
        <v>365</v>
      </c>
      <c r="D374" s="4" t="s">
        <v>368</v>
      </c>
      <c r="E374" s="11">
        <v>2702</v>
      </c>
      <c r="F374" s="11">
        <v>2702</v>
      </c>
      <c r="G374" s="13">
        <f t="shared" si="90"/>
        <v>0</v>
      </c>
      <c r="H374" s="7">
        <f t="shared" si="91"/>
        <v>0</v>
      </c>
      <c r="I374" s="8">
        <v>40.51093209547124</v>
      </c>
      <c r="J374" s="9">
        <f>(I374*H374)+I374</f>
        <v>40.51093209547124</v>
      </c>
      <c r="K374" s="3">
        <f t="shared" si="93"/>
        <v>0</v>
      </c>
      <c r="L374" s="7">
        <f t="shared" si="94"/>
        <v>0</v>
      </c>
      <c r="M374" t="s">
        <v>7</v>
      </c>
      <c r="O374" s="3">
        <f>E374-'315019 - P0724'!F374</f>
        <v>0</v>
      </c>
      <c r="P374" s="30">
        <f>I374-'315019 - P0724'!J374</f>
        <v>0</v>
      </c>
    </row>
    <row r="375" spans="1:16" x14ac:dyDescent="0.25">
      <c r="A375">
        <v>373</v>
      </c>
      <c r="B375" t="s">
        <v>290</v>
      </c>
      <c r="C375" t="s">
        <v>365</v>
      </c>
      <c r="D375" s="4" t="s">
        <v>369</v>
      </c>
      <c r="E375" s="11">
        <v>2702</v>
      </c>
      <c r="F375" s="11">
        <v>2702</v>
      </c>
      <c r="G375" s="13">
        <f t="shared" si="90"/>
        <v>0</v>
      </c>
      <c r="H375" s="7">
        <f t="shared" si="91"/>
        <v>0</v>
      </c>
      <c r="I375" s="8">
        <v>50.641879791355422</v>
      </c>
      <c r="J375" s="9">
        <f t="shared" si="92"/>
        <v>50.641879791355422</v>
      </c>
      <c r="K375" s="3">
        <f t="shared" si="93"/>
        <v>0</v>
      </c>
      <c r="L375" s="7">
        <f t="shared" si="94"/>
        <v>0</v>
      </c>
      <c r="M375" t="s">
        <v>7</v>
      </c>
      <c r="O375" s="3">
        <f>E375-'315019 - P0724'!F375</f>
        <v>0</v>
      </c>
      <c r="P375" s="30">
        <f>I375-'315019 - P0724'!J375</f>
        <v>0</v>
      </c>
    </row>
    <row r="376" spans="1:16" x14ac:dyDescent="0.25">
      <c r="A376">
        <v>374</v>
      </c>
      <c r="B376" t="s">
        <v>470</v>
      </c>
      <c r="C376" t="s">
        <v>365</v>
      </c>
      <c r="D376" s="4" t="s">
        <v>370</v>
      </c>
      <c r="E376" s="11">
        <v>2702</v>
      </c>
      <c r="F376" s="11">
        <v>2702</v>
      </c>
      <c r="G376" s="13">
        <f t="shared" si="90"/>
        <v>0</v>
      </c>
      <c r="H376" s="7">
        <f t="shared" si="91"/>
        <v>0</v>
      </c>
      <c r="I376" s="8">
        <v>60.769079441442358</v>
      </c>
      <c r="J376" s="9">
        <f t="shared" si="92"/>
        <v>60.769079441442358</v>
      </c>
      <c r="K376" s="3">
        <f t="shared" si="93"/>
        <v>0</v>
      </c>
      <c r="L376" s="7">
        <f t="shared" si="94"/>
        <v>0</v>
      </c>
      <c r="M376" t="s">
        <v>7</v>
      </c>
      <c r="O376" s="3">
        <f>E376-'315019 - P0724'!F376</f>
        <v>0</v>
      </c>
      <c r="P376" s="30">
        <f>I376-'315019 - P0724'!J376</f>
        <v>0</v>
      </c>
    </row>
    <row r="377" spans="1:16" x14ac:dyDescent="0.25">
      <c r="A377">
        <v>375</v>
      </c>
      <c r="B377" t="s">
        <v>479</v>
      </c>
      <c r="C377" t="s">
        <v>365</v>
      </c>
      <c r="D377" s="4" t="s">
        <v>371</v>
      </c>
      <c r="E377" s="11">
        <v>3868</v>
      </c>
      <c r="F377" s="11">
        <v>3868</v>
      </c>
      <c r="G377" s="13">
        <f t="shared" si="90"/>
        <v>0</v>
      </c>
      <c r="H377" s="7">
        <f t="shared" si="91"/>
        <v>0</v>
      </c>
      <c r="I377" s="8">
        <v>63.401973632327376</v>
      </c>
      <c r="J377" s="9">
        <f t="shared" si="92"/>
        <v>63.401973632327376</v>
      </c>
      <c r="K377" s="3">
        <f t="shared" si="93"/>
        <v>0</v>
      </c>
      <c r="L377" s="7">
        <f t="shared" si="94"/>
        <v>0</v>
      </c>
      <c r="M377" t="s">
        <v>7</v>
      </c>
      <c r="O377" s="3">
        <f>E377-'315019 - P0724'!F377</f>
        <v>0</v>
      </c>
      <c r="P377" s="30">
        <f>I377-'315019 - P0724'!J377</f>
        <v>0</v>
      </c>
    </row>
    <row r="378" spans="1:16" x14ac:dyDescent="0.25">
      <c r="A378">
        <v>376</v>
      </c>
      <c r="B378" t="s">
        <v>479</v>
      </c>
      <c r="C378" t="s">
        <v>365</v>
      </c>
      <c r="D378" s="4" t="s">
        <v>372</v>
      </c>
      <c r="E378" s="11">
        <v>3928</v>
      </c>
      <c r="F378" s="11">
        <v>3928</v>
      </c>
      <c r="G378" s="13">
        <f t="shared" si="90"/>
        <v>0</v>
      </c>
      <c r="H378" s="7">
        <f t="shared" si="91"/>
        <v>0</v>
      </c>
      <c r="I378" s="8">
        <v>80.721941958125299</v>
      </c>
      <c r="J378" s="9">
        <f t="shared" si="92"/>
        <v>80.721941958125299</v>
      </c>
      <c r="K378" s="3">
        <f t="shared" si="93"/>
        <v>0</v>
      </c>
      <c r="L378" s="7">
        <f t="shared" si="94"/>
        <v>0</v>
      </c>
      <c r="M378" t="s">
        <v>7</v>
      </c>
      <c r="O378" s="3">
        <f>E378-'315019 - P0724'!F378</f>
        <v>0</v>
      </c>
      <c r="P378" s="30">
        <f>I378-'315019 - P0724'!J378</f>
        <v>0</v>
      </c>
    </row>
    <row r="379" spans="1:16" x14ac:dyDescent="0.25">
      <c r="A379">
        <v>377</v>
      </c>
      <c r="B379" t="s">
        <v>473</v>
      </c>
      <c r="C379" t="s">
        <v>365</v>
      </c>
      <c r="D379" s="4" t="s">
        <v>373</v>
      </c>
      <c r="E379" s="11">
        <v>3928</v>
      </c>
      <c r="F379" s="11">
        <v>3928</v>
      </c>
      <c r="G379" s="13">
        <f t="shared" si="90"/>
        <v>0</v>
      </c>
      <c r="H379" s="7">
        <f t="shared" si="91"/>
        <v>0</v>
      </c>
      <c r="I379" s="8">
        <v>100.90409723646053</v>
      </c>
      <c r="J379" s="9">
        <f t="shared" si="92"/>
        <v>100.90409723646053</v>
      </c>
      <c r="K379" s="3">
        <f t="shared" si="93"/>
        <v>0</v>
      </c>
      <c r="L379" s="7">
        <f t="shared" si="94"/>
        <v>0</v>
      </c>
      <c r="M379" t="s">
        <v>7</v>
      </c>
      <c r="O379" s="3">
        <f>E379-'315019 - P0724'!F379</f>
        <v>0</v>
      </c>
      <c r="P379" s="30">
        <f>I379-'315019 - P0724'!J379</f>
        <v>0</v>
      </c>
    </row>
    <row r="380" spans="1:16" x14ac:dyDescent="0.25">
      <c r="A380">
        <v>378</v>
      </c>
      <c r="B380" t="s">
        <v>470</v>
      </c>
      <c r="C380" t="s">
        <v>365</v>
      </c>
      <c r="D380" s="4" t="s">
        <v>374</v>
      </c>
      <c r="E380" s="11">
        <v>3928</v>
      </c>
      <c r="F380" s="11">
        <v>3928</v>
      </c>
      <c r="G380" s="13">
        <f t="shared" si="90"/>
        <v>0</v>
      </c>
      <c r="H380" s="7">
        <f t="shared" si="91"/>
        <v>0</v>
      </c>
      <c r="I380" s="8">
        <v>121.08871182445142</v>
      </c>
      <c r="J380" s="9">
        <f t="shared" si="92"/>
        <v>121.08871182445142</v>
      </c>
      <c r="K380" s="3">
        <f t="shared" si="93"/>
        <v>0</v>
      </c>
      <c r="L380" s="7">
        <f t="shared" si="94"/>
        <v>0</v>
      </c>
      <c r="M380" t="s">
        <v>7</v>
      </c>
      <c r="O380" s="3">
        <f>E380-'315019 - P0724'!F380</f>
        <v>0</v>
      </c>
      <c r="P380" s="30">
        <f>I380-'315019 - P0724'!J380</f>
        <v>0</v>
      </c>
    </row>
    <row r="381" spans="1:16" x14ac:dyDescent="0.25">
      <c r="A381">
        <v>379</v>
      </c>
      <c r="B381" t="s">
        <v>470</v>
      </c>
      <c r="C381" t="s">
        <v>365</v>
      </c>
      <c r="D381" s="4" t="s">
        <v>375</v>
      </c>
      <c r="E381" s="11">
        <v>3700</v>
      </c>
      <c r="F381" s="11">
        <v>3700</v>
      </c>
      <c r="G381" s="13">
        <f t="shared" si="90"/>
        <v>0</v>
      </c>
      <c r="H381" s="7">
        <f t="shared" si="91"/>
        <v>0</v>
      </c>
      <c r="I381" s="8">
        <v>119.12776534176258</v>
      </c>
      <c r="J381" s="9">
        <f t="shared" si="92"/>
        <v>119.12776534176258</v>
      </c>
      <c r="K381" s="3">
        <f t="shared" si="93"/>
        <v>0</v>
      </c>
      <c r="L381" s="7">
        <f t="shared" si="94"/>
        <v>0</v>
      </c>
      <c r="M381" t="s">
        <v>7</v>
      </c>
      <c r="O381" s="3">
        <f>E381-'315019 - P0724'!F381</f>
        <v>0</v>
      </c>
      <c r="P381" s="30">
        <f>I381-'315019 - P0724'!J381</f>
        <v>0</v>
      </c>
    </row>
    <row r="382" spans="1:16" x14ac:dyDescent="0.25">
      <c r="A382">
        <v>380</v>
      </c>
      <c r="B382" t="s">
        <v>290</v>
      </c>
      <c r="C382" t="s">
        <v>365</v>
      </c>
      <c r="D382" s="4" t="s">
        <v>376</v>
      </c>
      <c r="E382" s="11">
        <v>3700</v>
      </c>
      <c r="F382" s="11">
        <v>3700</v>
      </c>
      <c r="G382" s="13">
        <f t="shared" si="90"/>
        <v>0</v>
      </c>
      <c r="H382" s="7">
        <f t="shared" si="91"/>
        <v>0</v>
      </c>
      <c r="I382" s="8">
        <v>208.45869530604656</v>
      </c>
      <c r="J382" s="9">
        <f t="shared" si="92"/>
        <v>208.45869530604656</v>
      </c>
      <c r="K382" s="3">
        <f t="shared" si="93"/>
        <v>0</v>
      </c>
      <c r="L382" s="7">
        <f t="shared" si="94"/>
        <v>0</v>
      </c>
      <c r="M382" t="s">
        <v>7</v>
      </c>
      <c r="O382" s="3">
        <f>E382-'315019 - P0724'!F382</f>
        <v>0</v>
      </c>
      <c r="P382" s="30">
        <f>I382-'315019 - P0724'!J382</f>
        <v>0</v>
      </c>
    </row>
    <row r="383" spans="1:16" x14ac:dyDescent="0.25">
      <c r="A383">
        <v>381</v>
      </c>
      <c r="B383" t="s">
        <v>303</v>
      </c>
      <c r="C383" t="s">
        <v>365</v>
      </c>
      <c r="D383" s="4" t="s">
        <v>377</v>
      </c>
      <c r="E383" s="11">
        <v>5269</v>
      </c>
      <c r="F383" s="11">
        <v>5269</v>
      </c>
      <c r="G383" s="13">
        <f t="shared" si="90"/>
        <v>0</v>
      </c>
      <c r="H383" s="7">
        <f t="shared" si="91"/>
        <v>0</v>
      </c>
      <c r="I383" s="8">
        <v>195.32781627941307</v>
      </c>
      <c r="J383" s="9">
        <f t="shared" si="92"/>
        <v>195.32781627941307</v>
      </c>
      <c r="K383" s="3">
        <f t="shared" si="93"/>
        <v>0</v>
      </c>
      <c r="L383" s="7">
        <f t="shared" si="94"/>
        <v>0</v>
      </c>
      <c r="M383" t="s">
        <v>7</v>
      </c>
      <c r="O383" s="3">
        <f>E383-'315019 - P0724'!F383</f>
        <v>0</v>
      </c>
      <c r="P383" s="30">
        <f>I383-'315019 - P0724'!J383</f>
        <v>0</v>
      </c>
    </row>
    <row r="384" spans="1:16" x14ac:dyDescent="0.25">
      <c r="A384">
        <v>382</v>
      </c>
      <c r="B384" t="s">
        <v>303</v>
      </c>
      <c r="C384" t="s">
        <v>365</v>
      </c>
      <c r="D384" s="4" t="s">
        <v>378</v>
      </c>
      <c r="E384" s="11">
        <v>5395</v>
      </c>
      <c r="F384" s="11">
        <v>5395</v>
      </c>
      <c r="G384" s="13">
        <f t="shared" si="90"/>
        <v>0</v>
      </c>
      <c r="H384" s="7">
        <f t="shared" si="91"/>
        <v>0</v>
      </c>
      <c r="I384" s="8">
        <v>519.78770475648537</v>
      </c>
      <c r="J384" s="9">
        <f t="shared" si="92"/>
        <v>519.78770475648537</v>
      </c>
      <c r="K384" s="3">
        <f t="shared" si="93"/>
        <v>0</v>
      </c>
      <c r="L384" s="7">
        <f t="shared" si="94"/>
        <v>0</v>
      </c>
      <c r="M384" t="s">
        <v>7</v>
      </c>
      <c r="O384" s="3">
        <f>E384-'315019 - P0724'!F384</f>
        <v>0</v>
      </c>
      <c r="P384" s="30">
        <f>I384-'315019 - P0724'!J384</f>
        <v>0</v>
      </c>
    </row>
    <row r="385" spans="1:16" x14ac:dyDescent="0.25">
      <c r="A385">
        <v>383</v>
      </c>
      <c r="B385" t="s">
        <v>290</v>
      </c>
      <c r="C385" t="s">
        <v>365</v>
      </c>
      <c r="D385" s="4" t="s">
        <v>379</v>
      </c>
      <c r="E385" s="11">
        <v>5200</v>
      </c>
      <c r="F385" s="11">
        <v>5200</v>
      </c>
      <c r="G385" s="13">
        <f t="shared" si="90"/>
        <v>0</v>
      </c>
      <c r="H385" s="7">
        <f t="shared" si="91"/>
        <v>0</v>
      </c>
      <c r="I385" s="8">
        <v>341.80468131321027</v>
      </c>
      <c r="J385" s="9">
        <f t="shared" si="92"/>
        <v>341.80468131321027</v>
      </c>
      <c r="K385" s="3">
        <f t="shared" si="93"/>
        <v>0</v>
      </c>
      <c r="L385" s="7">
        <f t="shared" si="94"/>
        <v>0</v>
      </c>
      <c r="M385" t="s">
        <v>7</v>
      </c>
      <c r="O385" s="3">
        <f>E385-'315019 - P0724'!F385</f>
        <v>0</v>
      </c>
      <c r="P385" s="30">
        <f>I385-'315019 - P0724'!J385</f>
        <v>0</v>
      </c>
    </row>
    <row r="386" spans="1:16" x14ac:dyDescent="0.25">
      <c r="A386">
        <v>384</v>
      </c>
      <c r="B386" t="s">
        <v>485</v>
      </c>
      <c r="C386" t="s">
        <v>343</v>
      </c>
      <c r="D386" s="4" t="s">
        <v>380</v>
      </c>
      <c r="E386" s="12">
        <v>9.0500000000000007</v>
      </c>
      <c r="F386" s="12">
        <v>9.0500000000000007</v>
      </c>
      <c r="G386" s="13">
        <f t="shared" si="90"/>
        <v>0</v>
      </c>
      <c r="H386" s="7">
        <f t="shared" si="91"/>
        <v>0</v>
      </c>
      <c r="I386" s="8">
        <v>9.4511903255813987</v>
      </c>
      <c r="J386" s="9">
        <f t="shared" si="92"/>
        <v>9.4511903255813987</v>
      </c>
      <c r="K386" s="3">
        <f t="shared" si="93"/>
        <v>0</v>
      </c>
      <c r="L386" s="7">
        <f t="shared" si="94"/>
        <v>0</v>
      </c>
      <c r="M386" t="s">
        <v>121</v>
      </c>
      <c r="O386" s="3">
        <f>E386-'315019 - P0724'!F386</f>
        <v>0</v>
      </c>
      <c r="P386" s="30">
        <f>I386-'315019 - P0724'!J386</f>
        <v>0</v>
      </c>
    </row>
    <row r="387" spans="1:16" x14ac:dyDescent="0.25">
      <c r="A387">
        <v>385</v>
      </c>
      <c r="B387" t="s">
        <v>290</v>
      </c>
      <c r="C387" t="s">
        <v>343</v>
      </c>
      <c r="D387" s="4" t="s">
        <v>381</v>
      </c>
      <c r="E387" s="12">
        <v>17.38</v>
      </c>
      <c r="F387" s="12">
        <v>17.38</v>
      </c>
      <c r="G387" s="13">
        <f t="shared" si="90"/>
        <v>0</v>
      </c>
      <c r="H387" s="7">
        <f t="shared" si="91"/>
        <v>0</v>
      </c>
      <c r="I387" s="8">
        <v>18.138687748031494</v>
      </c>
      <c r="J387" s="9">
        <f t="shared" si="92"/>
        <v>18.138687748031494</v>
      </c>
      <c r="K387" s="3">
        <f t="shared" si="93"/>
        <v>0</v>
      </c>
      <c r="L387" s="7">
        <f t="shared" si="94"/>
        <v>0</v>
      </c>
      <c r="M387" t="s">
        <v>121</v>
      </c>
      <c r="O387" s="3">
        <f>E387-'315019 - P0724'!F387</f>
        <v>0</v>
      </c>
      <c r="P387" s="30">
        <f>I387-'315019 - P0724'!J387</f>
        <v>0</v>
      </c>
    </row>
    <row r="388" spans="1:16" x14ac:dyDescent="0.25">
      <c r="A388">
        <v>386</v>
      </c>
      <c r="B388" t="s">
        <v>481</v>
      </c>
      <c r="C388" s="28" t="s">
        <v>382</v>
      </c>
      <c r="D388" s="4" t="s">
        <v>383</v>
      </c>
      <c r="E388" s="14">
        <v>112.02</v>
      </c>
      <c r="F388" s="14">
        <v>112.02</v>
      </c>
      <c r="G388" s="6">
        <f t="shared" si="90"/>
        <v>0</v>
      </c>
      <c r="H388" s="7">
        <f t="shared" si="91"/>
        <v>0</v>
      </c>
      <c r="I388" s="8">
        <v>334.74445542845763</v>
      </c>
      <c r="J388" s="9">
        <f t="shared" si="92"/>
        <v>334.74445542845763</v>
      </c>
      <c r="K388" s="3">
        <f t="shared" si="93"/>
        <v>0</v>
      </c>
      <c r="L388" s="7">
        <f t="shared" si="94"/>
        <v>0</v>
      </c>
      <c r="M388" t="s">
        <v>121</v>
      </c>
      <c r="O388" s="3">
        <f>E388-'315019 - P0724'!F388</f>
        <v>0</v>
      </c>
      <c r="P388" s="30">
        <f>I388-'315019 - P0724'!J388</f>
        <v>0</v>
      </c>
    </row>
    <row r="389" spans="1:16" x14ac:dyDescent="0.25">
      <c r="A389">
        <v>387</v>
      </c>
      <c r="B389" t="s">
        <v>482</v>
      </c>
      <c r="C389" s="28" t="s">
        <v>343</v>
      </c>
      <c r="D389" s="4" t="s">
        <v>384</v>
      </c>
      <c r="E389" s="11">
        <v>35.4</v>
      </c>
      <c r="F389" s="11">
        <v>35.4</v>
      </c>
      <c r="G389" s="6">
        <f t="shared" si="90"/>
        <v>0</v>
      </c>
      <c r="H389" s="7">
        <f t="shared" si="91"/>
        <v>0</v>
      </c>
      <c r="I389" s="8">
        <v>53.73333333333332</v>
      </c>
      <c r="J389" s="9">
        <f t="shared" si="92"/>
        <v>53.73333333333332</v>
      </c>
      <c r="K389" s="3">
        <f t="shared" si="93"/>
        <v>0</v>
      </c>
      <c r="L389" s="7">
        <f t="shared" si="94"/>
        <v>0</v>
      </c>
      <c r="M389" t="s">
        <v>150</v>
      </c>
      <c r="O389" s="3">
        <f>E389-'315019 - P0724'!F389</f>
        <v>0</v>
      </c>
      <c r="P389" s="30">
        <f>I389-'315019 - P0724'!J389</f>
        <v>0</v>
      </c>
    </row>
    <row r="390" spans="1:16" x14ac:dyDescent="0.25">
      <c r="A390">
        <v>388</v>
      </c>
      <c r="B390" t="s">
        <v>476</v>
      </c>
      <c r="C390" s="28" t="s">
        <v>385</v>
      </c>
      <c r="D390" s="4" t="s">
        <v>386</v>
      </c>
      <c r="E390" s="11">
        <v>70.2</v>
      </c>
      <c r="F390" s="11">
        <v>70.2</v>
      </c>
      <c r="G390" s="6">
        <f t="shared" si="90"/>
        <v>0</v>
      </c>
      <c r="H390" s="7">
        <f t="shared" si="91"/>
        <v>0</v>
      </c>
      <c r="I390" s="8">
        <v>114.84819573542534</v>
      </c>
      <c r="J390" s="9">
        <f t="shared" si="92"/>
        <v>114.84819573542534</v>
      </c>
      <c r="K390" s="3">
        <f t="shared" si="93"/>
        <v>0</v>
      </c>
      <c r="L390" s="7">
        <f t="shared" si="94"/>
        <v>0</v>
      </c>
      <c r="M390" t="s">
        <v>150</v>
      </c>
      <c r="O390" s="3">
        <f>E390-'315019 - P0724'!F390</f>
        <v>0</v>
      </c>
      <c r="P390" s="30">
        <f>I390-'315019 - P0724'!J390</f>
        <v>0</v>
      </c>
    </row>
    <row r="391" spans="1:16" x14ac:dyDescent="0.25">
      <c r="A391">
        <v>389</v>
      </c>
      <c r="B391" t="s">
        <v>445</v>
      </c>
      <c r="C391" s="28" t="s">
        <v>351</v>
      </c>
      <c r="D391" s="4" t="s">
        <v>500</v>
      </c>
      <c r="E391" s="11">
        <v>208</v>
      </c>
      <c r="F391" s="11">
        <v>208</v>
      </c>
      <c r="G391" s="6">
        <f t="shared" si="90"/>
        <v>0</v>
      </c>
      <c r="H391" s="7">
        <f t="shared" si="91"/>
        <v>0</v>
      </c>
      <c r="I391" s="8">
        <v>297.15636363636361</v>
      </c>
      <c r="J391" s="9">
        <f t="shared" si="92"/>
        <v>297.15636363636361</v>
      </c>
      <c r="K391" s="3">
        <f t="shared" si="93"/>
        <v>0</v>
      </c>
      <c r="L391" s="7">
        <f t="shared" si="94"/>
        <v>0</v>
      </c>
      <c r="M391" t="s">
        <v>150</v>
      </c>
      <c r="O391" s="3">
        <f>E391-'315019 - P0724'!F391</f>
        <v>0</v>
      </c>
      <c r="P391" s="30">
        <f>I391-'315019 - P0724'!J391</f>
        <v>0</v>
      </c>
    </row>
    <row r="392" spans="1:16" x14ac:dyDescent="0.25">
      <c r="A392">
        <v>390</v>
      </c>
      <c r="B392" t="s">
        <v>387</v>
      </c>
      <c r="C392" s="28" t="s">
        <v>351</v>
      </c>
      <c r="D392" s="4" t="s">
        <v>388</v>
      </c>
      <c r="E392" s="12">
        <v>13.11</v>
      </c>
      <c r="F392" s="12">
        <v>13.11</v>
      </c>
      <c r="G392" s="6">
        <f t="shared" si="90"/>
        <v>0</v>
      </c>
      <c r="H392" s="7">
        <f t="shared" si="91"/>
        <v>0</v>
      </c>
      <c r="I392" s="8">
        <v>15.06</v>
      </c>
      <c r="J392" s="9">
        <f t="shared" si="92"/>
        <v>15.06</v>
      </c>
      <c r="K392" s="3">
        <f t="shared" si="93"/>
        <v>0</v>
      </c>
      <c r="L392" s="7">
        <f t="shared" si="94"/>
        <v>0</v>
      </c>
      <c r="M392" t="s">
        <v>150</v>
      </c>
      <c r="O392" s="3">
        <f>E392-'315019 - P0724'!F392</f>
        <v>0</v>
      </c>
      <c r="P392" s="30">
        <f>I392-'315019 - P0724'!J392</f>
        <v>0</v>
      </c>
    </row>
    <row r="393" spans="1:16" x14ac:dyDescent="0.25">
      <c r="A393">
        <v>391</v>
      </c>
      <c r="B393" t="s">
        <v>387</v>
      </c>
      <c r="C393" s="28" t="s">
        <v>351</v>
      </c>
      <c r="D393" s="4" t="s">
        <v>389</v>
      </c>
      <c r="E393" s="12">
        <v>27.99</v>
      </c>
      <c r="F393" s="12">
        <v>27.99</v>
      </c>
      <c r="G393" s="6">
        <f t="shared" si="90"/>
        <v>0</v>
      </c>
      <c r="H393" s="7">
        <f t="shared" si="91"/>
        <v>0</v>
      </c>
      <c r="I393" s="8">
        <v>32.15</v>
      </c>
      <c r="J393" s="9">
        <f t="shared" si="92"/>
        <v>32.15</v>
      </c>
      <c r="K393" s="3">
        <f t="shared" si="93"/>
        <v>0</v>
      </c>
      <c r="L393" s="7">
        <f t="shared" si="94"/>
        <v>0</v>
      </c>
      <c r="M393" t="s">
        <v>150</v>
      </c>
      <c r="O393" s="3">
        <f>E393-'315019 - P0724'!F393</f>
        <v>0</v>
      </c>
      <c r="P393" s="30">
        <f>I393-'315019 - P0724'!J393</f>
        <v>0</v>
      </c>
    </row>
    <row r="394" spans="1:16" x14ac:dyDescent="0.25">
      <c r="A394">
        <v>392</v>
      </c>
      <c r="B394" t="s">
        <v>387</v>
      </c>
      <c r="C394" s="28" t="s">
        <v>351</v>
      </c>
      <c r="D394" s="4" t="s">
        <v>390</v>
      </c>
      <c r="E394" s="12">
        <v>24.27</v>
      </c>
      <c r="F394" s="12">
        <v>24.27</v>
      </c>
      <c r="G394" s="6">
        <f t="shared" si="90"/>
        <v>0</v>
      </c>
      <c r="H394" s="7">
        <f t="shared" si="91"/>
        <v>0</v>
      </c>
      <c r="I394" s="8">
        <v>27.88</v>
      </c>
      <c r="J394" s="9">
        <f t="shared" si="92"/>
        <v>27.88</v>
      </c>
      <c r="K394" s="3">
        <f t="shared" si="93"/>
        <v>0</v>
      </c>
      <c r="L394" s="7">
        <f t="shared" si="94"/>
        <v>0</v>
      </c>
      <c r="M394" t="s">
        <v>150</v>
      </c>
      <c r="O394" s="3">
        <f>E394-'315019 - P0724'!F394</f>
        <v>0</v>
      </c>
      <c r="P394" s="30">
        <f>I394-'315019 - P0724'!J394</f>
        <v>0</v>
      </c>
    </row>
    <row r="395" spans="1:16" x14ac:dyDescent="0.25">
      <c r="A395">
        <v>393</v>
      </c>
      <c r="C395" s="28"/>
      <c r="D395" s="34" t="s">
        <v>391</v>
      </c>
      <c r="M395" t="s">
        <v>150</v>
      </c>
    </row>
    <row r="396" spans="1:16" x14ac:dyDescent="0.25">
      <c r="A396">
        <v>394</v>
      </c>
      <c r="B396" t="s">
        <v>322</v>
      </c>
      <c r="C396" s="28" t="s">
        <v>354</v>
      </c>
      <c r="D396" s="4" t="s">
        <v>392</v>
      </c>
      <c r="E396" s="12">
        <v>3.7791000000000001</v>
      </c>
      <c r="F396" s="12">
        <v>3.7791000000000001</v>
      </c>
      <c r="G396" s="6">
        <f t="shared" ref="G396:G413" si="95">+F396-E396</f>
        <v>0</v>
      </c>
      <c r="H396" s="7">
        <f t="shared" ref="H396:H413" si="96">(F396-E396)/ABS(E396)</f>
        <v>0</v>
      </c>
      <c r="I396" s="8">
        <v>7.5582000000000003</v>
      </c>
      <c r="J396" s="9">
        <f t="shared" ref="J396:J413" si="97">(I396*H396)+I396</f>
        <v>7.5582000000000003</v>
      </c>
      <c r="K396" s="3">
        <f t="shared" ref="K396:K413" si="98">J396-I396</f>
        <v>0</v>
      </c>
      <c r="L396" s="7">
        <f t="shared" ref="L396:L413" si="99">(J396-I396)/ABS(I396)</f>
        <v>0</v>
      </c>
      <c r="M396" t="s">
        <v>150</v>
      </c>
      <c r="O396" s="3">
        <f>E396-'315019 - P0724'!F396</f>
        <v>0</v>
      </c>
      <c r="P396" s="30">
        <f>I396-'315019 - P0724'!J396</f>
        <v>0</v>
      </c>
    </row>
    <row r="397" spans="1:16" x14ac:dyDescent="0.25">
      <c r="A397">
        <v>395</v>
      </c>
      <c r="B397" t="s">
        <v>476</v>
      </c>
      <c r="C397" s="28" t="s">
        <v>354</v>
      </c>
      <c r="D397" s="4" t="s">
        <v>393</v>
      </c>
      <c r="E397" s="12">
        <v>1.81</v>
      </c>
      <c r="F397" s="12">
        <v>1.81</v>
      </c>
      <c r="G397" s="6">
        <f t="shared" si="95"/>
        <v>0</v>
      </c>
      <c r="H397" s="7">
        <f t="shared" si="96"/>
        <v>0</v>
      </c>
      <c r="I397" s="8">
        <v>3.62</v>
      </c>
      <c r="J397" s="9">
        <f t="shared" si="97"/>
        <v>3.62</v>
      </c>
      <c r="K397" s="3">
        <f t="shared" si="98"/>
        <v>0</v>
      </c>
      <c r="L397" s="7">
        <f t="shared" si="99"/>
        <v>0</v>
      </c>
      <c r="M397" t="s">
        <v>150</v>
      </c>
      <c r="O397" s="3">
        <f>E397-'315019 - P0724'!F397</f>
        <v>0</v>
      </c>
      <c r="P397" s="30">
        <f>I397-'315019 - P0724'!J397</f>
        <v>0</v>
      </c>
    </row>
    <row r="398" spans="1:16" x14ac:dyDescent="0.25">
      <c r="A398">
        <v>396</v>
      </c>
      <c r="B398" t="s">
        <v>480</v>
      </c>
      <c r="C398" s="28" t="s">
        <v>354</v>
      </c>
      <c r="D398" s="4" t="s">
        <v>394</v>
      </c>
      <c r="E398" s="12">
        <v>3.01</v>
      </c>
      <c r="F398" s="12">
        <v>3.01</v>
      </c>
      <c r="G398" s="6">
        <f t="shared" si="95"/>
        <v>0</v>
      </c>
      <c r="H398" s="7">
        <f t="shared" si="96"/>
        <v>0</v>
      </c>
      <c r="I398" s="8">
        <v>6.02</v>
      </c>
      <c r="J398" s="9">
        <f t="shared" si="97"/>
        <v>6.02</v>
      </c>
      <c r="K398" s="3">
        <f t="shared" si="98"/>
        <v>0</v>
      </c>
      <c r="L398" s="7">
        <f t="shared" si="99"/>
        <v>0</v>
      </c>
      <c r="M398" t="s">
        <v>150</v>
      </c>
      <c r="O398" s="3">
        <f>E398-'315019 - P0724'!F398</f>
        <v>0</v>
      </c>
      <c r="P398" s="30">
        <f>I398-'315019 - P0724'!J398</f>
        <v>0</v>
      </c>
    </row>
    <row r="399" spans="1:16" x14ac:dyDescent="0.25">
      <c r="A399">
        <v>397</v>
      </c>
      <c r="B399" t="s">
        <v>470</v>
      </c>
      <c r="C399" s="28" t="s">
        <v>354</v>
      </c>
      <c r="D399" s="4" t="s">
        <v>395</v>
      </c>
      <c r="E399" s="12">
        <v>27.08</v>
      </c>
      <c r="F399" s="12">
        <v>27.08</v>
      </c>
      <c r="G399" s="6">
        <f t="shared" si="95"/>
        <v>0</v>
      </c>
      <c r="H399" s="7">
        <f t="shared" si="96"/>
        <v>0</v>
      </c>
      <c r="I399" s="8">
        <v>54.16</v>
      </c>
      <c r="J399" s="9">
        <f t="shared" si="97"/>
        <v>54.16</v>
      </c>
      <c r="K399" s="3">
        <f t="shared" si="98"/>
        <v>0</v>
      </c>
      <c r="L399" s="7">
        <f t="shared" si="99"/>
        <v>0</v>
      </c>
      <c r="M399" t="s">
        <v>150</v>
      </c>
      <c r="O399" s="3">
        <f>E399-'315019 - P0724'!F399</f>
        <v>0</v>
      </c>
      <c r="P399" s="30">
        <f>I399-'315019 - P0724'!J399</f>
        <v>0</v>
      </c>
    </row>
    <row r="400" spans="1:16" x14ac:dyDescent="0.25">
      <c r="A400">
        <v>398</v>
      </c>
      <c r="B400" t="s">
        <v>303</v>
      </c>
      <c r="C400" s="28" t="s">
        <v>354</v>
      </c>
      <c r="D400" s="4" t="s">
        <v>396</v>
      </c>
      <c r="E400" s="12">
        <v>18.07</v>
      </c>
      <c r="F400" s="12">
        <v>18.07</v>
      </c>
      <c r="G400" s="6">
        <f t="shared" si="95"/>
        <v>0</v>
      </c>
      <c r="H400" s="7">
        <f t="shared" si="96"/>
        <v>0</v>
      </c>
      <c r="I400" s="8">
        <v>32.273257621040045</v>
      </c>
      <c r="J400" s="9">
        <f t="shared" si="97"/>
        <v>32.273257621040045</v>
      </c>
      <c r="K400" s="3">
        <f t="shared" si="98"/>
        <v>0</v>
      </c>
      <c r="L400" s="7">
        <f t="shared" si="99"/>
        <v>0</v>
      </c>
      <c r="M400" t="s">
        <v>150</v>
      </c>
      <c r="O400" s="3">
        <f>E400-'315019 - P0724'!F400</f>
        <v>0</v>
      </c>
      <c r="P400" s="30">
        <f>I400-'315019 - P0724'!J400</f>
        <v>0</v>
      </c>
    </row>
    <row r="401" spans="1:16" x14ac:dyDescent="0.25">
      <c r="A401">
        <v>399</v>
      </c>
      <c r="B401" t="s">
        <v>303</v>
      </c>
      <c r="C401" s="28" t="s">
        <v>354</v>
      </c>
      <c r="D401" s="4" t="s">
        <v>397</v>
      </c>
      <c r="E401" s="12">
        <v>11.92</v>
      </c>
      <c r="F401" s="12">
        <v>11.92</v>
      </c>
      <c r="G401" s="6">
        <f t="shared" si="95"/>
        <v>0</v>
      </c>
      <c r="H401" s="7">
        <f t="shared" si="96"/>
        <v>0</v>
      </c>
      <c r="I401" s="8">
        <v>23.863213242453746</v>
      </c>
      <c r="J401" s="9">
        <f t="shared" si="97"/>
        <v>23.863213242453746</v>
      </c>
      <c r="K401" s="3">
        <f t="shared" si="98"/>
        <v>0</v>
      </c>
      <c r="L401" s="7">
        <f t="shared" si="99"/>
        <v>0</v>
      </c>
      <c r="M401" t="s">
        <v>150</v>
      </c>
      <c r="O401" s="3">
        <f>E401-'315019 - P0724'!F401</f>
        <v>0</v>
      </c>
      <c r="P401" s="30">
        <f>I401-'315019 - P0724'!J401</f>
        <v>0</v>
      </c>
    </row>
    <row r="402" spans="1:16" x14ac:dyDescent="0.25">
      <c r="A402">
        <v>400</v>
      </c>
      <c r="B402" t="s">
        <v>303</v>
      </c>
      <c r="C402" s="28" t="s">
        <v>354</v>
      </c>
      <c r="D402" s="4" t="s">
        <v>398</v>
      </c>
      <c r="E402" s="12">
        <v>12.97</v>
      </c>
      <c r="F402" s="12">
        <v>12.97</v>
      </c>
      <c r="G402" s="6">
        <f t="shared" si="95"/>
        <v>0</v>
      </c>
      <c r="H402" s="7">
        <f t="shared" si="96"/>
        <v>0</v>
      </c>
      <c r="I402" s="8">
        <v>25.96322291853178</v>
      </c>
      <c r="J402" s="9">
        <f t="shared" si="97"/>
        <v>25.96322291853178</v>
      </c>
      <c r="K402" s="3">
        <f t="shared" si="98"/>
        <v>0</v>
      </c>
      <c r="L402" s="7">
        <f t="shared" si="99"/>
        <v>0</v>
      </c>
      <c r="M402" t="s">
        <v>150</v>
      </c>
      <c r="O402" s="3">
        <f>E402-'315019 - P0724'!F402</f>
        <v>0</v>
      </c>
      <c r="P402" s="30">
        <f>I402-'315019 - P0724'!J402</f>
        <v>0</v>
      </c>
    </row>
    <row r="403" spans="1:16" x14ac:dyDescent="0.25">
      <c r="A403">
        <v>401</v>
      </c>
      <c r="B403" t="s">
        <v>475</v>
      </c>
      <c r="C403" s="28" t="s">
        <v>354</v>
      </c>
      <c r="D403" s="4" t="s">
        <v>399</v>
      </c>
      <c r="E403" s="12">
        <v>51.3</v>
      </c>
      <c r="F403" s="12">
        <v>51.3</v>
      </c>
      <c r="G403" s="6">
        <f t="shared" si="95"/>
        <v>0</v>
      </c>
      <c r="H403" s="7">
        <f t="shared" si="96"/>
        <v>0</v>
      </c>
      <c r="I403" s="8">
        <v>102.6</v>
      </c>
      <c r="J403" s="9">
        <f t="shared" si="97"/>
        <v>102.6</v>
      </c>
      <c r="K403" s="3">
        <f t="shared" si="98"/>
        <v>0</v>
      </c>
      <c r="L403" s="7">
        <f t="shared" si="99"/>
        <v>0</v>
      </c>
      <c r="M403" t="s">
        <v>150</v>
      </c>
      <c r="O403" s="3">
        <f>E403-'315019 - P0724'!F403</f>
        <v>0</v>
      </c>
      <c r="P403" s="30">
        <f>I403-'315019 - P0724'!J403</f>
        <v>0</v>
      </c>
    </row>
    <row r="404" spans="1:16" x14ac:dyDescent="0.25">
      <c r="A404">
        <v>402</v>
      </c>
      <c r="B404" t="s">
        <v>479</v>
      </c>
      <c r="C404" s="28" t="s">
        <v>354</v>
      </c>
      <c r="D404" s="4" t="s">
        <v>400</v>
      </c>
      <c r="E404" s="12">
        <v>21.37</v>
      </c>
      <c r="F404" s="12">
        <v>21.37</v>
      </c>
      <c r="G404" s="6">
        <f t="shared" si="95"/>
        <v>0</v>
      </c>
      <c r="H404" s="7">
        <f t="shared" si="96"/>
        <v>0</v>
      </c>
      <c r="I404" s="8">
        <v>42.74</v>
      </c>
      <c r="J404" s="9">
        <f t="shared" si="97"/>
        <v>42.74</v>
      </c>
      <c r="K404" s="3">
        <f t="shared" si="98"/>
        <v>0</v>
      </c>
      <c r="L404" s="7">
        <f t="shared" si="99"/>
        <v>0</v>
      </c>
      <c r="M404" t="s">
        <v>150</v>
      </c>
      <c r="O404" s="3">
        <f>E404-'315019 - P0724'!F404</f>
        <v>0</v>
      </c>
      <c r="P404" s="30">
        <f>I404-'315019 - P0724'!J404</f>
        <v>0</v>
      </c>
    </row>
    <row r="405" spans="1:16" x14ac:dyDescent="0.25">
      <c r="A405">
        <v>403</v>
      </c>
      <c r="B405" t="s">
        <v>476</v>
      </c>
      <c r="C405" s="28" t="s">
        <v>354</v>
      </c>
      <c r="D405" s="4" t="s">
        <v>401</v>
      </c>
      <c r="E405" s="12">
        <v>37.51</v>
      </c>
      <c r="F405" s="12">
        <v>37.51</v>
      </c>
      <c r="G405" s="6">
        <f t="shared" si="95"/>
        <v>0</v>
      </c>
      <c r="H405" s="7">
        <f t="shared" si="96"/>
        <v>0</v>
      </c>
      <c r="I405" s="8">
        <v>75.02</v>
      </c>
      <c r="J405" s="9">
        <f t="shared" si="97"/>
        <v>75.02</v>
      </c>
      <c r="K405" s="3">
        <f t="shared" si="98"/>
        <v>0</v>
      </c>
      <c r="L405" s="7">
        <f t="shared" si="99"/>
        <v>0</v>
      </c>
      <c r="M405" t="s">
        <v>150</v>
      </c>
      <c r="O405" s="3">
        <f>E405-'315019 - P0724'!F405</f>
        <v>0</v>
      </c>
      <c r="P405" s="30">
        <f>I405-'315019 - P0724'!J405</f>
        <v>0</v>
      </c>
    </row>
    <row r="406" spans="1:16" x14ac:dyDescent="0.25">
      <c r="A406">
        <v>404</v>
      </c>
      <c r="B406" t="s">
        <v>476</v>
      </c>
      <c r="C406" s="28" t="s">
        <v>354</v>
      </c>
      <c r="D406" s="4" t="s">
        <v>402</v>
      </c>
      <c r="E406" s="12">
        <v>1.79</v>
      </c>
      <c r="F406" s="12">
        <v>1.79</v>
      </c>
      <c r="G406" s="6">
        <f t="shared" si="95"/>
        <v>0</v>
      </c>
      <c r="H406" s="7">
        <f t="shared" si="96"/>
        <v>0</v>
      </c>
      <c r="I406" s="8">
        <v>4</v>
      </c>
      <c r="J406" s="9">
        <f t="shared" si="97"/>
        <v>4</v>
      </c>
      <c r="K406" s="3">
        <f t="shared" si="98"/>
        <v>0</v>
      </c>
      <c r="L406" s="7">
        <f t="shared" si="99"/>
        <v>0</v>
      </c>
      <c r="M406" t="s">
        <v>150</v>
      </c>
      <c r="O406" s="3">
        <f>E406-'315019 - P0724'!F406</f>
        <v>0</v>
      </c>
      <c r="P406" s="30">
        <f>I406-'315019 - P0724'!J406</f>
        <v>0</v>
      </c>
    </row>
    <row r="407" spans="1:16" x14ac:dyDescent="0.25">
      <c r="A407">
        <v>405</v>
      </c>
      <c r="B407" t="s">
        <v>476</v>
      </c>
      <c r="C407" s="28" t="s">
        <v>354</v>
      </c>
      <c r="D407" s="4" t="s">
        <v>403</v>
      </c>
      <c r="E407" s="12">
        <v>2.4700000000000002</v>
      </c>
      <c r="F407" s="12">
        <v>2.4700000000000002</v>
      </c>
      <c r="G407" s="6">
        <f t="shared" si="95"/>
        <v>0</v>
      </c>
      <c r="H407" s="7">
        <f t="shared" si="96"/>
        <v>0</v>
      </c>
      <c r="I407" s="8">
        <v>5</v>
      </c>
      <c r="J407" s="9">
        <f t="shared" si="97"/>
        <v>5</v>
      </c>
      <c r="K407" s="3">
        <f t="shared" si="98"/>
        <v>0</v>
      </c>
      <c r="L407" s="7">
        <f t="shared" si="99"/>
        <v>0</v>
      </c>
      <c r="M407" t="s">
        <v>150</v>
      </c>
      <c r="O407" s="3">
        <f>E407-'315019 - P0724'!F407</f>
        <v>0</v>
      </c>
      <c r="P407" s="30">
        <f>I407-'315019 - P0724'!J407</f>
        <v>0</v>
      </c>
    </row>
    <row r="408" spans="1:16" x14ac:dyDescent="0.25">
      <c r="A408">
        <v>406</v>
      </c>
      <c r="B408" t="s">
        <v>474</v>
      </c>
      <c r="C408" s="28" t="s">
        <v>354</v>
      </c>
      <c r="D408" s="4" t="s">
        <v>404</v>
      </c>
      <c r="E408" s="12">
        <v>6.48</v>
      </c>
      <c r="F408" s="12">
        <v>6.48</v>
      </c>
      <c r="G408" s="6">
        <f t="shared" si="95"/>
        <v>0</v>
      </c>
      <c r="H408" s="7">
        <f t="shared" si="96"/>
        <v>0</v>
      </c>
      <c r="I408" s="8">
        <v>12.96</v>
      </c>
      <c r="J408" s="9">
        <f t="shared" si="97"/>
        <v>12.96</v>
      </c>
      <c r="K408" s="3">
        <f t="shared" si="98"/>
        <v>0</v>
      </c>
      <c r="L408" s="7">
        <f t="shared" si="99"/>
        <v>0</v>
      </c>
      <c r="M408" t="s">
        <v>150</v>
      </c>
      <c r="O408" s="3">
        <f>E408-'315019 - P0724'!F408</f>
        <v>0</v>
      </c>
      <c r="P408" s="30">
        <f>I408-'315019 - P0724'!J408</f>
        <v>0</v>
      </c>
    </row>
    <row r="409" spans="1:16" x14ac:dyDescent="0.25">
      <c r="A409">
        <v>407</v>
      </c>
      <c r="B409" t="s">
        <v>474</v>
      </c>
      <c r="C409" s="28" t="s">
        <v>354</v>
      </c>
      <c r="D409" s="4" t="s">
        <v>405</v>
      </c>
      <c r="E409" s="12">
        <v>10.78</v>
      </c>
      <c r="F409" s="12">
        <v>10.78</v>
      </c>
      <c r="G409" s="6">
        <f t="shared" si="95"/>
        <v>0</v>
      </c>
      <c r="H409" s="7">
        <f t="shared" si="96"/>
        <v>0</v>
      </c>
      <c r="I409" s="8">
        <v>21.56</v>
      </c>
      <c r="J409" s="9">
        <f t="shared" si="97"/>
        <v>21.56</v>
      </c>
      <c r="K409" s="3">
        <f t="shared" si="98"/>
        <v>0</v>
      </c>
      <c r="L409" s="7">
        <f t="shared" si="99"/>
        <v>0</v>
      </c>
      <c r="M409" t="s">
        <v>150</v>
      </c>
      <c r="O409" s="3">
        <f>E409-'315019 - P0724'!F409</f>
        <v>0</v>
      </c>
      <c r="P409" s="30">
        <f>I409-'315019 - P0724'!J409</f>
        <v>0</v>
      </c>
    </row>
    <row r="410" spans="1:16" x14ac:dyDescent="0.25">
      <c r="A410">
        <v>408</v>
      </c>
      <c r="B410" t="s">
        <v>474</v>
      </c>
      <c r="C410" s="28" t="s">
        <v>354</v>
      </c>
      <c r="D410" s="4" t="s">
        <v>406</v>
      </c>
      <c r="E410" s="12">
        <v>13.22</v>
      </c>
      <c r="F410" s="12">
        <v>13.22</v>
      </c>
      <c r="G410" s="6">
        <f t="shared" si="95"/>
        <v>0</v>
      </c>
      <c r="H410" s="7">
        <f t="shared" si="96"/>
        <v>0</v>
      </c>
      <c r="I410" s="8">
        <v>26.44</v>
      </c>
      <c r="J410" s="9">
        <f t="shared" si="97"/>
        <v>26.44</v>
      </c>
      <c r="K410" s="3">
        <f t="shared" si="98"/>
        <v>0</v>
      </c>
      <c r="L410" s="7">
        <f t="shared" si="99"/>
        <v>0</v>
      </c>
      <c r="M410" t="s">
        <v>150</v>
      </c>
      <c r="O410" s="3">
        <f>E410-'315019 - P0724'!F410</f>
        <v>0</v>
      </c>
      <c r="P410" s="30">
        <f>I410-'315019 - P0724'!J410</f>
        <v>0</v>
      </c>
    </row>
    <row r="411" spans="1:16" x14ac:dyDescent="0.25">
      <c r="A411">
        <v>409</v>
      </c>
      <c r="B411" t="s">
        <v>476</v>
      </c>
      <c r="C411" s="28" t="s">
        <v>354</v>
      </c>
      <c r="D411" s="4" t="s">
        <v>407</v>
      </c>
      <c r="E411" s="12">
        <v>14.72</v>
      </c>
      <c r="F411" s="12">
        <v>14.72</v>
      </c>
      <c r="G411" s="6">
        <f t="shared" si="95"/>
        <v>0</v>
      </c>
      <c r="H411" s="7">
        <f t="shared" si="96"/>
        <v>0</v>
      </c>
      <c r="I411" s="8">
        <v>29.44</v>
      </c>
      <c r="J411" s="9">
        <f t="shared" si="97"/>
        <v>29.44</v>
      </c>
      <c r="K411" s="3">
        <f t="shared" si="98"/>
        <v>0</v>
      </c>
      <c r="L411" s="7">
        <f t="shared" si="99"/>
        <v>0</v>
      </c>
      <c r="M411" t="s">
        <v>150</v>
      </c>
      <c r="O411" s="3">
        <f>E411-'315019 - P0724'!F411</f>
        <v>0</v>
      </c>
      <c r="P411" s="30">
        <f>I411-'315019 - P0724'!J411</f>
        <v>0</v>
      </c>
    </row>
    <row r="412" spans="1:16" x14ac:dyDescent="0.25">
      <c r="A412">
        <v>410</v>
      </c>
      <c r="B412" t="s">
        <v>476</v>
      </c>
      <c r="C412" s="28" t="s">
        <v>354</v>
      </c>
      <c r="D412" s="4" t="s">
        <v>408</v>
      </c>
      <c r="E412" s="12">
        <v>3.74</v>
      </c>
      <c r="F412" s="12">
        <v>3.74</v>
      </c>
      <c r="G412" s="6">
        <f t="shared" si="95"/>
        <v>0</v>
      </c>
      <c r="H412" s="7">
        <f t="shared" si="96"/>
        <v>0</v>
      </c>
      <c r="I412" s="8">
        <v>7.48</v>
      </c>
      <c r="J412" s="9">
        <f t="shared" si="97"/>
        <v>7.48</v>
      </c>
      <c r="K412" s="3">
        <f t="shared" si="98"/>
        <v>0</v>
      </c>
      <c r="L412" s="7">
        <f t="shared" si="99"/>
        <v>0</v>
      </c>
      <c r="M412" t="s">
        <v>150</v>
      </c>
      <c r="O412" s="3">
        <f>E412-'315019 - P0724'!F412</f>
        <v>0</v>
      </c>
      <c r="P412" s="30">
        <f>I412-'315019 - P0724'!J412</f>
        <v>0</v>
      </c>
    </row>
    <row r="413" spans="1:16" x14ac:dyDescent="0.25">
      <c r="A413">
        <v>411</v>
      </c>
      <c r="B413" t="s">
        <v>476</v>
      </c>
      <c r="C413" s="28" t="s">
        <v>354</v>
      </c>
      <c r="D413" s="4" t="s">
        <v>409</v>
      </c>
      <c r="E413" s="12">
        <v>5.12</v>
      </c>
      <c r="F413" s="12">
        <v>5.12</v>
      </c>
      <c r="G413" s="6">
        <f t="shared" si="95"/>
        <v>0</v>
      </c>
      <c r="H413" s="7">
        <f t="shared" si="96"/>
        <v>0</v>
      </c>
      <c r="I413" s="8">
        <v>10.24</v>
      </c>
      <c r="J413" s="9">
        <f t="shared" si="97"/>
        <v>10.24</v>
      </c>
      <c r="K413" s="3">
        <f t="shared" si="98"/>
        <v>0</v>
      </c>
      <c r="L413" s="7">
        <f t="shared" si="99"/>
        <v>0</v>
      </c>
      <c r="M413" t="s">
        <v>150</v>
      </c>
      <c r="O413" s="3">
        <f>E413-'315019 - P0724'!F413</f>
        <v>0</v>
      </c>
      <c r="P413" s="30">
        <f>I413-'315019 - P0724'!J413</f>
        <v>0</v>
      </c>
    </row>
    <row r="414" spans="1:16" x14ac:dyDescent="0.25">
      <c r="A414">
        <v>412</v>
      </c>
      <c r="D414" s="34" t="s">
        <v>410</v>
      </c>
      <c r="H414" s="10">
        <f>AVERAGE(H349:H410)</f>
        <v>0</v>
      </c>
    </row>
    <row r="415" spans="1:16" x14ac:dyDescent="0.25">
      <c r="D415" s="34" t="s">
        <v>411</v>
      </c>
    </row>
    <row r="416" spans="1:16" x14ac:dyDescent="0.25">
      <c r="D416" s="17" t="s">
        <v>412</v>
      </c>
      <c r="E416" s="5">
        <v>480</v>
      </c>
      <c r="F416" s="5">
        <v>440</v>
      </c>
      <c r="G416" s="6">
        <f t="shared" ref="G416:G425" si="100">+F416-E416</f>
        <v>-40</v>
      </c>
      <c r="H416" s="7">
        <f t="shared" ref="H416:H425" si="101">(F416-E416)/ABS(E416)</f>
        <v>-8.3333333333333329E-2</v>
      </c>
      <c r="J416" s="3"/>
      <c r="K416" s="3"/>
      <c r="L416" s="7"/>
    </row>
    <row r="417" spans="1:16" x14ac:dyDescent="0.25">
      <c r="D417" s="17" t="s">
        <v>413</v>
      </c>
      <c r="E417" s="5">
        <v>480</v>
      </c>
      <c r="F417" s="5">
        <v>448</v>
      </c>
      <c r="G417" s="6">
        <f t="shared" si="100"/>
        <v>-32</v>
      </c>
      <c r="H417" s="7">
        <f t="shared" si="101"/>
        <v>-6.6666666666666666E-2</v>
      </c>
      <c r="J417" s="3"/>
      <c r="K417" s="3"/>
      <c r="L417" s="7"/>
    </row>
    <row r="418" spans="1:16" x14ac:dyDescent="0.25">
      <c r="D418" s="17" t="s">
        <v>414</v>
      </c>
      <c r="E418" s="5">
        <v>798</v>
      </c>
      <c r="F418" s="5">
        <v>753</v>
      </c>
      <c r="G418" s="6">
        <f t="shared" si="100"/>
        <v>-45</v>
      </c>
      <c r="H418" s="7">
        <f t="shared" si="101"/>
        <v>-5.6390977443609019E-2</v>
      </c>
      <c r="J418" s="3"/>
      <c r="K418" s="3"/>
      <c r="L418" s="7"/>
    </row>
    <row r="419" spans="1:16" x14ac:dyDescent="0.25">
      <c r="D419" s="4" t="s">
        <v>415</v>
      </c>
      <c r="E419" s="5">
        <v>634</v>
      </c>
      <c r="F419" s="5">
        <v>579</v>
      </c>
      <c r="G419" s="6">
        <f t="shared" si="100"/>
        <v>-55</v>
      </c>
      <c r="H419" s="7">
        <f t="shared" si="101"/>
        <v>-8.6750788643533125E-2</v>
      </c>
      <c r="J419" s="3"/>
      <c r="K419" s="3"/>
      <c r="L419" s="7"/>
    </row>
    <row r="420" spans="1:16" x14ac:dyDescent="0.25">
      <c r="D420" s="4" t="s">
        <v>416</v>
      </c>
      <c r="E420" s="5">
        <v>579</v>
      </c>
      <c r="F420" s="5">
        <v>549</v>
      </c>
      <c r="G420" s="6">
        <f t="shared" si="100"/>
        <v>-30</v>
      </c>
      <c r="H420" s="7">
        <f t="shared" si="101"/>
        <v>-5.181347150259067E-2</v>
      </c>
      <c r="J420" s="3"/>
      <c r="K420" s="3"/>
      <c r="L420" s="7"/>
    </row>
    <row r="421" spans="1:16" x14ac:dyDescent="0.25">
      <c r="D421" s="4" t="s">
        <v>417</v>
      </c>
      <c r="E421" s="5">
        <v>1425</v>
      </c>
      <c r="F421" s="5">
        <v>1380</v>
      </c>
      <c r="G421" s="6">
        <f t="shared" si="100"/>
        <v>-45</v>
      </c>
      <c r="H421" s="7">
        <f t="shared" si="101"/>
        <v>-3.1578947368421054E-2</v>
      </c>
      <c r="J421" s="3"/>
      <c r="K421" s="3"/>
      <c r="L421" s="7"/>
    </row>
    <row r="422" spans="1:16" x14ac:dyDescent="0.25">
      <c r="D422" s="4" t="s">
        <v>418</v>
      </c>
      <c r="E422" s="5">
        <v>1395</v>
      </c>
      <c r="F422" s="5">
        <v>1340</v>
      </c>
      <c r="G422" s="6">
        <f t="shared" si="100"/>
        <v>-55</v>
      </c>
      <c r="H422" s="7">
        <f t="shared" si="101"/>
        <v>-3.9426523297491037E-2</v>
      </c>
      <c r="J422" s="3"/>
      <c r="K422" s="3"/>
      <c r="L422" s="7"/>
    </row>
    <row r="423" spans="1:16" x14ac:dyDescent="0.25">
      <c r="D423" s="4" t="s">
        <v>419</v>
      </c>
      <c r="E423" s="5">
        <v>749</v>
      </c>
      <c r="F423" s="5">
        <v>674</v>
      </c>
      <c r="G423" s="6">
        <f t="shared" si="100"/>
        <v>-75</v>
      </c>
      <c r="H423" s="7">
        <f t="shared" si="101"/>
        <v>-0.10013351134846461</v>
      </c>
      <c r="J423" s="3"/>
      <c r="K423" s="3"/>
      <c r="L423" s="7"/>
    </row>
    <row r="424" spans="1:16" x14ac:dyDescent="0.25">
      <c r="D424" s="4" t="s">
        <v>420</v>
      </c>
      <c r="E424" s="5">
        <v>664</v>
      </c>
      <c r="F424" s="5">
        <v>634</v>
      </c>
      <c r="G424" s="6">
        <f t="shared" si="100"/>
        <v>-30</v>
      </c>
      <c r="H424" s="7">
        <f t="shared" si="101"/>
        <v>-4.5180722891566265E-2</v>
      </c>
      <c r="J424" s="3"/>
      <c r="K424" s="3"/>
      <c r="L424" s="7"/>
    </row>
    <row r="425" spans="1:16" x14ac:dyDescent="0.25">
      <c r="D425" s="4" t="s">
        <v>421</v>
      </c>
      <c r="E425" s="5">
        <v>922</v>
      </c>
      <c r="F425" s="5">
        <v>847</v>
      </c>
      <c r="G425" s="6">
        <f t="shared" si="100"/>
        <v>-75</v>
      </c>
      <c r="H425" s="7">
        <f t="shared" si="101"/>
        <v>-8.1344902386117135E-2</v>
      </c>
      <c r="J425" s="3"/>
      <c r="K425" s="3"/>
      <c r="L425" s="7"/>
    </row>
    <row r="426" spans="1:16" s="3" customFormat="1" x14ac:dyDescent="0.25">
      <c r="A426"/>
      <c r="B426"/>
      <c r="C426"/>
      <c r="D426" s="2" t="s">
        <v>422</v>
      </c>
      <c r="H426" s="10">
        <f>AVERAGE(H416:H425)</f>
        <v>-6.4261984488179297E-2</v>
      </c>
      <c r="J426"/>
      <c r="K426"/>
      <c r="L426"/>
      <c r="M426"/>
      <c r="N426"/>
      <c r="P426" s="30"/>
    </row>
  </sheetData>
  <autoFilter ref="A1:M426" xr:uid="{00000000-0009-0000-0000-000001000000}"/>
  <pageMargins left="0.7" right="0.7" top="0.75" bottom="0.75" header="0.3" footer="0.3"/>
  <pageSetup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9E9E-6AB0-4491-AA97-F69F0934C571}">
  <dimension ref="A1:P426"/>
  <sheetViews>
    <sheetView workbookViewId="0">
      <pane ySplit="2" topLeftCell="A15" activePane="bottomLeft" state="frozen"/>
      <selection pane="bottomLeft" activeCell="D4" sqref="D4"/>
    </sheetView>
  </sheetViews>
  <sheetFormatPr defaultColWidth="9.140625" defaultRowHeight="15" x14ac:dyDescent="0.25"/>
  <cols>
    <col min="1" max="1" width="4" bestFit="1" customWidth="1"/>
    <col min="2" max="2" width="17.28515625" customWidth="1"/>
    <col min="3" max="3" width="11.7109375" customWidth="1"/>
    <col min="4" max="4" width="76.7109375" customWidth="1"/>
    <col min="5" max="5" width="28.42578125" style="3" customWidth="1"/>
    <col min="6" max="6" width="29.5703125" style="3" customWidth="1"/>
    <col min="7" max="7" width="8.28515625" style="3" customWidth="1"/>
    <col min="8" max="8" width="7.7109375" style="3" customWidth="1"/>
    <col min="9" max="9" width="28.42578125" style="3" customWidth="1"/>
    <col min="10" max="10" width="29.5703125" customWidth="1"/>
    <col min="16" max="16" width="9.140625" style="30"/>
  </cols>
  <sheetData>
    <row r="1" spans="1:16" x14ac:dyDescent="0.25">
      <c r="E1" s="1" t="s">
        <v>0</v>
      </c>
      <c r="F1" s="1" t="s">
        <v>0</v>
      </c>
      <c r="G1" s="1"/>
      <c r="H1" s="1"/>
      <c r="I1" s="1" t="s">
        <v>1</v>
      </c>
      <c r="J1" s="1" t="s">
        <v>1</v>
      </c>
      <c r="M1" t="s">
        <v>2</v>
      </c>
    </row>
    <row r="2" spans="1:16" x14ac:dyDescent="0.25">
      <c r="B2" t="s">
        <v>3</v>
      </c>
      <c r="C2" t="s">
        <v>4</v>
      </c>
      <c r="D2" t="s">
        <v>5</v>
      </c>
      <c r="E2" s="1" t="s">
        <v>523</v>
      </c>
      <c r="F2" s="1" t="s">
        <v>524</v>
      </c>
      <c r="G2" s="1"/>
      <c r="H2" s="1"/>
      <c r="I2" s="1" t="s">
        <v>523</v>
      </c>
      <c r="J2" s="1" t="s">
        <v>524</v>
      </c>
    </row>
    <row r="3" spans="1:16" x14ac:dyDescent="0.25">
      <c r="A3">
        <v>1</v>
      </c>
      <c r="D3" s="34" t="s">
        <v>6</v>
      </c>
      <c r="M3" t="s">
        <v>7</v>
      </c>
    </row>
    <row r="4" spans="1:16" x14ac:dyDescent="0.25">
      <c r="A4">
        <v>2</v>
      </c>
      <c r="C4" t="s">
        <v>8</v>
      </c>
      <c r="D4" s="4" t="s">
        <v>9</v>
      </c>
      <c r="E4" s="5">
        <v>681</v>
      </c>
      <c r="F4" s="5">
        <v>696</v>
      </c>
      <c r="G4" s="6">
        <f t="shared" ref="G4:G23" si="0">+F4-E4</f>
        <v>15</v>
      </c>
      <c r="H4" s="7">
        <f t="shared" ref="H4:H23" si="1">(F4-E4)/ABS(E4)</f>
        <v>2.2026431718061675E-2</v>
      </c>
      <c r="I4" s="8">
        <v>821.46118192352264</v>
      </c>
      <c r="J4" s="9">
        <f t="shared" ref="J4:J23" si="2">(I4*H4)+I4</f>
        <v>839.5550405561994</v>
      </c>
      <c r="K4" s="3">
        <f t="shared" ref="K4:K23" si="3">J4-I4</f>
        <v>18.093858632676756</v>
      </c>
      <c r="L4" s="7">
        <f t="shared" ref="L4:L23" si="4">(J4-I4)/ABS(I4)</f>
        <v>2.2026431718061731E-2</v>
      </c>
      <c r="M4" t="s">
        <v>7</v>
      </c>
      <c r="O4" s="3">
        <f>E4-'314020 - P0624'!F4</f>
        <v>0</v>
      </c>
      <c r="P4" s="30">
        <f>I4-'314020 - P0624'!J4</f>
        <v>0</v>
      </c>
    </row>
    <row r="5" spans="1:16" x14ac:dyDescent="0.25">
      <c r="A5">
        <v>3</v>
      </c>
      <c r="D5" s="4" t="s">
        <v>10</v>
      </c>
      <c r="E5" s="8">
        <v>681</v>
      </c>
      <c r="F5" s="8">
        <f>F4</f>
        <v>696</v>
      </c>
      <c r="G5" s="6">
        <f t="shared" si="0"/>
        <v>15</v>
      </c>
      <c r="H5" s="7">
        <f t="shared" si="1"/>
        <v>2.2026431718061675E-2</v>
      </c>
      <c r="I5" s="8">
        <v>821.46118192352264</v>
      </c>
      <c r="J5" s="9">
        <f t="shared" si="2"/>
        <v>839.5550405561994</v>
      </c>
      <c r="K5" s="3">
        <f t="shared" si="3"/>
        <v>18.093858632676756</v>
      </c>
      <c r="L5" s="7">
        <f t="shared" si="4"/>
        <v>2.2026431718061731E-2</v>
      </c>
      <c r="M5" t="s">
        <v>7</v>
      </c>
      <c r="O5" s="3">
        <f>E5-'314020 - P0624'!F5</f>
        <v>0</v>
      </c>
      <c r="P5" s="30">
        <f>I5-'314020 - P0624'!J5</f>
        <v>0</v>
      </c>
    </row>
    <row r="6" spans="1:16" x14ac:dyDescent="0.25">
      <c r="A6">
        <v>4</v>
      </c>
      <c r="D6" s="4" t="s">
        <v>11</v>
      </c>
      <c r="E6" s="8">
        <v>681</v>
      </c>
      <c r="F6" s="8">
        <f>F4</f>
        <v>696</v>
      </c>
      <c r="G6" s="6">
        <f t="shared" si="0"/>
        <v>15</v>
      </c>
      <c r="H6" s="7">
        <f t="shared" si="1"/>
        <v>2.2026431718061675E-2</v>
      </c>
      <c r="I6" s="8">
        <v>821.46118192352264</v>
      </c>
      <c r="J6" s="9">
        <f t="shared" si="2"/>
        <v>839.5550405561994</v>
      </c>
      <c r="K6" s="3">
        <f t="shared" si="3"/>
        <v>18.093858632676756</v>
      </c>
      <c r="L6" s="7">
        <f t="shared" si="4"/>
        <v>2.2026431718061731E-2</v>
      </c>
      <c r="M6" t="s">
        <v>7</v>
      </c>
      <c r="O6" s="3">
        <f>E6-'314020 - P0624'!F6</f>
        <v>0</v>
      </c>
      <c r="P6" s="30">
        <f>I6-'314020 - P0624'!J6</f>
        <v>0</v>
      </c>
    </row>
    <row r="7" spans="1:16" x14ac:dyDescent="0.25">
      <c r="A7">
        <v>5</v>
      </c>
      <c r="C7" t="s">
        <v>8</v>
      </c>
      <c r="D7" s="4" t="s">
        <v>12</v>
      </c>
      <c r="E7" s="5">
        <v>686</v>
      </c>
      <c r="F7" s="5">
        <v>656</v>
      </c>
      <c r="G7" s="6">
        <f t="shared" si="0"/>
        <v>-30</v>
      </c>
      <c r="H7" s="7">
        <f t="shared" si="1"/>
        <v>-4.3731778425655975E-2</v>
      </c>
      <c r="I7" s="8">
        <v>885.51732673267315</v>
      </c>
      <c r="J7" s="9">
        <f t="shared" si="2"/>
        <v>846.79207920792066</v>
      </c>
      <c r="K7" s="3">
        <f t="shared" si="3"/>
        <v>-38.72524752475249</v>
      </c>
      <c r="L7" s="7">
        <f t="shared" si="4"/>
        <v>-4.3731778425655995E-2</v>
      </c>
      <c r="M7" t="s">
        <v>7</v>
      </c>
      <c r="N7" s="27"/>
      <c r="O7" s="3">
        <f>E7-'314020 - P0624'!F7</f>
        <v>0</v>
      </c>
      <c r="P7" s="30">
        <f>I7-'314020 - P0624'!J7</f>
        <v>0</v>
      </c>
    </row>
    <row r="8" spans="1:16" x14ac:dyDescent="0.25">
      <c r="A8">
        <v>6</v>
      </c>
      <c r="D8" s="4" t="s">
        <v>13</v>
      </c>
      <c r="E8" s="8">
        <v>686</v>
      </c>
      <c r="F8" s="8">
        <f>F7</f>
        <v>656</v>
      </c>
      <c r="G8" s="6">
        <f t="shared" si="0"/>
        <v>-30</v>
      </c>
      <c r="H8" s="7">
        <f t="shared" si="1"/>
        <v>-4.3731778425655975E-2</v>
      </c>
      <c r="I8" s="8">
        <v>885.51732673267315</v>
      </c>
      <c r="J8" s="9">
        <f t="shared" si="2"/>
        <v>846.79207920792066</v>
      </c>
      <c r="K8" s="3">
        <f t="shared" si="3"/>
        <v>-38.72524752475249</v>
      </c>
      <c r="L8" s="7">
        <f t="shared" si="4"/>
        <v>-4.3731778425655995E-2</v>
      </c>
      <c r="M8" t="s">
        <v>7</v>
      </c>
      <c r="N8" s="27"/>
      <c r="O8" s="3">
        <f>E8-'314020 - P0624'!F8</f>
        <v>0</v>
      </c>
      <c r="P8" s="30">
        <f>I8-'314020 - P0624'!J8</f>
        <v>0</v>
      </c>
    </row>
    <row r="9" spans="1:16" x14ac:dyDescent="0.25">
      <c r="A9">
        <v>7</v>
      </c>
      <c r="D9" s="4" t="s">
        <v>14</v>
      </c>
      <c r="E9" s="8">
        <v>686</v>
      </c>
      <c r="F9" s="8">
        <f>F7</f>
        <v>656</v>
      </c>
      <c r="G9" s="6">
        <f t="shared" si="0"/>
        <v>-30</v>
      </c>
      <c r="H9" s="7">
        <f t="shared" si="1"/>
        <v>-4.3731778425655975E-2</v>
      </c>
      <c r="I9" s="8">
        <v>885.51732673267315</v>
      </c>
      <c r="J9" s="9">
        <f t="shared" si="2"/>
        <v>846.79207920792066</v>
      </c>
      <c r="K9" s="3">
        <f t="shared" si="3"/>
        <v>-38.72524752475249</v>
      </c>
      <c r="L9" s="7">
        <f t="shared" si="4"/>
        <v>-4.3731778425655995E-2</v>
      </c>
      <c r="M9" t="s">
        <v>7</v>
      </c>
      <c r="N9" s="27"/>
      <c r="O9" s="3">
        <f>E9-'314020 - P0624'!F9</f>
        <v>0</v>
      </c>
      <c r="P9" s="30">
        <f>I9-'314020 - P0624'!J9</f>
        <v>0</v>
      </c>
    </row>
    <row r="10" spans="1:16" x14ac:dyDescent="0.25">
      <c r="A10">
        <v>8</v>
      </c>
      <c r="C10" t="s">
        <v>8</v>
      </c>
      <c r="D10" s="4" t="s">
        <v>15</v>
      </c>
      <c r="E10" s="5">
        <v>790</v>
      </c>
      <c r="F10" s="5">
        <v>800</v>
      </c>
      <c r="G10" s="6">
        <f t="shared" si="0"/>
        <v>10</v>
      </c>
      <c r="H10" s="7">
        <f t="shared" si="1"/>
        <v>1.2658227848101266E-2</v>
      </c>
      <c r="I10" s="8">
        <v>1049.1987005955605</v>
      </c>
      <c r="J10" s="9">
        <f t="shared" si="2"/>
        <v>1062.479696805631</v>
      </c>
      <c r="K10" s="3">
        <f t="shared" si="3"/>
        <v>13.280996210070498</v>
      </c>
      <c r="L10" s="7">
        <f t="shared" si="4"/>
        <v>1.2658227848101373E-2</v>
      </c>
      <c r="M10" t="s">
        <v>7</v>
      </c>
      <c r="N10" s="27"/>
      <c r="O10" s="3">
        <f>E10-'314020 - P0624'!F10</f>
        <v>0</v>
      </c>
      <c r="P10" s="30">
        <f>I10-'314020 - P0624'!J10</f>
        <v>0</v>
      </c>
    </row>
    <row r="11" spans="1:16" x14ac:dyDescent="0.25">
      <c r="A11">
        <v>9</v>
      </c>
      <c r="D11" s="4" t="s">
        <v>16</v>
      </c>
      <c r="E11" s="8">
        <v>790</v>
      </c>
      <c r="F11" s="8">
        <f>F10</f>
        <v>800</v>
      </c>
      <c r="G11" s="6">
        <f t="shared" si="0"/>
        <v>10</v>
      </c>
      <c r="H11" s="7">
        <f t="shared" si="1"/>
        <v>1.2658227848101266E-2</v>
      </c>
      <c r="I11" s="8">
        <v>1049.1987005955605</v>
      </c>
      <c r="J11" s="9">
        <f t="shared" si="2"/>
        <v>1062.479696805631</v>
      </c>
      <c r="K11" s="3">
        <f t="shared" si="3"/>
        <v>13.280996210070498</v>
      </c>
      <c r="L11" s="7">
        <f t="shared" si="4"/>
        <v>1.2658227848101373E-2</v>
      </c>
      <c r="M11" t="s">
        <v>7</v>
      </c>
      <c r="N11" s="27"/>
      <c r="O11" s="3">
        <f>E11-'314020 - P0624'!F11</f>
        <v>0</v>
      </c>
      <c r="P11" s="30">
        <f>I11-'314020 - P0624'!J11</f>
        <v>0</v>
      </c>
    </row>
    <row r="12" spans="1:16" x14ac:dyDescent="0.25">
      <c r="A12">
        <v>10</v>
      </c>
      <c r="C12" t="s">
        <v>8</v>
      </c>
      <c r="D12" s="4" t="s">
        <v>17</v>
      </c>
      <c r="E12" s="5">
        <v>735</v>
      </c>
      <c r="F12" s="5">
        <v>725</v>
      </c>
      <c r="G12" s="6">
        <f t="shared" si="0"/>
        <v>-10</v>
      </c>
      <c r="H12" s="7">
        <f t="shared" si="1"/>
        <v>-1.3605442176870748E-2</v>
      </c>
      <c r="I12" s="8">
        <v>876.74431202600249</v>
      </c>
      <c r="J12" s="9">
        <f t="shared" si="2"/>
        <v>864.81581798483239</v>
      </c>
      <c r="K12" s="3">
        <f t="shared" si="3"/>
        <v>-11.928494041170097</v>
      </c>
      <c r="L12" s="7">
        <f t="shared" si="4"/>
        <v>-1.3605442176870743E-2</v>
      </c>
      <c r="M12" t="s">
        <v>7</v>
      </c>
      <c r="N12" s="27"/>
      <c r="O12" s="3">
        <f>E12-'314020 - P0624'!F12</f>
        <v>0</v>
      </c>
      <c r="P12" s="30">
        <f>I12-'314020 - P0624'!J12</f>
        <v>0</v>
      </c>
    </row>
    <row r="13" spans="1:16" x14ac:dyDescent="0.25">
      <c r="A13">
        <v>11</v>
      </c>
      <c r="D13" s="4" t="s">
        <v>18</v>
      </c>
      <c r="E13" s="8">
        <v>735</v>
      </c>
      <c r="F13" s="8">
        <f>F12</f>
        <v>725</v>
      </c>
      <c r="G13" s="6">
        <f t="shared" si="0"/>
        <v>-10</v>
      </c>
      <c r="H13" s="7">
        <f t="shared" si="1"/>
        <v>-1.3605442176870748E-2</v>
      </c>
      <c r="I13" s="8">
        <v>876.74431202600249</v>
      </c>
      <c r="J13" s="9">
        <f t="shared" si="2"/>
        <v>864.81581798483239</v>
      </c>
      <c r="K13" s="3">
        <f t="shared" si="3"/>
        <v>-11.928494041170097</v>
      </c>
      <c r="L13" s="7">
        <f t="shared" si="4"/>
        <v>-1.3605442176870743E-2</v>
      </c>
      <c r="M13" t="s">
        <v>7</v>
      </c>
      <c r="N13" s="27"/>
      <c r="O13" s="3">
        <f>E13-'314020 - P0624'!F13</f>
        <v>0</v>
      </c>
      <c r="P13" s="30">
        <f>I13-'314020 - P0624'!J13</f>
        <v>0</v>
      </c>
    </row>
    <row r="14" spans="1:16" x14ac:dyDescent="0.25">
      <c r="A14">
        <v>12</v>
      </c>
      <c r="D14" s="4" t="s">
        <v>19</v>
      </c>
      <c r="E14" s="5">
        <v>720</v>
      </c>
      <c r="F14" s="5">
        <v>700</v>
      </c>
      <c r="G14" s="6">
        <f t="shared" si="0"/>
        <v>-20</v>
      </c>
      <c r="H14" s="7">
        <f t="shared" si="1"/>
        <v>-2.7777777777777776E-2</v>
      </c>
      <c r="I14" s="8">
        <v>925.50705171255868</v>
      </c>
      <c r="J14" s="9">
        <f t="shared" si="2"/>
        <v>899.79852249832095</v>
      </c>
      <c r="K14" s="3">
        <f t="shared" si="3"/>
        <v>-25.708529214237728</v>
      </c>
      <c r="L14" s="7">
        <f t="shared" si="4"/>
        <v>-2.7777777777777766E-2</v>
      </c>
      <c r="M14" t="s">
        <v>7</v>
      </c>
      <c r="N14" s="27"/>
      <c r="O14" s="3">
        <f>E14-'314020 - P0624'!F14</f>
        <v>0</v>
      </c>
      <c r="P14" s="30">
        <f>I14-'314020 - P0624'!J14</f>
        <v>0</v>
      </c>
    </row>
    <row r="15" spans="1:16" x14ac:dyDescent="0.25">
      <c r="A15">
        <v>13</v>
      </c>
      <c r="D15" s="4" t="s">
        <v>20</v>
      </c>
      <c r="E15" s="8">
        <v>720</v>
      </c>
      <c r="F15" s="8">
        <f>F14</f>
        <v>700</v>
      </c>
      <c r="G15" s="6">
        <f t="shared" si="0"/>
        <v>-20</v>
      </c>
      <c r="H15" s="7">
        <f t="shared" si="1"/>
        <v>-2.7777777777777776E-2</v>
      </c>
      <c r="I15" s="8">
        <v>925.50705171255868</v>
      </c>
      <c r="J15" s="9">
        <f t="shared" si="2"/>
        <v>899.79852249832095</v>
      </c>
      <c r="K15" s="3">
        <f t="shared" si="3"/>
        <v>-25.708529214237728</v>
      </c>
      <c r="L15" s="7">
        <f t="shared" si="4"/>
        <v>-2.7777777777777766E-2</v>
      </c>
      <c r="M15" t="s">
        <v>7</v>
      </c>
      <c r="N15" s="27"/>
      <c r="O15" s="3">
        <f>E15-'314020 - P0624'!F15</f>
        <v>0</v>
      </c>
      <c r="P15" s="30">
        <f>I15-'314020 - P0624'!J15</f>
        <v>0</v>
      </c>
    </row>
    <row r="16" spans="1:16" x14ac:dyDescent="0.25">
      <c r="A16">
        <v>14</v>
      </c>
      <c r="C16" t="s">
        <v>8</v>
      </c>
      <c r="D16" s="4" t="s">
        <v>21</v>
      </c>
      <c r="E16" s="5">
        <v>740</v>
      </c>
      <c r="F16" s="5">
        <v>790</v>
      </c>
      <c r="G16" s="6">
        <f t="shared" si="0"/>
        <v>50</v>
      </c>
      <c r="H16" s="7">
        <f t="shared" si="1"/>
        <v>6.7567567567567571E-2</v>
      </c>
      <c r="I16" s="8">
        <v>1042.3655913978496</v>
      </c>
      <c r="J16" s="9">
        <f t="shared" si="2"/>
        <v>1112.7956989247314</v>
      </c>
      <c r="K16" s="3">
        <f t="shared" si="3"/>
        <v>70.430107526881784</v>
      </c>
      <c r="L16" s="7">
        <f t="shared" si="4"/>
        <v>6.7567567567567627E-2</v>
      </c>
      <c r="M16" t="s">
        <v>7</v>
      </c>
      <c r="N16" s="27"/>
      <c r="O16" s="3">
        <f>E16-'314020 - P0624'!F16</f>
        <v>0</v>
      </c>
      <c r="P16" s="30">
        <f>I16-'314020 - P0624'!J16</f>
        <v>0</v>
      </c>
    </row>
    <row r="17" spans="1:16" x14ac:dyDescent="0.25">
      <c r="A17">
        <v>15</v>
      </c>
      <c r="D17" s="4" t="s">
        <v>22</v>
      </c>
      <c r="E17" s="8">
        <v>740</v>
      </c>
      <c r="F17" s="8">
        <f>F16</f>
        <v>790</v>
      </c>
      <c r="G17" s="6">
        <f t="shared" si="0"/>
        <v>50</v>
      </c>
      <c r="H17" s="7">
        <f t="shared" si="1"/>
        <v>6.7567567567567571E-2</v>
      </c>
      <c r="I17" s="8">
        <v>1042.3655913978496</v>
      </c>
      <c r="J17" s="9">
        <f t="shared" si="2"/>
        <v>1112.7956989247314</v>
      </c>
      <c r="K17" s="3">
        <f t="shared" si="3"/>
        <v>70.430107526881784</v>
      </c>
      <c r="L17" s="7">
        <f t="shared" si="4"/>
        <v>6.7567567567567627E-2</v>
      </c>
      <c r="M17" t="s">
        <v>7</v>
      </c>
      <c r="N17" s="27"/>
      <c r="O17" s="3">
        <f>E17-'314020 - P0624'!F17</f>
        <v>0</v>
      </c>
      <c r="P17" s="30">
        <f>I17-'314020 - P0624'!J17</f>
        <v>0</v>
      </c>
    </row>
    <row r="18" spans="1:16" x14ac:dyDescent="0.25">
      <c r="A18">
        <v>16</v>
      </c>
      <c r="C18" t="s">
        <v>8</v>
      </c>
      <c r="D18" s="4" t="s">
        <v>23</v>
      </c>
      <c r="E18" s="5">
        <v>855</v>
      </c>
      <c r="F18" s="5">
        <v>850</v>
      </c>
      <c r="G18" s="6">
        <f t="shared" si="0"/>
        <v>-5</v>
      </c>
      <c r="H18" s="7">
        <f t="shared" si="1"/>
        <v>-5.8479532163742687E-3</v>
      </c>
      <c r="I18" s="8">
        <v>1188.2515822784806</v>
      </c>
      <c r="J18" s="9">
        <f t="shared" si="2"/>
        <v>1181.3027426160334</v>
      </c>
      <c r="K18" s="3">
        <f t="shared" si="3"/>
        <v>-6.9488396624471989</v>
      </c>
      <c r="L18" s="7">
        <f t="shared" si="4"/>
        <v>-5.8479532163742218E-3</v>
      </c>
      <c r="M18" t="s">
        <v>7</v>
      </c>
      <c r="N18" s="27"/>
      <c r="O18" s="3">
        <f>E18-'314020 - P0624'!F18</f>
        <v>0</v>
      </c>
      <c r="P18" s="30">
        <f>I18-'314020 - P0624'!J18</f>
        <v>0</v>
      </c>
    </row>
    <row r="19" spans="1:16" x14ac:dyDescent="0.25">
      <c r="A19">
        <v>17</v>
      </c>
      <c r="D19" s="4" t="s">
        <v>24</v>
      </c>
      <c r="E19" s="8">
        <v>855</v>
      </c>
      <c r="F19" s="8">
        <f>F18</f>
        <v>850</v>
      </c>
      <c r="G19" s="6">
        <f t="shared" si="0"/>
        <v>-5</v>
      </c>
      <c r="H19" s="7">
        <f t="shared" si="1"/>
        <v>-5.8479532163742687E-3</v>
      </c>
      <c r="I19" s="8">
        <v>1188.2515822784806</v>
      </c>
      <c r="J19" s="9">
        <f t="shared" si="2"/>
        <v>1181.3027426160334</v>
      </c>
      <c r="K19" s="3">
        <f t="shared" si="3"/>
        <v>-6.9488396624471989</v>
      </c>
      <c r="L19" s="7">
        <f t="shared" si="4"/>
        <v>-5.8479532163742218E-3</v>
      </c>
      <c r="M19" t="s">
        <v>7</v>
      </c>
      <c r="N19" s="27"/>
      <c r="O19" s="3">
        <f>E19-'314020 - P0624'!F19</f>
        <v>0</v>
      </c>
      <c r="P19" s="30">
        <f>I19-'314020 - P0624'!J19</f>
        <v>0</v>
      </c>
    </row>
    <row r="20" spans="1:16" x14ac:dyDescent="0.25">
      <c r="A20">
        <v>18</v>
      </c>
      <c r="C20" t="s">
        <v>8</v>
      </c>
      <c r="D20" s="4" t="s">
        <v>25</v>
      </c>
      <c r="E20" s="5">
        <v>42</v>
      </c>
      <c r="F20" s="5">
        <v>41.8</v>
      </c>
      <c r="G20" s="6">
        <f t="shared" si="0"/>
        <v>-0.20000000000000284</v>
      </c>
      <c r="H20" s="7">
        <f t="shared" si="1"/>
        <v>-4.76190476190483E-3</v>
      </c>
      <c r="I20" s="8">
        <v>2109.363063660478</v>
      </c>
      <c r="J20" s="9">
        <f t="shared" si="2"/>
        <v>2099.3184776430471</v>
      </c>
      <c r="K20" s="3">
        <f t="shared" si="3"/>
        <v>-10.044586017430902</v>
      </c>
      <c r="L20" s="7">
        <f t="shared" si="4"/>
        <v>-4.7619047619047875E-3</v>
      </c>
      <c r="M20" t="s">
        <v>7</v>
      </c>
      <c r="N20" s="27"/>
      <c r="O20" s="3">
        <f>E20-'314020 - P0624'!F20</f>
        <v>0</v>
      </c>
      <c r="P20" s="30">
        <f>I20-'314020 - P0624'!J20</f>
        <v>0</v>
      </c>
    </row>
    <row r="21" spans="1:16" x14ac:dyDescent="0.25">
      <c r="A21">
        <v>19</v>
      </c>
      <c r="C21" t="s">
        <v>8</v>
      </c>
      <c r="D21" s="4" t="s">
        <v>26</v>
      </c>
      <c r="E21" s="5">
        <v>16.07</v>
      </c>
      <c r="F21" s="5">
        <v>16.07</v>
      </c>
      <c r="G21" s="6">
        <f t="shared" si="0"/>
        <v>0</v>
      </c>
      <c r="H21" s="7">
        <f t="shared" si="1"/>
        <v>0</v>
      </c>
      <c r="I21" s="8">
        <v>36.488665130799234</v>
      </c>
      <c r="J21" s="9">
        <f t="shared" si="2"/>
        <v>36.488665130799234</v>
      </c>
      <c r="K21" s="3">
        <f t="shared" si="3"/>
        <v>0</v>
      </c>
      <c r="L21" s="7">
        <f t="shared" si="4"/>
        <v>0</v>
      </c>
      <c r="M21" t="s">
        <v>7</v>
      </c>
      <c r="O21" s="3">
        <f>E21-'314020 - P0624'!F21</f>
        <v>0</v>
      </c>
      <c r="P21" s="30">
        <f>I21-'314020 - P0624'!J21</f>
        <v>0</v>
      </c>
    </row>
    <row r="22" spans="1:16" x14ac:dyDescent="0.25">
      <c r="A22">
        <v>20</v>
      </c>
      <c r="C22" t="s">
        <v>8</v>
      </c>
      <c r="D22" s="4" t="s">
        <v>27</v>
      </c>
      <c r="E22" s="5">
        <v>1430</v>
      </c>
      <c r="F22" s="5">
        <v>1430</v>
      </c>
      <c r="G22" s="6">
        <f t="shared" si="0"/>
        <v>0</v>
      </c>
      <c r="H22" s="7">
        <f t="shared" si="1"/>
        <v>0</v>
      </c>
      <c r="I22" s="8">
        <v>2041.9221967963392</v>
      </c>
      <c r="J22" s="9">
        <f t="shared" si="2"/>
        <v>2041.9221967963392</v>
      </c>
      <c r="K22" s="3">
        <f t="shared" si="3"/>
        <v>0</v>
      </c>
      <c r="L22" s="7">
        <f t="shared" si="4"/>
        <v>0</v>
      </c>
      <c r="M22" t="s">
        <v>7</v>
      </c>
      <c r="N22" s="27"/>
      <c r="O22" s="3">
        <f>E22-'314020 - P0624'!F22</f>
        <v>0</v>
      </c>
      <c r="P22" s="30">
        <f>I22-'314020 - P0624'!J22</f>
        <v>0</v>
      </c>
    </row>
    <row r="23" spans="1:16" x14ac:dyDescent="0.25">
      <c r="A23">
        <v>21</v>
      </c>
      <c r="D23" s="4" t="s">
        <v>28</v>
      </c>
      <c r="E23" s="8">
        <v>1430</v>
      </c>
      <c r="F23" s="8">
        <f>F22</f>
        <v>1430</v>
      </c>
      <c r="G23" s="6">
        <f t="shared" si="0"/>
        <v>0</v>
      </c>
      <c r="H23" s="7">
        <f t="shared" si="1"/>
        <v>0</v>
      </c>
      <c r="I23" s="8">
        <v>2041.9221967963392</v>
      </c>
      <c r="J23" s="9">
        <f t="shared" si="2"/>
        <v>2041.9221967963392</v>
      </c>
      <c r="K23" s="3">
        <f t="shared" si="3"/>
        <v>0</v>
      </c>
      <c r="L23" s="7">
        <f t="shared" si="4"/>
        <v>0</v>
      </c>
      <c r="M23" t="s">
        <v>7</v>
      </c>
      <c r="N23" s="27"/>
      <c r="O23" s="3">
        <f>E23-'314020 - P0624'!F23</f>
        <v>0</v>
      </c>
      <c r="P23" s="30">
        <f>I23-'314020 - P0624'!J23</f>
        <v>0</v>
      </c>
    </row>
    <row r="24" spans="1:16" x14ac:dyDescent="0.25">
      <c r="A24">
        <v>22</v>
      </c>
      <c r="D24" s="34" t="s">
        <v>29</v>
      </c>
      <c r="H24" s="10">
        <f>AVERAGE(H4:H23)</f>
        <v>-1.9443501976978286E-4</v>
      </c>
      <c r="L24" s="10">
        <f>AVERAGE(L4:L23)</f>
        <v>-1.9443501976975177E-4</v>
      </c>
    </row>
    <row r="25" spans="1:16" x14ac:dyDescent="0.25">
      <c r="A25">
        <v>23</v>
      </c>
      <c r="D25" s="34" t="s">
        <v>30</v>
      </c>
      <c r="M25" t="s">
        <v>7</v>
      </c>
    </row>
    <row r="26" spans="1:16" x14ac:dyDescent="0.25">
      <c r="A26">
        <v>24</v>
      </c>
      <c r="D26" s="4" t="s">
        <v>31</v>
      </c>
      <c r="E26" s="5">
        <v>501</v>
      </c>
      <c r="F26" s="5">
        <v>486</v>
      </c>
      <c r="G26" s="6">
        <f t="shared" ref="G26:G31" si="5">+F26-E26</f>
        <v>-15</v>
      </c>
      <c r="H26" s="7">
        <f t="shared" ref="H26:H31" si="6">(F26-E26)/ABS(E26)</f>
        <v>-2.9940119760479042E-2</v>
      </c>
      <c r="I26" s="8">
        <v>743.31672001219329</v>
      </c>
      <c r="J26" s="9">
        <f t="shared" ref="J26:J31" si="7">(I26*H26)+I26</f>
        <v>721.06172839506178</v>
      </c>
      <c r="K26" s="3">
        <f t="shared" ref="K26:K31" si="8">J26-I26</f>
        <v>-22.254991617131509</v>
      </c>
      <c r="L26" s="7">
        <f t="shared" ref="L26:L31" si="9">(J26-I26)/ABS(I26)</f>
        <v>-2.9940119760479007E-2</v>
      </c>
      <c r="M26" t="s">
        <v>7</v>
      </c>
      <c r="O26" s="3">
        <f>E26-'314020 - P0624'!F26</f>
        <v>0</v>
      </c>
      <c r="P26" s="30">
        <f>I26-'314020 - P0624'!J26</f>
        <v>0</v>
      </c>
    </row>
    <row r="27" spans="1:16" x14ac:dyDescent="0.25">
      <c r="A27">
        <v>25</v>
      </c>
      <c r="D27" s="4" t="s">
        <v>32</v>
      </c>
      <c r="E27" s="5">
        <v>531</v>
      </c>
      <c r="F27" s="5">
        <v>506</v>
      </c>
      <c r="G27" s="6">
        <f t="shared" si="5"/>
        <v>-25</v>
      </c>
      <c r="H27" s="7">
        <f t="shared" si="6"/>
        <v>-4.7080979284369114E-2</v>
      </c>
      <c r="I27" s="8">
        <v>700.50204466813466</v>
      </c>
      <c r="J27" s="9">
        <f t="shared" si="7"/>
        <v>667.52172241445601</v>
      </c>
      <c r="K27" s="3">
        <f t="shared" si="8"/>
        <v>-32.980322253678651</v>
      </c>
      <c r="L27" s="7">
        <f t="shared" si="9"/>
        <v>-4.7080979284369107E-2</v>
      </c>
      <c r="M27" t="s">
        <v>7</v>
      </c>
      <c r="O27" s="3">
        <f>E27-'314020 - P0624'!F27</f>
        <v>0</v>
      </c>
      <c r="P27" s="30">
        <f>I27-'314020 - P0624'!J27</f>
        <v>0</v>
      </c>
    </row>
    <row r="28" spans="1:16" x14ac:dyDescent="0.25">
      <c r="A28">
        <v>26</v>
      </c>
      <c r="D28" s="4" t="s">
        <v>33</v>
      </c>
      <c r="E28" s="5">
        <v>531</v>
      </c>
      <c r="F28" s="5">
        <v>506</v>
      </c>
      <c r="G28" s="6">
        <f t="shared" si="5"/>
        <v>-25</v>
      </c>
      <c r="H28" s="7">
        <f t="shared" si="6"/>
        <v>-4.7080979284369114E-2</v>
      </c>
      <c r="I28" s="8">
        <v>657.8899024850582</v>
      </c>
      <c r="J28" s="9">
        <f t="shared" si="7"/>
        <v>626.91580161476361</v>
      </c>
      <c r="K28" s="3">
        <f t="shared" si="8"/>
        <v>-30.974100870294592</v>
      </c>
      <c r="L28" s="7">
        <f t="shared" si="9"/>
        <v>-4.7080979284369037E-2</v>
      </c>
      <c r="M28" t="s">
        <v>7</v>
      </c>
      <c r="O28" s="3">
        <f>E28-'314020 - P0624'!F28</f>
        <v>0</v>
      </c>
      <c r="P28" s="30">
        <f>I28-'314020 - P0624'!J28</f>
        <v>0</v>
      </c>
    </row>
    <row r="29" spans="1:16" x14ac:dyDescent="0.25">
      <c r="A29">
        <v>27</v>
      </c>
      <c r="D29" s="4" t="s">
        <v>34</v>
      </c>
      <c r="E29" s="5">
        <v>456</v>
      </c>
      <c r="F29" s="5">
        <v>451</v>
      </c>
      <c r="G29" s="6">
        <f t="shared" si="5"/>
        <v>-5</v>
      </c>
      <c r="H29" s="7">
        <f t="shared" si="6"/>
        <v>-1.0964912280701754E-2</v>
      </c>
      <c r="I29" s="8">
        <v>586.18421052631584</v>
      </c>
      <c r="J29" s="9">
        <f t="shared" si="7"/>
        <v>579.7567520775624</v>
      </c>
      <c r="K29" s="3">
        <f t="shared" si="8"/>
        <v>-6.4274584487534412</v>
      </c>
      <c r="L29" s="7">
        <f t="shared" si="9"/>
        <v>-1.0964912280701717E-2</v>
      </c>
      <c r="M29" t="s">
        <v>7</v>
      </c>
      <c r="O29" s="3">
        <f>E29-'314020 - P0624'!F29</f>
        <v>0</v>
      </c>
      <c r="P29" s="30">
        <f>I29-'314020 - P0624'!J29</f>
        <v>0</v>
      </c>
    </row>
    <row r="30" spans="1:16" x14ac:dyDescent="0.25">
      <c r="A30">
        <v>28</v>
      </c>
      <c r="D30" s="4" t="s">
        <v>35</v>
      </c>
      <c r="E30" s="5">
        <v>566</v>
      </c>
      <c r="F30" s="5">
        <v>556</v>
      </c>
      <c r="G30" s="6">
        <f t="shared" si="5"/>
        <v>-10</v>
      </c>
      <c r="H30" s="7">
        <f t="shared" si="6"/>
        <v>-1.7667844522968199E-2</v>
      </c>
      <c r="I30" s="8">
        <v>716.27915194346292</v>
      </c>
      <c r="J30" s="9">
        <f t="shared" si="7"/>
        <v>703.62404325188231</v>
      </c>
      <c r="K30" s="3">
        <f t="shared" si="8"/>
        <v>-12.655108691580608</v>
      </c>
      <c r="L30" s="7">
        <f t="shared" si="9"/>
        <v>-1.7667844522968185E-2</v>
      </c>
      <c r="M30" t="s">
        <v>7</v>
      </c>
      <c r="O30" s="3">
        <f>E30-'314020 - P0624'!F30</f>
        <v>0</v>
      </c>
      <c r="P30" s="30">
        <f>I30-'314020 - P0624'!J30</f>
        <v>0</v>
      </c>
    </row>
    <row r="31" spans="1:16" x14ac:dyDescent="0.25">
      <c r="A31">
        <v>29</v>
      </c>
      <c r="D31" s="4" t="s">
        <v>36</v>
      </c>
      <c r="E31" s="5">
        <v>566</v>
      </c>
      <c r="F31" s="5">
        <v>556</v>
      </c>
      <c r="G31" s="6">
        <f t="shared" si="5"/>
        <v>-10</v>
      </c>
      <c r="H31" s="7">
        <f t="shared" si="6"/>
        <v>-1.7667844522968199E-2</v>
      </c>
      <c r="I31" s="8">
        <v>676.66431095406358</v>
      </c>
      <c r="J31" s="9">
        <f t="shared" si="7"/>
        <v>664.7091111138858</v>
      </c>
      <c r="K31" s="3">
        <f t="shared" si="8"/>
        <v>-11.955199840177784</v>
      </c>
      <c r="L31" s="7">
        <f t="shared" si="9"/>
        <v>-1.7667844522968171E-2</v>
      </c>
      <c r="M31" t="s">
        <v>7</v>
      </c>
      <c r="O31" s="3">
        <f>E31-'314020 - P0624'!F31</f>
        <v>0</v>
      </c>
      <c r="P31" s="30">
        <f>I31-'314020 - P0624'!J31</f>
        <v>0</v>
      </c>
    </row>
    <row r="32" spans="1:16" x14ac:dyDescent="0.25">
      <c r="A32">
        <v>30</v>
      </c>
      <c r="D32" s="34" t="s">
        <v>37</v>
      </c>
      <c r="H32" s="10">
        <f>AVERAGE(H26:H31)</f>
        <v>-2.8400446609309238E-2</v>
      </c>
      <c r="L32" s="10">
        <f>AVERAGE(L26:L31)</f>
        <v>-2.84004466093092E-2</v>
      </c>
    </row>
    <row r="33" spans="1:16" x14ac:dyDescent="0.25">
      <c r="A33">
        <v>31</v>
      </c>
      <c r="D33" s="34" t="s">
        <v>38</v>
      </c>
      <c r="M33" t="s">
        <v>7</v>
      </c>
    </row>
    <row r="34" spans="1:16" x14ac:dyDescent="0.25">
      <c r="A34">
        <v>32</v>
      </c>
      <c r="D34" s="4" t="s">
        <v>39</v>
      </c>
      <c r="E34" s="5">
        <v>590</v>
      </c>
      <c r="F34" s="5">
        <v>565</v>
      </c>
      <c r="G34" s="6">
        <f t="shared" ref="G34:G62" si="10">+F34-E34</f>
        <v>-25</v>
      </c>
      <c r="H34" s="7">
        <f t="shared" ref="H34:H62" si="11">(F34-E34)/ABS(E34)</f>
        <v>-4.2372881355932202E-2</v>
      </c>
      <c r="I34" s="8">
        <v>670.87068965517221</v>
      </c>
      <c r="J34" s="9">
        <f t="shared" ref="J34:J62" si="12">(I34*H34)+I34</f>
        <v>642.44396551724117</v>
      </c>
      <c r="K34" s="3">
        <f t="shared" ref="K34:K62" si="13">J34-I34</f>
        <v>-28.426724137931046</v>
      </c>
      <c r="L34" s="7">
        <f t="shared" ref="L34:L62" si="14">(J34-I34)/ABS(I34)</f>
        <v>-4.2372881355932236E-2</v>
      </c>
      <c r="M34" t="s">
        <v>7</v>
      </c>
      <c r="O34" s="3">
        <f>E34-'314020 - P0624'!F34</f>
        <v>0</v>
      </c>
      <c r="P34" s="30">
        <f>I34-'314020 - P0624'!J34</f>
        <v>0</v>
      </c>
    </row>
    <row r="35" spans="1:16" x14ac:dyDescent="0.25">
      <c r="A35">
        <v>33</v>
      </c>
      <c r="D35" s="4" t="s">
        <v>40</v>
      </c>
      <c r="E35" s="8">
        <v>590</v>
      </c>
      <c r="F35" s="8">
        <f>F34</f>
        <v>565</v>
      </c>
      <c r="G35" s="6">
        <f t="shared" si="10"/>
        <v>-25</v>
      </c>
      <c r="H35" s="7">
        <f t="shared" si="11"/>
        <v>-4.2372881355932202E-2</v>
      </c>
      <c r="I35" s="8">
        <v>670.87068965517255</v>
      </c>
      <c r="J35" s="9">
        <f t="shared" si="12"/>
        <v>642.44396551724151</v>
      </c>
      <c r="K35" s="3">
        <f t="shared" si="13"/>
        <v>-28.426724137931046</v>
      </c>
      <c r="L35" s="7">
        <f t="shared" si="14"/>
        <v>-4.2372881355932215E-2</v>
      </c>
      <c r="M35" t="s">
        <v>7</v>
      </c>
      <c r="O35" s="3">
        <f>E35-'314020 - P0624'!F35</f>
        <v>0</v>
      </c>
      <c r="P35" s="30">
        <f>I35-'314020 - P0624'!J35</f>
        <v>0</v>
      </c>
    </row>
    <row r="36" spans="1:16" x14ac:dyDescent="0.25">
      <c r="A36">
        <v>34</v>
      </c>
      <c r="D36" s="4" t="s">
        <v>41</v>
      </c>
      <c r="E36" s="8">
        <v>590</v>
      </c>
      <c r="F36" s="8">
        <f>F34</f>
        <v>565</v>
      </c>
      <c r="G36" s="6">
        <f t="shared" si="10"/>
        <v>-25</v>
      </c>
      <c r="H36" s="7">
        <f t="shared" si="11"/>
        <v>-4.2372881355932202E-2</v>
      </c>
      <c r="I36" s="8">
        <v>670.87068965517255</v>
      </c>
      <c r="J36" s="9">
        <f t="shared" si="12"/>
        <v>642.44396551724151</v>
      </c>
      <c r="K36" s="3">
        <f t="shared" si="13"/>
        <v>-28.426724137931046</v>
      </c>
      <c r="L36" s="7">
        <f t="shared" si="14"/>
        <v>-4.2372881355932215E-2</v>
      </c>
      <c r="M36" t="s">
        <v>7</v>
      </c>
      <c r="O36" s="3">
        <f>E36-'314020 - P0624'!F36</f>
        <v>0</v>
      </c>
      <c r="P36" s="30">
        <f>I36-'314020 - P0624'!J36</f>
        <v>0</v>
      </c>
    </row>
    <row r="37" spans="1:16" x14ac:dyDescent="0.25">
      <c r="A37">
        <v>35</v>
      </c>
      <c r="D37" s="4" t="s">
        <v>42</v>
      </c>
      <c r="E37" s="8">
        <v>590</v>
      </c>
      <c r="F37" s="8">
        <f>F34</f>
        <v>565</v>
      </c>
      <c r="G37" s="6">
        <f t="shared" si="10"/>
        <v>-25</v>
      </c>
      <c r="H37" s="7">
        <f t="shared" si="11"/>
        <v>-4.2372881355932202E-2</v>
      </c>
      <c r="I37" s="8">
        <v>670.87068965517255</v>
      </c>
      <c r="J37" s="9">
        <f t="shared" si="12"/>
        <v>642.44396551724151</v>
      </c>
      <c r="K37" s="3">
        <f t="shared" si="13"/>
        <v>-28.426724137931046</v>
      </c>
      <c r="L37" s="7">
        <f t="shared" si="14"/>
        <v>-4.2372881355932215E-2</v>
      </c>
      <c r="M37" t="s">
        <v>7</v>
      </c>
      <c r="O37" s="3">
        <f>E37-'314020 - P0624'!F37</f>
        <v>0</v>
      </c>
      <c r="P37" s="30">
        <f>I37-'314020 - P0624'!J37</f>
        <v>0</v>
      </c>
    </row>
    <row r="38" spans="1:16" x14ac:dyDescent="0.25">
      <c r="A38">
        <v>36</v>
      </c>
      <c r="D38" s="4" t="s">
        <v>43</v>
      </c>
      <c r="E38" s="8">
        <v>590</v>
      </c>
      <c r="F38" s="8">
        <f>F34</f>
        <v>565</v>
      </c>
      <c r="G38" s="6">
        <f t="shared" si="10"/>
        <v>-25</v>
      </c>
      <c r="H38" s="7">
        <f t="shared" si="11"/>
        <v>-4.2372881355932202E-2</v>
      </c>
      <c r="I38" s="8">
        <v>670.87068965517255</v>
      </c>
      <c r="J38" s="9">
        <f t="shared" si="12"/>
        <v>642.44396551724151</v>
      </c>
      <c r="K38" s="3">
        <f t="shared" si="13"/>
        <v>-28.426724137931046</v>
      </c>
      <c r="L38" s="7">
        <f t="shared" si="14"/>
        <v>-4.2372881355932215E-2</v>
      </c>
      <c r="M38" t="s">
        <v>7</v>
      </c>
      <c r="O38" s="3">
        <f>E38-'314020 - P0624'!F38</f>
        <v>0</v>
      </c>
      <c r="P38" s="30">
        <f>I38-'314020 - P0624'!J38</f>
        <v>0</v>
      </c>
    </row>
    <row r="39" spans="1:16" x14ac:dyDescent="0.25">
      <c r="A39">
        <v>37</v>
      </c>
      <c r="D39" s="4" t="s">
        <v>44</v>
      </c>
      <c r="E39" s="8">
        <v>590</v>
      </c>
      <c r="F39" s="8">
        <f>F34</f>
        <v>565</v>
      </c>
      <c r="G39" s="6">
        <f t="shared" si="10"/>
        <v>-25</v>
      </c>
      <c r="H39" s="7">
        <f t="shared" si="11"/>
        <v>-4.2372881355932202E-2</v>
      </c>
      <c r="I39" s="8">
        <v>670.87068965517255</v>
      </c>
      <c r="J39" s="9">
        <f t="shared" si="12"/>
        <v>642.44396551724151</v>
      </c>
      <c r="K39" s="3">
        <f t="shared" si="13"/>
        <v>-28.426724137931046</v>
      </c>
      <c r="L39" s="7">
        <f t="shared" si="14"/>
        <v>-4.2372881355932215E-2</v>
      </c>
      <c r="M39" t="s">
        <v>7</v>
      </c>
      <c r="O39" s="3">
        <f>E39-'314020 - P0624'!F39</f>
        <v>0</v>
      </c>
      <c r="P39" s="30">
        <f>I39-'314020 - P0624'!J39</f>
        <v>0</v>
      </c>
    </row>
    <row r="40" spans="1:16" x14ac:dyDescent="0.25">
      <c r="A40">
        <v>38</v>
      </c>
      <c r="D40" s="4" t="s">
        <v>45</v>
      </c>
      <c r="E40" s="8">
        <v>590</v>
      </c>
      <c r="F40" s="8">
        <f>F34</f>
        <v>565</v>
      </c>
      <c r="G40" s="6">
        <f t="shared" si="10"/>
        <v>-25</v>
      </c>
      <c r="H40" s="7">
        <f t="shared" si="11"/>
        <v>-4.2372881355932202E-2</v>
      </c>
      <c r="I40" s="8">
        <v>670.87068965517255</v>
      </c>
      <c r="J40" s="9">
        <f t="shared" si="12"/>
        <v>642.44396551724151</v>
      </c>
      <c r="K40" s="3">
        <f t="shared" si="13"/>
        <v>-28.426724137931046</v>
      </c>
      <c r="L40" s="7">
        <f t="shared" si="14"/>
        <v>-4.2372881355932215E-2</v>
      </c>
      <c r="M40" t="s">
        <v>7</v>
      </c>
      <c r="O40" s="3">
        <f>E40-'314020 - P0624'!F40</f>
        <v>0</v>
      </c>
      <c r="P40" s="30">
        <f>I40-'314020 - P0624'!J40</f>
        <v>0</v>
      </c>
    </row>
    <row r="41" spans="1:16" x14ac:dyDescent="0.25">
      <c r="A41">
        <v>39</v>
      </c>
      <c r="D41" s="4" t="s">
        <v>46</v>
      </c>
      <c r="E41" s="8">
        <v>590</v>
      </c>
      <c r="F41" s="8">
        <f>F35</f>
        <v>565</v>
      </c>
      <c r="G41" s="6">
        <f t="shared" si="10"/>
        <v>-25</v>
      </c>
      <c r="H41" s="7">
        <f t="shared" si="11"/>
        <v>-4.2372881355932202E-2</v>
      </c>
      <c r="I41" s="8">
        <v>670.87068965517255</v>
      </c>
      <c r="J41" s="9">
        <f t="shared" si="12"/>
        <v>642.44396551724151</v>
      </c>
      <c r="K41" s="3">
        <f t="shared" si="13"/>
        <v>-28.426724137931046</v>
      </c>
      <c r="L41" s="7">
        <f t="shared" si="14"/>
        <v>-4.2372881355932215E-2</v>
      </c>
      <c r="M41" t="s">
        <v>7</v>
      </c>
      <c r="O41" s="3">
        <f>E41-'314020 - P0624'!F41</f>
        <v>0</v>
      </c>
      <c r="P41" s="30">
        <f>I41-'314020 - P0624'!J41</f>
        <v>0</v>
      </c>
    </row>
    <row r="42" spans="1:16" x14ac:dyDescent="0.25">
      <c r="A42">
        <v>40</v>
      </c>
      <c r="D42" s="4" t="s">
        <v>47</v>
      </c>
      <c r="E42" s="5">
        <v>560</v>
      </c>
      <c r="F42" s="5">
        <v>545</v>
      </c>
      <c r="G42" s="6">
        <f t="shared" si="10"/>
        <v>-15</v>
      </c>
      <c r="H42" s="7">
        <f t="shared" si="11"/>
        <v>-2.6785714285714284E-2</v>
      </c>
      <c r="I42" s="8">
        <v>638.61538461538487</v>
      </c>
      <c r="J42" s="9">
        <f t="shared" si="12"/>
        <v>621.50961538461559</v>
      </c>
      <c r="K42" s="3">
        <f t="shared" si="13"/>
        <v>-17.105769230769283</v>
      </c>
      <c r="L42" s="7">
        <f t="shared" si="14"/>
        <v>-2.6785714285714357E-2</v>
      </c>
      <c r="M42" t="s">
        <v>7</v>
      </c>
      <c r="O42" s="3">
        <f>E42-'314020 - P0624'!F42</f>
        <v>0</v>
      </c>
      <c r="P42" s="30">
        <f>I42-'314020 - P0624'!J42</f>
        <v>0</v>
      </c>
    </row>
    <row r="43" spans="1:16" x14ac:dyDescent="0.25">
      <c r="A43">
        <v>41</v>
      </c>
      <c r="D43" s="4" t="s">
        <v>48</v>
      </c>
      <c r="E43" s="8">
        <v>560</v>
      </c>
      <c r="F43" s="8">
        <f>F42</f>
        <v>545</v>
      </c>
      <c r="G43" s="6">
        <f t="shared" si="10"/>
        <v>-15</v>
      </c>
      <c r="H43" s="7">
        <f t="shared" si="11"/>
        <v>-2.6785714285714284E-2</v>
      </c>
      <c r="I43" s="8">
        <v>638.61538461538487</v>
      </c>
      <c r="J43" s="9">
        <f t="shared" si="12"/>
        <v>621.50961538461559</v>
      </c>
      <c r="K43" s="3">
        <f t="shared" si="13"/>
        <v>-17.105769230769283</v>
      </c>
      <c r="L43" s="7">
        <f t="shared" si="14"/>
        <v>-2.6785714285714357E-2</v>
      </c>
      <c r="M43" t="s">
        <v>7</v>
      </c>
      <c r="O43" s="3">
        <f>E43-'314020 - P0624'!F43</f>
        <v>0</v>
      </c>
      <c r="P43" s="30">
        <f>I43-'314020 - P0624'!J43</f>
        <v>0</v>
      </c>
    </row>
    <row r="44" spans="1:16" x14ac:dyDescent="0.25">
      <c r="A44">
        <v>42</v>
      </c>
      <c r="D44" s="4" t="s">
        <v>49</v>
      </c>
      <c r="E44" s="8">
        <v>560</v>
      </c>
      <c r="F44" s="8">
        <f>F42</f>
        <v>545</v>
      </c>
      <c r="G44" s="6">
        <f t="shared" si="10"/>
        <v>-15</v>
      </c>
      <c r="H44" s="7">
        <f t="shared" si="11"/>
        <v>-2.6785714285714284E-2</v>
      </c>
      <c r="I44" s="8">
        <v>638.61538461538487</v>
      </c>
      <c r="J44" s="9">
        <f t="shared" si="12"/>
        <v>621.50961538461559</v>
      </c>
      <c r="K44" s="3">
        <f t="shared" si="13"/>
        <v>-17.105769230769283</v>
      </c>
      <c r="L44" s="7">
        <f t="shared" si="14"/>
        <v>-2.6785714285714357E-2</v>
      </c>
      <c r="M44" t="s">
        <v>7</v>
      </c>
      <c r="O44" s="3">
        <f>E44-'314020 - P0624'!F44</f>
        <v>0</v>
      </c>
      <c r="P44" s="30">
        <f>I44-'314020 - P0624'!J44</f>
        <v>0</v>
      </c>
    </row>
    <row r="45" spans="1:16" x14ac:dyDescent="0.25">
      <c r="A45">
        <v>43</v>
      </c>
      <c r="D45" s="4" t="s">
        <v>50</v>
      </c>
      <c r="E45" s="8">
        <v>560</v>
      </c>
      <c r="F45" s="8">
        <f>F42</f>
        <v>545</v>
      </c>
      <c r="G45" s="6">
        <f t="shared" si="10"/>
        <v>-15</v>
      </c>
      <c r="H45" s="7">
        <f t="shared" si="11"/>
        <v>-2.6785714285714284E-2</v>
      </c>
      <c r="I45" s="8">
        <v>638.61538461538487</v>
      </c>
      <c r="J45" s="9">
        <f t="shared" si="12"/>
        <v>621.50961538461559</v>
      </c>
      <c r="K45" s="3">
        <f t="shared" si="13"/>
        <v>-17.105769230769283</v>
      </c>
      <c r="L45" s="7">
        <f t="shared" si="14"/>
        <v>-2.6785714285714357E-2</v>
      </c>
      <c r="M45" t="s">
        <v>7</v>
      </c>
      <c r="O45" s="3">
        <f>E45-'314020 - P0624'!F45</f>
        <v>0</v>
      </c>
      <c r="P45" s="30">
        <f>I45-'314020 - P0624'!J45</f>
        <v>0</v>
      </c>
    </row>
    <row r="46" spans="1:16" x14ac:dyDescent="0.25">
      <c r="A46">
        <v>44</v>
      </c>
      <c r="D46" s="4" t="s">
        <v>51</v>
      </c>
      <c r="E46" s="8">
        <v>560</v>
      </c>
      <c r="F46" s="8">
        <f>F42</f>
        <v>545</v>
      </c>
      <c r="G46" s="6">
        <f t="shared" si="10"/>
        <v>-15</v>
      </c>
      <c r="H46" s="7">
        <f t="shared" si="11"/>
        <v>-2.6785714285714284E-2</v>
      </c>
      <c r="I46" s="8">
        <v>638.61538461538487</v>
      </c>
      <c r="J46" s="9">
        <f t="shared" si="12"/>
        <v>621.50961538461559</v>
      </c>
      <c r="K46" s="3">
        <f t="shared" si="13"/>
        <v>-17.105769230769283</v>
      </c>
      <c r="L46" s="7">
        <f t="shared" si="14"/>
        <v>-2.6785714285714357E-2</v>
      </c>
      <c r="M46" t="s">
        <v>7</v>
      </c>
      <c r="O46" s="3">
        <f>E46-'314020 - P0624'!F46</f>
        <v>0</v>
      </c>
      <c r="P46" s="30">
        <f>I46-'314020 - P0624'!J46</f>
        <v>0</v>
      </c>
    </row>
    <row r="47" spans="1:16" x14ac:dyDescent="0.25">
      <c r="A47">
        <v>45</v>
      </c>
      <c r="D47" s="4" t="s">
        <v>52</v>
      </c>
      <c r="E47" s="8">
        <v>560</v>
      </c>
      <c r="F47" s="8">
        <f>F42</f>
        <v>545</v>
      </c>
      <c r="G47" s="6">
        <f t="shared" si="10"/>
        <v>-15</v>
      </c>
      <c r="H47" s="7">
        <f t="shared" si="11"/>
        <v>-2.6785714285714284E-2</v>
      </c>
      <c r="I47" s="8">
        <v>638.61538461538487</v>
      </c>
      <c r="J47" s="9">
        <f t="shared" si="12"/>
        <v>621.50961538461559</v>
      </c>
      <c r="K47" s="3">
        <f t="shared" si="13"/>
        <v>-17.105769230769283</v>
      </c>
      <c r="L47" s="7">
        <f t="shared" si="14"/>
        <v>-2.6785714285714357E-2</v>
      </c>
      <c r="M47" t="s">
        <v>7</v>
      </c>
      <c r="O47" s="3">
        <f>E47-'314020 - P0624'!F47</f>
        <v>0</v>
      </c>
      <c r="P47" s="30">
        <f>I47-'314020 - P0624'!J47</f>
        <v>0</v>
      </c>
    </row>
    <row r="48" spans="1:16" x14ac:dyDescent="0.25">
      <c r="A48">
        <v>46</v>
      </c>
      <c r="D48" s="4" t="s">
        <v>53</v>
      </c>
      <c r="E48" s="8">
        <v>560</v>
      </c>
      <c r="F48" s="8">
        <f>F42</f>
        <v>545</v>
      </c>
      <c r="G48" s="6">
        <f t="shared" si="10"/>
        <v>-15</v>
      </c>
      <c r="H48" s="7">
        <f t="shared" si="11"/>
        <v>-2.6785714285714284E-2</v>
      </c>
      <c r="I48" s="8">
        <v>638.61538461538487</v>
      </c>
      <c r="J48" s="9">
        <f t="shared" si="12"/>
        <v>621.50961538461559</v>
      </c>
      <c r="K48" s="3">
        <f t="shared" si="13"/>
        <v>-17.105769230769283</v>
      </c>
      <c r="L48" s="7">
        <f t="shared" si="14"/>
        <v>-2.6785714285714357E-2</v>
      </c>
      <c r="M48" t="s">
        <v>7</v>
      </c>
      <c r="O48" s="3">
        <f>E48-'314020 - P0624'!F48</f>
        <v>0</v>
      </c>
      <c r="P48" s="30">
        <f>I48-'314020 - P0624'!J48</f>
        <v>0</v>
      </c>
    </row>
    <row r="49" spans="1:16" x14ac:dyDescent="0.25">
      <c r="A49">
        <v>47</v>
      </c>
      <c r="D49" s="4" t="s">
        <v>54</v>
      </c>
      <c r="E49" s="8">
        <v>560</v>
      </c>
      <c r="F49" s="8">
        <f>F43</f>
        <v>545</v>
      </c>
      <c r="G49" s="6">
        <f t="shared" si="10"/>
        <v>-15</v>
      </c>
      <c r="H49" s="7">
        <f t="shared" si="11"/>
        <v>-2.6785714285714284E-2</v>
      </c>
      <c r="I49" s="8">
        <v>638.61538461538487</v>
      </c>
      <c r="J49" s="9">
        <f t="shared" si="12"/>
        <v>621.50961538461559</v>
      </c>
      <c r="K49" s="3">
        <f t="shared" si="13"/>
        <v>-17.105769230769283</v>
      </c>
      <c r="L49" s="7">
        <f t="shared" si="14"/>
        <v>-2.6785714285714357E-2</v>
      </c>
      <c r="M49" t="s">
        <v>7</v>
      </c>
      <c r="O49" s="3">
        <f>E49-'314020 - P0624'!F49</f>
        <v>0</v>
      </c>
      <c r="P49" s="30">
        <f>I49-'314020 - P0624'!J49</f>
        <v>0</v>
      </c>
    </row>
    <row r="50" spans="1:16" x14ac:dyDescent="0.25">
      <c r="A50">
        <v>48</v>
      </c>
      <c r="D50" s="4" t="s">
        <v>55</v>
      </c>
      <c r="E50" s="5">
        <v>495</v>
      </c>
      <c r="F50" s="5">
        <v>485</v>
      </c>
      <c r="G50" s="6">
        <f t="shared" si="10"/>
        <v>-10</v>
      </c>
      <c r="H50" s="7">
        <f t="shared" si="11"/>
        <v>-2.0202020202020204E-2</v>
      </c>
      <c r="I50" s="8">
        <v>612.7706422018349</v>
      </c>
      <c r="J50" s="9">
        <f t="shared" si="12"/>
        <v>600.39143730886849</v>
      </c>
      <c r="K50" s="3">
        <f t="shared" si="13"/>
        <v>-12.379204892966413</v>
      </c>
      <c r="L50" s="7">
        <f t="shared" si="14"/>
        <v>-2.0202020202020287E-2</v>
      </c>
      <c r="M50" t="s">
        <v>7</v>
      </c>
      <c r="O50" s="3">
        <f>E50-'314020 - P0624'!F50</f>
        <v>0</v>
      </c>
      <c r="P50" s="30">
        <f>I50-'314020 - P0624'!J50</f>
        <v>0</v>
      </c>
    </row>
    <row r="51" spans="1:16" x14ac:dyDescent="0.25">
      <c r="A51">
        <v>49</v>
      </c>
      <c r="D51" s="4" t="s">
        <v>56</v>
      </c>
      <c r="E51" s="8">
        <v>495</v>
      </c>
      <c r="F51" s="8">
        <f>F50</f>
        <v>485</v>
      </c>
      <c r="G51" s="6">
        <f t="shared" si="10"/>
        <v>-10</v>
      </c>
      <c r="H51" s="7">
        <f t="shared" si="11"/>
        <v>-2.0202020202020204E-2</v>
      </c>
      <c r="I51" s="8">
        <v>612.7706422018349</v>
      </c>
      <c r="J51" s="9">
        <f t="shared" si="12"/>
        <v>600.39143730886849</v>
      </c>
      <c r="K51" s="3">
        <f t="shared" si="13"/>
        <v>-12.379204892966413</v>
      </c>
      <c r="L51" s="7">
        <f t="shared" si="14"/>
        <v>-2.0202020202020287E-2</v>
      </c>
      <c r="M51" t="s">
        <v>7</v>
      </c>
      <c r="O51" s="3">
        <f>E51-'314020 - P0624'!F51</f>
        <v>0</v>
      </c>
      <c r="P51" s="30">
        <f>I51-'314020 - P0624'!J51</f>
        <v>0</v>
      </c>
    </row>
    <row r="52" spans="1:16" x14ac:dyDescent="0.25">
      <c r="A52">
        <v>50</v>
      </c>
      <c r="D52" s="4" t="s">
        <v>57</v>
      </c>
      <c r="E52" s="8">
        <v>495</v>
      </c>
      <c r="F52" s="8">
        <f>F50</f>
        <v>485</v>
      </c>
      <c r="G52" s="6">
        <f t="shared" si="10"/>
        <v>-10</v>
      </c>
      <c r="H52" s="7">
        <f t="shared" si="11"/>
        <v>-2.0202020202020204E-2</v>
      </c>
      <c r="I52" s="8">
        <v>612.7706422018349</v>
      </c>
      <c r="J52" s="9">
        <f t="shared" si="12"/>
        <v>600.39143730886849</v>
      </c>
      <c r="K52" s="3">
        <f t="shared" si="13"/>
        <v>-12.379204892966413</v>
      </c>
      <c r="L52" s="7">
        <f t="shared" si="14"/>
        <v>-2.0202020202020287E-2</v>
      </c>
      <c r="M52" t="s">
        <v>7</v>
      </c>
      <c r="O52" s="3">
        <f>E52-'314020 - P0624'!F52</f>
        <v>0</v>
      </c>
      <c r="P52" s="30">
        <f>I52-'314020 - P0624'!J52</f>
        <v>0</v>
      </c>
    </row>
    <row r="53" spans="1:16" x14ac:dyDescent="0.25">
      <c r="A53">
        <v>51</v>
      </c>
      <c r="D53" s="4" t="s">
        <v>58</v>
      </c>
      <c r="E53" s="8">
        <v>495</v>
      </c>
      <c r="F53" s="8">
        <f>F50</f>
        <v>485</v>
      </c>
      <c r="G53" s="6">
        <f t="shared" si="10"/>
        <v>-10</v>
      </c>
      <c r="H53" s="7">
        <f t="shared" si="11"/>
        <v>-2.0202020202020204E-2</v>
      </c>
      <c r="I53" s="8">
        <v>612.7706422018349</v>
      </c>
      <c r="J53" s="9">
        <f t="shared" si="12"/>
        <v>600.39143730886849</v>
      </c>
      <c r="K53" s="3">
        <f t="shared" si="13"/>
        <v>-12.379204892966413</v>
      </c>
      <c r="L53" s="7">
        <f t="shared" si="14"/>
        <v>-2.0202020202020287E-2</v>
      </c>
      <c r="M53" t="s">
        <v>7</v>
      </c>
      <c r="O53" s="3">
        <f>E53-'314020 - P0624'!F53</f>
        <v>0</v>
      </c>
      <c r="P53" s="30">
        <f>I53-'314020 - P0624'!J53</f>
        <v>0</v>
      </c>
    </row>
    <row r="54" spans="1:16" x14ac:dyDescent="0.25">
      <c r="A54">
        <v>52</v>
      </c>
      <c r="D54" s="4" t="s">
        <v>59</v>
      </c>
      <c r="E54" s="5">
        <v>528</v>
      </c>
      <c r="F54" s="5">
        <v>518</v>
      </c>
      <c r="G54" s="6">
        <f t="shared" si="10"/>
        <v>-10</v>
      </c>
      <c r="H54" s="7">
        <f t="shared" si="11"/>
        <v>-1.893939393939394E-2</v>
      </c>
      <c r="I54" s="8">
        <v>842.65462753950339</v>
      </c>
      <c r="J54" s="9">
        <f t="shared" si="12"/>
        <v>826.69525959367945</v>
      </c>
      <c r="K54" s="3">
        <f t="shared" si="13"/>
        <v>-15.959367945823942</v>
      </c>
      <c r="L54" s="7">
        <f t="shared" si="14"/>
        <v>-1.8939393939393957E-2</v>
      </c>
      <c r="M54" t="s">
        <v>7</v>
      </c>
      <c r="O54" s="3">
        <f>E54-'314020 - P0624'!F54</f>
        <v>0</v>
      </c>
      <c r="P54" s="30">
        <f>I54-'314020 - P0624'!J54</f>
        <v>0</v>
      </c>
    </row>
    <row r="55" spans="1:16" x14ac:dyDescent="0.25">
      <c r="A55">
        <v>53</v>
      </c>
      <c r="D55" s="4" t="s">
        <v>60</v>
      </c>
      <c r="E55" s="8">
        <v>528</v>
      </c>
      <c r="F55" s="8">
        <f>F54</f>
        <v>518</v>
      </c>
      <c r="G55" s="6">
        <f t="shared" si="10"/>
        <v>-10</v>
      </c>
      <c r="H55" s="7">
        <f t="shared" si="11"/>
        <v>-1.893939393939394E-2</v>
      </c>
      <c r="I55" s="8">
        <v>842.65462753950339</v>
      </c>
      <c r="J55" s="9">
        <f t="shared" si="12"/>
        <v>826.69525959367945</v>
      </c>
      <c r="K55" s="3">
        <f t="shared" si="13"/>
        <v>-15.959367945823942</v>
      </c>
      <c r="L55" s="7">
        <f t="shared" si="14"/>
        <v>-1.8939393939393957E-2</v>
      </c>
      <c r="M55" t="s">
        <v>7</v>
      </c>
      <c r="O55" s="3">
        <f>E55-'314020 - P0624'!F55</f>
        <v>0</v>
      </c>
      <c r="P55" s="30">
        <f>I55-'314020 - P0624'!J55</f>
        <v>0</v>
      </c>
    </row>
    <row r="56" spans="1:16" x14ac:dyDescent="0.25">
      <c r="A56">
        <v>54</v>
      </c>
      <c r="D56" s="4" t="s">
        <v>61</v>
      </c>
      <c r="E56" s="8">
        <v>528</v>
      </c>
      <c r="F56" s="8">
        <f>F54</f>
        <v>518</v>
      </c>
      <c r="G56" s="6">
        <f t="shared" si="10"/>
        <v>-10</v>
      </c>
      <c r="H56" s="7">
        <f t="shared" si="11"/>
        <v>-1.893939393939394E-2</v>
      </c>
      <c r="I56" s="8">
        <v>842.65462753950339</v>
      </c>
      <c r="J56" s="9">
        <f t="shared" si="12"/>
        <v>826.69525959367945</v>
      </c>
      <c r="K56" s="3">
        <f t="shared" si="13"/>
        <v>-15.959367945823942</v>
      </c>
      <c r="L56" s="7">
        <f t="shared" si="14"/>
        <v>-1.8939393939393957E-2</v>
      </c>
      <c r="M56" t="s">
        <v>7</v>
      </c>
      <c r="O56" s="3">
        <f>E56-'314020 - P0624'!F56</f>
        <v>0</v>
      </c>
      <c r="P56" s="30">
        <f>I56-'314020 - P0624'!J56</f>
        <v>0</v>
      </c>
    </row>
    <row r="57" spans="1:16" x14ac:dyDescent="0.25">
      <c r="A57">
        <v>55</v>
      </c>
      <c r="D57" s="4" t="s">
        <v>62</v>
      </c>
      <c r="E57" s="8">
        <v>528</v>
      </c>
      <c r="F57" s="8">
        <f>F54</f>
        <v>518</v>
      </c>
      <c r="G57" s="6">
        <f t="shared" si="10"/>
        <v>-10</v>
      </c>
      <c r="H57" s="7">
        <f t="shared" si="11"/>
        <v>-1.893939393939394E-2</v>
      </c>
      <c r="I57" s="8">
        <v>842.65462753950339</v>
      </c>
      <c r="J57" s="9">
        <f t="shared" si="12"/>
        <v>826.69525959367945</v>
      </c>
      <c r="K57" s="3">
        <f t="shared" si="13"/>
        <v>-15.959367945823942</v>
      </c>
      <c r="L57" s="7">
        <f t="shared" si="14"/>
        <v>-1.8939393939393957E-2</v>
      </c>
      <c r="M57" t="s">
        <v>7</v>
      </c>
      <c r="O57" s="3">
        <f>E57-'314020 - P0624'!F57</f>
        <v>0</v>
      </c>
      <c r="P57" s="30">
        <f>I57-'314020 - P0624'!J57</f>
        <v>0</v>
      </c>
    </row>
    <row r="58" spans="1:16" x14ac:dyDescent="0.25">
      <c r="A58">
        <v>56</v>
      </c>
      <c r="D58" s="4" t="s">
        <v>63</v>
      </c>
      <c r="E58" s="8">
        <v>528</v>
      </c>
      <c r="F58" s="8">
        <f>F54</f>
        <v>518</v>
      </c>
      <c r="G58" s="6">
        <f t="shared" si="10"/>
        <v>-10</v>
      </c>
      <c r="H58" s="7">
        <f t="shared" si="11"/>
        <v>-1.893939393939394E-2</v>
      </c>
      <c r="I58" s="8">
        <v>842.65462753950339</v>
      </c>
      <c r="J58" s="9">
        <f t="shared" si="12"/>
        <v>826.69525959367945</v>
      </c>
      <c r="K58" s="3">
        <f t="shared" si="13"/>
        <v>-15.959367945823942</v>
      </c>
      <c r="L58" s="7">
        <f t="shared" si="14"/>
        <v>-1.8939393939393957E-2</v>
      </c>
      <c r="M58" t="s">
        <v>7</v>
      </c>
      <c r="O58" s="3">
        <f>E58-'314020 - P0624'!F58</f>
        <v>0</v>
      </c>
      <c r="P58" s="30">
        <f>I58-'314020 - P0624'!J58</f>
        <v>0</v>
      </c>
    </row>
    <row r="59" spans="1:16" x14ac:dyDescent="0.25">
      <c r="A59">
        <v>57</v>
      </c>
      <c r="D59" s="4" t="s">
        <v>64</v>
      </c>
      <c r="E59" s="5">
        <v>523</v>
      </c>
      <c r="F59" s="5">
        <v>513</v>
      </c>
      <c r="G59" s="6">
        <f t="shared" si="10"/>
        <v>-10</v>
      </c>
      <c r="H59" s="7">
        <f t="shared" si="11"/>
        <v>-1.9120458891013385E-2</v>
      </c>
      <c r="I59" s="8">
        <v>751.44795539033453</v>
      </c>
      <c r="J59" s="9">
        <f t="shared" si="12"/>
        <v>737.07992565055758</v>
      </c>
      <c r="K59" s="3">
        <f t="shared" si="13"/>
        <v>-14.368029739776944</v>
      </c>
      <c r="L59" s="7">
        <f t="shared" si="14"/>
        <v>-1.9120458891013374E-2</v>
      </c>
      <c r="M59" t="s">
        <v>7</v>
      </c>
      <c r="O59" s="3">
        <f>E59-'314020 - P0624'!F59</f>
        <v>0</v>
      </c>
      <c r="P59" s="30">
        <f>I59-'314020 - P0624'!J59</f>
        <v>0</v>
      </c>
    </row>
    <row r="60" spans="1:16" x14ac:dyDescent="0.25">
      <c r="A60">
        <v>58</v>
      </c>
      <c r="D60" s="4" t="s">
        <v>65</v>
      </c>
      <c r="E60" s="8">
        <v>523</v>
      </c>
      <c r="F60" s="8">
        <f>F59</f>
        <v>513</v>
      </c>
      <c r="G60" s="6">
        <f t="shared" si="10"/>
        <v>-10</v>
      </c>
      <c r="H60" s="7">
        <f t="shared" si="11"/>
        <v>-1.9120458891013385E-2</v>
      </c>
      <c r="I60" s="8">
        <v>751.44795539033453</v>
      </c>
      <c r="J60" s="9">
        <f t="shared" si="12"/>
        <v>737.07992565055758</v>
      </c>
      <c r="K60" s="3">
        <f t="shared" si="13"/>
        <v>-14.368029739776944</v>
      </c>
      <c r="L60" s="7">
        <f t="shared" si="14"/>
        <v>-1.9120458891013374E-2</v>
      </c>
      <c r="M60" t="s">
        <v>7</v>
      </c>
      <c r="O60" s="3">
        <f>E60-'314020 - P0624'!F60</f>
        <v>0</v>
      </c>
      <c r="P60" s="30">
        <f>I60-'314020 - P0624'!J60</f>
        <v>0</v>
      </c>
    </row>
    <row r="61" spans="1:16" x14ac:dyDescent="0.25">
      <c r="A61">
        <v>59</v>
      </c>
      <c r="D61" s="4" t="s">
        <v>66</v>
      </c>
      <c r="E61" s="8">
        <v>523</v>
      </c>
      <c r="F61" s="8">
        <f>F59</f>
        <v>513</v>
      </c>
      <c r="G61" s="6">
        <f t="shared" si="10"/>
        <v>-10</v>
      </c>
      <c r="H61" s="7">
        <f t="shared" si="11"/>
        <v>-1.9120458891013385E-2</v>
      </c>
      <c r="I61" s="8">
        <v>751.44795539033453</v>
      </c>
      <c r="J61" s="9">
        <f t="shared" si="12"/>
        <v>737.07992565055758</v>
      </c>
      <c r="K61" s="3">
        <f t="shared" si="13"/>
        <v>-14.368029739776944</v>
      </c>
      <c r="L61" s="7">
        <f t="shared" si="14"/>
        <v>-1.9120458891013374E-2</v>
      </c>
      <c r="M61" t="s">
        <v>7</v>
      </c>
      <c r="O61" s="3">
        <f>E61-'314020 - P0624'!F61</f>
        <v>0</v>
      </c>
      <c r="P61" s="30">
        <f>I61-'314020 - P0624'!J61</f>
        <v>0</v>
      </c>
    </row>
    <row r="62" spans="1:16" x14ac:dyDescent="0.25">
      <c r="A62">
        <v>60</v>
      </c>
      <c r="D62" s="4" t="s">
        <v>67</v>
      </c>
      <c r="E62" s="8">
        <v>523</v>
      </c>
      <c r="F62" s="8">
        <f>F59</f>
        <v>513</v>
      </c>
      <c r="G62" s="6">
        <f t="shared" si="10"/>
        <v>-10</v>
      </c>
      <c r="H62" s="7">
        <f t="shared" si="11"/>
        <v>-1.9120458891013385E-2</v>
      </c>
      <c r="I62" s="8">
        <v>751.44795539033453</v>
      </c>
      <c r="J62" s="9">
        <f t="shared" si="12"/>
        <v>737.07992565055758</v>
      </c>
      <c r="K62" s="3">
        <f t="shared" si="13"/>
        <v>-14.368029739776944</v>
      </c>
      <c r="L62" s="7">
        <f t="shared" si="14"/>
        <v>-1.9120458891013374E-2</v>
      </c>
      <c r="M62" t="s">
        <v>7</v>
      </c>
      <c r="O62" s="3">
        <f>E62-'314020 - P0624'!F62</f>
        <v>0</v>
      </c>
      <c r="P62" s="30">
        <f>I62-'314020 - P0624'!J62</f>
        <v>0</v>
      </c>
    </row>
    <row r="63" spans="1:16" x14ac:dyDescent="0.25">
      <c r="A63">
        <v>61</v>
      </c>
      <c r="D63" s="2"/>
      <c r="G63" s="6"/>
      <c r="H63" s="10">
        <f>AVERAGE(H34:H62)</f>
        <v>-2.7767436248354354E-2</v>
      </c>
      <c r="J63" s="3"/>
      <c r="K63" s="3"/>
      <c r="L63" s="10">
        <f>AVERAGE(L34:L62)</f>
        <v>-2.7767436248354368E-2</v>
      </c>
    </row>
    <row r="64" spans="1:16" x14ac:dyDescent="0.25">
      <c r="A64">
        <v>62</v>
      </c>
      <c r="D64" s="34" t="s">
        <v>68</v>
      </c>
      <c r="G64" s="6"/>
      <c r="H64" s="7"/>
      <c r="J64" s="3"/>
      <c r="K64" s="3"/>
      <c r="L64" s="7"/>
    </row>
    <row r="65" spans="1:16" x14ac:dyDescent="0.25">
      <c r="A65">
        <v>63</v>
      </c>
      <c r="D65" s="4" t="s">
        <v>69</v>
      </c>
      <c r="E65" s="5">
        <v>545</v>
      </c>
      <c r="F65" s="5">
        <v>530</v>
      </c>
      <c r="G65" s="6">
        <f t="shared" ref="G65:G71" si="15">+F65-E65</f>
        <v>-15</v>
      </c>
      <c r="H65" s="7">
        <f t="shared" ref="H65:H71" si="16">(F65-E65)/ABS(E65)</f>
        <v>-2.7522935779816515E-2</v>
      </c>
      <c r="I65" s="8">
        <v>664.72131147540995</v>
      </c>
      <c r="J65" s="9">
        <f t="shared" ref="J65:J90" si="17">(I65*H65)+I65</f>
        <v>646.4262295081968</v>
      </c>
      <c r="K65" s="3">
        <f t="shared" ref="K65:K71" si="18">J65-I65</f>
        <v>-18.29508196721315</v>
      </c>
      <c r="L65" s="7">
        <f t="shared" ref="L65:L71" si="19">(J65-I65)/ABS(I65)</f>
        <v>-2.7522935779816564E-2</v>
      </c>
      <c r="M65" t="s">
        <v>7</v>
      </c>
      <c r="O65" s="3">
        <f>E65-'314020 - P0624'!F65</f>
        <v>0</v>
      </c>
      <c r="P65" s="30">
        <f>I65-'314020 - P0624'!J65</f>
        <v>0</v>
      </c>
    </row>
    <row r="66" spans="1:16" x14ac:dyDescent="0.25">
      <c r="A66">
        <v>64</v>
      </c>
      <c r="D66" s="4" t="s">
        <v>70</v>
      </c>
      <c r="E66" s="8">
        <v>545</v>
      </c>
      <c r="F66" s="8">
        <f>F65</f>
        <v>530</v>
      </c>
      <c r="G66" s="6">
        <f t="shared" si="15"/>
        <v>-15</v>
      </c>
      <c r="H66" s="7">
        <f t="shared" si="16"/>
        <v>-2.7522935779816515E-2</v>
      </c>
      <c r="I66" s="8">
        <v>664.72131147540995</v>
      </c>
      <c r="J66" s="9">
        <f t="shared" si="17"/>
        <v>646.4262295081968</v>
      </c>
      <c r="K66" s="3">
        <f t="shared" si="18"/>
        <v>-18.29508196721315</v>
      </c>
      <c r="L66" s="7">
        <f t="shared" si="19"/>
        <v>-2.7522935779816564E-2</v>
      </c>
      <c r="M66" t="s">
        <v>7</v>
      </c>
      <c r="O66" s="3">
        <f>E66-'314020 - P0624'!F66</f>
        <v>0</v>
      </c>
      <c r="P66" s="30">
        <f>I66-'314020 - P0624'!J66</f>
        <v>0</v>
      </c>
    </row>
    <row r="67" spans="1:16" x14ac:dyDescent="0.25">
      <c r="A67">
        <v>65</v>
      </c>
      <c r="D67" s="4" t="s">
        <v>71</v>
      </c>
      <c r="E67" s="8">
        <v>545</v>
      </c>
      <c r="F67" s="8">
        <f>F65</f>
        <v>530</v>
      </c>
      <c r="G67" s="6">
        <f t="shared" si="15"/>
        <v>-15</v>
      </c>
      <c r="H67" s="7">
        <f t="shared" si="16"/>
        <v>-2.7522935779816515E-2</v>
      </c>
      <c r="I67" s="8">
        <v>664.72131147540995</v>
      </c>
      <c r="J67" s="9">
        <f t="shared" si="17"/>
        <v>646.4262295081968</v>
      </c>
      <c r="K67" s="3">
        <f t="shared" si="18"/>
        <v>-18.29508196721315</v>
      </c>
      <c r="L67" s="7">
        <f t="shared" si="19"/>
        <v>-2.7522935779816564E-2</v>
      </c>
      <c r="M67" t="s">
        <v>7</v>
      </c>
      <c r="O67" s="3">
        <f>E67-'314020 - P0624'!F67</f>
        <v>0</v>
      </c>
      <c r="P67" s="30">
        <f>I67-'314020 - P0624'!J67</f>
        <v>0</v>
      </c>
    </row>
    <row r="68" spans="1:16" x14ac:dyDescent="0.25">
      <c r="A68">
        <v>66</v>
      </c>
      <c r="D68" s="4" t="s">
        <v>72</v>
      </c>
      <c r="E68" s="8">
        <v>545</v>
      </c>
      <c r="F68" s="8">
        <f>F65</f>
        <v>530</v>
      </c>
      <c r="G68" s="6">
        <f t="shared" si="15"/>
        <v>-15</v>
      </c>
      <c r="H68" s="7">
        <f t="shared" si="16"/>
        <v>-2.7522935779816515E-2</v>
      </c>
      <c r="I68" s="8">
        <v>664.72131147540995</v>
      </c>
      <c r="J68" s="9">
        <f t="shared" si="17"/>
        <v>646.4262295081968</v>
      </c>
      <c r="K68" s="3">
        <f t="shared" si="18"/>
        <v>-18.29508196721315</v>
      </c>
      <c r="L68" s="7">
        <f t="shared" si="19"/>
        <v>-2.7522935779816564E-2</v>
      </c>
      <c r="M68" t="s">
        <v>7</v>
      </c>
      <c r="O68" s="3">
        <f>E68-'314020 - P0624'!F68</f>
        <v>0</v>
      </c>
      <c r="P68" s="30">
        <f>I68-'314020 - P0624'!J68</f>
        <v>0</v>
      </c>
    </row>
    <row r="69" spans="1:16" x14ac:dyDescent="0.25">
      <c r="A69">
        <v>67</v>
      </c>
      <c r="D69" s="4" t="s">
        <v>73</v>
      </c>
      <c r="E69" s="8">
        <v>545</v>
      </c>
      <c r="F69" s="8">
        <f>F65</f>
        <v>530</v>
      </c>
      <c r="G69" s="6">
        <f t="shared" si="15"/>
        <v>-15</v>
      </c>
      <c r="H69" s="7">
        <f t="shared" si="16"/>
        <v>-2.7522935779816515E-2</v>
      </c>
      <c r="I69" s="8">
        <v>664.72131147540995</v>
      </c>
      <c r="J69" s="9">
        <f t="shared" si="17"/>
        <v>646.4262295081968</v>
      </c>
      <c r="K69" s="3">
        <f t="shared" si="18"/>
        <v>-18.29508196721315</v>
      </c>
      <c r="L69" s="7">
        <f t="shared" si="19"/>
        <v>-2.7522935779816564E-2</v>
      </c>
      <c r="M69" t="s">
        <v>7</v>
      </c>
      <c r="O69" s="3">
        <f>E69-'314020 - P0624'!F69</f>
        <v>0</v>
      </c>
      <c r="P69" s="30">
        <f>I69-'314020 - P0624'!J69</f>
        <v>0</v>
      </c>
    </row>
    <row r="70" spans="1:16" x14ac:dyDescent="0.25">
      <c r="A70">
        <v>68</v>
      </c>
      <c r="D70" s="4" t="s">
        <v>74</v>
      </c>
      <c r="E70" s="8">
        <v>545</v>
      </c>
      <c r="F70" s="8">
        <f>F65</f>
        <v>530</v>
      </c>
      <c r="G70" s="6">
        <f t="shared" si="15"/>
        <v>-15</v>
      </c>
      <c r="H70" s="7">
        <f t="shared" si="16"/>
        <v>-2.7522935779816515E-2</v>
      </c>
      <c r="I70" s="8">
        <v>664.72131147540995</v>
      </c>
      <c r="J70" s="9">
        <f t="shared" si="17"/>
        <v>646.4262295081968</v>
      </c>
      <c r="K70" s="3">
        <f t="shared" si="18"/>
        <v>-18.29508196721315</v>
      </c>
      <c r="L70" s="7">
        <f t="shared" si="19"/>
        <v>-2.7522935779816564E-2</v>
      </c>
      <c r="M70" t="s">
        <v>7</v>
      </c>
      <c r="O70" s="3">
        <f>E70-'314020 - P0624'!F70</f>
        <v>0</v>
      </c>
      <c r="P70" s="30">
        <f>I70-'314020 - P0624'!J70</f>
        <v>0</v>
      </c>
    </row>
    <row r="71" spans="1:16" x14ac:dyDescent="0.25">
      <c r="A71">
        <v>69</v>
      </c>
      <c r="D71" s="4" t="s">
        <v>75</v>
      </c>
      <c r="E71" s="8">
        <v>545</v>
      </c>
      <c r="F71" s="8">
        <f>F67</f>
        <v>530</v>
      </c>
      <c r="G71" s="6">
        <f t="shared" si="15"/>
        <v>-15</v>
      </c>
      <c r="H71" s="7">
        <f t="shared" si="16"/>
        <v>-2.7522935779816515E-2</v>
      </c>
      <c r="I71" s="8">
        <v>664.72131147540995</v>
      </c>
      <c r="J71" s="9">
        <f t="shared" si="17"/>
        <v>646.4262295081968</v>
      </c>
      <c r="K71" s="3">
        <f t="shared" si="18"/>
        <v>-18.29508196721315</v>
      </c>
      <c r="L71" s="7">
        <f t="shared" si="19"/>
        <v>-2.7522935779816564E-2</v>
      </c>
      <c r="M71" t="s">
        <v>7</v>
      </c>
      <c r="O71" s="3">
        <f>E71-'314020 - P0624'!F71</f>
        <v>0</v>
      </c>
      <c r="P71" s="30">
        <f>I71-'314020 - P0624'!J71</f>
        <v>0</v>
      </c>
    </row>
    <row r="72" spans="1:16" x14ac:dyDescent="0.25">
      <c r="A72">
        <v>70</v>
      </c>
      <c r="D72" s="4" t="s">
        <v>76</v>
      </c>
      <c r="E72" s="5">
        <v>678</v>
      </c>
      <c r="F72" s="5">
        <v>673</v>
      </c>
      <c r="G72" s="6">
        <f>+F72-E72</f>
        <v>-5</v>
      </c>
      <c r="H72" s="7">
        <f>(F72-E72)/ABS(E72)</f>
        <v>-7.3746312684365781E-3</v>
      </c>
      <c r="I72" s="8">
        <v>950.98544698544686</v>
      </c>
      <c r="J72" s="9">
        <f t="shared" si="17"/>
        <v>943.97227997227981</v>
      </c>
      <c r="K72" s="3">
        <f>J72-I72</f>
        <v>-7.0131670131670489</v>
      </c>
      <c r="L72" s="7">
        <f>(J72-I72)/ABS(I72)</f>
        <v>-7.3746312684366171E-3</v>
      </c>
      <c r="M72" t="s">
        <v>7</v>
      </c>
      <c r="O72" s="3">
        <f>E72-'314020 - P0624'!F72</f>
        <v>0</v>
      </c>
      <c r="P72" s="30">
        <f>I72-'314020 - P0624'!J72</f>
        <v>0</v>
      </c>
    </row>
    <row r="73" spans="1:16" x14ac:dyDescent="0.25">
      <c r="A73">
        <v>71</v>
      </c>
      <c r="D73" s="4" t="s">
        <v>77</v>
      </c>
      <c r="E73" s="8">
        <v>678</v>
      </c>
      <c r="F73" s="8">
        <f>F72</f>
        <v>673</v>
      </c>
      <c r="G73" s="6">
        <f>+F73-E73</f>
        <v>-5</v>
      </c>
      <c r="H73" s="7">
        <f>(F73-E73)/ABS(E73)</f>
        <v>-7.3746312684365781E-3</v>
      </c>
      <c r="I73" s="8">
        <v>950.98544698544686</v>
      </c>
      <c r="J73" s="9">
        <f t="shared" si="17"/>
        <v>943.97227997227981</v>
      </c>
      <c r="K73" s="3">
        <f>J73-I73</f>
        <v>-7.0131670131670489</v>
      </c>
      <c r="L73" s="7">
        <f>(J73-I73)/ABS(I73)</f>
        <v>-7.3746312684366171E-3</v>
      </c>
      <c r="M73" t="s">
        <v>7</v>
      </c>
      <c r="O73" s="3">
        <f>E73-'314020 - P0624'!F73</f>
        <v>0</v>
      </c>
      <c r="P73" s="30">
        <f>I73-'314020 - P0624'!J73</f>
        <v>0</v>
      </c>
    </row>
    <row r="74" spans="1:16" x14ac:dyDescent="0.25">
      <c r="A74">
        <v>72</v>
      </c>
      <c r="D74" s="4" t="s">
        <v>78</v>
      </c>
      <c r="E74" s="8">
        <v>678</v>
      </c>
      <c r="F74" s="8">
        <f>F72</f>
        <v>673</v>
      </c>
      <c r="G74" s="6">
        <f>+F74-E74</f>
        <v>-5</v>
      </c>
      <c r="H74" s="7">
        <f>(F74-E74)/ABS(E74)</f>
        <v>-7.3746312684365781E-3</v>
      </c>
      <c r="I74" s="8">
        <v>950.98544698544686</v>
      </c>
      <c r="J74" s="9">
        <f t="shared" si="17"/>
        <v>943.97227997227981</v>
      </c>
      <c r="K74" s="3">
        <f>J74-I74</f>
        <v>-7.0131670131670489</v>
      </c>
      <c r="L74" s="7">
        <f>(J74-I74)/ABS(I74)</f>
        <v>-7.3746312684366171E-3</v>
      </c>
      <c r="M74" t="s">
        <v>7</v>
      </c>
      <c r="O74" s="3">
        <f>E74-'314020 - P0624'!F74</f>
        <v>0</v>
      </c>
      <c r="P74" s="30">
        <f>I74-'314020 - P0624'!J74</f>
        <v>0</v>
      </c>
    </row>
    <row r="75" spans="1:16" x14ac:dyDescent="0.25">
      <c r="A75">
        <v>73</v>
      </c>
      <c r="D75" s="4" t="s">
        <v>79</v>
      </c>
      <c r="E75" s="8">
        <v>678</v>
      </c>
      <c r="F75" s="8">
        <f>F72</f>
        <v>673</v>
      </c>
      <c r="G75" s="6">
        <f>+F75-E75</f>
        <v>-5</v>
      </c>
      <c r="H75" s="7">
        <f>(F75-E75)/ABS(E75)</f>
        <v>-7.3746312684365781E-3</v>
      </c>
      <c r="I75" s="8">
        <v>950.98544698544686</v>
      </c>
      <c r="J75" s="9">
        <f t="shared" si="17"/>
        <v>943.97227997227981</v>
      </c>
      <c r="K75" s="3">
        <f>J75-I75</f>
        <v>-7.0131670131670489</v>
      </c>
      <c r="L75" s="7">
        <f>(J75-I75)/ABS(I75)</f>
        <v>-7.3746312684366171E-3</v>
      </c>
      <c r="M75" t="s">
        <v>7</v>
      </c>
      <c r="O75" s="3">
        <f>E75-'314020 - P0624'!F75</f>
        <v>0</v>
      </c>
      <c r="P75" s="30">
        <f>I75-'314020 - P0624'!J75</f>
        <v>0</v>
      </c>
    </row>
    <row r="76" spans="1:16" x14ac:dyDescent="0.25">
      <c r="A76">
        <v>74</v>
      </c>
      <c r="D76" s="4" t="s">
        <v>80</v>
      </c>
      <c r="E76" s="8">
        <v>678</v>
      </c>
      <c r="F76" s="8">
        <f>F72</f>
        <v>673</v>
      </c>
      <c r="G76" s="6">
        <f>+F76-E76</f>
        <v>-5</v>
      </c>
      <c r="H76" s="7">
        <f>(F76-E76)/ABS(E76)</f>
        <v>-7.3746312684365781E-3</v>
      </c>
      <c r="I76" s="8">
        <v>950.98544698544686</v>
      </c>
      <c r="J76" s="9">
        <f t="shared" si="17"/>
        <v>943.97227997227981</v>
      </c>
      <c r="K76" s="3">
        <f>J76-I76</f>
        <v>-7.0131670131670489</v>
      </c>
      <c r="L76" s="7">
        <f>(J76-I76)/ABS(I76)</f>
        <v>-7.3746312684366171E-3</v>
      </c>
      <c r="M76" t="s">
        <v>7</v>
      </c>
      <c r="O76" s="3">
        <f>E76-'314020 - P0624'!F76</f>
        <v>0</v>
      </c>
      <c r="P76" s="30">
        <f>I76-'314020 - P0624'!J76</f>
        <v>0</v>
      </c>
    </row>
    <row r="77" spans="1:16" x14ac:dyDescent="0.25">
      <c r="A77">
        <v>75</v>
      </c>
      <c r="D77" s="4" t="s">
        <v>81</v>
      </c>
      <c r="E77" s="8">
        <v>678</v>
      </c>
      <c r="F77" s="8">
        <f t="shared" ref="F77" si="20">F74</f>
        <v>673</v>
      </c>
      <c r="G77" s="6">
        <f t="shared" ref="G77" si="21">+F77-E77</f>
        <v>-5</v>
      </c>
      <c r="H77" s="7">
        <f t="shared" ref="H77" si="22">(F77-E77)/ABS(E77)</f>
        <v>-7.3746312684365781E-3</v>
      </c>
      <c r="I77" s="8">
        <v>950.98544698544686</v>
      </c>
      <c r="J77" s="9">
        <f t="shared" si="17"/>
        <v>943.97227997227981</v>
      </c>
      <c r="K77" s="3">
        <f t="shared" ref="K77" si="23">J77-I77</f>
        <v>-7.0131670131670489</v>
      </c>
      <c r="L77" s="7">
        <f t="shared" ref="L77" si="24">(J77-I77)/ABS(I77)</f>
        <v>-7.3746312684366171E-3</v>
      </c>
      <c r="M77" t="s">
        <v>7</v>
      </c>
      <c r="O77" s="3">
        <f>E77-'314020 - P0624'!F77</f>
        <v>0</v>
      </c>
      <c r="P77" s="30">
        <f>I77-'314020 - P0624'!J77</f>
        <v>0</v>
      </c>
    </row>
    <row r="78" spans="1:16" x14ac:dyDescent="0.25">
      <c r="A78">
        <v>76</v>
      </c>
      <c r="D78" s="4" t="s">
        <v>82</v>
      </c>
      <c r="E78" s="5">
        <v>728</v>
      </c>
      <c r="F78" s="5">
        <v>728</v>
      </c>
      <c r="G78" s="6">
        <f>+F78-E78</f>
        <v>0</v>
      </c>
      <c r="H78" s="7">
        <f>(F78-E78)/ABS(E78)</f>
        <v>0</v>
      </c>
      <c r="I78" s="8">
        <v>921.62513089005245</v>
      </c>
      <c r="J78" s="9">
        <f t="shared" si="17"/>
        <v>921.62513089005245</v>
      </c>
      <c r="K78" s="3">
        <f>J78-I78</f>
        <v>0</v>
      </c>
      <c r="L78" s="7">
        <f>(J78-I78)/ABS(I78)</f>
        <v>0</v>
      </c>
      <c r="M78" t="s">
        <v>7</v>
      </c>
      <c r="O78" s="3">
        <f>E78-'314020 - P0624'!F78</f>
        <v>0</v>
      </c>
      <c r="P78" s="30">
        <f>I78-'314020 - P0624'!J78</f>
        <v>0</v>
      </c>
    </row>
    <row r="79" spans="1:16" x14ac:dyDescent="0.25">
      <c r="A79">
        <v>77</v>
      </c>
      <c r="D79" s="4" t="s">
        <v>83</v>
      </c>
      <c r="E79" s="8">
        <v>728</v>
      </c>
      <c r="F79" s="8">
        <f>F78</f>
        <v>728</v>
      </c>
      <c r="G79" s="6">
        <f>+F79-E79</f>
        <v>0</v>
      </c>
      <c r="H79" s="7">
        <f>(F79-E79)/ABS(E79)</f>
        <v>0</v>
      </c>
      <c r="I79" s="8">
        <v>921.62513089005245</v>
      </c>
      <c r="J79" s="9">
        <f t="shared" si="17"/>
        <v>921.62513089005245</v>
      </c>
      <c r="K79" s="3">
        <f>J79-I79</f>
        <v>0</v>
      </c>
      <c r="L79" s="7">
        <f>(J79-I79)/ABS(I79)</f>
        <v>0</v>
      </c>
      <c r="M79" t="s">
        <v>7</v>
      </c>
      <c r="O79" s="3">
        <f>E79-'314020 - P0624'!F79</f>
        <v>0</v>
      </c>
      <c r="P79" s="30">
        <f>I79-'314020 - P0624'!J79</f>
        <v>0</v>
      </c>
    </row>
    <row r="80" spans="1:16" x14ac:dyDescent="0.25">
      <c r="A80">
        <v>78</v>
      </c>
      <c r="D80" s="4" t="s">
        <v>84</v>
      </c>
      <c r="E80" s="8">
        <v>728</v>
      </c>
      <c r="F80" s="8">
        <f>F78</f>
        <v>728</v>
      </c>
      <c r="G80" s="6">
        <f>+F80-E80</f>
        <v>0</v>
      </c>
      <c r="H80" s="7">
        <f>(F80-E80)/ABS(E80)</f>
        <v>0</v>
      </c>
      <c r="I80" s="8">
        <v>921.62513089005245</v>
      </c>
      <c r="J80" s="9">
        <f t="shared" si="17"/>
        <v>921.62513089005245</v>
      </c>
      <c r="K80" s="3">
        <f>J80-I80</f>
        <v>0</v>
      </c>
      <c r="L80" s="7">
        <f>(J80-I80)/ABS(I80)</f>
        <v>0</v>
      </c>
      <c r="M80" t="s">
        <v>7</v>
      </c>
      <c r="O80" s="3">
        <f>E80-'314020 - P0624'!F80</f>
        <v>0</v>
      </c>
      <c r="P80" s="30">
        <f>I80-'314020 - P0624'!J80</f>
        <v>0</v>
      </c>
    </row>
    <row r="81" spans="1:16" x14ac:dyDescent="0.25">
      <c r="A81">
        <v>79</v>
      </c>
      <c r="D81" s="4" t="s">
        <v>85</v>
      </c>
      <c r="E81" s="8">
        <v>728</v>
      </c>
      <c r="F81" s="8">
        <f>F78</f>
        <v>728</v>
      </c>
      <c r="G81" s="6">
        <f>+F81-E81</f>
        <v>0</v>
      </c>
      <c r="H81" s="7">
        <f>(F81-E81)/ABS(E81)</f>
        <v>0</v>
      </c>
      <c r="I81" s="8">
        <v>921.62513089005245</v>
      </c>
      <c r="J81" s="9">
        <f t="shared" si="17"/>
        <v>921.62513089005245</v>
      </c>
      <c r="K81" s="3">
        <f>J81-I81</f>
        <v>0</v>
      </c>
      <c r="L81" s="7">
        <f>(J81-I81)/ABS(I81)</f>
        <v>0</v>
      </c>
      <c r="M81" t="s">
        <v>7</v>
      </c>
      <c r="O81" s="3">
        <f>E81-'314020 - P0624'!F81</f>
        <v>0</v>
      </c>
      <c r="P81" s="30">
        <f>I81-'314020 - P0624'!J81</f>
        <v>0</v>
      </c>
    </row>
    <row r="82" spans="1:16" x14ac:dyDescent="0.25">
      <c r="A82">
        <v>80</v>
      </c>
      <c r="D82" s="4" t="s">
        <v>86</v>
      </c>
      <c r="E82" s="8">
        <v>728</v>
      </c>
      <c r="F82" s="8">
        <f>F78</f>
        <v>728</v>
      </c>
      <c r="G82" s="6">
        <f>+F82-E82</f>
        <v>0</v>
      </c>
      <c r="H82" s="7">
        <f>(F82-E82)/ABS(E82)</f>
        <v>0</v>
      </c>
      <c r="I82" s="8">
        <v>921.62513089005245</v>
      </c>
      <c r="J82" s="9">
        <f t="shared" si="17"/>
        <v>921.62513089005245</v>
      </c>
      <c r="K82" s="3">
        <f>J82-I82</f>
        <v>0</v>
      </c>
      <c r="L82" s="7">
        <f>(J82-I82)/ABS(I82)</f>
        <v>0</v>
      </c>
      <c r="M82" t="s">
        <v>7</v>
      </c>
      <c r="O82" s="3">
        <f>E82-'314020 - P0624'!F82</f>
        <v>0</v>
      </c>
      <c r="P82" s="30">
        <f>I82-'314020 - P0624'!J82</f>
        <v>0</v>
      </c>
    </row>
    <row r="83" spans="1:16" x14ac:dyDescent="0.25">
      <c r="A83">
        <v>81</v>
      </c>
      <c r="D83" s="4" t="s">
        <v>87</v>
      </c>
      <c r="E83" s="8">
        <v>728</v>
      </c>
      <c r="F83" s="8">
        <f>F80</f>
        <v>728</v>
      </c>
      <c r="G83" s="6">
        <f t="shared" ref="G83" si="25">+F83-E83</f>
        <v>0</v>
      </c>
      <c r="H83" s="7">
        <f t="shared" ref="H83" si="26">(F83-E83)/ABS(E83)</f>
        <v>0</v>
      </c>
      <c r="I83" s="8">
        <v>921.62513089005245</v>
      </c>
      <c r="J83" s="9">
        <f t="shared" si="17"/>
        <v>921.62513089005245</v>
      </c>
      <c r="K83" s="3">
        <f t="shared" ref="K83" si="27">J83-I83</f>
        <v>0</v>
      </c>
      <c r="L83" s="7">
        <f t="shared" ref="L83" si="28">(J83-I83)/ABS(I83)</f>
        <v>0</v>
      </c>
      <c r="M83" t="s">
        <v>7</v>
      </c>
      <c r="O83" s="3">
        <f>E83-'314020 - P0624'!F83</f>
        <v>0</v>
      </c>
      <c r="P83" s="30">
        <f>I83-'314020 - P0624'!J83</f>
        <v>0</v>
      </c>
    </row>
    <row r="84" spans="1:16" x14ac:dyDescent="0.25">
      <c r="A84">
        <v>82</v>
      </c>
      <c r="D84" s="4" t="s">
        <v>493</v>
      </c>
      <c r="E84" s="5">
        <v>743</v>
      </c>
      <c r="F84" s="5">
        <v>738</v>
      </c>
      <c r="G84" s="6">
        <f>+F84-E84</f>
        <v>-5</v>
      </c>
      <c r="H84" s="7">
        <f>(F84-E84)/ABS(E84)</f>
        <v>-6.7294751009421266E-3</v>
      </c>
      <c r="I84" s="8">
        <v>951.76679444811634</v>
      </c>
      <c r="J84" s="9">
        <f t="shared" si="17"/>
        <v>945.3619035029742</v>
      </c>
      <c r="K84" s="3">
        <f>J84-I84</f>
        <v>-6.4048909451421423</v>
      </c>
      <c r="L84" s="7">
        <f>(J84-I84)/ABS(I84)</f>
        <v>-6.7294751009421691E-3</v>
      </c>
      <c r="M84" t="s">
        <v>7</v>
      </c>
      <c r="O84" s="3">
        <f>E84-'314020 - P0624'!F84</f>
        <v>0</v>
      </c>
      <c r="P84" s="30">
        <f>I84-'314020 - P0624'!J84</f>
        <v>0</v>
      </c>
    </row>
    <row r="85" spans="1:16" x14ac:dyDescent="0.25">
      <c r="A85">
        <v>83</v>
      </c>
      <c r="D85" s="4" t="s">
        <v>88</v>
      </c>
      <c r="E85" s="8">
        <v>743</v>
      </c>
      <c r="F85" s="8">
        <f>F84</f>
        <v>738</v>
      </c>
      <c r="G85" s="6">
        <f>+F85-E85</f>
        <v>-5</v>
      </c>
      <c r="H85" s="7">
        <f>(F85-E85)/ABS(E85)</f>
        <v>-6.7294751009421266E-3</v>
      </c>
      <c r="I85" s="8">
        <v>951.76679444811634</v>
      </c>
      <c r="J85" s="9">
        <f t="shared" si="17"/>
        <v>945.3619035029742</v>
      </c>
      <c r="K85" s="3">
        <f>J85-I85</f>
        <v>-6.4048909451421423</v>
      </c>
      <c r="L85" s="7">
        <f>(J85-I85)/ABS(I85)</f>
        <v>-6.7294751009421691E-3</v>
      </c>
      <c r="M85" t="s">
        <v>7</v>
      </c>
      <c r="O85" s="3">
        <f>E85-'314020 - P0624'!F85</f>
        <v>0</v>
      </c>
      <c r="P85" s="30">
        <f>I85-'314020 - P0624'!J85</f>
        <v>0</v>
      </c>
    </row>
    <row r="86" spans="1:16" x14ac:dyDescent="0.25">
      <c r="A86">
        <v>84</v>
      </c>
      <c r="D86" s="4" t="s">
        <v>89</v>
      </c>
      <c r="E86" s="8">
        <v>743</v>
      </c>
      <c r="F86" s="8">
        <f>F84</f>
        <v>738</v>
      </c>
      <c r="G86" s="6">
        <f>+F86-E86</f>
        <v>-5</v>
      </c>
      <c r="H86" s="7">
        <f>(F86-E86)/ABS(E86)</f>
        <v>-6.7294751009421266E-3</v>
      </c>
      <c r="I86" s="8">
        <v>951.76679444811634</v>
      </c>
      <c r="J86" s="9">
        <f t="shared" si="17"/>
        <v>945.3619035029742</v>
      </c>
      <c r="K86" s="3">
        <f>J86-I86</f>
        <v>-6.4048909451421423</v>
      </c>
      <c r="L86" s="7">
        <f>(J86-I86)/ABS(I86)</f>
        <v>-6.7294751009421691E-3</v>
      </c>
      <c r="M86" t="s">
        <v>7</v>
      </c>
      <c r="O86" s="3">
        <f>E86-'314020 - P0624'!F86</f>
        <v>0</v>
      </c>
      <c r="P86" s="30">
        <f>I86-'314020 - P0624'!J86</f>
        <v>0</v>
      </c>
    </row>
    <row r="87" spans="1:16" x14ac:dyDescent="0.25">
      <c r="A87">
        <v>85</v>
      </c>
      <c r="D87" s="4" t="s">
        <v>90</v>
      </c>
      <c r="E87" s="8">
        <v>743</v>
      </c>
      <c r="F87" s="8">
        <f>F84</f>
        <v>738</v>
      </c>
      <c r="G87" s="6">
        <f>+F87-E87</f>
        <v>-5</v>
      </c>
      <c r="H87" s="7">
        <f>(F87-E87)/ABS(E87)</f>
        <v>-6.7294751009421266E-3</v>
      </c>
      <c r="I87" s="8">
        <v>951.76679444811634</v>
      </c>
      <c r="J87" s="9">
        <f t="shared" si="17"/>
        <v>945.3619035029742</v>
      </c>
      <c r="K87" s="3">
        <f>J87-I87</f>
        <v>-6.4048909451421423</v>
      </c>
      <c r="L87" s="7">
        <f>(J87-I87)/ABS(I87)</f>
        <v>-6.7294751009421691E-3</v>
      </c>
      <c r="M87" t="s">
        <v>7</v>
      </c>
      <c r="O87" s="3">
        <f>E87-'314020 - P0624'!F87</f>
        <v>0</v>
      </c>
      <c r="P87" s="30">
        <f>I87-'314020 - P0624'!J87</f>
        <v>0</v>
      </c>
    </row>
    <row r="88" spans="1:16" x14ac:dyDescent="0.25">
      <c r="A88">
        <v>86</v>
      </c>
      <c r="D88" s="4" t="s">
        <v>91</v>
      </c>
      <c r="E88" s="8">
        <v>743</v>
      </c>
      <c r="F88" s="8">
        <f>F84</f>
        <v>738</v>
      </c>
      <c r="G88" s="6">
        <f>+F88-E88</f>
        <v>-5</v>
      </c>
      <c r="H88" s="7">
        <f>(F88-E88)/ABS(E88)</f>
        <v>-6.7294751009421266E-3</v>
      </c>
      <c r="I88" s="8">
        <v>951.76679444811634</v>
      </c>
      <c r="J88" s="9">
        <f t="shared" si="17"/>
        <v>945.3619035029742</v>
      </c>
      <c r="K88" s="3">
        <f>J88-I88</f>
        <v>-6.4048909451421423</v>
      </c>
      <c r="L88" s="7">
        <f>(J88-I88)/ABS(I88)</f>
        <v>-6.7294751009421691E-3</v>
      </c>
      <c r="M88" t="s">
        <v>7</v>
      </c>
      <c r="O88" s="3">
        <f>E88-'314020 - P0624'!F88</f>
        <v>0</v>
      </c>
      <c r="P88" s="30">
        <f>I88-'314020 - P0624'!J88</f>
        <v>0</v>
      </c>
    </row>
    <row r="89" spans="1:16" x14ac:dyDescent="0.25">
      <c r="A89">
        <v>87</v>
      </c>
      <c r="D89" s="4" t="s">
        <v>92</v>
      </c>
      <c r="E89" s="8">
        <v>743</v>
      </c>
      <c r="F89" s="8">
        <f t="shared" ref="F89" si="29">F86</f>
        <v>738</v>
      </c>
      <c r="G89" s="6">
        <f t="shared" ref="G89:G90" si="30">+F89-E89</f>
        <v>-5</v>
      </c>
      <c r="H89" s="7">
        <f t="shared" ref="H89:H90" si="31">(F89-E89)/ABS(E89)</f>
        <v>-6.7294751009421266E-3</v>
      </c>
      <c r="I89" s="8">
        <v>951.76679444811634</v>
      </c>
      <c r="J89" s="9">
        <f t="shared" si="17"/>
        <v>945.3619035029742</v>
      </c>
      <c r="K89" s="3">
        <f t="shared" ref="K89:K90" si="32">J89-I89</f>
        <v>-6.4048909451421423</v>
      </c>
      <c r="L89" s="7">
        <f t="shared" ref="L89:L90" si="33">(J89-I89)/ABS(I89)</f>
        <v>-6.7294751009421691E-3</v>
      </c>
      <c r="M89" t="s">
        <v>7</v>
      </c>
      <c r="O89" s="3">
        <f>E89-'314020 - P0624'!F89</f>
        <v>0</v>
      </c>
      <c r="P89" s="30">
        <f>I89-'314020 - P0624'!J89</f>
        <v>0</v>
      </c>
    </row>
    <row r="90" spans="1:16" x14ac:dyDescent="0.25">
      <c r="A90">
        <v>88</v>
      </c>
      <c r="C90" t="s">
        <v>8</v>
      </c>
      <c r="D90" s="4" t="s">
        <v>93</v>
      </c>
      <c r="E90" s="5">
        <v>12.85</v>
      </c>
      <c r="F90" s="5">
        <v>10.62</v>
      </c>
      <c r="G90" s="6">
        <f t="shared" si="30"/>
        <v>-2.2300000000000004</v>
      </c>
      <c r="H90" s="7">
        <f t="shared" si="31"/>
        <v>-0.17354085603112845</v>
      </c>
      <c r="I90" s="8">
        <v>2580.3146038322125</v>
      </c>
      <c r="J90" s="9">
        <f t="shared" si="17"/>
        <v>2132.5245986535483</v>
      </c>
      <c r="K90" s="3">
        <f t="shared" si="32"/>
        <v>-447.79000517866416</v>
      </c>
      <c r="L90" s="7">
        <f t="shared" si="33"/>
        <v>-0.17354085603112843</v>
      </c>
      <c r="M90" t="s">
        <v>7</v>
      </c>
      <c r="O90" s="3">
        <f>E90-'314020 - P0624'!F90</f>
        <v>0</v>
      </c>
      <c r="P90" s="30">
        <f>I90-'314020 - P0624'!J90</f>
        <v>0</v>
      </c>
    </row>
    <row r="91" spans="1:16" x14ac:dyDescent="0.25">
      <c r="A91">
        <v>89</v>
      </c>
      <c r="D91" s="34" t="s">
        <v>94</v>
      </c>
      <c r="H91" s="10">
        <f>AVERAGE(H65:H90)</f>
        <v>-1.7339463257927547E-2</v>
      </c>
      <c r="I91"/>
      <c r="L91" s="10">
        <f>AVERAGE(L65:L89)</f>
        <v>-1.1091407546999553E-2</v>
      </c>
    </row>
    <row r="92" spans="1:16" x14ac:dyDescent="0.25">
      <c r="A92">
        <v>90</v>
      </c>
      <c r="D92" s="34" t="s">
        <v>95</v>
      </c>
      <c r="I92"/>
      <c r="M92" t="s">
        <v>7</v>
      </c>
      <c r="O92" s="3">
        <f>E92-'314020 - P0624'!F92</f>
        <v>0</v>
      </c>
      <c r="P92" s="30">
        <f>I92-'314020 - P0624'!J92</f>
        <v>0</v>
      </c>
    </row>
    <row r="93" spans="1:16" x14ac:dyDescent="0.25">
      <c r="A93">
        <v>91</v>
      </c>
      <c r="D93" s="4" t="s">
        <v>96</v>
      </c>
      <c r="E93" s="5">
        <v>510</v>
      </c>
      <c r="F93" s="5">
        <v>445</v>
      </c>
      <c r="G93" s="6">
        <f t="shared" ref="G93:G101" si="34">+F93-E93</f>
        <v>-65</v>
      </c>
      <c r="H93" s="7">
        <f t="shared" ref="H93:H101" si="35">(F93-E93)/ABS(E93)</f>
        <v>-0.12745098039215685</v>
      </c>
      <c r="I93" s="8">
        <v>578.37988826815649</v>
      </c>
      <c r="J93" s="9">
        <f t="shared" ref="J93:J101" si="36">(I93*H93)+I93</f>
        <v>504.6648044692738</v>
      </c>
      <c r="K93" s="3">
        <f t="shared" ref="K93:K101" si="37">J93-I93</f>
        <v>-73.715083798882688</v>
      </c>
      <c r="L93" s="7">
        <f t="shared" ref="L93:L101" si="38">(J93-I93)/ABS(I93)</f>
        <v>-0.12745098039215685</v>
      </c>
      <c r="M93" t="s">
        <v>7</v>
      </c>
      <c r="O93" s="3">
        <f>E93-'314020 - P0624'!F93</f>
        <v>0</v>
      </c>
      <c r="P93" s="30">
        <f>I93-'314020 - P0624'!J93</f>
        <v>0</v>
      </c>
    </row>
    <row r="94" spans="1:16" x14ac:dyDescent="0.25">
      <c r="A94">
        <v>92</v>
      </c>
      <c r="D94" s="4" t="s">
        <v>97</v>
      </c>
      <c r="E94" s="5">
        <v>530</v>
      </c>
      <c r="F94" s="5">
        <v>465</v>
      </c>
      <c r="G94" s="6">
        <f t="shared" si="34"/>
        <v>-65</v>
      </c>
      <c r="H94" s="7">
        <f t="shared" si="35"/>
        <v>-0.12264150943396226</v>
      </c>
      <c r="I94" s="8">
        <v>609.93868792152057</v>
      </c>
      <c r="J94" s="9">
        <f t="shared" si="36"/>
        <v>535.13488657265486</v>
      </c>
      <c r="K94" s="3">
        <f t="shared" si="37"/>
        <v>-74.803801348865704</v>
      </c>
      <c r="L94" s="7">
        <f t="shared" si="38"/>
        <v>-0.12264150943396222</v>
      </c>
      <c r="M94" t="s">
        <v>7</v>
      </c>
      <c r="O94" s="3">
        <f>E94-'314020 - P0624'!F94</f>
        <v>0</v>
      </c>
      <c r="P94" s="30">
        <f>I94-'314020 - P0624'!J94</f>
        <v>0</v>
      </c>
    </row>
    <row r="95" spans="1:16" x14ac:dyDescent="0.25">
      <c r="A95">
        <v>93</v>
      </c>
      <c r="D95" s="4" t="s">
        <v>98</v>
      </c>
      <c r="E95" s="5">
        <v>530</v>
      </c>
      <c r="F95" s="5">
        <v>465</v>
      </c>
      <c r="G95" s="6">
        <f t="shared" si="34"/>
        <v>-65</v>
      </c>
      <c r="H95" s="7">
        <f t="shared" si="35"/>
        <v>-0.12264150943396226</v>
      </c>
      <c r="I95" s="8">
        <v>606.36419374616776</v>
      </c>
      <c r="J95" s="9">
        <f t="shared" si="36"/>
        <v>531.99877375843016</v>
      </c>
      <c r="K95" s="3">
        <f t="shared" si="37"/>
        <v>-74.365419987737596</v>
      </c>
      <c r="L95" s="7">
        <f t="shared" si="38"/>
        <v>-0.12264150943396233</v>
      </c>
      <c r="M95" t="s">
        <v>7</v>
      </c>
      <c r="O95" s="3">
        <f>E95-'314020 - P0624'!F95</f>
        <v>0</v>
      </c>
      <c r="P95" s="30">
        <f>I95-'314020 - P0624'!J95</f>
        <v>0</v>
      </c>
    </row>
    <row r="96" spans="1:16" x14ac:dyDescent="0.25">
      <c r="A96">
        <v>94</v>
      </c>
      <c r="D96" s="4" t="s">
        <v>99</v>
      </c>
      <c r="E96" s="5">
        <v>530</v>
      </c>
      <c r="F96" s="5">
        <v>465</v>
      </c>
      <c r="G96" s="6">
        <f t="shared" si="34"/>
        <v>-65</v>
      </c>
      <c r="H96" s="7">
        <f t="shared" si="35"/>
        <v>-0.12264150943396226</v>
      </c>
      <c r="I96" s="8">
        <v>624.72340425531911</v>
      </c>
      <c r="J96" s="9">
        <f t="shared" si="36"/>
        <v>548.10638297872333</v>
      </c>
      <c r="K96" s="3">
        <f t="shared" si="37"/>
        <v>-76.617021276595779</v>
      </c>
      <c r="L96" s="7">
        <f t="shared" si="38"/>
        <v>-0.12264150943396232</v>
      </c>
      <c r="M96" t="s">
        <v>7</v>
      </c>
      <c r="O96" s="3">
        <f>E96-'314020 - P0624'!F96</f>
        <v>0</v>
      </c>
      <c r="P96" s="30">
        <f>I96-'314020 - P0624'!J96</f>
        <v>0</v>
      </c>
    </row>
    <row r="97" spans="1:16" x14ac:dyDescent="0.25">
      <c r="A97">
        <v>95</v>
      </c>
      <c r="D97" s="4" t="s">
        <v>100</v>
      </c>
      <c r="E97" s="5">
        <v>743</v>
      </c>
      <c r="F97" s="5">
        <v>693</v>
      </c>
      <c r="G97" s="6">
        <f t="shared" si="34"/>
        <v>-50</v>
      </c>
      <c r="H97" s="7">
        <f t="shared" si="35"/>
        <v>-6.7294751009421269E-2</v>
      </c>
      <c r="I97" s="8">
        <v>873.98480243161089</v>
      </c>
      <c r="J97" s="9">
        <f t="shared" si="36"/>
        <v>815.17021276595744</v>
      </c>
      <c r="K97" s="3">
        <f t="shared" si="37"/>
        <v>-58.814589665653443</v>
      </c>
      <c r="L97" s="7">
        <f>(J97-I97)/ABS(I97)</f>
        <v>-6.7294751009421214E-2</v>
      </c>
      <c r="M97" t="s">
        <v>7</v>
      </c>
      <c r="O97" s="3">
        <f>E97-'314020 - P0624'!F97</f>
        <v>0</v>
      </c>
      <c r="P97" s="30">
        <f>I97-'314020 - P0624'!J97</f>
        <v>0</v>
      </c>
    </row>
    <row r="98" spans="1:16" x14ac:dyDescent="0.25">
      <c r="A98">
        <v>96</v>
      </c>
      <c r="C98" t="s">
        <v>8</v>
      </c>
      <c r="D98" s="29" t="s">
        <v>101</v>
      </c>
      <c r="E98" s="5">
        <v>950</v>
      </c>
      <c r="F98" s="5">
        <v>945</v>
      </c>
      <c r="G98" s="6">
        <f t="shared" si="34"/>
        <v>-5</v>
      </c>
      <c r="H98" s="7">
        <f t="shared" si="35"/>
        <v>-5.263157894736842E-3</v>
      </c>
      <c r="I98" s="8">
        <v>1132.1243523316064</v>
      </c>
      <c r="J98" s="9">
        <f t="shared" si="36"/>
        <v>1126.1658031088084</v>
      </c>
      <c r="K98" s="3">
        <f t="shared" si="37"/>
        <v>-5.9585492227979557</v>
      </c>
      <c r="L98" s="7">
        <f t="shared" si="38"/>
        <v>-5.2631578947368663E-3</v>
      </c>
      <c r="M98" t="s">
        <v>7</v>
      </c>
      <c r="O98" s="3">
        <f>E98-'314020 - P0624'!F98</f>
        <v>0</v>
      </c>
      <c r="P98" s="30">
        <f>I98-'314020 - P0624'!J98</f>
        <v>0</v>
      </c>
    </row>
    <row r="99" spans="1:16" x14ac:dyDescent="0.25">
      <c r="A99">
        <v>97</v>
      </c>
      <c r="C99" t="s">
        <v>8</v>
      </c>
      <c r="D99" s="4" t="s">
        <v>102</v>
      </c>
      <c r="E99" s="5">
        <v>1149</v>
      </c>
      <c r="F99" s="5">
        <v>1144</v>
      </c>
      <c r="G99" s="6">
        <f t="shared" si="34"/>
        <v>-5</v>
      </c>
      <c r="H99" s="7">
        <f t="shared" si="35"/>
        <v>-4.3516100957354219E-3</v>
      </c>
      <c r="I99" s="8">
        <v>1509.2300143159518</v>
      </c>
      <c r="J99" s="9">
        <f t="shared" si="36"/>
        <v>1502.6624337488677</v>
      </c>
      <c r="K99" s="3">
        <f t="shared" si="37"/>
        <v>-6.5675805670841783</v>
      </c>
      <c r="L99" s="7">
        <f t="shared" si="38"/>
        <v>-4.3516100957354002E-3</v>
      </c>
      <c r="M99" t="s">
        <v>7</v>
      </c>
      <c r="O99" s="3">
        <f>E99-'314020 - P0624'!F99</f>
        <v>0</v>
      </c>
      <c r="P99" s="30">
        <f>I99-'314020 - P0624'!J99</f>
        <v>0</v>
      </c>
    </row>
    <row r="100" spans="1:16" x14ac:dyDescent="0.25">
      <c r="A100">
        <v>98</v>
      </c>
      <c r="D100" s="4" t="s">
        <v>103</v>
      </c>
      <c r="E100" s="5">
        <v>17.600000000000001</v>
      </c>
      <c r="F100" s="5">
        <v>17.600000000000001</v>
      </c>
      <c r="G100" s="6">
        <f t="shared" si="34"/>
        <v>0</v>
      </c>
      <c r="H100" s="7">
        <f t="shared" si="35"/>
        <v>0</v>
      </c>
      <c r="I100" s="8">
        <v>47.120192307692307</v>
      </c>
      <c r="J100" s="9">
        <f t="shared" si="36"/>
        <v>47.120192307692307</v>
      </c>
      <c r="K100" s="3">
        <f t="shared" si="37"/>
        <v>0</v>
      </c>
      <c r="L100" s="7">
        <f t="shared" si="38"/>
        <v>0</v>
      </c>
      <c r="M100" t="s">
        <v>7</v>
      </c>
      <c r="O100" s="3">
        <f>E100-'314020 - P0624'!F100</f>
        <v>0</v>
      </c>
      <c r="P100" s="30">
        <f>I100-'314020 - P0624'!J100</f>
        <v>0</v>
      </c>
    </row>
    <row r="101" spans="1:16" x14ac:dyDescent="0.25">
      <c r="A101">
        <v>99</v>
      </c>
      <c r="C101" t="s">
        <v>8</v>
      </c>
      <c r="D101" s="4" t="s">
        <v>104</v>
      </c>
      <c r="E101" s="5">
        <v>1735</v>
      </c>
      <c r="F101" s="5">
        <v>1670</v>
      </c>
      <c r="G101" s="6">
        <f t="shared" si="34"/>
        <v>-65</v>
      </c>
      <c r="H101" s="7">
        <f t="shared" si="35"/>
        <v>-3.7463976945244955E-2</v>
      </c>
      <c r="I101" s="8">
        <v>2868.4840085287851</v>
      </c>
      <c r="J101" s="9">
        <f t="shared" si="36"/>
        <v>2761.019189765459</v>
      </c>
      <c r="K101" s="3">
        <f t="shared" si="37"/>
        <v>-107.46481876332609</v>
      </c>
      <c r="L101" s="7">
        <f t="shared" si="38"/>
        <v>-3.7463976945244906E-2</v>
      </c>
      <c r="M101" t="s">
        <v>7</v>
      </c>
      <c r="O101" s="3">
        <f>E101-'314020 - P0624'!F101</f>
        <v>0</v>
      </c>
      <c r="P101" s="30">
        <f>I101-'314020 - P0624'!J101</f>
        <v>0</v>
      </c>
    </row>
    <row r="102" spans="1:16" x14ac:dyDescent="0.25">
      <c r="A102">
        <v>100</v>
      </c>
      <c r="D102" s="34" t="s">
        <v>105</v>
      </c>
      <c r="H102" s="10">
        <f>AVERAGE(H93:H101)</f>
        <v>-6.7749889404353558E-2</v>
      </c>
      <c r="I102"/>
      <c r="L102" s="10">
        <f>AVERAGE(L93:L101)</f>
        <v>-6.7749889404353572E-2</v>
      </c>
    </row>
    <row r="103" spans="1:16" x14ac:dyDescent="0.25">
      <c r="A103">
        <v>101</v>
      </c>
      <c r="D103" s="34" t="s">
        <v>106</v>
      </c>
      <c r="G103" s="6"/>
      <c r="H103" s="7"/>
      <c r="I103"/>
      <c r="M103" t="s">
        <v>106</v>
      </c>
    </row>
    <row r="104" spans="1:16" x14ac:dyDescent="0.25">
      <c r="A104">
        <v>102</v>
      </c>
      <c r="C104" t="s">
        <v>8</v>
      </c>
      <c r="D104" s="4" t="s">
        <v>107</v>
      </c>
      <c r="E104" s="5">
        <v>36</v>
      </c>
      <c r="F104" s="5">
        <v>36</v>
      </c>
      <c r="G104" s="6">
        <f t="shared" ref="G104:G115" si="39">+F104-E104</f>
        <v>0</v>
      </c>
      <c r="H104" s="7">
        <f t="shared" ref="H104:H115" si="40">(F104-E104)/ABS(E104)</f>
        <v>0</v>
      </c>
      <c r="I104" s="8">
        <v>85.406538115384606</v>
      </c>
      <c r="J104" s="9">
        <f t="shared" ref="J104:J115" si="41">(I104*H104)+I104</f>
        <v>85.406538115384606</v>
      </c>
      <c r="K104" s="3">
        <f t="shared" ref="K104:K115" si="42">J104-I104</f>
        <v>0</v>
      </c>
      <c r="L104" s="7">
        <f t="shared" ref="L104:L115" si="43">(J104-I104)/ABS(I104)</f>
        <v>0</v>
      </c>
      <c r="M104" t="s">
        <v>106</v>
      </c>
      <c r="O104" s="3">
        <f>E104-'314020 - P0624'!F104</f>
        <v>0</v>
      </c>
      <c r="P104" s="30">
        <f>I104-'314020 - P0624'!J104</f>
        <v>0</v>
      </c>
    </row>
    <row r="105" spans="1:16" x14ac:dyDescent="0.25">
      <c r="A105">
        <v>103</v>
      </c>
      <c r="C105" t="s">
        <v>8</v>
      </c>
      <c r="D105" s="4" t="s">
        <v>108</v>
      </c>
      <c r="E105" s="5">
        <v>42</v>
      </c>
      <c r="F105" s="5">
        <v>42</v>
      </c>
      <c r="G105" s="6">
        <f t="shared" si="39"/>
        <v>0</v>
      </c>
      <c r="H105" s="7">
        <f t="shared" si="40"/>
        <v>0</v>
      </c>
      <c r="I105" s="8">
        <v>80.176901208617949</v>
      </c>
      <c r="J105" s="9">
        <f t="shared" si="41"/>
        <v>80.176901208617949</v>
      </c>
      <c r="K105" s="3">
        <f>J105-I105</f>
        <v>0</v>
      </c>
      <c r="L105" s="7">
        <f>(J105-I105)/ABS(I105)</f>
        <v>0</v>
      </c>
      <c r="M105" t="s">
        <v>106</v>
      </c>
      <c r="O105" s="3">
        <f>E105-'314020 - P0624'!F105</f>
        <v>0</v>
      </c>
      <c r="P105" s="30">
        <f>I105-'314020 - P0624'!J105</f>
        <v>0</v>
      </c>
    </row>
    <row r="106" spans="1:16" x14ac:dyDescent="0.25">
      <c r="A106">
        <v>104</v>
      </c>
      <c r="C106" t="s">
        <v>8</v>
      </c>
      <c r="D106" s="4" t="s">
        <v>109</v>
      </c>
      <c r="E106" s="12">
        <v>3.19</v>
      </c>
      <c r="F106" s="12">
        <v>3.19</v>
      </c>
      <c r="G106" s="6">
        <f t="shared" si="39"/>
        <v>0</v>
      </c>
      <c r="H106" s="7">
        <f t="shared" si="40"/>
        <v>0</v>
      </c>
      <c r="I106" s="8">
        <v>3.8745328209552197</v>
      </c>
      <c r="J106" s="9">
        <f t="shared" si="41"/>
        <v>3.8745328209552197</v>
      </c>
      <c r="K106" s="3">
        <f t="shared" si="42"/>
        <v>0</v>
      </c>
      <c r="L106" s="7">
        <f t="shared" si="43"/>
        <v>0</v>
      </c>
      <c r="M106" t="s">
        <v>106</v>
      </c>
      <c r="O106" s="3">
        <f>E106-'314020 - P0624'!F106</f>
        <v>0</v>
      </c>
      <c r="P106" s="30">
        <f>I106-'314020 - P0624'!J106</f>
        <v>0</v>
      </c>
    </row>
    <row r="107" spans="1:16" x14ac:dyDescent="0.25">
      <c r="A107">
        <v>105</v>
      </c>
      <c r="C107" t="s">
        <v>8</v>
      </c>
      <c r="D107" s="4" t="s">
        <v>110</v>
      </c>
      <c r="E107" s="12">
        <v>3.48</v>
      </c>
      <c r="F107" s="12">
        <v>3.48</v>
      </c>
      <c r="G107" s="6">
        <f t="shared" si="39"/>
        <v>0</v>
      </c>
      <c r="H107" s="7">
        <f t="shared" si="40"/>
        <v>0</v>
      </c>
      <c r="I107" s="8">
        <v>4.0655928193903108</v>
      </c>
      <c r="J107" s="9">
        <f t="shared" si="41"/>
        <v>4.0655928193903108</v>
      </c>
      <c r="K107" s="3">
        <f t="shared" si="42"/>
        <v>0</v>
      </c>
      <c r="L107" s="7">
        <f t="shared" si="43"/>
        <v>0</v>
      </c>
      <c r="M107" t="s">
        <v>106</v>
      </c>
      <c r="O107" s="3">
        <f>E107-'314020 - P0624'!F107</f>
        <v>0</v>
      </c>
      <c r="P107" s="30">
        <f>I107-'314020 - P0624'!J107</f>
        <v>0</v>
      </c>
    </row>
    <row r="108" spans="1:16" x14ac:dyDescent="0.25">
      <c r="A108">
        <v>106</v>
      </c>
      <c r="C108" t="s">
        <v>8</v>
      </c>
      <c r="D108" s="4" t="s">
        <v>111</v>
      </c>
      <c r="E108" s="12">
        <v>7.89</v>
      </c>
      <c r="F108" s="12">
        <v>7.89</v>
      </c>
      <c r="G108" s="6">
        <f t="shared" si="39"/>
        <v>0</v>
      </c>
      <c r="H108" s="7">
        <f t="shared" si="40"/>
        <v>0</v>
      </c>
      <c r="I108" s="8">
        <v>8.9203191080353719</v>
      </c>
      <c r="J108" s="9">
        <f t="shared" si="41"/>
        <v>8.9203191080353719</v>
      </c>
      <c r="K108" s="3">
        <f t="shared" si="42"/>
        <v>0</v>
      </c>
      <c r="L108" s="7">
        <f t="shared" si="43"/>
        <v>0</v>
      </c>
      <c r="M108" t="s">
        <v>106</v>
      </c>
      <c r="O108" s="3">
        <f>E108-'314020 - P0624'!F108</f>
        <v>0</v>
      </c>
      <c r="P108" s="30">
        <f>I108-'314020 - P0624'!J108</f>
        <v>0</v>
      </c>
    </row>
    <row r="109" spans="1:16" x14ac:dyDescent="0.25">
      <c r="A109">
        <v>107</v>
      </c>
      <c r="C109" t="s">
        <v>8</v>
      </c>
      <c r="D109" s="4" t="s">
        <v>112</v>
      </c>
      <c r="E109" s="12">
        <v>9.34</v>
      </c>
      <c r="F109" s="12">
        <v>9.34</v>
      </c>
      <c r="G109" s="6">
        <f t="shared" si="39"/>
        <v>0</v>
      </c>
      <c r="H109" s="7">
        <f t="shared" si="40"/>
        <v>0</v>
      </c>
      <c r="I109" s="8">
        <v>10.432893234927514</v>
      </c>
      <c r="J109" s="9">
        <f t="shared" si="41"/>
        <v>10.432893234927514</v>
      </c>
      <c r="K109" s="3">
        <f t="shared" si="42"/>
        <v>0</v>
      </c>
      <c r="L109" s="7">
        <f t="shared" si="43"/>
        <v>0</v>
      </c>
      <c r="M109" t="s">
        <v>106</v>
      </c>
      <c r="O109" s="3">
        <f>E109-'314020 - P0624'!F109</f>
        <v>0</v>
      </c>
      <c r="P109" s="30">
        <f>I109-'314020 - P0624'!J109</f>
        <v>0</v>
      </c>
    </row>
    <row r="110" spans="1:16" x14ac:dyDescent="0.25">
      <c r="A110">
        <v>108</v>
      </c>
      <c r="C110" t="s">
        <v>8</v>
      </c>
      <c r="D110" s="4" t="s">
        <v>113</v>
      </c>
      <c r="E110" s="12">
        <v>3.79</v>
      </c>
      <c r="F110" s="12">
        <v>3.79</v>
      </c>
      <c r="G110" s="6">
        <f t="shared" si="39"/>
        <v>0</v>
      </c>
      <c r="H110" s="7">
        <f t="shared" si="40"/>
        <v>0</v>
      </c>
      <c r="I110" s="8">
        <v>5.2944973572314407</v>
      </c>
      <c r="J110" s="9">
        <f t="shared" si="41"/>
        <v>5.2944973572314407</v>
      </c>
      <c r="K110" s="3">
        <f>J110-I110</f>
        <v>0</v>
      </c>
      <c r="L110" s="7">
        <f>(J110-I110)/ABS(I110)</f>
        <v>0</v>
      </c>
      <c r="M110" t="s">
        <v>106</v>
      </c>
      <c r="O110" s="3">
        <f>E110-'314020 - P0624'!F110</f>
        <v>0</v>
      </c>
      <c r="P110" s="30">
        <f>I110-'314020 - P0624'!J110</f>
        <v>0</v>
      </c>
    </row>
    <row r="111" spans="1:16" x14ac:dyDescent="0.25">
      <c r="A111">
        <v>109</v>
      </c>
      <c r="C111" t="s">
        <v>8</v>
      </c>
      <c r="D111" s="4" t="s">
        <v>114</v>
      </c>
      <c r="E111" s="12">
        <v>4.95</v>
      </c>
      <c r="F111" s="12">
        <v>4.95</v>
      </c>
      <c r="G111" s="6">
        <f t="shared" si="39"/>
        <v>0</v>
      </c>
      <c r="H111" s="7">
        <f t="shared" si="40"/>
        <v>0</v>
      </c>
      <c r="I111" s="8">
        <v>6.6523403553892901</v>
      </c>
      <c r="J111" s="9">
        <f t="shared" si="41"/>
        <v>6.6523403553892901</v>
      </c>
      <c r="K111" s="3">
        <f t="shared" si="42"/>
        <v>0</v>
      </c>
      <c r="L111" s="7">
        <f t="shared" si="43"/>
        <v>0</v>
      </c>
      <c r="M111" t="s">
        <v>106</v>
      </c>
      <c r="O111" s="3">
        <f>E111-'314020 - P0624'!F111</f>
        <v>0</v>
      </c>
      <c r="P111" s="30">
        <f>I111-'314020 - P0624'!J111</f>
        <v>0</v>
      </c>
    </row>
    <row r="112" spans="1:16" x14ac:dyDescent="0.25">
      <c r="A112">
        <v>110</v>
      </c>
      <c r="C112" t="s">
        <v>8</v>
      </c>
      <c r="D112" s="4" t="s">
        <v>115</v>
      </c>
      <c r="E112" s="12">
        <v>6.16</v>
      </c>
      <c r="F112" s="12">
        <v>6.16</v>
      </c>
      <c r="G112" s="6">
        <f t="shared" si="39"/>
        <v>0</v>
      </c>
      <c r="H112" s="7">
        <f t="shared" si="40"/>
        <v>0</v>
      </c>
      <c r="I112" s="8">
        <v>7.8767696532032376</v>
      </c>
      <c r="J112" s="9">
        <f t="shared" si="41"/>
        <v>7.8767696532032376</v>
      </c>
      <c r="K112" s="3">
        <f t="shared" si="42"/>
        <v>0</v>
      </c>
      <c r="L112" s="7">
        <f t="shared" si="43"/>
        <v>0</v>
      </c>
      <c r="M112" t="s">
        <v>106</v>
      </c>
      <c r="O112" s="3">
        <f>E112-'314020 - P0624'!F112</f>
        <v>0</v>
      </c>
      <c r="P112" s="30">
        <f>I112-'314020 - P0624'!J112</f>
        <v>0</v>
      </c>
    </row>
    <row r="113" spans="1:16" x14ac:dyDescent="0.25">
      <c r="A113">
        <v>111</v>
      </c>
      <c r="C113" t="s">
        <v>8</v>
      </c>
      <c r="D113" s="4" t="s">
        <v>116</v>
      </c>
      <c r="E113" s="12">
        <v>7.33</v>
      </c>
      <c r="F113" s="12">
        <v>7.33</v>
      </c>
      <c r="G113" s="6">
        <f t="shared" si="39"/>
        <v>0</v>
      </c>
      <c r="H113" s="7">
        <f t="shared" si="40"/>
        <v>0</v>
      </c>
      <c r="I113" s="8">
        <v>9.6975016766020872</v>
      </c>
      <c r="J113" s="9">
        <f t="shared" si="41"/>
        <v>9.6975016766020872</v>
      </c>
      <c r="K113" s="3">
        <f t="shared" si="42"/>
        <v>0</v>
      </c>
      <c r="L113" s="7">
        <f t="shared" si="43"/>
        <v>0</v>
      </c>
      <c r="M113" t="s">
        <v>106</v>
      </c>
      <c r="O113" s="3">
        <f>E113-'314020 - P0624'!F113</f>
        <v>0</v>
      </c>
      <c r="P113" s="30">
        <f>I113-'314020 - P0624'!J113</f>
        <v>0</v>
      </c>
    </row>
    <row r="114" spans="1:16" x14ac:dyDescent="0.25">
      <c r="A114">
        <v>112</v>
      </c>
      <c r="C114" t="s">
        <v>8</v>
      </c>
      <c r="D114" s="4" t="s">
        <v>117</v>
      </c>
      <c r="E114" s="12">
        <v>8.39</v>
      </c>
      <c r="F114" s="12">
        <v>8.39</v>
      </c>
      <c r="G114" s="6">
        <f t="shared" si="39"/>
        <v>0</v>
      </c>
      <c r="H114" s="7">
        <f t="shared" si="40"/>
        <v>0</v>
      </c>
      <c r="I114" s="8">
        <v>9.9493819659061415</v>
      </c>
      <c r="J114" s="9">
        <f t="shared" si="41"/>
        <v>9.9493819659061415</v>
      </c>
      <c r="K114" s="3">
        <f t="shared" si="42"/>
        <v>0</v>
      </c>
      <c r="L114" s="7">
        <f t="shared" si="43"/>
        <v>0</v>
      </c>
      <c r="M114" t="s">
        <v>106</v>
      </c>
      <c r="O114" s="3">
        <f>E114-'314020 - P0624'!F114</f>
        <v>0</v>
      </c>
      <c r="P114" s="30">
        <f>I114-'314020 - P0624'!J114</f>
        <v>0</v>
      </c>
    </row>
    <row r="115" spans="1:16" x14ac:dyDescent="0.25">
      <c r="A115">
        <v>113</v>
      </c>
      <c r="C115" t="s">
        <v>8</v>
      </c>
      <c r="D115" s="4" t="s">
        <v>118</v>
      </c>
      <c r="E115" s="12">
        <v>9.39</v>
      </c>
      <c r="F115" s="12">
        <v>9.39</v>
      </c>
      <c r="G115" s="6">
        <f t="shared" si="39"/>
        <v>0</v>
      </c>
      <c r="H115" s="7">
        <f t="shared" si="40"/>
        <v>0</v>
      </c>
      <c r="I115" s="8">
        <v>11.783981312354875</v>
      </c>
      <c r="J115" s="9">
        <f t="shared" si="41"/>
        <v>11.783981312354875</v>
      </c>
      <c r="K115" s="3">
        <f t="shared" si="42"/>
        <v>0</v>
      </c>
      <c r="L115" s="7">
        <f t="shared" si="43"/>
        <v>0</v>
      </c>
      <c r="M115" t="s">
        <v>106</v>
      </c>
      <c r="O115" s="3">
        <f>E115-'314020 - P0624'!F115</f>
        <v>0</v>
      </c>
      <c r="P115" s="30">
        <f>I115-'314020 - P0624'!J115</f>
        <v>0</v>
      </c>
    </row>
    <row r="116" spans="1:16" x14ac:dyDescent="0.25">
      <c r="A116">
        <v>114</v>
      </c>
      <c r="D116" s="34" t="s">
        <v>119</v>
      </c>
      <c r="H116" s="10">
        <f>AVERAGE(H104:H115)</f>
        <v>0</v>
      </c>
      <c r="I116"/>
      <c r="L116" s="10">
        <f>AVERAGE(L104:L115)</f>
        <v>0</v>
      </c>
    </row>
    <row r="117" spans="1:16" x14ac:dyDescent="0.25">
      <c r="A117">
        <v>115</v>
      </c>
      <c r="D117" s="34" t="s">
        <v>120</v>
      </c>
      <c r="I117"/>
      <c r="M117" t="s">
        <v>121</v>
      </c>
    </row>
    <row r="118" spans="1:16" x14ac:dyDescent="0.25">
      <c r="A118">
        <v>116</v>
      </c>
      <c r="C118" t="s">
        <v>8</v>
      </c>
      <c r="D118" s="4" t="s">
        <v>456</v>
      </c>
      <c r="E118" s="12">
        <v>6.3</v>
      </c>
      <c r="F118" s="12">
        <v>6.3</v>
      </c>
      <c r="G118" s="13">
        <f t="shared" ref="G118:G153" si="44">+F118-E118</f>
        <v>0</v>
      </c>
      <c r="H118" s="7">
        <f t="shared" ref="H118:H155" si="45">(F118-E118)/ABS(E118)</f>
        <v>0</v>
      </c>
      <c r="I118" s="8">
        <v>8.2214999999999989</v>
      </c>
      <c r="J118" s="9">
        <f t="shared" ref="J118:J155" si="46">(I118*H118)+I118</f>
        <v>8.2214999999999989</v>
      </c>
      <c r="K118" s="3">
        <f t="shared" ref="K118:K155" si="47">J118-I118</f>
        <v>0</v>
      </c>
      <c r="L118" s="7">
        <f t="shared" ref="L118:L155" si="48">(J118-I118)/ABS(I118)</f>
        <v>0</v>
      </c>
      <c r="M118" t="s">
        <v>121</v>
      </c>
      <c r="O118" s="3">
        <f>E118-'314020 - P0624'!F118</f>
        <v>0</v>
      </c>
      <c r="P118" s="30">
        <f>I118-'314020 - P0624'!J118</f>
        <v>0</v>
      </c>
    </row>
    <row r="119" spans="1:16" x14ac:dyDescent="0.25">
      <c r="A119">
        <v>117</v>
      </c>
      <c r="C119" t="s">
        <v>8</v>
      </c>
      <c r="D119" s="4" t="s">
        <v>457</v>
      </c>
      <c r="E119" s="12">
        <v>6.93</v>
      </c>
      <c r="F119" s="12">
        <v>6.93</v>
      </c>
      <c r="G119" s="13">
        <f t="shared" si="44"/>
        <v>0</v>
      </c>
      <c r="H119" s="7">
        <f t="shared" si="45"/>
        <v>0</v>
      </c>
      <c r="I119" s="8">
        <v>8.9245000000000001</v>
      </c>
      <c r="J119" s="9">
        <f t="shared" si="46"/>
        <v>8.9245000000000001</v>
      </c>
      <c r="K119" s="3">
        <f t="shared" si="47"/>
        <v>0</v>
      </c>
      <c r="L119" s="7">
        <f t="shared" si="48"/>
        <v>0</v>
      </c>
      <c r="M119" t="s">
        <v>121</v>
      </c>
      <c r="O119" s="3">
        <f>E119-'314020 - P0624'!F119</f>
        <v>0</v>
      </c>
      <c r="P119" s="30">
        <f>I119-'314020 - P0624'!J119</f>
        <v>0</v>
      </c>
    </row>
    <row r="120" spans="1:16" x14ac:dyDescent="0.25">
      <c r="A120">
        <v>118</v>
      </c>
      <c r="C120" t="s">
        <v>8</v>
      </c>
      <c r="D120" s="4" t="s">
        <v>458</v>
      </c>
      <c r="E120" s="12">
        <v>7.98</v>
      </c>
      <c r="F120" s="12">
        <v>7.98</v>
      </c>
      <c r="G120" s="13">
        <f t="shared" si="44"/>
        <v>0</v>
      </c>
      <c r="H120" s="7">
        <f t="shared" si="45"/>
        <v>0</v>
      </c>
      <c r="I120" s="8">
        <v>10.762500000000001</v>
      </c>
      <c r="J120" s="9">
        <f t="shared" si="46"/>
        <v>10.762500000000001</v>
      </c>
      <c r="K120" s="3">
        <f t="shared" si="47"/>
        <v>0</v>
      </c>
      <c r="L120" s="7">
        <f t="shared" si="48"/>
        <v>0</v>
      </c>
      <c r="M120" t="s">
        <v>121</v>
      </c>
      <c r="O120" s="3">
        <f>E120-'314020 - P0624'!F120</f>
        <v>0</v>
      </c>
      <c r="P120" s="30">
        <f>I120-'314020 - P0624'!J120</f>
        <v>0</v>
      </c>
    </row>
    <row r="121" spans="1:16" x14ac:dyDescent="0.25">
      <c r="A121">
        <v>119</v>
      </c>
      <c r="C121" t="s">
        <v>8</v>
      </c>
      <c r="D121" s="4" t="s">
        <v>460</v>
      </c>
      <c r="E121" s="12">
        <v>10.08</v>
      </c>
      <c r="F121" s="12">
        <v>10.08</v>
      </c>
      <c r="G121" s="6">
        <f t="shared" si="44"/>
        <v>0</v>
      </c>
      <c r="H121" s="7">
        <f t="shared" si="45"/>
        <v>0</v>
      </c>
      <c r="I121" s="8">
        <v>14.563499999999999</v>
      </c>
      <c r="J121" s="9">
        <f t="shared" si="46"/>
        <v>14.563499999999999</v>
      </c>
      <c r="K121" s="3">
        <f t="shared" si="47"/>
        <v>0</v>
      </c>
      <c r="L121" s="7">
        <f t="shared" si="48"/>
        <v>0</v>
      </c>
      <c r="M121" t="s">
        <v>121</v>
      </c>
      <c r="O121" s="3">
        <f>E121-'314020 - P0624'!F121</f>
        <v>0</v>
      </c>
      <c r="P121" s="30">
        <f>I121-'314020 - P0624'!J121</f>
        <v>0</v>
      </c>
    </row>
    <row r="122" spans="1:16" x14ac:dyDescent="0.25">
      <c r="A122">
        <v>120</v>
      </c>
      <c r="C122" t="s">
        <v>8</v>
      </c>
      <c r="D122" s="4" t="s">
        <v>459</v>
      </c>
      <c r="E122" s="14">
        <v>26.88</v>
      </c>
      <c r="F122" s="14">
        <v>26.88</v>
      </c>
      <c r="G122" s="6">
        <f t="shared" si="44"/>
        <v>0</v>
      </c>
      <c r="H122" s="7">
        <f t="shared" si="45"/>
        <v>0</v>
      </c>
      <c r="I122" s="8">
        <v>39.973499999999994</v>
      </c>
      <c r="J122" s="9">
        <f t="shared" si="46"/>
        <v>39.973499999999994</v>
      </c>
      <c r="K122" s="3">
        <f t="shared" si="47"/>
        <v>0</v>
      </c>
      <c r="L122" s="7">
        <f t="shared" si="48"/>
        <v>0</v>
      </c>
      <c r="M122" t="s">
        <v>121</v>
      </c>
      <c r="O122" s="3">
        <f>E122-'314020 - P0624'!F122</f>
        <v>0</v>
      </c>
      <c r="P122" s="30">
        <f>I122-'314020 - P0624'!J122</f>
        <v>0</v>
      </c>
    </row>
    <row r="123" spans="1:16" x14ac:dyDescent="0.25">
      <c r="A123">
        <v>121</v>
      </c>
      <c r="C123" t="s">
        <v>8</v>
      </c>
      <c r="D123" s="4" t="s">
        <v>122</v>
      </c>
      <c r="E123" s="12">
        <v>6.25</v>
      </c>
      <c r="F123" s="12">
        <v>6.25</v>
      </c>
      <c r="G123" s="6">
        <f t="shared" si="44"/>
        <v>0</v>
      </c>
      <c r="H123" s="7">
        <f t="shared" si="45"/>
        <v>0</v>
      </c>
      <c r="I123" s="8">
        <v>6.930903510039002</v>
      </c>
      <c r="J123" s="9">
        <f t="shared" si="46"/>
        <v>6.930903510039002</v>
      </c>
      <c r="K123" s="3">
        <f t="shared" si="47"/>
        <v>0</v>
      </c>
      <c r="L123" s="7">
        <f t="shared" si="48"/>
        <v>0</v>
      </c>
      <c r="M123" t="s">
        <v>121</v>
      </c>
      <c r="O123" s="3">
        <f>E123-'314020 - P0624'!F123</f>
        <v>0</v>
      </c>
      <c r="P123" s="30">
        <f>I123-'314020 - P0624'!J123</f>
        <v>0</v>
      </c>
    </row>
    <row r="124" spans="1:16" x14ac:dyDescent="0.25">
      <c r="A124">
        <v>122</v>
      </c>
      <c r="C124" t="s">
        <v>8</v>
      </c>
      <c r="D124" s="4" t="s">
        <v>123</v>
      </c>
      <c r="E124" s="12">
        <v>8.6300000000000008</v>
      </c>
      <c r="F124" s="12">
        <v>8.6300000000000008</v>
      </c>
      <c r="G124" s="13">
        <f t="shared" si="44"/>
        <v>0</v>
      </c>
      <c r="H124" s="7">
        <f t="shared" si="45"/>
        <v>0</v>
      </c>
      <c r="I124" s="8">
        <v>8.7073886883273168</v>
      </c>
      <c r="J124" s="9">
        <f t="shared" si="46"/>
        <v>8.7073886883273168</v>
      </c>
      <c r="K124" s="3">
        <f t="shared" si="47"/>
        <v>0</v>
      </c>
      <c r="L124" s="7">
        <f t="shared" si="48"/>
        <v>0</v>
      </c>
      <c r="M124" t="s">
        <v>121</v>
      </c>
      <c r="O124" s="3">
        <f>E124-'314020 - P0624'!F124</f>
        <v>0</v>
      </c>
      <c r="P124" s="30">
        <f>I124-'314020 - P0624'!J124</f>
        <v>0</v>
      </c>
    </row>
    <row r="125" spans="1:16" x14ac:dyDescent="0.25">
      <c r="A125">
        <v>123</v>
      </c>
      <c r="C125" t="s">
        <v>8</v>
      </c>
      <c r="D125" s="4" t="s">
        <v>124</v>
      </c>
      <c r="E125" s="12">
        <v>9.82</v>
      </c>
      <c r="F125" s="12">
        <v>9.82</v>
      </c>
      <c r="G125" s="13">
        <f t="shared" si="44"/>
        <v>0</v>
      </c>
      <c r="H125" s="7">
        <f t="shared" si="45"/>
        <v>0</v>
      </c>
      <c r="I125" s="8">
        <v>10.822370370370372</v>
      </c>
      <c r="J125" s="9">
        <f t="shared" si="46"/>
        <v>10.822370370370372</v>
      </c>
      <c r="K125" s="3">
        <f t="shared" si="47"/>
        <v>0</v>
      </c>
      <c r="L125" s="7">
        <f t="shared" si="48"/>
        <v>0</v>
      </c>
      <c r="M125" t="s">
        <v>121</v>
      </c>
      <c r="O125" s="3">
        <f>E125-'314020 - P0624'!F125</f>
        <v>0</v>
      </c>
      <c r="P125" s="30">
        <f>I125-'314020 - P0624'!J125</f>
        <v>0</v>
      </c>
    </row>
    <row r="126" spans="1:16" x14ac:dyDescent="0.25">
      <c r="A126">
        <v>124</v>
      </c>
      <c r="C126" t="s">
        <v>8</v>
      </c>
      <c r="D126" s="4" t="s">
        <v>125</v>
      </c>
      <c r="E126" s="12">
        <v>11.01</v>
      </c>
      <c r="F126" s="12">
        <v>11.01</v>
      </c>
      <c r="G126" s="13">
        <f t="shared" si="44"/>
        <v>0</v>
      </c>
      <c r="H126" s="7">
        <f t="shared" si="45"/>
        <v>0</v>
      </c>
      <c r="I126" s="8">
        <v>12.518858490566037</v>
      </c>
      <c r="J126" s="9">
        <f t="shared" si="46"/>
        <v>12.518858490566037</v>
      </c>
      <c r="K126" s="3">
        <f t="shared" si="47"/>
        <v>0</v>
      </c>
      <c r="L126" s="7">
        <f t="shared" si="48"/>
        <v>0</v>
      </c>
      <c r="M126" t="s">
        <v>121</v>
      </c>
      <c r="O126" s="3">
        <f>E126-'314020 - P0624'!F126</f>
        <v>0</v>
      </c>
      <c r="P126" s="30">
        <f>I126-'314020 - P0624'!J126</f>
        <v>0</v>
      </c>
    </row>
    <row r="127" spans="1:16" x14ac:dyDescent="0.25">
      <c r="A127">
        <v>125</v>
      </c>
      <c r="C127" t="s">
        <v>8</v>
      </c>
      <c r="D127" s="4" t="s">
        <v>126</v>
      </c>
      <c r="E127" s="12">
        <v>12.13</v>
      </c>
      <c r="F127" s="12">
        <v>12.13</v>
      </c>
      <c r="G127" s="6">
        <f t="shared" si="44"/>
        <v>0</v>
      </c>
      <c r="H127" s="7">
        <f t="shared" si="45"/>
        <v>0</v>
      </c>
      <c r="I127" s="8">
        <v>13.092551369863015</v>
      </c>
      <c r="J127" s="9">
        <f t="shared" si="46"/>
        <v>13.092551369863015</v>
      </c>
      <c r="K127" s="3">
        <f t="shared" si="47"/>
        <v>0</v>
      </c>
      <c r="L127" s="7">
        <f t="shared" si="48"/>
        <v>0</v>
      </c>
      <c r="M127" t="s">
        <v>121</v>
      </c>
      <c r="O127" s="3">
        <f>E127-'314020 - P0624'!F127</f>
        <v>0</v>
      </c>
      <c r="P127" s="30">
        <f>I127-'314020 - P0624'!J127</f>
        <v>0</v>
      </c>
    </row>
    <row r="128" spans="1:16" x14ac:dyDescent="0.25">
      <c r="A128">
        <v>126</v>
      </c>
      <c r="C128" t="s">
        <v>8</v>
      </c>
      <c r="D128" s="4" t="s">
        <v>127</v>
      </c>
      <c r="E128" s="12">
        <v>16.18</v>
      </c>
      <c r="F128" s="12">
        <v>16.18</v>
      </c>
      <c r="G128" s="6">
        <f t="shared" si="44"/>
        <v>0</v>
      </c>
      <c r="H128" s="7">
        <f t="shared" si="45"/>
        <v>0</v>
      </c>
      <c r="I128" s="8">
        <v>18.131712053429638</v>
      </c>
      <c r="J128" s="9">
        <f t="shared" si="46"/>
        <v>18.131712053429638</v>
      </c>
      <c r="K128" s="3">
        <f t="shared" si="47"/>
        <v>0</v>
      </c>
      <c r="L128" s="7">
        <f t="shared" si="48"/>
        <v>0</v>
      </c>
      <c r="M128" t="s">
        <v>121</v>
      </c>
      <c r="O128" s="3">
        <f>E128-'314020 - P0624'!F128</f>
        <v>0</v>
      </c>
      <c r="P128" s="30">
        <f>I128-'314020 - P0624'!J128</f>
        <v>0</v>
      </c>
    </row>
    <row r="129" spans="1:16" x14ac:dyDescent="0.25">
      <c r="A129">
        <v>127</v>
      </c>
      <c r="C129" t="s">
        <v>8</v>
      </c>
      <c r="D129" s="4" t="s">
        <v>128</v>
      </c>
      <c r="E129" s="12">
        <v>7.18</v>
      </c>
      <c r="F129" s="12">
        <v>7.18</v>
      </c>
      <c r="G129" s="6">
        <f t="shared" si="44"/>
        <v>0</v>
      </c>
      <c r="H129" s="7">
        <f t="shared" si="45"/>
        <v>0</v>
      </c>
      <c r="I129" s="8">
        <v>8.8881221902017273</v>
      </c>
      <c r="J129" s="9">
        <f t="shared" si="46"/>
        <v>8.8881221902017273</v>
      </c>
      <c r="K129" s="3">
        <f t="shared" si="47"/>
        <v>0</v>
      </c>
      <c r="L129" s="7">
        <f t="shared" si="48"/>
        <v>0</v>
      </c>
      <c r="M129" t="s">
        <v>121</v>
      </c>
      <c r="O129" s="3">
        <f>E129-'314020 - P0624'!F129</f>
        <v>0</v>
      </c>
      <c r="P129" s="30">
        <f>I129-'314020 - P0624'!J129</f>
        <v>0</v>
      </c>
    </row>
    <row r="130" spans="1:16" x14ac:dyDescent="0.25">
      <c r="A130">
        <v>128</v>
      </c>
      <c r="C130" t="s">
        <v>8</v>
      </c>
      <c r="D130" s="22" t="s">
        <v>504</v>
      </c>
      <c r="E130" s="12">
        <v>7.18</v>
      </c>
      <c r="F130" s="12">
        <v>7.18</v>
      </c>
      <c r="G130" s="6">
        <f t="shared" si="44"/>
        <v>0</v>
      </c>
      <c r="H130" s="7">
        <f t="shared" si="45"/>
        <v>0</v>
      </c>
      <c r="I130" s="8">
        <v>8.8881221902017273</v>
      </c>
      <c r="J130" s="9">
        <f t="shared" si="46"/>
        <v>8.8881221902017273</v>
      </c>
      <c r="K130" s="3">
        <f t="shared" si="47"/>
        <v>0</v>
      </c>
      <c r="L130" s="7">
        <f t="shared" si="48"/>
        <v>0</v>
      </c>
      <c r="M130" t="s">
        <v>121</v>
      </c>
      <c r="O130" s="3">
        <f>E130-'314020 - P0624'!F130</f>
        <v>0</v>
      </c>
      <c r="P130" s="30">
        <f>I130-'314020 - P0624'!J130</f>
        <v>0</v>
      </c>
    </row>
    <row r="131" spans="1:16" x14ac:dyDescent="0.25">
      <c r="A131">
        <v>129</v>
      </c>
      <c r="C131" t="s">
        <v>8</v>
      </c>
      <c r="D131" s="4" t="s">
        <v>129</v>
      </c>
      <c r="E131" s="12">
        <v>31.782399999999999</v>
      </c>
      <c r="F131" s="12">
        <v>31.782399999999999</v>
      </c>
      <c r="G131" s="6">
        <f t="shared" si="44"/>
        <v>0</v>
      </c>
      <c r="H131" s="7">
        <f t="shared" si="45"/>
        <v>0</v>
      </c>
      <c r="I131" s="8">
        <v>42.795999999999999</v>
      </c>
      <c r="J131" s="9">
        <f t="shared" si="46"/>
        <v>42.795999999999999</v>
      </c>
      <c r="K131" s="3">
        <f t="shared" si="47"/>
        <v>0</v>
      </c>
      <c r="L131" s="7">
        <f t="shared" si="48"/>
        <v>0</v>
      </c>
      <c r="M131" t="s">
        <v>121</v>
      </c>
      <c r="O131" s="3">
        <f>E131-'314020 - P0624'!F131</f>
        <v>0</v>
      </c>
      <c r="P131" s="30">
        <f>I131-'314020 - P0624'!J131</f>
        <v>0</v>
      </c>
    </row>
    <row r="132" spans="1:16" x14ac:dyDescent="0.25">
      <c r="A132">
        <v>130</v>
      </c>
      <c r="C132" t="s">
        <v>8</v>
      </c>
      <c r="D132" s="4" t="s">
        <v>130</v>
      </c>
      <c r="E132" s="14">
        <v>38.08</v>
      </c>
      <c r="F132" s="14">
        <v>38.08</v>
      </c>
      <c r="G132" s="6">
        <f t="shared" si="44"/>
        <v>0</v>
      </c>
      <c r="H132" s="7">
        <f t="shared" si="45"/>
        <v>0</v>
      </c>
      <c r="I132" s="8">
        <v>43.505252249795468</v>
      </c>
      <c r="J132" s="9">
        <f t="shared" si="46"/>
        <v>43.505252249795468</v>
      </c>
      <c r="K132" s="3">
        <f t="shared" si="47"/>
        <v>0</v>
      </c>
      <c r="L132" s="7">
        <f t="shared" si="48"/>
        <v>0</v>
      </c>
      <c r="M132" t="s">
        <v>121</v>
      </c>
      <c r="O132" s="3">
        <f>E132-'314020 - P0624'!F132</f>
        <v>0</v>
      </c>
      <c r="P132" s="30">
        <f>I132-'314020 - P0624'!J132</f>
        <v>0</v>
      </c>
    </row>
    <row r="133" spans="1:16" x14ac:dyDescent="0.25">
      <c r="A133">
        <v>131</v>
      </c>
      <c r="C133" t="s">
        <v>8</v>
      </c>
      <c r="D133" s="4" t="s">
        <v>131</v>
      </c>
      <c r="E133" s="14">
        <v>38.08</v>
      </c>
      <c r="F133" s="14">
        <v>38.08</v>
      </c>
      <c r="G133" s="6">
        <f t="shared" si="44"/>
        <v>0</v>
      </c>
      <c r="H133" s="7">
        <f t="shared" si="45"/>
        <v>0</v>
      </c>
      <c r="I133" s="8">
        <v>57.541818816471228</v>
      </c>
      <c r="J133" s="9">
        <f t="shared" si="46"/>
        <v>57.541818816471228</v>
      </c>
      <c r="K133" s="3">
        <f t="shared" si="47"/>
        <v>0</v>
      </c>
      <c r="L133" s="7">
        <f t="shared" si="48"/>
        <v>0</v>
      </c>
      <c r="M133" t="s">
        <v>121</v>
      </c>
      <c r="O133" s="3">
        <f>E133-'314020 - P0624'!F133</f>
        <v>0</v>
      </c>
      <c r="P133" s="30">
        <f>I133-'314020 - P0624'!J133</f>
        <v>0</v>
      </c>
    </row>
    <row r="134" spans="1:16" x14ac:dyDescent="0.25">
      <c r="A134">
        <v>132</v>
      </c>
      <c r="C134" t="s">
        <v>8</v>
      </c>
      <c r="D134" s="4" t="s">
        <v>132</v>
      </c>
      <c r="E134" s="12">
        <v>15.8436</v>
      </c>
      <c r="F134" s="12">
        <v>15.8436</v>
      </c>
      <c r="G134" s="6">
        <f t="shared" si="44"/>
        <v>0</v>
      </c>
      <c r="H134" s="7">
        <f t="shared" si="45"/>
        <v>0</v>
      </c>
      <c r="I134" s="8">
        <v>19.584000000000003</v>
      </c>
      <c r="J134" s="9">
        <f t="shared" si="46"/>
        <v>19.584000000000003</v>
      </c>
      <c r="K134" s="3">
        <f t="shared" si="47"/>
        <v>0</v>
      </c>
      <c r="L134" s="7">
        <f t="shared" si="48"/>
        <v>0</v>
      </c>
      <c r="M134" t="s">
        <v>121</v>
      </c>
      <c r="O134" s="3">
        <f>E134-'314020 - P0624'!F134</f>
        <v>0</v>
      </c>
      <c r="P134" s="30">
        <f>I134-'314020 - P0624'!J134</f>
        <v>0</v>
      </c>
    </row>
    <row r="135" spans="1:16" x14ac:dyDescent="0.25">
      <c r="A135">
        <v>133</v>
      </c>
      <c r="C135" t="s">
        <v>8</v>
      </c>
      <c r="D135" s="4" t="s">
        <v>133</v>
      </c>
      <c r="E135" s="12">
        <v>36.493200000000002</v>
      </c>
      <c r="F135" s="12">
        <v>36.493200000000002</v>
      </c>
      <c r="G135" s="6">
        <f t="shared" si="44"/>
        <v>0</v>
      </c>
      <c r="H135" s="7">
        <f t="shared" si="45"/>
        <v>0</v>
      </c>
      <c r="I135" s="8">
        <v>43.51</v>
      </c>
      <c r="J135" s="9">
        <f t="shared" si="46"/>
        <v>43.51</v>
      </c>
      <c r="K135" s="3">
        <f t="shared" si="47"/>
        <v>0</v>
      </c>
      <c r="L135" s="7">
        <f t="shared" si="48"/>
        <v>0</v>
      </c>
      <c r="M135" t="s">
        <v>121</v>
      </c>
      <c r="O135" s="3">
        <f>E135-'314020 - P0624'!F135</f>
        <v>0</v>
      </c>
      <c r="P135" s="30">
        <f>I135-'314020 - P0624'!J135</f>
        <v>0</v>
      </c>
    </row>
    <row r="136" spans="1:16" x14ac:dyDescent="0.25">
      <c r="A136">
        <v>134</v>
      </c>
      <c r="C136" t="s">
        <v>8</v>
      </c>
      <c r="D136" s="4" t="s">
        <v>134</v>
      </c>
      <c r="E136" s="12">
        <v>54.151200000000003</v>
      </c>
      <c r="F136" s="12">
        <v>54.151200000000003</v>
      </c>
      <c r="G136" s="6">
        <f t="shared" si="44"/>
        <v>0</v>
      </c>
      <c r="H136" s="7">
        <f t="shared" si="45"/>
        <v>0</v>
      </c>
      <c r="I136" s="8">
        <v>92.212972774869115</v>
      </c>
      <c r="J136" s="9">
        <f t="shared" si="46"/>
        <v>92.212972774869115</v>
      </c>
      <c r="K136" s="3">
        <f t="shared" si="47"/>
        <v>0</v>
      </c>
      <c r="L136" s="7">
        <f t="shared" si="48"/>
        <v>0</v>
      </c>
      <c r="M136" t="s">
        <v>121</v>
      </c>
      <c r="O136" s="3">
        <f>E136-'314020 - P0624'!F136</f>
        <v>0</v>
      </c>
      <c r="P136" s="30">
        <f>I136-'314020 - P0624'!J136</f>
        <v>0</v>
      </c>
    </row>
    <row r="137" spans="1:16" x14ac:dyDescent="0.25">
      <c r="A137">
        <v>135</v>
      </c>
      <c r="C137" t="s">
        <v>8</v>
      </c>
      <c r="D137" s="4" t="s">
        <v>135</v>
      </c>
      <c r="E137" s="12">
        <v>6.0588000000000006</v>
      </c>
      <c r="F137" s="12">
        <v>6.0588000000000006</v>
      </c>
      <c r="G137" s="6">
        <f t="shared" si="44"/>
        <v>0</v>
      </c>
      <c r="H137" s="7">
        <f t="shared" si="45"/>
        <v>0</v>
      </c>
      <c r="I137" s="8">
        <v>9.417600000000002</v>
      </c>
      <c r="J137" s="9">
        <f t="shared" si="46"/>
        <v>9.417600000000002</v>
      </c>
      <c r="K137" s="3">
        <f t="shared" si="47"/>
        <v>0</v>
      </c>
      <c r="L137" s="7">
        <f t="shared" si="48"/>
        <v>0</v>
      </c>
      <c r="M137" t="s">
        <v>121</v>
      </c>
      <c r="O137" s="3">
        <f>E137-'314020 - P0624'!F137</f>
        <v>0</v>
      </c>
      <c r="P137" s="30">
        <f>I137-'314020 - P0624'!J137</f>
        <v>0</v>
      </c>
    </row>
    <row r="138" spans="1:16" x14ac:dyDescent="0.25">
      <c r="A138">
        <v>136</v>
      </c>
      <c r="C138" t="s">
        <v>8</v>
      </c>
      <c r="D138" s="4" t="s">
        <v>136</v>
      </c>
      <c r="E138" s="12">
        <v>10.7028</v>
      </c>
      <c r="F138" s="12">
        <v>10.7028</v>
      </c>
      <c r="G138" s="6">
        <f t="shared" si="44"/>
        <v>0</v>
      </c>
      <c r="H138" s="7">
        <f t="shared" si="45"/>
        <v>0</v>
      </c>
      <c r="I138" s="8">
        <v>14.990400000000001</v>
      </c>
      <c r="J138" s="9">
        <f t="shared" si="46"/>
        <v>14.990400000000001</v>
      </c>
      <c r="K138" s="3">
        <f t="shared" si="47"/>
        <v>0</v>
      </c>
      <c r="L138" s="7">
        <f t="shared" si="48"/>
        <v>0</v>
      </c>
      <c r="M138" t="s">
        <v>121</v>
      </c>
      <c r="O138" s="3">
        <f>E138-'314020 - P0624'!F138</f>
        <v>0</v>
      </c>
      <c r="P138" s="30">
        <f>I138-'314020 - P0624'!J138</f>
        <v>0</v>
      </c>
    </row>
    <row r="139" spans="1:16" x14ac:dyDescent="0.25">
      <c r="A139">
        <v>137</v>
      </c>
      <c r="C139" t="s">
        <v>8</v>
      </c>
      <c r="D139" s="4" t="s">
        <v>137</v>
      </c>
      <c r="E139" s="12">
        <v>16.0488</v>
      </c>
      <c r="F139" s="12">
        <v>16.0488</v>
      </c>
      <c r="G139" s="6">
        <f t="shared" si="44"/>
        <v>0</v>
      </c>
      <c r="H139" s="7">
        <f t="shared" si="45"/>
        <v>0</v>
      </c>
      <c r="I139" s="8">
        <v>22.485600000000002</v>
      </c>
      <c r="J139" s="9">
        <f t="shared" si="46"/>
        <v>22.485600000000002</v>
      </c>
      <c r="K139" s="3">
        <f t="shared" si="47"/>
        <v>0</v>
      </c>
      <c r="L139" s="7">
        <f t="shared" si="48"/>
        <v>0</v>
      </c>
      <c r="M139" t="s">
        <v>121</v>
      </c>
      <c r="O139" s="3">
        <f>E139-'314020 - P0624'!F139</f>
        <v>0</v>
      </c>
      <c r="P139" s="30">
        <f>I139-'314020 - P0624'!J139</f>
        <v>0</v>
      </c>
    </row>
    <row r="140" spans="1:16" x14ac:dyDescent="0.25">
      <c r="A140">
        <v>138</v>
      </c>
      <c r="C140" t="s">
        <v>8</v>
      </c>
      <c r="D140" s="4" t="s">
        <v>138</v>
      </c>
      <c r="E140" s="12">
        <v>21.4056</v>
      </c>
      <c r="F140" s="12">
        <v>21.4056</v>
      </c>
      <c r="G140" s="6">
        <f t="shared" si="44"/>
        <v>0</v>
      </c>
      <c r="H140" s="7">
        <f t="shared" si="45"/>
        <v>0</v>
      </c>
      <c r="I140" s="8">
        <v>31.557599999999997</v>
      </c>
      <c r="J140" s="9">
        <f t="shared" si="46"/>
        <v>31.557599999999997</v>
      </c>
      <c r="K140" s="3">
        <f t="shared" si="47"/>
        <v>0</v>
      </c>
      <c r="L140" s="7">
        <f t="shared" si="48"/>
        <v>0</v>
      </c>
      <c r="M140" t="s">
        <v>121</v>
      </c>
      <c r="O140" s="3">
        <f>E140-'314020 - P0624'!F140</f>
        <v>0</v>
      </c>
      <c r="P140" s="30">
        <f>I140-'314020 - P0624'!J140</f>
        <v>0</v>
      </c>
    </row>
    <row r="141" spans="1:16" x14ac:dyDescent="0.25">
      <c r="A141">
        <v>139</v>
      </c>
      <c r="C141" t="s">
        <v>8</v>
      </c>
      <c r="D141" s="4" t="s">
        <v>139</v>
      </c>
      <c r="E141" s="12">
        <v>29.019600000000001</v>
      </c>
      <c r="F141" s="12">
        <v>29.019600000000001</v>
      </c>
      <c r="G141" s="6">
        <f>+F141-E141</f>
        <v>0</v>
      </c>
      <c r="H141" s="7">
        <f t="shared" si="45"/>
        <v>0</v>
      </c>
      <c r="I141" s="8">
        <v>45.165599999999998</v>
      </c>
      <c r="J141" s="9">
        <f t="shared" si="46"/>
        <v>45.165599999999998</v>
      </c>
      <c r="K141" s="3">
        <f t="shared" si="47"/>
        <v>0</v>
      </c>
      <c r="L141" s="7">
        <f t="shared" si="48"/>
        <v>0</v>
      </c>
      <c r="M141" t="s">
        <v>121</v>
      </c>
      <c r="O141" s="3">
        <f>E141-'314020 - P0624'!F141</f>
        <v>0</v>
      </c>
      <c r="P141" s="30">
        <f>I141-'314020 - P0624'!J141</f>
        <v>0</v>
      </c>
    </row>
    <row r="142" spans="1:16" x14ac:dyDescent="0.25">
      <c r="A142">
        <v>140</v>
      </c>
      <c r="C142" t="s">
        <v>8</v>
      </c>
      <c r="D142" s="4" t="s">
        <v>140</v>
      </c>
      <c r="E142" s="12">
        <v>34.819200000000002</v>
      </c>
      <c r="F142" s="12">
        <v>34.819200000000002</v>
      </c>
      <c r="G142" s="6">
        <f t="shared" si="44"/>
        <v>0</v>
      </c>
      <c r="H142" s="7">
        <f t="shared" si="45"/>
        <v>0</v>
      </c>
      <c r="I142" s="8">
        <v>54.205199999999998</v>
      </c>
      <c r="J142" s="9">
        <f t="shared" si="46"/>
        <v>54.205199999999998</v>
      </c>
      <c r="K142" s="3">
        <f t="shared" si="47"/>
        <v>0</v>
      </c>
      <c r="L142" s="7">
        <f t="shared" si="48"/>
        <v>0</v>
      </c>
      <c r="M142" t="s">
        <v>121</v>
      </c>
      <c r="O142" s="3">
        <f>E142-'314020 - P0624'!F142</f>
        <v>0</v>
      </c>
      <c r="P142" s="30">
        <f>I142-'314020 - P0624'!J142</f>
        <v>0</v>
      </c>
    </row>
    <row r="143" spans="1:16" x14ac:dyDescent="0.25">
      <c r="A143">
        <v>141</v>
      </c>
      <c r="C143" t="s">
        <v>8</v>
      </c>
      <c r="D143" s="4" t="s">
        <v>141</v>
      </c>
      <c r="E143" s="12">
        <v>7.7867999999999995</v>
      </c>
      <c r="F143" s="12">
        <v>7.7867999999999995</v>
      </c>
      <c r="G143" s="6">
        <f t="shared" si="44"/>
        <v>0</v>
      </c>
      <c r="H143" s="7">
        <f t="shared" si="45"/>
        <v>0</v>
      </c>
      <c r="I143" s="8">
        <v>11.102399999999999</v>
      </c>
      <c r="J143" s="9">
        <f t="shared" si="46"/>
        <v>11.102399999999999</v>
      </c>
      <c r="K143" s="3">
        <f t="shared" si="47"/>
        <v>0</v>
      </c>
      <c r="L143" s="7">
        <f t="shared" si="48"/>
        <v>0</v>
      </c>
      <c r="M143" t="s">
        <v>121</v>
      </c>
      <c r="O143" s="3">
        <f>E143-'314020 - P0624'!F143</f>
        <v>0</v>
      </c>
      <c r="P143" s="30">
        <f>I143-'314020 - P0624'!J143</f>
        <v>0</v>
      </c>
    </row>
    <row r="144" spans="1:16" x14ac:dyDescent="0.25">
      <c r="A144">
        <v>142</v>
      </c>
      <c r="C144" t="s">
        <v>8</v>
      </c>
      <c r="D144" s="4" t="s">
        <v>142</v>
      </c>
      <c r="E144" s="12">
        <v>12.0528</v>
      </c>
      <c r="F144" s="12">
        <v>12.0528</v>
      </c>
      <c r="G144" s="6">
        <f t="shared" si="44"/>
        <v>0</v>
      </c>
      <c r="H144" s="7">
        <f t="shared" si="45"/>
        <v>0</v>
      </c>
      <c r="I144" s="8">
        <v>16.880400000000002</v>
      </c>
      <c r="J144" s="9">
        <f t="shared" si="46"/>
        <v>16.880400000000002</v>
      </c>
      <c r="K144" s="3">
        <f t="shared" si="47"/>
        <v>0</v>
      </c>
      <c r="L144" s="7">
        <f t="shared" si="48"/>
        <v>0</v>
      </c>
      <c r="M144" t="s">
        <v>121</v>
      </c>
      <c r="O144" s="3">
        <f>E144-'314020 - P0624'!F144</f>
        <v>0</v>
      </c>
      <c r="P144" s="30">
        <f>I144-'314020 - P0624'!J144</f>
        <v>0</v>
      </c>
    </row>
    <row r="145" spans="1:16" x14ac:dyDescent="0.25">
      <c r="A145">
        <v>143</v>
      </c>
      <c r="C145" t="s">
        <v>8</v>
      </c>
      <c r="D145" s="4" t="s">
        <v>143</v>
      </c>
      <c r="E145" s="12">
        <v>18.0792</v>
      </c>
      <c r="F145" s="12">
        <v>18.0792</v>
      </c>
      <c r="G145" s="6">
        <f t="shared" si="44"/>
        <v>0</v>
      </c>
      <c r="H145" s="7">
        <f t="shared" si="45"/>
        <v>0</v>
      </c>
      <c r="I145" s="8">
        <v>25.315200000000004</v>
      </c>
      <c r="J145" s="9">
        <f t="shared" si="46"/>
        <v>25.315200000000004</v>
      </c>
      <c r="K145" s="3">
        <f t="shared" si="47"/>
        <v>0</v>
      </c>
      <c r="L145" s="7">
        <f t="shared" si="48"/>
        <v>0</v>
      </c>
      <c r="M145" t="s">
        <v>121</v>
      </c>
      <c r="O145" s="3">
        <f>E145-'314020 - P0624'!F145</f>
        <v>0</v>
      </c>
      <c r="P145" s="30">
        <f>I145-'314020 - P0624'!J145</f>
        <v>0</v>
      </c>
    </row>
    <row r="146" spans="1:16" x14ac:dyDescent="0.25">
      <c r="A146">
        <v>144</v>
      </c>
      <c r="C146" t="s">
        <v>8</v>
      </c>
      <c r="D146" s="4" t="s">
        <v>144</v>
      </c>
      <c r="E146" s="12">
        <v>24.094799999999999</v>
      </c>
      <c r="F146" s="12">
        <v>24.094799999999999</v>
      </c>
      <c r="G146" s="6">
        <f t="shared" si="44"/>
        <v>0</v>
      </c>
      <c r="H146" s="7">
        <f t="shared" si="45"/>
        <v>0</v>
      </c>
      <c r="I146" s="8">
        <v>35.531999999999996</v>
      </c>
      <c r="J146" s="9">
        <f t="shared" si="46"/>
        <v>35.531999999999996</v>
      </c>
      <c r="K146" s="3">
        <f t="shared" si="47"/>
        <v>0</v>
      </c>
      <c r="L146" s="7">
        <f t="shared" si="48"/>
        <v>0</v>
      </c>
      <c r="M146" t="s">
        <v>121</v>
      </c>
      <c r="O146" s="3">
        <f>E146-'314020 - P0624'!F146</f>
        <v>0</v>
      </c>
      <c r="P146" s="30">
        <f>I146-'314020 - P0624'!J146</f>
        <v>0</v>
      </c>
    </row>
    <row r="147" spans="1:16" x14ac:dyDescent="0.25">
      <c r="A147">
        <v>145</v>
      </c>
      <c r="C147" t="s">
        <v>8</v>
      </c>
      <c r="D147" s="4" t="s">
        <v>145</v>
      </c>
      <c r="E147" s="12">
        <v>33.706800000000001</v>
      </c>
      <c r="F147" s="12">
        <v>33.706800000000001</v>
      </c>
      <c r="G147" s="6">
        <f t="shared" si="44"/>
        <v>0</v>
      </c>
      <c r="H147" s="7">
        <f t="shared" si="45"/>
        <v>0</v>
      </c>
      <c r="I147" s="8">
        <v>52.433999999999997</v>
      </c>
      <c r="J147" s="9">
        <f t="shared" si="46"/>
        <v>52.433999999999997</v>
      </c>
      <c r="K147" s="3">
        <f t="shared" si="47"/>
        <v>0</v>
      </c>
      <c r="L147" s="7">
        <f t="shared" si="48"/>
        <v>0</v>
      </c>
      <c r="M147" t="s">
        <v>121</v>
      </c>
      <c r="O147" s="3">
        <f>E147-'314020 - P0624'!F147</f>
        <v>0</v>
      </c>
      <c r="P147" s="30">
        <f>I147-'314020 - P0624'!J147</f>
        <v>0</v>
      </c>
    </row>
    <row r="148" spans="1:16" x14ac:dyDescent="0.25">
      <c r="A148">
        <v>146</v>
      </c>
      <c r="C148" t="s">
        <v>8</v>
      </c>
      <c r="D148" s="4" t="s">
        <v>146</v>
      </c>
      <c r="E148" s="12">
        <v>40.456800000000001</v>
      </c>
      <c r="F148" s="12">
        <v>40.456800000000001</v>
      </c>
      <c r="G148" s="6">
        <f t="shared" si="44"/>
        <v>0</v>
      </c>
      <c r="H148" s="7">
        <f t="shared" si="45"/>
        <v>0</v>
      </c>
      <c r="I148" s="8">
        <v>62.91</v>
      </c>
      <c r="J148" s="9">
        <f t="shared" si="46"/>
        <v>62.91</v>
      </c>
      <c r="K148" s="3">
        <f t="shared" si="47"/>
        <v>0</v>
      </c>
      <c r="L148" s="7">
        <f t="shared" si="48"/>
        <v>0</v>
      </c>
      <c r="M148" t="s">
        <v>121</v>
      </c>
      <c r="O148" s="3">
        <f>E148-'314020 - P0624'!F148</f>
        <v>0</v>
      </c>
      <c r="P148" s="30">
        <f>I148-'314020 - P0624'!J148</f>
        <v>0</v>
      </c>
    </row>
    <row r="149" spans="1:16" x14ac:dyDescent="0.25">
      <c r="A149">
        <v>147</v>
      </c>
      <c r="C149" t="s">
        <v>8</v>
      </c>
      <c r="D149" s="4" t="s">
        <v>147</v>
      </c>
      <c r="E149" s="12">
        <v>7.0091999999999999</v>
      </c>
      <c r="F149" s="12">
        <v>7.0091999999999999</v>
      </c>
      <c r="G149" s="6">
        <f t="shared" si="44"/>
        <v>0</v>
      </c>
      <c r="H149" s="7">
        <f t="shared" si="45"/>
        <v>0</v>
      </c>
      <c r="I149" s="8">
        <v>10.471083890410959</v>
      </c>
      <c r="J149" s="9">
        <f t="shared" si="46"/>
        <v>10.471083890410959</v>
      </c>
      <c r="K149" s="3">
        <f t="shared" si="47"/>
        <v>0</v>
      </c>
      <c r="L149" s="7">
        <f t="shared" si="48"/>
        <v>0</v>
      </c>
      <c r="M149" t="s">
        <v>121</v>
      </c>
      <c r="O149" s="3">
        <f>E149-'314020 - P0624'!F149</f>
        <v>0</v>
      </c>
      <c r="P149" s="30">
        <f>I149-'314020 - P0624'!J149</f>
        <v>0</v>
      </c>
    </row>
    <row r="150" spans="1:16" x14ac:dyDescent="0.25">
      <c r="A150">
        <v>148</v>
      </c>
      <c r="C150" t="s">
        <v>8</v>
      </c>
      <c r="D150" s="4" t="s">
        <v>448</v>
      </c>
      <c r="E150" s="12">
        <v>6.97</v>
      </c>
      <c r="F150" s="12">
        <v>6.97</v>
      </c>
      <c r="G150" s="6">
        <f t="shared" si="44"/>
        <v>0</v>
      </c>
      <c r="H150" s="7">
        <f t="shared" si="45"/>
        <v>0</v>
      </c>
      <c r="I150" s="8">
        <v>8.7200000000000006</v>
      </c>
      <c r="J150" s="9">
        <f t="shared" si="46"/>
        <v>8.7200000000000006</v>
      </c>
      <c r="K150" s="3">
        <f t="shared" si="47"/>
        <v>0</v>
      </c>
      <c r="L150" s="7">
        <f t="shared" si="48"/>
        <v>0</v>
      </c>
      <c r="M150" t="s">
        <v>121</v>
      </c>
      <c r="O150" s="3">
        <f>E150-'314020 - P0624'!F150</f>
        <v>0</v>
      </c>
      <c r="P150" s="30">
        <f>I150-'314020 - P0624'!J150</f>
        <v>0</v>
      </c>
    </row>
    <row r="151" spans="1:16" x14ac:dyDescent="0.25">
      <c r="A151">
        <v>149</v>
      </c>
      <c r="C151" t="s">
        <v>8</v>
      </c>
      <c r="D151" s="4" t="s">
        <v>449</v>
      </c>
      <c r="E151" s="12">
        <v>8.33</v>
      </c>
      <c r="F151" s="12">
        <v>8.33</v>
      </c>
      <c r="G151" s="6">
        <f t="shared" si="44"/>
        <v>0</v>
      </c>
      <c r="H151" s="7">
        <f t="shared" si="45"/>
        <v>0</v>
      </c>
      <c r="I151" s="8">
        <v>10.42</v>
      </c>
      <c r="J151" s="9">
        <f t="shared" si="46"/>
        <v>10.42</v>
      </c>
      <c r="K151" s="3">
        <f t="shared" si="47"/>
        <v>0</v>
      </c>
      <c r="L151" s="7">
        <f t="shared" si="48"/>
        <v>0</v>
      </c>
      <c r="M151" t="s">
        <v>121</v>
      </c>
      <c r="O151" s="3">
        <f>E151-'314020 - P0624'!F151</f>
        <v>0</v>
      </c>
      <c r="P151" s="30">
        <f>I151-'314020 - P0624'!J151</f>
        <v>0</v>
      </c>
    </row>
    <row r="152" spans="1:16" x14ac:dyDescent="0.25">
      <c r="A152">
        <v>150</v>
      </c>
      <c r="C152" t="s">
        <v>8</v>
      </c>
      <c r="D152" s="4" t="s">
        <v>450</v>
      </c>
      <c r="E152" s="12">
        <v>12.49</v>
      </c>
      <c r="F152" s="12">
        <v>12.49</v>
      </c>
      <c r="G152" s="6">
        <f t="shared" si="44"/>
        <v>0</v>
      </c>
      <c r="H152" s="7">
        <f t="shared" si="45"/>
        <v>0</v>
      </c>
      <c r="I152" s="8">
        <v>15.62</v>
      </c>
      <c r="J152" s="9">
        <f t="shared" si="46"/>
        <v>15.62</v>
      </c>
      <c r="K152" s="3">
        <f t="shared" si="47"/>
        <v>0</v>
      </c>
      <c r="L152" s="7">
        <f t="shared" si="48"/>
        <v>0</v>
      </c>
      <c r="M152" t="s">
        <v>121</v>
      </c>
      <c r="O152" s="3">
        <f>E152-'314020 - P0624'!F152</f>
        <v>0</v>
      </c>
      <c r="P152" s="30">
        <f>I152-'314020 - P0624'!J152</f>
        <v>0</v>
      </c>
    </row>
    <row r="153" spans="1:16" x14ac:dyDescent="0.25">
      <c r="A153">
        <v>151</v>
      </c>
      <c r="C153" t="s">
        <v>8</v>
      </c>
      <c r="D153" s="4" t="s">
        <v>451</v>
      </c>
      <c r="E153" s="12">
        <v>16.27</v>
      </c>
      <c r="F153" s="12">
        <v>16.27</v>
      </c>
      <c r="G153" s="6">
        <f t="shared" si="44"/>
        <v>0</v>
      </c>
      <c r="H153" s="7">
        <f t="shared" si="45"/>
        <v>0</v>
      </c>
      <c r="I153" s="8">
        <v>21.41</v>
      </c>
      <c r="J153" s="9">
        <f t="shared" si="46"/>
        <v>21.41</v>
      </c>
      <c r="K153" s="3">
        <f t="shared" si="47"/>
        <v>0</v>
      </c>
      <c r="L153" s="7">
        <f t="shared" si="48"/>
        <v>0</v>
      </c>
      <c r="M153" t="s">
        <v>121</v>
      </c>
      <c r="O153" s="3">
        <f>E153-'314020 - P0624'!F153</f>
        <v>0</v>
      </c>
      <c r="P153" s="30">
        <f>I153-'314020 - P0624'!J153</f>
        <v>0</v>
      </c>
    </row>
    <row r="154" spans="1:16" x14ac:dyDescent="0.25">
      <c r="A154">
        <v>152</v>
      </c>
      <c r="C154" t="s">
        <v>8</v>
      </c>
      <c r="D154" s="4" t="s">
        <v>452</v>
      </c>
      <c r="E154" s="12">
        <v>20.329999999999998</v>
      </c>
      <c r="F154" s="12">
        <v>20.329999999999998</v>
      </c>
      <c r="G154" s="6">
        <f>+F154-E154</f>
        <v>0</v>
      </c>
      <c r="H154" s="7">
        <f t="shared" si="45"/>
        <v>0</v>
      </c>
      <c r="I154" s="8">
        <v>28.24</v>
      </c>
      <c r="J154" s="9">
        <f t="shared" si="46"/>
        <v>28.24</v>
      </c>
      <c r="K154" s="3">
        <f t="shared" si="47"/>
        <v>0</v>
      </c>
      <c r="L154" s="7">
        <f t="shared" si="48"/>
        <v>0</v>
      </c>
      <c r="M154" t="s">
        <v>121</v>
      </c>
      <c r="O154" s="3">
        <f>E154-'314020 - P0624'!F154</f>
        <v>0</v>
      </c>
      <c r="P154" s="30">
        <f>I154-'314020 - P0624'!J154</f>
        <v>0</v>
      </c>
    </row>
    <row r="155" spans="1:16" x14ac:dyDescent="0.25">
      <c r="A155">
        <v>153</v>
      </c>
      <c r="C155" t="s">
        <v>8</v>
      </c>
      <c r="D155" s="4" t="s">
        <v>453</v>
      </c>
      <c r="E155" s="12">
        <v>24.4</v>
      </c>
      <c r="F155" s="12">
        <v>24.4</v>
      </c>
      <c r="G155" s="6">
        <f t="shared" ref="G155" si="49">+F155-E155</f>
        <v>0</v>
      </c>
      <c r="H155" s="7">
        <f t="shared" si="45"/>
        <v>0</v>
      </c>
      <c r="I155" s="8">
        <v>33.89</v>
      </c>
      <c r="J155" s="9">
        <f t="shared" si="46"/>
        <v>33.89</v>
      </c>
      <c r="K155" s="3">
        <f t="shared" si="47"/>
        <v>0</v>
      </c>
      <c r="L155" s="7">
        <f t="shared" si="48"/>
        <v>0</v>
      </c>
      <c r="M155" t="s">
        <v>121</v>
      </c>
      <c r="O155" s="3">
        <f>E155-'314020 - P0624'!F155</f>
        <v>0</v>
      </c>
      <c r="P155" s="30">
        <f>I155-'314020 - P0624'!J155</f>
        <v>0</v>
      </c>
    </row>
    <row r="156" spans="1:16" x14ac:dyDescent="0.25">
      <c r="A156">
        <v>154</v>
      </c>
      <c r="D156" s="34" t="s">
        <v>148</v>
      </c>
      <c r="F156" s="15"/>
      <c r="H156" s="10">
        <f>AVERAGE(H123:H149)</f>
        <v>0</v>
      </c>
      <c r="I156"/>
    </row>
    <row r="157" spans="1:16" x14ac:dyDescent="0.25">
      <c r="A157">
        <v>155</v>
      </c>
      <c r="D157" s="34" t="s">
        <v>149</v>
      </c>
      <c r="I157"/>
      <c r="M157" t="s">
        <v>150</v>
      </c>
    </row>
    <row r="158" spans="1:16" x14ac:dyDescent="0.25">
      <c r="A158">
        <v>156</v>
      </c>
      <c r="C158" t="s">
        <v>8</v>
      </c>
      <c r="D158" s="4" t="s">
        <v>151</v>
      </c>
      <c r="E158" s="12">
        <v>37.49</v>
      </c>
      <c r="F158" s="12">
        <v>37.49</v>
      </c>
      <c r="G158" s="6">
        <f t="shared" ref="G158:G164" si="50">+F158-E158</f>
        <v>0</v>
      </c>
      <c r="H158" s="7">
        <f t="shared" ref="H158:H164" si="51">(F158-E158)/ABS(E158)</f>
        <v>0</v>
      </c>
      <c r="I158" s="12">
        <v>40.250769230769222</v>
      </c>
      <c r="J158" s="12">
        <f t="shared" ref="J158:J164" si="52">(I158*H158)+I158</f>
        <v>40.250769230769222</v>
      </c>
      <c r="K158" s="3">
        <f t="shared" ref="K158:K164" si="53">J158-I158</f>
        <v>0</v>
      </c>
      <c r="L158" s="7">
        <f t="shared" ref="L158:L164" si="54">(J158-I158)/ABS(I158)</f>
        <v>0</v>
      </c>
      <c r="M158" t="s">
        <v>150</v>
      </c>
      <c r="O158" s="3">
        <f>E158-'314020 - P0624'!F158</f>
        <v>0</v>
      </c>
      <c r="P158" s="30">
        <f>I158-'314020 - P0624'!J158</f>
        <v>0</v>
      </c>
    </row>
    <row r="159" spans="1:16" x14ac:dyDescent="0.25">
      <c r="A159">
        <v>157</v>
      </c>
      <c r="C159" t="s">
        <v>8</v>
      </c>
      <c r="D159" s="4" t="s">
        <v>152</v>
      </c>
      <c r="E159" s="12">
        <v>6.1</v>
      </c>
      <c r="F159" s="12">
        <v>6.1</v>
      </c>
      <c r="G159" s="6">
        <f t="shared" si="50"/>
        <v>0</v>
      </c>
      <c r="H159" s="7">
        <f t="shared" si="51"/>
        <v>0</v>
      </c>
      <c r="I159" s="12">
        <v>13.248680851063828</v>
      </c>
      <c r="J159" s="12">
        <f t="shared" si="52"/>
        <v>13.248680851063828</v>
      </c>
      <c r="K159" s="3">
        <f t="shared" si="53"/>
        <v>0</v>
      </c>
      <c r="L159" s="7">
        <f t="shared" si="54"/>
        <v>0</v>
      </c>
      <c r="M159" t="s">
        <v>150</v>
      </c>
      <c r="O159" s="3">
        <f>E159-'314020 - P0624'!F159</f>
        <v>0</v>
      </c>
      <c r="P159" s="30">
        <f>I159-'314020 - P0624'!J159</f>
        <v>0</v>
      </c>
    </row>
    <row r="160" spans="1:16" x14ac:dyDescent="0.25">
      <c r="A160">
        <v>158</v>
      </c>
      <c r="C160" t="s">
        <v>8</v>
      </c>
      <c r="D160" s="4" t="s">
        <v>153</v>
      </c>
      <c r="E160" s="12">
        <v>11.16</v>
      </c>
      <c r="F160" s="12">
        <v>11.16</v>
      </c>
      <c r="G160" s="6">
        <f t="shared" si="50"/>
        <v>0</v>
      </c>
      <c r="H160" s="7">
        <f t="shared" si="51"/>
        <v>0</v>
      </c>
      <c r="I160" s="12">
        <v>22.971018518518513</v>
      </c>
      <c r="J160" s="12">
        <f t="shared" si="52"/>
        <v>22.971018518518513</v>
      </c>
      <c r="K160" s="3">
        <f t="shared" si="53"/>
        <v>0</v>
      </c>
      <c r="L160" s="7">
        <f t="shared" si="54"/>
        <v>0</v>
      </c>
      <c r="M160" t="s">
        <v>150</v>
      </c>
      <c r="O160" s="3">
        <f>E160-'314020 - P0624'!F160</f>
        <v>0</v>
      </c>
      <c r="P160" s="30">
        <f>I160-'314020 - P0624'!J160</f>
        <v>0</v>
      </c>
    </row>
    <row r="161" spans="1:16" x14ac:dyDescent="0.25">
      <c r="A161">
        <v>159</v>
      </c>
      <c r="D161" s="4" t="s">
        <v>154</v>
      </c>
      <c r="E161" s="12">
        <v>6.8040000000000003</v>
      </c>
      <c r="F161" s="12">
        <v>6.8040000000000003</v>
      </c>
      <c r="G161" s="6">
        <f t="shared" si="50"/>
        <v>0</v>
      </c>
      <c r="H161" s="7">
        <f t="shared" si="51"/>
        <v>0</v>
      </c>
      <c r="I161" s="12">
        <v>22.285410234150319</v>
      </c>
      <c r="J161" s="12">
        <f t="shared" si="52"/>
        <v>22.285410234150319</v>
      </c>
      <c r="K161" s="3">
        <f t="shared" si="53"/>
        <v>0</v>
      </c>
      <c r="L161" s="7">
        <f t="shared" si="54"/>
        <v>0</v>
      </c>
      <c r="M161" t="s">
        <v>150</v>
      </c>
      <c r="O161" s="3">
        <f>E161-'314020 - P0624'!F161</f>
        <v>0</v>
      </c>
      <c r="P161" s="30">
        <f>I161-'314020 - P0624'!J161</f>
        <v>0</v>
      </c>
    </row>
    <row r="162" spans="1:16" x14ac:dyDescent="0.25">
      <c r="A162">
        <v>160</v>
      </c>
      <c r="C162" t="s">
        <v>8</v>
      </c>
      <c r="D162" s="4" t="s">
        <v>155</v>
      </c>
      <c r="E162" s="12">
        <v>18.05</v>
      </c>
      <c r="F162" s="12">
        <v>18.05</v>
      </c>
      <c r="G162" s="6">
        <f t="shared" si="50"/>
        <v>0</v>
      </c>
      <c r="H162" s="7">
        <f t="shared" si="51"/>
        <v>0</v>
      </c>
      <c r="I162" s="12">
        <v>28.933702479338844</v>
      </c>
      <c r="J162" s="12">
        <f t="shared" si="52"/>
        <v>28.933702479338844</v>
      </c>
      <c r="K162" s="3">
        <f t="shared" si="53"/>
        <v>0</v>
      </c>
      <c r="L162" s="7">
        <f t="shared" si="54"/>
        <v>0</v>
      </c>
      <c r="M162" t="s">
        <v>150</v>
      </c>
      <c r="O162" s="3">
        <f>E162-'314020 - P0624'!F162</f>
        <v>0</v>
      </c>
      <c r="P162" s="30">
        <f>I162-'314020 - P0624'!J162</f>
        <v>0</v>
      </c>
    </row>
    <row r="163" spans="1:16" x14ac:dyDescent="0.25">
      <c r="A163">
        <v>161</v>
      </c>
      <c r="D163" s="4" t="s">
        <v>156</v>
      </c>
      <c r="E163" s="12">
        <v>0.4</v>
      </c>
      <c r="F163" s="12">
        <v>0.4</v>
      </c>
      <c r="G163" s="6">
        <f t="shared" si="50"/>
        <v>0</v>
      </c>
      <c r="H163" s="7">
        <f t="shared" si="51"/>
        <v>0</v>
      </c>
      <c r="I163" s="12">
        <v>1.1076923076923078</v>
      </c>
      <c r="J163" s="12">
        <f t="shared" si="52"/>
        <v>1.1076923076923078</v>
      </c>
      <c r="K163" s="3">
        <f t="shared" si="53"/>
        <v>0</v>
      </c>
      <c r="L163" s="7">
        <f t="shared" si="54"/>
        <v>0</v>
      </c>
      <c r="M163" t="s">
        <v>150</v>
      </c>
      <c r="O163" s="3">
        <f>E163-'314020 - P0624'!F163</f>
        <v>0</v>
      </c>
      <c r="P163" s="30">
        <f>I163-'314020 - P0624'!J163</f>
        <v>0</v>
      </c>
    </row>
    <row r="164" spans="1:16" x14ac:dyDescent="0.25">
      <c r="A164">
        <v>162</v>
      </c>
      <c r="C164" t="s">
        <v>8</v>
      </c>
      <c r="D164" s="4" t="s">
        <v>157</v>
      </c>
      <c r="E164" s="12">
        <v>5.99</v>
      </c>
      <c r="F164" s="12">
        <v>5.99</v>
      </c>
      <c r="G164" s="6">
        <f t="shared" si="50"/>
        <v>0</v>
      </c>
      <c r="H164" s="7">
        <f t="shared" si="51"/>
        <v>0</v>
      </c>
      <c r="I164" s="12">
        <v>10.65</v>
      </c>
      <c r="J164" s="12">
        <f t="shared" si="52"/>
        <v>10.65</v>
      </c>
      <c r="K164" s="3">
        <f t="shared" si="53"/>
        <v>0</v>
      </c>
      <c r="L164" s="7">
        <f t="shared" si="54"/>
        <v>0</v>
      </c>
      <c r="M164" t="s">
        <v>150</v>
      </c>
      <c r="O164" s="3">
        <f>E164-'314020 - P0624'!F164</f>
        <v>0</v>
      </c>
      <c r="P164" s="30">
        <f>I164-'314020 - P0624'!J164</f>
        <v>0</v>
      </c>
    </row>
    <row r="165" spans="1:16" x14ac:dyDescent="0.25">
      <c r="A165">
        <v>163</v>
      </c>
      <c r="D165" s="34" t="s">
        <v>158</v>
      </c>
      <c r="H165" s="10">
        <f>AVERAGE(H158:H163)</f>
        <v>0</v>
      </c>
      <c r="I165"/>
    </row>
    <row r="166" spans="1:16" x14ac:dyDescent="0.25">
      <c r="A166">
        <v>164</v>
      </c>
      <c r="D166" s="34" t="s">
        <v>159</v>
      </c>
      <c r="I166"/>
    </row>
    <row r="167" spans="1:16" x14ac:dyDescent="0.25">
      <c r="A167">
        <v>165</v>
      </c>
      <c r="C167" t="s">
        <v>8</v>
      </c>
      <c r="D167" s="4" t="s">
        <v>160</v>
      </c>
      <c r="E167" s="5">
        <v>3.34</v>
      </c>
      <c r="F167" s="5">
        <v>3.34</v>
      </c>
      <c r="G167" s="6">
        <f t="shared" ref="G167:G191" si="55">+F167-E167</f>
        <v>0</v>
      </c>
      <c r="H167" s="7">
        <f t="shared" ref="H167:H191" si="56">(F167-E167)/ABS(E167)</f>
        <v>0</v>
      </c>
      <c r="I167" s="8">
        <v>6.1290657389972267</v>
      </c>
      <c r="J167" s="9">
        <f t="shared" ref="J167:J191" si="57">(I167*H167)+I167</f>
        <v>6.1290657389972267</v>
      </c>
      <c r="K167" s="3">
        <f t="shared" ref="K167:K191" si="58">J167-I167</f>
        <v>0</v>
      </c>
      <c r="L167" s="7">
        <f t="shared" ref="L167:L191" si="59">(J167-I167)/ABS(I167)</f>
        <v>0</v>
      </c>
      <c r="M167" t="s">
        <v>150</v>
      </c>
      <c r="O167" s="3">
        <f>E167-'314020 - P0624'!F167</f>
        <v>0</v>
      </c>
      <c r="P167" s="30">
        <f>I167-'314020 - P0624'!J167</f>
        <v>0</v>
      </c>
    </row>
    <row r="168" spans="1:16" x14ac:dyDescent="0.25">
      <c r="A168">
        <v>166</v>
      </c>
      <c r="C168" t="s">
        <v>8</v>
      </c>
      <c r="D168" s="4" t="s">
        <v>161</v>
      </c>
      <c r="E168" s="5">
        <v>5.01</v>
      </c>
      <c r="F168" s="5">
        <v>5.01</v>
      </c>
      <c r="G168" s="6">
        <f t="shared" si="55"/>
        <v>0</v>
      </c>
      <c r="H168" s="7">
        <f t="shared" si="56"/>
        <v>0</v>
      </c>
      <c r="I168" s="8">
        <v>10.644195465054626</v>
      </c>
      <c r="J168" s="9">
        <f t="shared" si="57"/>
        <v>10.644195465054626</v>
      </c>
      <c r="K168" s="3">
        <f t="shared" si="58"/>
        <v>0</v>
      </c>
      <c r="L168" s="7">
        <f t="shared" si="59"/>
        <v>0</v>
      </c>
      <c r="M168" t="s">
        <v>150</v>
      </c>
      <c r="O168" s="3">
        <f>E168-'314020 - P0624'!F168</f>
        <v>0</v>
      </c>
      <c r="P168" s="30">
        <f>I168-'314020 - P0624'!J168</f>
        <v>0</v>
      </c>
    </row>
    <row r="169" spans="1:16" x14ac:dyDescent="0.25">
      <c r="A169">
        <v>167</v>
      </c>
      <c r="C169" t="s">
        <v>8</v>
      </c>
      <c r="D169" s="4" t="s">
        <v>162</v>
      </c>
      <c r="E169" s="5">
        <v>3.58</v>
      </c>
      <c r="F169" s="5">
        <v>3.47</v>
      </c>
      <c r="G169" s="6">
        <f t="shared" si="55"/>
        <v>-0.10999999999999988</v>
      </c>
      <c r="H169" s="7">
        <f t="shared" si="56"/>
        <v>-3.0726256983240188E-2</v>
      </c>
      <c r="I169" s="8">
        <v>4.9246516870923562</v>
      </c>
      <c r="J169" s="9">
        <f t="shared" si="57"/>
        <v>4.7733355738018091</v>
      </c>
      <c r="K169" s="3">
        <f t="shared" si="58"/>
        <v>-0.15131611329054717</v>
      </c>
      <c r="L169" s="7">
        <f t="shared" si="59"/>
        <v>-3.0726256983240205E-2</v>
      </c>
      <c r="M169" t="s">
        <v>150</v>
      </c>
      <c r="O169" s="3">
        <f>E169-'314020 - P0624'!F169</f>
        <v>0.10999999999999988</v>
      </c>
      <c r="P169" s="30">
        <f>I169-'314020 - P0624'!J169</f>
        <v>0</v>
      </c>
    </row>
    <row r="170" spans="1:16" x14ac:dyDescent="0.25">
      <c r="A170">
        <v>168</v>
      </c>
      <c r="C170" t="s">
        <v>8</v>
      </c>
      <c r="D170" s="4" t="s">
        <v>163</v>
      </c>
      <c r="E170" s="5">
        <v>15.52</v>
      </c>
      <c r="F170" s="5">
        <v>13.87</v>
      </c>
      <c r="G170" s="6">
        <f t="shared" si="55"/>
        <v>-1.6500000000000004</v>
      </c>
      <c r="H170" s="7">
        <f t="shared" si="56"/>
        <v>-0.10631443298969075</v>
      </c>
      <c r="I170" s="8">
        <v>20.730681027103245</v>
      </c>
      <c r="J170" s="9">
        <f t="shared" si="57"/>
        <v>18.526710428216624</v>
      </c>
      <c r="K170" s="3">
        <f t="shared" si="58"/>
        <v>-2.2039705988866203</v>
      </c>
      <c r="L170" s="7">
        <f t="shared" si="59"/>
        <v>-0.1063144329896907</v>
      </c>
      <c r="M170" t="s">
        <v>150</v>
      </c>
      <c r="O170" s="3">
        <f>E170-'314020 - P0624'!F170</f>
        <v>1.6500000000000004</v>
      </c>
      <c r="P170" s="30">
        <f>I170-'314020 - P0624'!J170</f>
        <v>0</v>
      </c>
    </row>
    <row r="171" spans="1:16" x14ac:dyDescent="0.25">
      <c r="A171">
        <v>169</v>
      </c>
      <c r="C171" t="s">
        <v>8</v>
      </c>
      <c r="D171" s="4" t="s">
        <v>164</v>
      </c>
      <c r="E171" s="5">
        <v>1533</v>
      </c>
      <c r="F171" s="5">
        <v>1300</v>
      </c>
      <c r="G171" s="6">
        <f t="shared" si="55"/>
        <v>-233</v>
      </c>
      <c r="H171" s="7">
        <f t="shared" si="56"/>
        <v>-0.15198956294846705</v>
      </c>
      <c r="I171" s="8">
        <v>34.489444542097061</v>
      </c>
      <c r="J171" s="9">
        <f t="shared" si="57"/>
        <v>29.247408939808338</v>
      </c>
      <c r="K171" s="3">
        <f t="shared" si="58"/>
        <v>-5.2420356022887233</v>
      </c>
      <c r="L171" s="7">
        <f t="shared" si="59"/>
        <v>-0.15198956294846702</v>
      </c>
      <c r="M171" t="s">
        <v>150</v>
      </c>
      <c r="O171" s="3">
        <f>E171-'314020 - P0624'!F171</f>
        <v>233</v>
      </c>
      <c r="P171" s="30">
        <f>I171-'314020 - P0624'!J171</f>
        <v>0</v>
      </c>
    </row>
    <row r="172" spans="1:16" x14ac:dyDescent="0.25">
      <c r="A172">
        <v>170</v>
      </c>
      <c r="C172" t="s">
        <v>8</v>
      </c>
      <c r="D172" s="4" t="s">
        <v>165</v>
      </c>
      <c r="E172" s="5">
        <v>1426</v>
      </c>
      <c r="F172" s="5">
        <v>1300</v>
      </c>
      <c r="G172" s="6">
        <f t="shared" si="55"/>
        <v>-126</v>
      </c>
      <c r="H172" s="7">
        <f t="shared" si="56"/>
        <v>-8.8359046283309955E-2</v>
      </c>
      <c r="I172" s="8">
        <v>2055.9176672384219</v>
      </c>
      <c r="J172" s="9">
        <f t="shared" si="57"/>
        <v>1874.2587429242276</v>
      </c>
      <c r="K172" s="3">
        <f t="shared" si="58"/>
        <v>-181.65892431419434</v>
      </c>
      <c r="L172" s="7">
        <f t="shared" si="59"/>
        <v>-8.8359046283309942E-2</v>
      </c>
      <c r="M172" t="s">
        <v>150</v>
      </c>
      <c r="O172" s="3">
        <f>E172-'314020 - P0624'!F172</f>
        <v>126</v>
      </c>
      <c r="P172" s="30">
        <f>I172-'314020 - P0624'!J172</f>
        <v>0</v>
      </c>
    </row>
    <row r="173" spans="1:16" x14ac:dyDescent="0.25">
      <c r="A173">
        <v>171</v>
      </c>
      <c r="C173" t="s">
        <v>8</v>
      </c>
      <c r="D173" s="4" t="s">
        <v>166</v>
      </c>
      <c r="E173" s="5">
        <v>18.45</v>
      </c>
      <c r="F173" s="5">
        <v>18.45</v>
      </c>
      <c r="G173" s="6">
        <f t="shared" si="55"/>
        <v>0</v>
      </c>
      <c r="H173" s="7">
        <f t="shared" si="56"/>
        <v>0</v>
      </c>
      <c r="I173" s="8">
        <v>28.75</v>
      </c>
      <c r="J173" s="9">
        <f t="shared" si="57"/>
        <v>28.75</v>
      </c>
      <c r="K173" s="3">
        <f t="shared" si="58"/>
        <v>0</v>
      </c>
      <c r="L173" s="7">
        <f t="shared" si="59"/>
        <v>0</v>
      </c>
      <c r="M173" t="s">
        <v>150</v>
      </c>
      <c r="O173" s="3">
        <f>E173-'314020 - P0624'!F173</f>
        <v>0</v>
      </c>
      <c r="P173" s="30">
        <f>I173-'314020 - P0624'!J173</f>
        <v>0</v>
      </c>
    </row>
    <row r="174" spans="1:16" x14ac:dyDescent="0.25">
      <c r="A174">
        <v>172</v>
      </c>
      <c r="C174" t="s">
        <v>8</v>
      </c>
      <c r="D174" s="4" t="s">
        <v>167</v>
      </c>
      <c r="E174" s="11">
        <v>4.0199999999999996</v>
      </c>
      <c r="F174" s="11">
        <v>4.0199999999999996</v>
      </c>
      <c r="G174" s="6">
        <f t="shared" si="55"/>
        <v>0</v>
      </c>
      <c r="H174" s="7">
        <f t="shared" si="56"/>
        <v>0</v>
      </c>
      <c r="I174" s="8">
        <v>15.098612891135524</v>
      </c>
      <c r="J174" s="9">
        <f t="shared" si="57"/>
        <v>15.098612891135524</v>
      </c>
      <c r="K174" s="3">
        <f t="shared" si="58"/>
        <v>0</v>
      </c>
      <c r="L174" s="7">
        <f t="shared" si="59"/>
        <v>0</v>
      </c>
      <c r="M174" t="s">
        <v>150</v>
      </c>
      <c r="O174" s="3">
        <f>E174-'314020 - P0624'!F174</f>
        <v>0</v>
      </c>
      <c r="P174" s="30">
        <f>I174-'314020 - P0624'!J174</f>
        <v>0</v>
      </c>
    </row>
    <row r="175" spans="1:16" x14ac:dyDescent="0.25">
      <c r="A175">
        <v>173</v>
      </c>
      <c r="C175" t="s">
        <v>8</v>
      </c>
      <c r="D175" s="4" t="s">
        <v>168</v>
      </c>
      <c r="E175" s="11">
        <v>0.59</v>
      </c>
      <c r="F175" s="11">
        <v>0.59</v>
      </c>
      <c r="G175" s="6">
        <f t="shared" si="55"/>
        <v>0</v>
      </c>
      <c r="H175" s="7">
        <f t="shared" si="56"/>
        <v>0</v>
      </c>
      <c r="I175" s="8">
        <v>2.1049549224666428</v>
      </c>
      <c r="J175" s="9">
        <f t="shared" si="57"/>
        <v>2.1049549224666428</v>
      </c>
      <c r="K175" s="3">
        <f t="shared" si="58"/>
        <v>0</v>
      </c>
      <c r="L175" s="7">
        <f t="shared" si="59"/>
        <v>0</v>
      </c>
      <c r="M175" t="s">
        <v>150</v>
      </c>
      <c r="O175" s="3">
        <f>E175-'314020 - P0624'!F175</f>
        <v>0</v>
      </c>
      <c r="P175" s="30">
        <f>I175-'314020 - P0624'!J175</f>
        <v>0</v>
      </c>
    </row>
    <row r="176" spans="1:16" x14ac:dyDescent="0.25">
      <c r="A176">
        <v>174</v>
      </c>
      <c r="C176" t="s">
        <v>8</v>
      </c>
      <c r="D176" s="4" t="s">
        <v>169</v>
      </c>
      <c r="E176" s="11">
        <v>0.63</v>
      </c>
      <c r="F176" s="11">
        <v>0.63</v>
      </c>
      <c r="G176" s="6">
        <f t="shared" si="55"/>
        <v>0</v>
      </c>
      <c r="H176" s="7">
        <f t="shared" si="56"/>
        <v>0</v>
      </c>
      <c r="I176" s="8">
        <v>1.9152</v>
      </c>
      <c r="J176" s="9">
        <f t="shared" si="57"/>
        <v>1.9152</v>
      </c>
      <c r="K176" s="3">
        <f t="shared" si="58"/>
        <v>0</v>
      </c>
      <c r="L176" s="7">
        <f t="shared" si="59"/>
        <v>0</v>
      </c>
      <c r="M176" t="s">
        <v>150</v>
      </c>
      <c r="O176" s="3">
        <f>E176-'314020 - P0624'!F176</f>
        <v>0</v>
      </c>
      <c r="P176" s="30">
        <f>I176-'314020 - P0624'!J176</f>
        <v>0</v>
      </c>
    </row>
    <row r="177" spans="1:16" x14ac:dyDescent="0.25">
      <c r="A177">
        <v>175</v>
      </c>
      <c r="C177" t="s">
        <v>8</v>
      </c>
      <c r="D177" s="4" t="s">
        <v>461</v>
      </c>
      <c r="E177" s="11">
        <v>29</v>
      </c>
      <c r="F177" s="11">
        <v>29</v>
      </c>
      <c r="G177" s="6">
        <f t="shared" si="55"/>
        <v>0</v>
      </c>
      <c r="H177" s="7">
        <f t="shared" si="56"/>
        <v>0</v>
      </c>
      <c r="I177" s="8">
        <v>45.490196078431374</v>
      </c>
      <c r="J177" s="9">
        <f t="shared" si="57"/>
        <v>45.490196078431374</v>
      </c>
      <c r="K177" s="3">
        <f t="shared" si="58"/>
        <v>0</v>
      </c>
      <c r="L177" s="7">
        <f t="shared" si="59"/>
        <v>0</v>
      </c>
      <c r="M177" t="s">
        <v>150</v>
      </c>
      <c r="O177" s="3">
        <f>E177-'314020 - P0624'!F177</f>
        <v>0</v>
      </c>
      <c r="P177" s="30">
        <f>I177-'314020 - P0624'!J177</f>
        <v>0</v>
      </c>
    </row>
    <row r="178" spans="1:16" x14ac:dyDescent="0.25">
      <c r="A178">
        <v>176</v>
      </c>
      <c r="C178" t="s">
        <v>8</v>
      </c>
      <c r="D178" s="4" t="s">
        <v>170</v>
      </c>
      <c r="E178" s="11">
        <v>35.4</v>
      </c>
      <c r="F178" s="11">
        <v>35.4</v>
      </c>
      <c r="G178" s="6">
        <f t="shared" si="55"/>
        <v>0</v>
      </c>
      <c r="H178" s="7">
        <f t="shared" si="56"/>
        <v>0</v>
      </c>
      <c r="I178" s="8">
        <v>21.717791411042946</v>
      </c>
      <c r="J178" s="9">
        <f t="shared" si="57"/>
        <v>21.717791411042946</v>
      </c>
      <c r="K178" s="3">
        <f t="shared" si="58"/>
        <v>0</v>
      </c>
      <c r="L178" s="7">
        <f t="shared" si="59"/>
        <v>0</v>
      </c>
      <c r="M178" t="s">
        <v>150</v>
      </c>
      <c r="O178" s="3">
        <f>E178-'314020 - P0624'!F178</f>
        <v>0</v>
      </c>
      <c r="P178" s="30">
        <f>I178-'314020 - P0624'!J178</f>
        <v>0</v>
      </c>
    </row>
    <row r="179" spans="1:16" x14ac:dyDescent="0.25">
      <c r="A179">
        <v>177</v>
      </c>
      <c r="C179" t="s">
        <v>8</v>
      </c>
      <c r="D179" s="4" t="s">
        <v>171</v>
      </c>
      <c r="E179" s="11">
        <v>29.3</v>
      </c>
      <c r="F179" s="11">
        <v>29.3</v>
      </c>
      <c r="G179" s="6">
        <f t="shared" si="55"/>
        <v>0</v>
      </c>
      <c r="H179" s="7">
        <f t="shared" si="56"/>
        <v>0</v>
      </c>
      <c r="I179" s="8">
        <v>20</v>
      </c>
      <c r="J179" s="9">
        <f t="shared" si="57"/>
        <v>20</v>
      </c>
      <c r="K179" s="3">
        <f t="shared" si="58"/>
        <v>0</v>
      </c>
      <c r="L179" s="7">
        <f t="shared" si="59"/>
        <v>0</v>
      </c>
      <c r="M179" t="s">
        <v>150</v>
      </c>
      <c r="O179" s="3">
        <f>E179-'314020 - P0624'!F179</f>
        <v>0</v>
      </c>
      <c r="P179" s="30">
        <f>I179-'314020 - P0624'!J179</f>
        <v>0</v>
      </c>
    </row>
    <row r="180" spans="1:16" x14ac:dyDescent="0.25">
      <c r="A180">
        <v>178</v>
      </c>
      <c r="C180" t="s">
        <v>8</v>
      </c>
      <c r="D180" s="4" t="s">
        <v>172</v>
      </c>
      <c r="E180" s="11">
        <v>24.2</v>
      </c>
      <c r="F180" s="11">
        <v>24.2</v>
      </c>
      <c r="G180" s="6">
        <f t="shared" si="55"/>
        <v>0</v>
      </c>
      <c r="H180" s="7">
        <f t="shared" si="56"/>
        <v>0</v>
      </c>
      <c r="I180" s="8">
        <v>20</v>
      </c>
      <c r="J180" s="9">
        <f t="shared" si="57"/>
        <v>20</v>
      </c>
      <c r="K180" s="3">
        <f t="shared" si="58"/>
        <v>0</v>
      </c>
      <c r="L180" s="7">
        <f t="shared" si="59"/>
        <v>0</v>
      </c>
      <c r="M180" t="s">
        <v>150</v>
      </c>
      <c r="O180" s="3">
        <f>E180-'314020 - P0624'!F180</f>
        <v>0</v>
      </c>
      <c r="P180" s="30">
        <f>I180-'314020 - P0624'!J180</f>
        <v>0</v>
      </c>
    </row>
    <row r="181" spans="1:16" x14ac:dyDescent="0.25">
      <c r="A181">
        <v>179</v>
      </c>
      <c r="C181" t="s">
        <v>8</v>
      </c>
      <c r="D181" s="4" t="s">
        <v>173</v>
      </c>
      <c r="E181" s="12">
        <v>116</v>
      </c>
      <c r="F181" s="12">
        <v>116</v>
      </c>
      <c r="G181" s="6">
        <f t="shared" si="55"/>
        <v>0</v>
      </c>
      <c r="H181" s="7">
        <f t="shared" si="56"/>
        <v>0</v>
      </c>
      <c r="I181" s="8">
        <v>153.29999999999998</v>
      </c>
      <c r="J181" s="9">
        <f t="shared" si="57"/>
        <v>153.29999999999998</v>
      </c>
      <c r="K181" s="3">
        <f t="shared" si="58"/>
        <v>0</v>
      </c>
      <c r="L181" s="7">
        <f t="shared" si="59"/>
        <v>0</v>
      </c>
      <c r="M181" t="s">
        <v>121</v>
      </c>
      <c r="O181" s="3">
        <f>E181-'314020 - P0624'!F181</f>
        <v>0</v>
      </c>
      <c r="P181" s="30">
        <f>I181-'314020 - P0624'!J181</f>
        <v>0</v>
      </c>
    </row>
    <row r="182" spans="1:16" x14ac:dyDescent="0.25">
      <c r="A182">
        <v>180</v>
      </c>
      <c r="C182" t="s">
        <v>8</v>
      </c>
      <c r="D182" s="4" t="s">
        <v>174</v>
      </c>
      <c r="E182" s="12">
        <v>9.98</v>
      </c>
      <c r="F182" s="12">
        <v>9.98</v>
      </c>
      <c r="G182" s="6">
        <f t="shared" si="55"/>
        <v>0</v>
      </c>
      <c r="H182" s="7">
        <f t="shared" si="56"/>
        <v>0</v>
      </c>
      <c r="I182" s="8">
        <v>13.625326315789476</v>
      </c>
      <c r="J182" s="9">
        <f t="shared" si="57"/>
        <v>13.625326315789476</v>
      </c>
      <c r="K182" s="3">
        <f t="shared" si="58"/>
        <v>0</v>
      </c>
      <c r="L182" s="7">
        <f t="shared" si="59"/>
        <v>0</v>
      </c>
      <c r="M182" t="s">
        <v>121</v>
      </c>
      <c r="O182" s="3">
        <f>E182-'314020 - P0624'!F182</f>
        <v>0</v>
      </c>
      <c r="P182" s="30">
        <f>I182-'314020 - P0624'!J182</f>
        <v>0</v>
      </c>
    </row>
    <row r="183" spans="1:16" x14ac:dyDescent="0.25">
      <c r="A183">
        <v>181</v>
      </c>
      <c r="C183" t="s">
        <v>8</v>
      </c>
      <c r="D183" s="4" t="s">
        <v>175</v>
      </c>
      <c r="E183" s="12">
        <v>190.995</v>
      </c>
      <c r="F183" s="12">
        <v>190.995</v>
      </c>
      <c r="G183" s="6">
        <f t="shared" si="55"/>
        <v>0</v>
      </c>
      <c r="H183" s="7">
        <f t="shared" si="56"/>
        <v>0</v>
      </c>
      <c r="I183" s="8">
        <v>251</v>
      </c>
      <c r="J183" s="9">
        <f t="shared" si="57"/>
        <v>251</v>
      </c>
      <c r="K183" s="3">
        <f t="shared" si="58"/>
        <v>0</v>
      </c>
      <c r="L183" s="7">
        <f t="shared" si="59"/>
        <v>0</v>
      </c>
      <c r="M183" t="s">
        <v>121</v>
      </c>
      <c r="O183" s="3">
        <f>E183-'314020 - P0624'!F183</f>
        <v>0</v>
      </c>
      <c r="P183" s="30">
        <f>I183-'314020 - P0624'!J183</f>
        <v>0</v>
      </c>
    </row>
    <row r="184" spans="1:16" x14ac:dyDescent="0.25">
      <c r="A184">
        <v>182</v>
      </c>
      <c r="C184" t="s">
        <v>8</v>
      </c>
      <c r="D184" s="4" t="s">
        <v>176</v>
      </c>
      <c r="E184" s="12">
        <v>14.01</v>
      </c>
      <c r="F184" s="12">
        <v>14.01</v>
      </c>
      <c r="G184" s="6">
        <f t="shared" si="55"/>
        <v>0</v>
      </c>
      <c r="H184" s="7">
        <f t="shared" si="56"/>
        <v>0</v>
      </c>
      <c r="I184" s="8">
        <v>19.616308543063266</v>
      </c>
      <c r="J184" s="9">
        <f t="shared" si="57"/>
        <v>19.616308543063266</v>
      </c>
      <c r="K184" s="3">
        <f t="shared" si="58"/>
        <v>0</v>
      </c>
      <c r="L184" s="7">
        <f t="shared" si="59"/>
        <v>0</v>
      </c>
      <c r="M184" t="s">
        <v>121</v>
      </c>
      <c r="O184" s="3">
        <f>E184-'314020 - P0624'!F184</f>
        <v>0</v>
      </c>
      <c r="P184" s="30">
        <f>I184-'314020 - P0624'!J184</f>
        <v>0</v>
      </c>
    </row>
    <row r="185" spans="1:16" x14ac:dyDescent="0.25">
      <c r="A185">
        <v>183</v>
      </c>
      <c r="C185" t="s">
        <v>8</v>
      </c>
      <c r="D185" s="4" t="s">
        <v>177</v>
      </c>
      <c r="E185" s="12">
        <v>33.25</v>
      </c>
      <c r="F185" s="12">
        <v>33.25</v>
      </c>
      <c r="G185" s="6">
        <f t="shared" si="55"/>
        <v>0</v>
      </c>
      <c r="H185" s="7">
        <f t="shared" si="56"/>
        <v>0</v>
      </c>
      <c r="I185" s="8">
        <v>49.869393819571762</v>
      </c>
      <c r="J185" s="9">
        <f t="shared" si="57"/>
        <v>49.869393819571762</v>
      </c>
      <c r="K185" s="3">
        <f t="shared" si="58"/>
        <v>0</v>
      </c>
      <c r="L185" s="7">
        <f t="shared" si="59"/>
        <v>0</v>
      </c>
      <c r="M185" t="s">
        <v>121</v>
      </c>
      <c r="O185" s="3">
        <f>E185-'314020 - P0624'!F185</f>
        <v>0</v>
      </c>
      <c r="P185" s="30">
        <f>I185-'314020 - P0624'!J185</f>
        <v>0</v>
      </c>
    </row>
    <row r="186" spans="1:16" x14ac:dyDescent="0.25">
      <c r="A186">
        <v>184</v>
      </c>
      <c r="C186" t="s">
        <v>8</v>
      </c>
      <c r="D186" s="4" t="s">
        <v>178</v>
      </c>
      <c r="E186" s="12">
        <v>44.04</v>
      </c>
      <c r="F186" s="12">
        <v>44.04</v>
      </c>
      <c r="G186" s="6">
        <f t="shared" si="55"/>
        <v>0</v>
      </c>
      <c r="H186" s="7">
        <f t="shared" si="56"/>
        <v>0</v>
      </c>
      <c r="I186" s="8">
        <v>61.644476622337386</v>
      </c>
      <c r="J186" s="9">
        <f t="shared" si="57"/>
        <v>61.644476622337386</v>
      </c>
      <c r="K186" s="3">
        <f t="shared" si="58"/>
        <v>0</v>
      </c>
      <c r="L186" s="7">
        <f t="shared" si="59"/>
        <v>0</v>
      </c>
      <c r="M186" t="s">
        <v>121</v>
      </c>
      <c r="O186" s="3">
        <f>E186-'314020 - P0624'!F186</f>
        <v>0</v>
      </c>
      <c r="P186" s="30">
        <f>I186-'314020 - P0624'!J186</f>
        <v>0</v>
      </c>
    </row>
    <row r="187" spans="1:16" x14ac:dyDescent="0.25">
      <c r="A187">
        <v>185</v>
      </c>
      <c r="C187" t="s">
        <v>8</v>
      </c>
      <c r="D187" s="4" t="s">
        <v>179</v>
      </c>
      <c r="E187" s="12">
        <v>144.85</v>
      </c>
      <c r="F187" s="12">
        <v>144.85</v>
      </c>
      <c r="G187" s="6">
        <f t="shared" si="55"/>
        <v>0</v>
      </c>
      <c r="H187" s="7">
        <f t="shared" si="56"/>
        <v>0</v>
      </c>
      <c r="I187" s="8">
        <v>241.42</v>
      </c>
      <c r="J187" s="9">
        <f t="shared" si="57"/>
        <v>241.42</v>
      </c>
      <c r="K187" s="3">
        <f t="shared" si="58"/>
        <v>0</v>
      </c>
      <c r="L187" s="7">
        <f t="shared" si="59"/>
        <v>0</v>
      </c>
      <c r="M187" t="s">
        <v>121</v>
      </c>
      <c r="O187" s="3">
        <f>E187-'314020 - P0624'!F187</f>
        <v>0</v>
      </c>
      <c r="P187" s="30">
        <f>I187-'314020 - P0624'!J187</f>
        <v>0</v>
      </c>
    </row>
    <row r="188" spans="1:16" x14ac:dyDescent="0.25">
      <c r="A188">
        <v>186</v>
      </c>
      <c r="C188" t="s">
        <v>8</v>
      </c>
      <c r="D188" s="4" t="s">
        <v>180</v>
      </c>
      <c r="E188" s="11">
        <v>21.42</v>
      </c>
      <c r="F188" s="11">
        <v>21.42</v>
      </c>
      <c r="G188" s="6">
        <f t="shared" si="55"/>
        <v>0</v>
      </c>
      <c r="H188" s="7">
        <f t="shared" si="56"/>
        <v>0</v>
      </c>
      <c r="I188" s="8">
        <v>36.651079812206568</v>
      </c>
      <c r="J188" s="9">
        <f t="shared" si="57"/>
        <v>36.651079812206568</v>
      </c>
      <c r="K188" s="3">
        <f t="shared" si="58"/>
        <v>0</v>
      </c>
      <c r="L188" s="7">
        <f t="shared" si="59"/>
        <v>0</v>
      </c>
      <c r="M188" t="s">
        <v>150</v>
      </c>
      <c r="O188" s="3">
        <f>E188-'314020 - P0624'!F188</f>
        <v>0</v>
      </c>
      <c r="P188" s="30">
        <f>I188-'314020 - P0624'!J188</f>
        <v>0</v>
      </c>
    </row>
    <row r="189" spans="1:16" x14ac:dyDescent="0.25">
      <c r="A189">
        <v>187</v>
      </c>
      <c r="C189" t="s">
        <v>8</v>
      </c>
      <c r="D189" s="4" t="s">
        <v>181</v>
      </c>
      <c r="E189" s="11">
        <v>32.67</v>
      </c>
      <c r="F189" s="11">
        <v>32.67</v>
      </c>
      <c r="G189" s="6">
        <f t="shared" si="55"/>
        <v>0</v>
      </c>
      <c r="H189" s="7">
        <f t="shared" si="56"/>
        <v>0</v>
      </c>
      <c r="I189" s="8">
        <v>45.558072000000003</v>
      </c>
      <c r="J189" s="9">
        <f t="shared" si="57"/>
        <v>45.558072000000003</v>
      </c>
      <c r="K189" s="3">
        <f t="shared" si="58"/>
        <v>0</v>
      </c>
      <c r="L189" s="7">
        <f t="shared" si="59"/>
        <v>0</v>
      </c>
      <c r="M189" t="s">
        <v>150</v>
      </c>
      <c r="O189" s="3">
        <f>E189-'314020 - P0624'!F189</f>
        <v>0</v>
      </c>
      <c r="P189" s="30">
        <f>I189-'314020 - P0624'!J189</f>
        <v>0</v>
      </c>
    </row>
    <row r="190" spans="1:16" x14ac:dyDescent="0.25">
      <c r="A190">
        <v>188</v>
      </c>
      <c r="C190" t="s">
        <v>8</v>
      </c>
      <c r="D190" s="4" t="s">
        <v>182</v>
      </c>
      <c r="E190" s="11">
        <v>43</v>
      </c>
      <c r="F190" s="11">
        <v>43</v>
      </c>
      <c r="G190" s="13">
        <f t="shared" si="55"/>
        <v>0</v>
      </c>
      <c r="H190" s="7">
        <f t="shared" si="56"/>
        <v>0</v>
      </c>
      <c r="I190" s="8">
        <v>91.806916426512956</v>
      </c>
      <c r="J190" s="9">
        <f t="shared" si="57"/>
        <v>91.806916426512956</v>
      </c>
      <c r="K190" s="3">
        <f t="shared" si="58"/>
        <v>0</v>
      </c>
      <c r="L190" s="7">
        <f t="shared" si="59"/>
        <v>0</v>
      </c>
      <c r="M190" t="s">
        <v>150</v>
      </c>
      <c r="O190" s="3">
        <f>E190-'314020 - P0624'!F190</f>
        <v>0</v>
      </c>
      <c r="P190" s="30">
        <f>I190-'314020 - P0624'!J190</f>
        <v>0</v>
      </c>
    </row>
    <row r="191" spans="1:16" x14ac:dyDescent="0.25">
      <c r="A191">
        <v>189</v>
      </c>
      <c r="C191" t="s">
        <v>8</v>
      </c>
      <c r="D191" s="4" t="s">
        <v>183</v>
      </c>
      <c r="E191" s="11">
        <v>4.24</v>
      </c>
      <c r="F191" s="11">
        <v>4.24</v>
      </c>
      <c r="G191" s="6">
        <f t="shared" si="55"/>
        <v>0</v>
      </c>
      <c r="H191" s="7">
        <f t="shared" si="56"/>
        <v>0</v>
      </c>
      <c r="I191" s="8">
        <v>7.5095819935691317</v>
      </c>
      <c r="J191" s="9">
        <f t="shared" si="57"/>
        <v>7.5095819935691317</v>
      </c>
      <c r="K191" s="3">
        <f t="shared" si="58"/>
        <v>0</v>
      </c>
      <c r="L191" s="7">
        <f t="shared" si="59"/>
        <v>0</v>
      </c>
      <c r="M191" t="s">
        <v>150</v>
      </c>
      <c r="O191" s="3">
        <f>E191-'314020 - P0624'!F191</f>
        <v>0</v>
      </c>
      <c r="P191" s="30">
        <f>I191-'314020 - P0624'!J191</f>
        <v>0</v>
      </c>
    </row>
    <row r="192" spans="1:16" x14ac:dyDescent="0.25">
      <c r="A192">
        <v>190</v>
      </c>
      <c r="D192" s="34" t="s">
        <v>184</v>
      </c>
      <c r="H192" s="10">
        <f>AVERAGE(H167:H191)</f>
        <v>-1.5095571968188315E-2</v>
      </c>
      <c r="I192"/>
    </row>
    <row r="193" spans="1:16" x14ac:dyDescent="0.25">
      <c r="A193">
        <v>191</v>
      </c>
      <c r="D193" s="34" t="s">
        <v>185</v>
      </c>
      <c r="I193"/>
    </row>
    <row r="194" spans="1:16" x14ac:dyDescent="0.25">
      <c r="A194">
        <v>192</v>
      </c>
      <c r="C194" t="s">
        <v>8</v>
      </c>
      <c r="D194" s="4" t="s">
        <v>186</v>
      </c>
      <c r="E194" s="12">
        <v>1.79</v>
      </c>
      <c r="F194" s="12">
        <v>1.79</v>
      </c>
      <c r="G194" s="6">
        <f t="shared" ref="G194:G241" si="60">+F194-E194</f>
        <v>0</v>
      </c>
      <c r="H194" s="7">
        <f t="shared" ref="H194:H241" si="61">(F194-E194)/ABS(E194)</f>
        <v>0</v>
      </c>
      <c r="I194" s="8">
        <v>2.3437962240000001</v>
      </c>
      <c r="J194" s="9">
        <f t="shared" ref="J194:J241" si="62">(I194*H194)+I194</f>
        <v>2.3437962240000001</v>
      </c>
      <c r="K194" s="3">
        <f t="shared" ref="K194:K241" si="63">J194-I194</f>
        <v>0</v>
      </c>
      <c r="L194" s="7">
        <f t="shared" ref="L194:L241" si="64">(J194-I194)/ABS(I194)</f>
        <v>0</v>
      </c>
      <c r="M194" t="s">
        <v>187</v>
      </c>
      <c r="O194" s="3">
        <f>E194-'314020 - P0624'!F194</f>
        <v>0</v>
      </c>
      <c r="P194" s="30">
        <f>I194-'314020 - P0624'!J194</f>
        <v>0</v>
      </c>
    </row>
    <row r="195" spans="1:16" x14ac:dyDescent="0.25">
      <c r="A195">
        <v>193</v>
      </c>
      <c r="C195" t="s">
        <v>8</v>
      </c>
      <c r="D195" s="4" t="s">
        <v>188</v>
      </c>
      <c r="E195" s="12">
        <v>0.46</v>
      </c>
      <c r="F195" s="12">
        <v>0.46</v>
      </c>
      <c r="G195" s="6">
        <f t="shared" si="60"/>
        <v>0</v>
      </c>
      <c r="H195" s="7">
        <f t="shared" si="61"/>
        <v>0</v>
      </c>
      <c r="I195" s="8">
        <v>0.70471188480000002</v>
      </c>
      <c r="J195" s="9">
        <f t="shared" si="62"/>
        <v>0.70471188480000002</v>
      </c>
      <c r="K195" s="3">
        <f t="shared" si="63"/>
        <v>0</v>
      </c>
      <c r="L195" s="7">
        <f t="shared" si="64"/>
        <v>0</v>
      </c>
      <c r="M195" t="s">
        <v>187</v>
      </c>
      <c r="O195" s="3">
        <f>E195-'314020 - P0624'!F195</f>
        <v>0</v>
      </c>
      <c r="P195" s="30">
        <f>I195-'314020 - P0624'!J195</f>
        <v>0</v>
      </c>
    </row>
    <row r="196" spans="1:16" x14ac:dyDescent="0.25">
      <c r="A196">
        <v>194</v>
      </c>
      <c r="C196" t="s">
        <v>8</v>
      </c>
      <c r="D196" s="4" t="s">
        <v>462</v>
      </c>
      <c r="E196" s="12">
        <v>0.6</v>
      </c>
      <c r="F196" s="12">
        <v>0.6</v>
      </c>
      <c r="G196" s="6">
        <f t="shared" si="60"/>
        <v>0</v>
      </c>
      <c r="H196" s="7">
        <f t="shared" si="61"/>
        <v>0</v>
      </c>
      <c r="I196" s="8">
        <v>1.04</v>
      </c>
      <c r="J196" s="9">
        <f t="shared" si="62"/>
        <v>1.04</v>
      </c>
      <c r="K196" s="3">
        <f t="shared" si="63"/>
        <v>0</v>
      </c>
      <c r="L196" s="7">
        <f t="shared" si="64"/>
        <v>0</v>
      </c>
      <c r="M196" t="s">
        <v>187</v>
      </c>
      <c r="O196" s="3">
        <f>E196-'314020 - P0624'!F196</f>
        <v>0</v>
      </c>
      <c r="P196" s="30">
        <f>I196-'314020 - P0624'!J196</f>
        <v>0</v>
      </c>
    </row>
    <row r="197" spans="1:16" x14ac:dyDescent="0.25">
      <c r="A197">
        <v>195</v>
      </c>
      <c r="C197" t="s">
        <v>8</v>
      </c>
      <c r="D197" s="4" t="s">
        <v>189</v>
      </c>
      <c r="E197" s="12">
        <v>17.88</v>
      </c>
      <c r="F197" s="12">
        <v>17.88</v>
      </c>
      <c r="G197" s="6">
        <f t="shared" si="60"/>
        <v>0</v>
      </c>
      <c r="H197" s="7">
        <f t="shared" si="61"/>
        <v>0</v>
      </c>
      <c r="I197" s="8">
        <v>35.219578060799989</v>
      </c>
      <c r="J197" s="9">
        <f t="shared" si="62"/>
        <v>35.219578060799989</v>
      </c>
      <c r="K197" s="3">
        <f t="shared" si="63"/>
        <v>0</v>
      </c>
      <c r="L197" s="7">
        <f t="shared" si="64"/>
        <v>0</v>
      </c>
      <c r="M197" t="s">
        <v>187</v>
      </c>
      <c r="O197" s="3">
        <f>E197-'314020 - P0624'!F197</f>
        <v>0</v>
      </c>
      <c r="P197" s="30">
        <f>I197-'314020 - P0624'!J197</f>
        <v>0</v>
      </c>
    </row>
    <row r="198" spans="1:16" x14ac:dyDescent="0.25">
      <c r="A198">
        <v>196</v>
      </c>
      <c r="C198" t="s">
        <v>8</v>
      </c>
      <c r="D198" s="4" t="s">
        <v>190</v>
      </c>
      <c r="E198" s="12">
        <v>36.299999999999997</v>
      </c>
      <c r="F198" s="12">
        <v>36.299999999999997</v>
      </c>
      <c r="G198" s="6">
        <f t="shared" si="60"/>
        <v>0</v>
      </c>
      <c r="H198" s="7">
        <f t="shared" si="61"/>
        <v>0</v>
      </c>
      <c r="I198" s="8">
        <v>82.49</v>
      </c>
      <c r="J198" s="9">
        <f t="shared" si="62"/>
        <v>82.49</v>
      </c>
      <c r="K198" s="3">
        <f t="shared" si="63"/>
        <v>0</v>
      </c>
      <c r="L198" s="7">
        <f t="shared" si="64"/>
        <v>0</v>
      </c>
      <c r="M198" t="s">
        <v>187</v>
      </c>
      <c r="O198" s="3">
        <f>E198-'314020 - P0624'!F198</f>
        <v>0</v>
      </c>
      <c r="P198" s="30">
        <f>I198-'314020 - P0624'!J198</f>
        <v>0</v>
      </c>
    </row>
    <row r="199" spans="1:16" x14ac:dyDescent="0.25">
      <c r="A199">
        <v>197</v>
      </c>
      <c r="C199" t="s">
        <v>8</v>
      </c>
      <c r="D199" s="4" t="s">
        <v>487</v>
      </c>
      <c r="E199" s="12">
        <v>5.18</v>
      </c>
      <c r="F199" s="12">
        <v>5.18</v>
      </c>
      <c r="G199" s="6">
        <f t="shared" si="60"/>
        <v>0</v>
      </c>
      <c r="H199" s="7">
        <f t="shared" si="61"/>
        <v>0</v>
      </c>
      <c r="I199" s="8">
        <v>7.13</v>
      </c>
      <c r="J199" s="9">
        <f t="shared" si="62"/>
        <v>7.13</v>
      </c>
      <c r="K199" s="3">
        <f t="shared" si="63"/>
        <v>0</v>
      </c>
      <c r="L199" s="7">
        <f t="shared" si="64"/>
        <v>0</v>
      </c>
      <c r="M199" t="s">
        <v>187</v>
      </c>
      <c r="O199" s="3">
        <f>E199-'314020 - P0624'!F199</f>
        <v>0</v>
      </c>
      <c r="P199" s="30">
        <f>I199-'314020 - P0624'!J199</f>
        <v>0</v>
      </c>
    </row>
    <row r="200" spans="1:16" x14ac:dyDescent="0.25">
      <c r="A200">
        <v>198</v>
      </c>
      <c r="C200" t="s">
        <v>8</v>
      </c>
      <c r="D200" s="4" t="s">
        <v>191</v>
      </c>
      <c r="E200" s="12">
        <v>8.2200000000000006</v>
      </c>
      <c r="F200" s="12">
        <v>8.2200000000000006</v>
      </c>
      <c r="G200" s="6">
        <f t="shared" si="60"/>
        <v>0</v>
      </c>
      <c r="H200" s="7">
        <f t="shared" si="61"/>
        <v>0</v>
      </c>
      <c r="I200" s="8">
        <v>18.68</v>
      </c>
      <c r="J200" s="9">
        <f t="shared" si="62"/>
        <v>18.68</v>
      </c>
      <c r="K200" s="3">
        <f t="shared" si="63"/>
        <v>0</v>
      </c>
      <c r="L200" s="7">
        <f t="shared" si="64"/>
        <v>0</v>
      </c>
      <c r="M200" t="s">
        <v>187</v>
      </c>
      <c r="O200" s="3">
        <f>E200-'314020 - P0624'!F200</f>
        <v>0</v>
      </c>
      <c r="P200" s="30">
        <f>I200-'314020 - P0624'!J200</f>
        <v>0</v>
      </c>
    </row>
    <row r="201" spans="1:16" x14ac:dyDescent="0.25">
      <c r="A201">
        <v>199</v>
      </c>
      <c r="C201" t="s">
        <v>8</v>
      </c>
      <c r="D201" s="4" t="s">
        <v>192</v>
      </c>
      <c r="E201" s="12">
        <v>137.77000000000001</v>
      </c>
      <c r="F201" s="12">
        <v>137.77000000000001</v>
      </c>
      <c r="G201" s="6">
        <f t="shared" si="60"/>
        <v>0</v>
      </c>
      <c r="H201" s="7">
        <f t="shared" si="61"/>
        <v>0</v>
      </c>
      <c r="I201" s="8">
        <v>207.19</v>
      </c>
      <c r="J201" s="9">
        <f t="shared" si="62"/>
        <v>207.19</v>
      </c>
      <c r="K201" s="3">
        <f t="shared" si="63"/>
        <v>0</v>
      </c>
      <c r="L201" s="7">
        <f t="shared" si="64"/>
        <v>0</v>
      </c>
      <c r="M201" t="s">
        <v>187</v>
      </c>
      <c r="O201" s="3">
        <f>E201-'314020 - P0624'!F201</f>
        <v>0</v>
      </c>
      <c r="P201" s="30">
        <f>I201-'314020 - P0624'!J201</f>
        <v>0</v>
      </c>
    </row>
    <row r="202" spans="1:16" x14ac:dyDescent="0.25">
      <c r="A202">
        <v>200</v>
      </c>
      <c r="C202" t="s">
        <v>8</v>
      </c>
      <c r="D202" s="4" t="s">
        <v>193</v>
      </c>
      <c r="E202" s="12">
        <v>123.36</v>
      </c>
      <c r="F202" s="12">
        <v>123.36</v>
      </c>
      <c r="G202" s="6">
        <f t="shared" si="60"/>
        <v>0</v>
      </c>
      <c r="H202" s="7">
        <f t="shared" si="61"/>
        <v>0</v>
      </c>
      <c r="I202" s="8">
        <v>168.12183306239999</v>
      </c>
      <c r="J202" s="9">
        <f t="shared" si="62"/>
        <v>168.12183306239999</v>
      </c>
      <c r="K202" s="3">
        <f t="shared" si="63"/>
        <v>0</v>
      </c>
      <c r="L202" s="7">
        <f t="shared" si="64"/>
        <v>0</v>
      </c>
      <c r="M202" t="s">
        <v>187</v>
      </c>
      <c r="O202" s="3">
        <f>E202-'314020 - P0624'!F202</f>
        <v>0</v>
      </c>
      <c r="P202" s="30">
        <f>I202-'314020 - P0624'!J202</f>
        <v>0</v>
      </c>
    </row>
    <row r="203" spans="1:16" x14ac:dyDescent="0.25">
      <c r="A203">
        <v>201</v>
      </c>
      <c r="C203" t="s">
        <v>8</v>
      </c>
      <c r="D203" s="4" t="s">
        <v>194</v>
      </c>
      <c r="E203" s="12">
        <v>36.909999999999997</v>
      </c>
      <c r="F203" s="12">
        <v>36.909999999999997</v>
      </c>
      <c r="G203" s="6">
        <f t="shared" si="60"/>
        <v>0</v>
      </c>
      <c r="H203" s="7">
        <f t="shared" si="61"/>
        <v>0</v>
      </c>
      <c r="I203" s="8">
        <v>77.662452940799994</v>
      </c>
      <c r="J203" s="9">
        <f t="shared" si="62"/>
        <v>77.662452940799994</v>
      </c>
      <c r="K203" s="3">
        <f t="shared" si="63"/>
        <v>0</v>
      </c>
      <c r="L203" s="7">
        <f t="shared" si="64"/>
        <v>0</v>
      </c>
      <c r="M203" t="s">
        <v>187</v>
      </c>
      <c r="O203" s="3">
        <f>E203-'314020 - P0624'!F203</f>
        <v>0</v>
      </c>
      <c r="P203" s="30">
        <f>I203-'314020 - P0624'!J203</f>
        <v>0</v>
      </c>
    </row>
    <row r="204" spans="1:16" x14ac:dyDescent="0.25">
      <c r="A204">
        <v>202</v>
      </c>
      <c r="C204" t="s">
        <v>8</v>
      </c>
      <c r="D204" s="4" t="s">
        <v>195</v>
      </c>
      <c r="E204" s="12">
        <v>25.49</v>
      </c>
      <c r="F204" s="12">
        <v>25.49</v>
      </c>
      <c r="G204" s="6">
        <f>+F204-E204</f>
        <v>0</v>
      </c>
      <c r="H204" s="7">
        <f>(F204-E204)/ABS(E204)</f>
        <v>0</v>
      </c>
      <c r="I204" s="8">
        <v>39.21</v>
      </c>
      <c r="J204" s="9">
        <f>(I204*H204)+I204</f>
        <v>39.21</v>
      </c>
      <c r="K204" s="3">
        <f>J204-I204</f>
        <v>0</v>
      </c>
      <c r="L204" s="7">
        <f>(J204-I204)/ABS(I204)</f>
        <v>0</v>
      </c>
      <c r="M204" t="s">
        <v>187</v>
      </c>
      <c r="O204" s="3">
        <f>E204-'314020 - P0624'!F204</f>
        <v>0</v>
      </c>
      <c r="P204" s="30">
        <f>I204-'314020 - P0624'!J204</f>
        <v>0</v>
      </c>
    </row>
    <row r="205" spans="1:16" x14ac:dyDescent="0.25">
      <c r="A205">
        <v>203</v>
      </c>
      <c r="C205" t="s">
        <v>8</v>
      </c>
      <c r="D205" s="4" t="s">
        <v>196</v>
      </c>
      <c r="E205" s="12">
        <v>5.72</v>
      </c>
      <c r="F205" s="12">
        <v>5.72</v>
      </c>
      <c r="G205" s="6">
        <f t="shared" si="60"/>
        <v>0</v>
      </c>
      <c r="H205" s="7">
        <f t="shared" si="61"/>
        <v>0</v>
      </c>
      <c r="I205" s="8">
        <v>8.6487367680000027</v>
      </c>
      <c r="J205" s="9">
        <f t="shared" si="62"/>
        <v>8.6487367680000027</v>
      </c>
      <c r="K205" s="3">
        <f t="shared" si="63"/>
        <v>0</v>
      </c>
      <c r="L205" s="7">
        <f t="shared" si="64"/>
        <v>0</v>
      </c>
      <c r="M205" t="s">
        <v>187</v>
      </c>
      <c r="O205" s="3">
        <f>E205-'314020 - P0624'!F205</f>
        <v>0</v>
      </c>
      <c r="P205" s="30">
        <f>I205-'314020 - P0624'!J205</f>
        <v>0</v>
      </c>
    </row>
    <row r="206" spans="1:16" x14ac:dyDescent="0.25">
      <c r="A206">
        <v>204</v>
      </c>
      <c r="C206" t="s">
        <v>8</v>
      </c>
      <c r="D206" s="4" t="s">
        <v>197</v>
      </c>
      <c r="E206" s="12">
        <v>21.44</v>
      </c>
      <c r="F206" s="12">
        <v>21.44</v>
      </c>
      <c r="G206" s="6">
        <f t="shared" si="60"/>
        <v>0</v>
      </c>
      <c r="H206" s="7">
        <f t="shared" si="61"/>
        <v>0</v>
      </c>
      <c r="I206" s="8">
        <v>57.90134784</v>
      </c>
      <c r="J206" s="9">
        <f t="shared" si="62"/>
        <v>57.90134784</v>
      </c>
      <c r="K206" s="3">
        <f t="shared" si="63"/>
        <v>0</v>
      </c>
      <c r="L206" s="7">
        <f t="shared" si="64"/>
        <v>0</v>
      </c>
      <c r="M206" t="s">
        <v>187</v>
      </c>
      <c r="O206" s="3">
        <f>E206-'314020 - P0624'!F206</f>
        <v>0</v>
      </c>
      <c r="P206" s="30">
        <f>I206-'314020 - P0624'!J206</f>
        <v>0</v>
      </c>
    </row>
    <row r="207" spans="1:16" x14ac:dyDescent="0.25">
      <c r="A207">
        <v>205</v>
      </c>
      <c r="C207" t="s">
        <v>8</v>
      </c>
      <c r="D207" s="4" t="s">
        <v>198</v>
      </c>
      <c r="E207" s="12">
        <v>8.5399999999999991</v>
      </c>
      <c r="F207" s="12">
        <v>8.5399999999999991</v>
      </c>
      <c r="G207" s="6">
        <f t="shared" si="60"/>
        <v>0</v>
      </c>
      <c r="H207" s="7">
        <f t="shared" si="61"/>
        <v>0</v>
      </c>
      <c r="I207" s="8">
        <v>17.61</v>
      </c>
      <c r="J207" s="9">
        <f t="shared" si="62"/>
        <v>17.61</v>
      </c>
      <c r="K207" s="3">
        <f t="shared" si="63"/>
        <v>0</v>
      </c>
      <c r="L207" s="7">
        <f t="shared" si="64"/>
        <v>0</v>
      </c>
      <c r="M207" t="s">
        <v>187</v>
      </c>
      <c r="O207" s="3">
        <f>E207-'314020 - P0624'!F207</f>
        <v>0</v>
      </c>
      <c r="P207" s="30">
        <f>I207-'314020 - P0624'!J207</f>
        <v>0</v>
      </c>
    </row>
    <row r="208" spans="1:16" x14ac:dyDescent="0.25">
      <c r="A208">
        <v>206</v>
      </c>
      <c r="C208" t="s">
        <v>8</v>
      </c>
      <c r="D208" s="4" t="s">
        <v>199</v>
      </c>
      <c r="E208" s="12">
        <v>2.2400000000000002</v>
      </c>
      <c r="F208" s="12">
        <v>2.2400000000000002</v>
      </c>
      <c r="G208" s="6">
        <f t="shared" si="60"/>
        <v>0</v>
      </c>
      <c r="H208" s="7">
        <f t="shared" si="61"/>
        <v>0</v>
      </c>
      <c r="I208" s="8">
        <v>3.2169142539130431</v>
      </c>
      <c r="J208" s="9">
        <f t="shared" si="62"/>
        <v>3.2169142539130431</v>
      </c>
      <c r="K208" s="3">
        <f t="shared" si="63"/>
        <v>0</v>
      </c>
      <c r="L208" s="7">
        <f t="shared" si="64"/>
        <v>0</v>
      </c>
      <c r="M208" t="s">
        <v>187</v>
      </c>
      <c r="O208" s="3">
        <f>E208-'314020 - P0624'!F208</f>
        <v>0</v>
      </c>
      <c r="P208" s="30">
        <f>I208-'314020 - P0624'!J208</f>
        <v>0</v>
      </c>
    </row>
    <row r="209" spans="1:16" x14ac:dyDescent="0.25">
      <c r="A209">
        <v>207</v>
      </c>
      <c r="C209" t="s">
        <v>8</v>
      </c>
      <c r="D209" s="4" t="s">
        <v>200</v>
      </c>
      <c r="E209" s="12">
        <v>12.54</v>
      </c>
      <c r="F209" s="12">
        <v>12.54</v>
      </c>
      <c r="G209" s="6">
        <f t="shared" si="60"/>
        <v>0</v>
      </c>
      <c r="H209" s="7">
        <f t="shared" si="61"/>
        <v>0</v>
      </c>
      <c r="I209" s="8">
        <v>18.163175635862068</v>
      </c>
      <c r="J209" s="9">
        <f t="shared" si="62"/>
        <v>18.163175635862068</v>
      </c>
      <c r="K209" s="3">
        <f t="shared" si="63"/>
        <v>0</v>
      </c>
      <c r="L209" s="7">
        <f t="shared" si="64"/>
        <v>0</v>
      </c>
      <c r="M209" t="s">
        <v>187</v>
      </c>
      <c r="O209" s="3">
        <f>E209-'314020 - P0624'!F209</f>
        <v>0</v>
      </c>
      <c r="P209" s="30">
        <f>I209-'314020 - P0624'!J209</f>
        <v>0</v>
      </c>
    </row>
    <row r="210" spans="1:16" x14ac:dyDescent="0.25">
      <c r="A210">
        <v>208</v>
      </c>
      <c r="C210" t="s">
        <v>8</v>
      </c>
      <c r="D210" s="4" t="s">
        <v>201</v>
      </c>
      <c r="E210" s="12">
        <v>13.2</v>
      </c>
      <c r="F210" s="12">
        <v>13.2</v>
      </c>
      <c r="G210" s="6">
        <f t="shared" si="60"/>
        <v>0</v>
      </c>
      <c r="H210" s="7">
        <f t="shared" si="61"/>
        <v>0</v>
      </c>
      <c r="I210" s="8">
        <v>33.770000000000003</v>
      </c>
      <c r="J210" s="9">
        <f t="shared" si="62"/>
        <v>33.770000000000003</v>
      </c>
      <c r="K210" s="3">
        <f t="shared" si="63"/>
        <v>0</v>
      </c>
      <c r="L210" s="7">
        <f t="shared" si="64"/>
        <v>0</v>
      </c>
      <c r="M210" t="s">
        <v>187</v>
      </c>
      <c r="O210" s="3">
        <f>E210-'314020 - P0624'!F210</f>
        <v>0</v>
      </c>
      <c r="P210" s="30">
        <f>I210-'314020 - P0624'!J210</f>
        <v>0</v>
      </c>
    </row>
    <row r="211" spans="1:16" x14ac:dyDescent="0.25">
      <c r="A211">
        <v>209</v>
      </c>
      <c r="C211" t="s">
        <v>8</v>
      </c>
      <c r="D211" s="4" t="s">
        <v>202</v>
      </c>
      <c r="E211" s="12">
        <v>20.100000000000001</v>
      </c>
      <c r="F211" s="12">
        <v>20.100000000000001</v>
      </c>
      <c r="G211" s="6">
        <f t="shared" si="60"/>
        <v>0</v>
      </c>
      <c r="H211" s="7">
        <f t="shared" si="61"/>
        <v>0</v>
      </c>
      <c r="I211" s="8">
        <v>54.326307840000005</v>
      </c>
      <c r="J211" s="9">
        <f t="shared" si="62"/>
        <v>54.326307840000005</v>
      </c>
      <c r="K211" s="3">
        <f t="shared" si="63"/>
        <v>0</v>
      </c>
      <c r="L211" s="7">
        <f t="shared" si="64"/>
        <v>0</v>
      </c>
      <c r="M211" t="s">
        <v>187</v>
      </c>
      <c r="O211" s="3">
        <f>E211-'314020 - P0624'!F211</f>
        <v>0</v>
      </c>
      <c r="P211" s="30">
        <f>I211-'314020 - P0624'!J211</f>
        <v>0</v>
      </c>
    </row>
    <row r="212" spans="1:16" x14ac:dyDescent="0.25">
      <c r="A212">
        <v>210</v>
      </c>
      <c r="C212" t="s">
        <v>8</v>
      </c>
      <c r="D212" s="4" t="s">
        <v>203</v>
      </c>
      <c r="E212" s="12">
        <v>38.64</v>
      </c>
      <c r="F212" s="12">
        <v>38.64</v>
      </c>
      <c r="G212" s="6">
        <f t="shared" si="60"/>
        <v>0</v>
      </c>
      <c r="H212" s="7">
        <f t="shared" si="61"/>
        <v>0</v>
      </c>
      <c r="I212" s="8">
        <v>85.68</v>
      </c>
      <c r="J212" s="9">
        <f t="shared" si="62"/>
        <v>85.68</v>
      </c>
      <c r="K212" s="3">
        <f t="shared" si="63"/>
        <v>0</v>
      </c>
      <c r="L212" s="7">
        <f t="shared" si="64"/>
        <v>0</v>
      </c>
      <c r="M212" t="s">
        <v>187</v>
      </c>
      <c r="O212" s="3">
        <f>E212-'314020 - P0624'!F212</f>
        <v>0</v>
      </c>
      <c r="P212" s="30">
        <f>I212-'314020 - P0624'!J212</f>
        <v>0</v>
      </c>
    </row>
    <row r="213" spans="1:16" x14ac:dyDescent="0.25">
      <c r="A213">
        <v>211</v>
      </c>
      <c r="C213" t="s">
        <v>8</v>
      </c>
      <c r="D213" s="4" t="s">
        <v>204</v>
      </c>
      <c r="E213" s="12">
        <v>17.16</v>
      </c>
      <c r="F213" s="12">
        <v>17.16</v>
      </c>
      <c r="G213" s="6">
        <f t="shared" si="60"/>
        <v>0</v>
      </c>
      <c r="H213" s="7">
        <f t="shared" si="61"/>
        <v>0</v>
      </c>
      <c r="I213" s="8">
        <v>26.391854075214955</v>
      </c>
      <c r="J213" s="9">
        <f t="shared" si="62"/>
        <v>26.391854075214955</v>
      </c>
      <c r="K213" s="3">
        <f t="shared" si="63"/>
        <v>0</v>
      </c>
      <c r="L213" s="7">
        <f t="shared" si="64"/>
        <v>0</v>
      </c>
      <c r="M213" t="s">
        <v>187</v>
      </c>
      <c r="O213" s="3">
        <f>E213-'314020 - P0624'!F213</f>
        <v>0</v>
      </c>
      <c r="P213" s="30">
        <f>I213-'314020 - P0624'!J213</f>
        <v>0</v>
      </c>
    </row>
    <row r="214" spans="1:16" x14ac:dyDescent="0.25">
      <c r="A214">
        <v>212</v>
      </c>
      <c r="C214" t="s">
        <v>8</v>
      </c>
      <c r="D214" s="4" t="s">
        <v>205</v>
      </c>
      <c r="E214" s="12">
        <v>30.07</v>
      </c>
      <c r="F214" s="12">
        <v>30.07</v>
      </c>
      <c r="G214" s="6">
        <f t="shared" si="60"/>
        <v>0</v>
      </c>
      <c r="H214" s="7">
        <f t="shared" si="61"/>
        <v>0</v>
      </c>
      <c r="I214" s="8">
        <v>35.416393485128204</v>
      </c>
      <c r="J214" s="9">
        <f t="shared" si="62"/>
        <v>35.416393485128204</v>
      </c>
      <c r="K214" s="3">
        <f t="shared" si="63"/>
        <v>0</v>
      </c>
      <c r="L214" s="7">
        <f t="shared" si="64"/>
        <v>0</v>
      </c>
      <c r="M214" t="s">
        <v>187</v>
      </c>
      <c r="O214" s="3">
        <f>E214-'314020 - P0624'!F214</f>
        <v>0</v>
      </c>
      <c r="P214" s="30">
        <f>I214-'314020 - P0624'!J214</f>
        <v>0</v>
      </c>
    </row>
    <row r="215" spans="1:16" x14ac:dyDescent="0.25">
      <c r="A215">
        <v>213</v>
      </c>
      <c r="C215" t="s">
        <v>8</v>
      </c>
      <c r="D215" s="4" t="s">
        <v>206</v>
      </c>
      <c r="E215" s="12">
        <v>30.42</v>
      </c>
      <c r="F215" s="12">
        <v>30.42</v>
      </c>
      <c r="G215" s="6">
        <f t="shared" si="60"/>
        <v>0</v>
      </c>
      <c r="H215" s="7">
        <f t="shared" si="61"/>
        <v>0</v>
      </c>
      <c r="I215" s="8">
        <v>42.49</v>
      </c>
      <c r="J215" s="9">
        <f t="shared" si="62"/>
        <v>42.49</v>
      </c>
      <c r="K215" s="3">
        <f t="shared" si="63"/>
        <v>0</v>
      </c>
      <c r="L215" s="7">
        <f t="shared" si="64"/>
        <v>0</v>
      </c>
      <c r="M215" t="s">
        <v>187</v>
      </c>
      <c r="O215" s="3">
        <f>E215-'314020 - P0624'!F215</f>
        <v>0</v>
      </c>
      <c r="P215" s="30">
        <f>I215-'314020 - P0624'!J215</f>
        <v>0</v>
      </c>
    </row>
    <row r="216" spans="1:16" x14ac:dyDescent="0.25">
      <c r="A216">
        <v>214</v>
      </c>
      <c r="C216" t="s">
        <v>8</v>
      </c>
      <c r="D216" s="4" t="s">
        <v>207</v>
      </c>
      <c r="E216" s="12">
        <v>2.4</v>
      </c>
      <c r="F216" s="12">
        <v>2.4</v>
      </c>
      <c r="G216" s="6">
        <f t="shared" si="60"/>
        <v>0</v>
      </c>
      <c r="H216" s="7">
        <f t="shared" si="61"/>
        <v>0</v>
      </c>
      <c r="I216" s="8">
        <v>4.84</v>
      </c>
      <c r="J216" s="9">
        <f t="shared" si="62"/>
        <v>4.84</v>
      </c>
      <c r="K216" s="3">
        <f t="shared" si="63"/>
        <v>0</v>
      </c>
      <c r="L216" s="7">
        <f t="shared" si="64"/>
        <v>0</v>
      </c>
      <c r="M216" t="s">
        <v>187</v>
      </c>
      <c r="O216" s="3">
        <f>E216-'314020 - P0624'!F216</f>
        <v>0</v>
      </c>
      <c r="P216" s="30">
        <f>I216-'314020 - P0624'!J216</f>
        <v>0</v>
      </c>
    </row>
    <row r="217" spans="1:16" x14ac:dyDescent="0.25">
      <c r="A217">
        <v>215</v>
      </c>
      <c r="C217" t="s">
        <v>8</v>
      </c>
      <c r="D217" s="4" t="s">
        <v>208</v>
      </c>
      <c r="E217" s="12">
        <v>3.66</v>
      </c>
      <c r="F217" s="12">
        <v>3.66</v>
      </c>
      <c r="G217" s="6">
        <f t="shared" si="60"/>
        <v>0</v>
      </c>
      <c r="H217" s="7">
        <f t="shared" si="61"/>
        <v>0</v>
      </c>
      <c r="I217" s="8">
        <v>5.4831979136563875</v>
      </c>
      <c r="J217" s="9">
        <f t="shared" si="62"/>
        <v>5.4831979136563875</v>
      </c>
      <c r="K217" s="3">
        <f t="shared" si="63"/>
        <v>0</v>
      </c>
      <c r="L217" s="7">
        <f t="shared" si="64"/>
        <v>0</v>
      </c>
      <c r="M217" t="s">
        <v>187</v>
      </c>
      <c r="O217" s="3">
        <f>E217-'314020 - P0624'!F217</f>
        <v>0</v>
      </c>
      <c r="P217" s="30">
        <f>I217-'314020 - P0624'!J217</f>
        <v>0</v>
      </c>
    </row>
    <row r="218" spans="1:16" x14ac:dyDescent="0.25">
      <c r="A218">
        <v>216</v>
      </c>
      <c r="C218" t="s">
        <v>8</v>
      </c>
      <c r="D218" s="4" t="s">
        <v>209</v>
      </c>
      <c r="E218" s="12">
        <v>3.26</v>
      </c>
      <c r="F218" s="12">
        <v>3.26</v>
      </c>
      <c r="G218" s="13">
        <f t="shared" si="60"/>
        <v>0</v>
      </c>
      <c r="H218" s="7">
        <f t="shared" si="61"/>
        <v>0</v>
      </c>
      <c r="I218" s="8">
        <v>5.48</v>
      </c>
      <c r="J218" s="9">
        <f t="shared" si="62"/>
        <v>5.48</v>
      </c>
      <c r="K218" s="3">
        <f t="shared" si="63"/>
        <v>0</v>
      </c>
      <c r="L218" s="7">
        <f t="shared" si="64"/>
        <v>0</v>
      </c>
      <c r="M218" t="s">
        <v>187</v>
      </c>
      <c r="O218" s="3">
        <f>E218-'314020 - P0624'!F218</f>
        <v>0</v>
      </c>
      <c r="P218" s="30">
        <f>I218-'314020 - P0624'!J218</f>
        <v>0</v>
      </c>
    </row>
    <row r="219" spans="1:16" x14ac:dyDescent="0.25">
      <c r="A219">
        <v>217</v>
      </c>
      <c r="C219" t="s">
        <v>8</v>
      </c>
      <c r="D219" s="4" t="s">
        <v>210</v>
      </c>
      <c r="E219" s="12">
        <v>4.46</v>
      </c>
      <c r="F219" s="12">
        <v>4.46</v>
      </c>
      <c r="G219" s="6">
        <f t="shared" si="60"/>
        <v>0</v>
      </c>
      <c r="H219" s="7">
        <f t="shared" si="61"/>
        <v>0</v>
      </c>
      <c r="I219" s="8">
        <v>6.8717173187003597</v>
      </c>
      <c r="J219" s="9">
        <f t="shared" si="62"/>
        <v>6.8717173187003597</v>
      </c>
      <c r="K219" s="3">
        <f t="shared" si="63"/>
        <v>0</v>
      </c>
      <c r="L219" s="7">
        <f t="shared" si="64"/>
        <v>0</v>
      </c>
      <c r="M219" t="s">
        <v>187</v>
      </c>
      <c r="O219" s="3">
        <f>E219-'314020 - P0624'!F219</f>
        <v>0</v>
      </c>
      <c r="P219" s="30">
        <f>I219-'314020 - P0624'!J219</f>
        <v>0</v>
      </c>
    </row>
    <row r="220" spans="1:16" x14ac:dyDescent="0.25">
      <c r="A220">
        <v>218</v>
      </c>
      <c r="C220" t="s">
        <v>8</v>
      </c>
      <c r="D220" s="4" t="s">
        <v>211</v>
      </c>
      <c r="E220" s="12">
        <v>1.78</v>
      </c>
      <c r="F220" s="12">
        <v>1.78</v>
      </c>
      <c r="G220" s="6">
        <f t="shared" si="60"/>
        <v>0</v>
      </c>
      <c r="H220" s="7">
        <f t="shared" si="61"/>
        <v>0</v>
      </c>
      <c r="I220" s="8">
        <v>3.6982813789090896</v>
      </c>
      <c r="J220" s="9">
        <f t="shared" si="62"/>
        <v>3.6982813789090896</v>
      </c>
      <c r="K220" s="3">
        <f t="shared" si="63"/>
        <v>0</v>
      </c>
      <c r="L220" s="7">
        <f t="shared" si="64"/>
        <v>0</v>
      </c>
      <c r="M220" t="s">
        <v>187</v>
      </c>
      <c r="O220" s="3">
        <f>E220-'314020 - P0624'!F220</f>
        <v>0</v>
      </c>
      <c r="P220" s="30">
        <f>I220-'314020 - P0624'!J220</f>
        <v>0</v>
      </c>
    </row>
    <row r="221" spans="1:16" x14ac:dyDescent="0.25">
      <c r="A221">
        <v>219</v>
      </c>
      <c r="C221" t="s">
        <v>8</v>
      </c>
      <c r="D221" s="4" t="s">
        <v>212</v>
      </c>
      <c r="E221" s="12">
        <v>2.66</v>
      </c>
      <c r="F221" s="12">
        <v>2.66</v>
      </c>
      <c r="G221" s="6">
        <f t="shared" si="60"/>
        <v>0</v>
      </c>
      <c r="H221" s="7">
        <f t="shared" si="61"/>
        <v>0</v>
      </c>
      <c r="I221" s="8">
        <v>4.4491697803636372</v>
      </c>
      <c r="J221" s="9">
        <f t="shared" si="62"/>
        <v>4.4491697803636372</v>
      </c>
      <c r="K221" s="3">
        <f t="shared" si="63"/>
        <v>0</v>
      </c>
      <c r="L221" s="7">
        <f t="shared" si="64"/>
        <v>0</v>
      </c>
      <c r="M221" t="s">
        <v>187</v>
      </c>
      <c r="O221" s="3">
        <f>E221-'314020 - P0624'!F221</f>
        <v>0</v>
      </c>
      <c r="P221" s="30">
        <f>I221-'314020 - P0624'!J221</f>
        <v>0</v>
      </c>
    </row>
    <row r="222" spans="1:16" x14ac:dyDescent="0.25">
      <c r="A222">
        <v>220</v>
      </c>
      <c r="C222" t="s">
        <v>8</v>
      </c>
      <c r="D222" s="4" t="s">
        <v>213</v>
      </c>
      <c r="E222" s="12">
        <v>2.85</v>
      </c>
      <c r="F222" s="12">
        <v>2.85</v>
      </c>
      <c r="G222" s="6">
        <f t="shared" si="60"/>
        <v>0</v>
      </c>
      <c r="H222" s="7">
        <f t="shared" si="61"/>
        <v>0</v>
      </c>
      <c r="I222" s="8">
        <v>7.25</v>
      </c>
      <c r="J222" s="9">
        <f t="shared" si="62"/>
        <v>7.25</v>
      </c>
      <c r="K222" s="3">
        <f t="shared" si="63"/>
        <v>0</v>
      </c>
      <c r="L222" s="7">
        <f t="shared" si="64"/>
        <v>0</v>
      </c>
      <c r="M222" t="s">
        <v>187</v>
      </c>
      <c r="O222" s="3">
        <f>E222-'314020 - P0624'!F222</f>
        <v>0</v>
      </c>
      <c r="P222" s="30">
        <f>I222-'314020 - P0624'!J222</f>
        <v>0</v>
      </c>
    </row>
    <row r="223" spans="1:16" x14ac:dyDescent="0.25">
      <c r="A223">
        <v>221</v>
      </c>
      <c r="C223" t="s">
        <v>8</v>
      </c>
      <c r="D223" s="4" t="s">
        <v>465</v>
      </c>
      <c r="E223" s="12">
        <v>2.5099999999999998</v>
      </c>
      <c r="F223" s="12">
        <v>2.5099999999999998</v>
      </c>
      <c r="G223" s="6">
        <f t="shared" si="60"/>
        <v>0</v>
      </c>
      <c r="H223" s="7">
        <f t="shared" si="61"/>
        <v>0</v>
      </c>
      <c r="I223" s="8">
        <v>4.32</v>
      </c>
      <c r="J223" s="9">
        <f t="shared" si="62"/>
        <v>4.32</v>
      </c>
      <c r="K223" s="3">
        <f t="shared" si="63"/>
        <v>0</v>
      </c>
      <c r="L223" s="7">
        <f t="shared" si="64"/>
        <v>0</v>
      </c>
      <c r="M223" t="s">
        <v>187</v>
      </c>
      <c r="O223" s="3">
        <f>E223-'314020 - P0624'!F223</f>
        <v>0</v>
      </c>
      <c r="P223" s="30">
        <f>I223-'314020 - P0624'!J223</f>
        <v>0</v>
      </c>
    </row>
    <row r="224" spans="1:16" x14ac:dyDescent="0.25">
      <c r="A224">
        <v>222</v>
      </c>
      <c r="C224" t="s">
        <v>8</v>
      </c>
      <c r="D224" s="4" t="s">
        <v>214</v>
      </c>
      <c r="E224" s="12">
        <v>2.69</v>
      </c>
      <c r="F224" s="12">
        <v>2.69</v>
      </c>
      <c r="G224" s="6">
        <f t="shared" si="60"/>
        <v>0</v>
      </c>
      <c r="H224" s="7">
        <f t="shared" si="61"/>
        <v>0</v>
      </c>
      <c r="I224" s="8">
        <v>4.49</v>
      </c>
      <c r="J224" s="9">
        <f t="shared" si="62"/>
        <v>4.49</v>
      </c>
      <c r="K224" s="3">
        <f t="shared" si="63"/>
        <v>0</v>
      </c>
      <c r="L224" s="7">
        <f t="shared" si="64"/>
        <v>0</v>
      </c>
      <c r="M224" t="s">
        <v>187</v>
      </c>
      <c r="O224" s="3">
        <f>E224-'314020 - P0624'!F224</f>
        <v>0</v>
      </c>
      <c r="P224" s="30">
        <f>I224-'314020 - P0624'!J224</f>
        <v>0</v>
      </c>
    </row>
    <row r="225" spans="1:16" x14ac:dyDescent="0.25">
      <c r="A225">
        <v>223</v>
      </c>
      <c r="C225" t="s">
        <v>8</v>
      </c>
      <c r="D225" s="4" t="s">
        <v>215</v>
      </c>
      <c r="E225" s="12">
        <v>0.45</v>
      </c>
      <c r="F225" s="12">
        <v>0.45</v>
      </c>
      <c r="G225" s="6">
        <f t="shared" si="60"/>
        <v>0</v>
      </c>
      <c r="H225" s="7">
        <f t="shared" si="61"/>
        <v>0</v>
      </c>
      <c r="I225" s="8">
        <v>0.70471188480000002</v>
      </c>
      <c r="J225" s="9">
        <f t="shared" si="62"/>
        <v>0.70471188480000002</v>
      </c>
      <c r="K225" s="3">
        <f t="shared" si="63"/>
        <v>0</v>
      </c>
      <c r="L225" s="7">
        <f t="shared" si="64"/>
        <v>0</v>
      </c>
      <c r="M225" t="s">
        <v>187</v>
      </c>
      <c r="O225" s="3">
        <f>E225-'314020 - P0624'!F225</f>
        <v>0</v>
      </c>
      <c r="P225" s="30">
        <f>I225-'314020 - P0624'!J225</f>
        <v>0</v>
      </c>
    </row>
    <row r="226" spans="1:16" x14ac:dyDescent="0.25">
      <c r="A226">
        <v>224</v>
      </c>
      <c r="C226" t="s">
        <v>8</v>
      </c>
      <c r="D226" s="4" t="s">
        <v>216</v>
      </c>
      <c r="E226" s="12">
        <v>1.1000000000000001</v>
      </c>
      <c r="F226" s="12">
        <v>1.1000000000000001</v>
      </c>
      <c r="G226" s="6">
        <f t="shared" si="60"/>
        <v>0</v>
      </c>
      <c r="H226" s="7">
        <f t="shared" si="61"/>
        <v>0</v>
      </c>
      <c r="I226" s="8">
        <v>1.23</v>
      </c>
      <c r="J226" s="9">
        <f t="shared" si="62"/>
        <v>1.23</v>
      </c>
      <c r="K226" s="3">
        <f t="shared" si="63"/>
        <v>0</v>
      </c>
      <c r="L226" s="7">
        <f t="shared" si="64"/>
        <v>0</v>
      </c>
      <c r="M226" t="s">
        <v>187</v>
      </c>
      <c r="O226" s="3">
        <f>E226-'314020 - P0624'!F226</f>
        <v>0</v>
      </c>
      <c r="P226" s="30">
        <f>I226-'314020 - P0624'!J226</f>
        <v>0</v>
      </c>
    </row>
    <row r="227" spans="1:16" x14ac:dyDescent="0.25">
      <c r="A227">
        <v>225</v>
      </c>
      <c r="C227" t="s">
        <v>8</v>
      </c>
      <c r="D227" s="4" t="s">
        <v>217</v>
      </c>
      <c r="E227" s="12">
        <v>1.1000000000000001</v>
      </c>
      <c r="F227" s="12">
        <v>1.1000000000000001</v>
      </c>
      <c r="G227" s="6">
        <f t="shared" si="60"/>
        <v>0</v>
      </c>
      <c r="H227" s="7">
        <f t="shared" si="61"/>
        <v>0</v>
      </c>
      <c r="I227" s="8">
        <v>1.8621752470588233</v>
      </c>
      <c r="J227" s="9">
        <f t="shared" si="62"/>
        <v>1.8621752470588233</v>
      </c>
      <c r="K227" s="3">
        <f t="shared" si="63"/>
        <v>0</v>
      </c>
      <c r="L227" s="7">
        <f t="shared" si="64"/>
        <v>0</v>
      </c>
      <c r="M227" t="s">
        <v>187</v>
      </c>
      <c r="O227" s="3">
        <f>E227-'314020 - P0624'!F227</f>
        <v>0</v>
      </c>
      <c r="P227" s="30">
        <f>I227-'314020 - P0624'!J227</f>
        <v>0</v>
      </c>
    </row>
    <row r="228" spans="1:16" x14ac:dyDescent="0.25">
      <c r="A228">
        <v>226</v>
      </c>
      <c r="C228" t="s">
        <v>8</v>
      </c>
      <c r="D228" s="4" t="s">
        <v>218</v>
      </c>
      <c r="E228" s="12">
        <v>1.28</v>
      </c>
      <c r="F228" s="12">
        <v>1.28</v>
      </c>
      <c r="G228" s="6">
        <f t="shared" si="60"/>
        <v>0</v>
      </c>
      <c r="H228" s="7">
        <f t="shared" si="61"/>
        <v>0</v>
      </c>
      <c r="I228" s="8">
        <v>2.3682151048101265</v>
      </c>
      <c r="J228" s="9">
        <f t="shared" si="62"/>
        <v>2.3682151048101265</v>
      </c>
      <c r="K228" s="3">
        <f t="shared" si="63"/>
        <v>0</v>
      </c>
      <c r="L228" s="7">
        <f t="shared" si="64"/>
        <v>0</v>
      </c>
      <c r="M228" t="s">
        <v>187</v>
      </c>
      <c r="O228" s="3">
        <f>E228-'314020 - P0624'!F228</f>
        <v>0</v>
      </c>
      <c r="P228" s="30">
        <f>I228-'314020 - P0624'!J228</f>
        <v>0</v>
      </c>
    </row>
    <row r="229" spans="1:16" x14ac:dyDescent="0.25">
      <c r="A229">
        <v>227</v>
      </c>
      <c r="C229" t="s">
        <v>8</v>
      </c>
      <c r="D229" s="4" t="s">
        <v>219</v>
      </c>
      <c r="E229" s="12">
        <v>2.64</v>
      </c>
      <c r="F229" s="12">
        <v>2.64</v>
      </c>
      <c r="G229" s="6">
        <f t="shared" si="60"/>
        <v>0</v>
      </c>
      <c r="H229" s="7">
        <f t="shared" si="61"/>
        <v>0</v>
      </c>
      <c r="I229" s="8">
        <v>5.58</v>
      </c>
      <c r="J229" s="9">
        <f t="shared" si="62"/>
        <v>5.58</v>
      </c>
      <c r="K229" s="3">
        <f t="shared" si="63"/>
        <v>0</v>
      </c>
      <c r="L229" s="7">
        <f t="shared" si="64"/>
        <v>0</v>
      </c>
      <c r="M229" t="s">
        <v>187</v>
      </c>
      <c r="O229" s="3">
        <f>E229-'314020 - P0624'!F229</f>
        <v>0</v>
      </c>
      <c r="P229" s="30">
        <f>I229-'314020 - P0624'!J229</f>
        <v>0</v>
      </c>
    </row>
    <row r="230" spans="1:16" x14ac:dyDescent="0.25">
      <c r="A230">
        <v>228</v>
      </c>
      <c r="C230" t="s">
        <v>8</v>
      </c>
      <c r="D230" s="4" t="s">
        <v>220</v>
      </c>
      <c r="E230" s="12">
        <v>0.09</v>
      </c>
      <c r="F230" s="12">
        <v>0.09</v>
      </c>
      <c r="G230" s="6">
        <f t="shared" si="60"/>
        <v>0</v>
      </c>
      <c r="H230" s="7">
        <f t="shared" si="61"/>
        <v>0</v>
      </c>
      <c r="I230" s="8">
        <v>0.19219415040000001</v>
      </c>
      <c r="J230" s="9">
        <f t="shared" si="62"/>
        <v>0.19219415040000001</v>
      </c>
      <c r="K230" s="3">
        <f t="shared" si="63"/>
        <v>0</v>
      </c>
      <c r="L230" s="7">
        <f t="shared" si="64"/>
        <v>0</v>
      </c>
      <c r="M230" t="s">
        <v>187</v>
      </c>
      <c r="O230" s="3">
        <f>E230-'314020 - P0624'!F230</f>
        <v>0</v>
      </c>
      <c r="P230" s="30">
        <f>I230-'314020 - P0624'!J230</f>
        <v>0</v>
      </c>
    </row>
    <row r="231" spans="1:16" x14ac:dyDescent="0.25">
      <c r="A231">
        <v>229</v>
      </c>
      <c r="C231" t="s">
        <v>8</v>
      </c>
      <c r="D231" s="4" t="s">
        <v>221</v>
      </c>
      <c r="E231" s="12">
        <v>1.01</v>
      </c>
      <c r="F231" s="12">
        <v>1.01</v>
      </c>
      <c r="G231" s="6">
        <f t="shared" si="60"/>
        <v>0</v>
      </c>
      <c r="H231" s="7">
        <f t="shared" si="61"/>
        <v>0</v>
      </c>
      <c r="I231" s="8">
        <v>1.6874188799999998</v>
      </c>
      <c r="J231" s="9">
        <f t="shared" si="62"/>
        <v>1.6874188799999998</v>
      </c>
      <c r="K231" s="3">
        <f t="shared" si="63"/>
        <v>0</v>
      </c>
      <c r="L231" s="7">
        <f t="shared" si="64"/>
        <v>0</v>
      </c>
      <c r="M231" t="s">
        <v>187</v>
      </c>
      <c r="O231" s="3">
        <f>E231-'314020 - P0624'!F231</f>
        <v>0</v>
      </c>
      <c r="P231" s="30">
        <f>I231-'314020 - P0624'!J231</f>
        <v>0</v>
      </c>
    </row>
    <row r="232" spans="1:16" x14ac:dyDescent="0.25">
      <c r="A232">
        <v>230</v>
      </c>
      <c r="C232" t="s">
        <v>8</v>
      </c>
      <c r="D232" s="4" t="s">
        <v>222</v>
      </c>
      <c r="E232" s="12">
        <v>0.06</v>
      </c>
      <c r="F232" s="12">
        <v>0.06</v>
      </c>
      <c r="G232" s="6">
        <f t="shared" si="60"/>
        <v>0</v>
      </c>
      <c r="H232" s="7">
        <f t="shared" si="61"/>
        <v>0</v>
      </c>
      <c r="I232" s="8">
        <v>2.29</v>
      </c>
      <c r="J232" s="9">
        <f t="shared" si="62"/>
        <v>2.29</v>
      </c>
      <c r="K232" s="3">
        <f t="shared" si="63"/>
        <v>0</v>
      </c>
      <c r="L232" s="7">
        <f t="shared" si="64"/>
        <v>0</v>
      </c>
      <c r="M232" t="s">
        <v>187</v>
      </c>
      <c r="O232" s="3">
        <f>E232-'314020 - P0624'!F232</f>
        <v>0</v>
      </c>
      <c r="P232" s="30">
        <f>I232-'314020 - P0624'!J232</f>
        <v>0</v>
      </c>
    </row>
    <row r="233" spans="1:16" x14ac:dyDescent="0.25">
      <c r="A233">
        <v>231</v>
      </c>
      <c r="C233" t="s">
        <v>8</v>
      </c>
      <c r="D233" s="4" t="s">
        <v>223</v>
      </c>
      <c r="E233" s="12">
        <v>4.1399999999999997</v>
      </c>
      <c r="F233" s="12">
        <v>4.1399999999999997</v>
      </c>
      <c r="G233" s="6">
        <f t="shared" si="60"/>
        <v>0</v>
      </c>
      <c r="H233" s="7">
        <f t="shared" si="61"/>
        <v>0</v>
      </c>
      <c r="I233" s="8">
        <v>6.49</v>
      </c>
      <c r="J233" s="9">
        <f t="shared" si="62"/>
        <v>6.49</v>
      </c>
      <c r="K233" s="3">
        <f t="shared" si="63"/>
        <v>0</v>
      </c>
      <c r="L233" s="7">
        <f t="shared" si="64"/>
        <v>0</v>
      </c>
      <c r="M233" t="s">
        <v>187</v>
      </c>
      <c r="O233" s="3">
        <f>E233-'314020 - P0624'!F233</f>
        <v>0</v>
      </c>
      <c r="P233" s="30">
        <f>I233-'314020 - P0624'!J233</f>
        <v>0</v>
      </c>
    </row>
    <row r="234" spans="1:16" x14ac:dyDescent="0.25">
      <c r="A234">
        <v>232</v>
      </c>
      <c r="C234" t="s">
        <v>8</v>
      </c>
      <c r="D234" s="4" t="s">
        <v>224</v>
      </c>
      <c r="E234" s="12">
        <v>24.6</v>
      </c>
      <c r="F234" s="12">
        <v>24.6</v>
      </c>
      <c r="G234" s="6">
        <f t="shared" si="60"/>
        <v>0</v>
      </c>
      <c r="H234" s="7">
        <f t="shared" si="61"/>
        <v>0</v>
      </c>
      <c r="I234" s="8">
        <v>37.85520480000001</v>
      </c>
      <c r="J234" s="9">
        <f t="shared" si="62"/>
        <v>37.85520480000001</v>
      </c>
      <c r="K234" s="3">
        <f t="shared" si="63"/>
        <v>0</v>
      </c>
      <c r="L234" s="7">
        <f t="shared" si="64"/>
        <v>0</v>
      </c>
      <c r="M234" t="s">
        <v>187</v>
      </c>
      <c r="O234" s="3">
        <f>E234-'314020 - P0624'!F234</f>
        <v>0</v>
      </c>
      <c r="P234" s="30">
        <f>I234-'314020 - P0624'!J234</f>
        <v>0</v>
      </c>
    </row>
    <row r="235" spans="1:16" x14ac:dyDescent="0.25">
      <c r="A235">
        <v>233</v>
      </c>
      <c r="C235" t="s">
        <v>8</v>
      </c>
      <c r="D235" s="4" t="s">
        <v>225</v>
      </c>
      <c r="E235" s="12">
        <v>8.41</v>
      </c>
      <c r="F235" s="12">
        <v>8.41</v>
      </c>
      <c r="G235" s="6">
        <f t="shared" si="60"/>
        <v>0</v>
      </c>
      <c r="H235" s="7">
        <f t="shared" si="61"/>
        <v>0</v>
      </c>
      <c r="I235" s="8">
        <v>17.605379996335873</v>
      </c>
      <c r="J235" s="9">
        <f t="shared" si="62"/>
        <v>17.605379996335873</v>
      </c>
      <c r="K235" s="3">
        <f t="shared" si="63"/>
        <v>0</v>
      </c>
      <c r="L235" s="7">
        <f t="shared" si="64"/>
        <v>0</v>
      </c>
      <c r="M235" t="s">
        <v>187</v>
      </c>
      <c r="O235" s="3">
        <f>E235-'314020 - P0624'!F235</f>
        <v>0</v>
      </c>
      <c r="P235" s="30">
        <f>I235-'314020 - P0624'!J235</f>
        <v>0</v>
      </c>
    </row>
    <row r="236" spans="1:16" x14ac:dyDescent="0.25">
      <c r="A236">
        <v>234</v>
      </c>
      <c r="C236" t="s">
        <v>8</v>
      </c>
      <c r="D236" s="4" t="s">
        <v>226</v>
      </c>
      <c r="E236" s="12">
        <v>19.87</v>
      </c>
      <c r="F236" s="12">
        <v>19.87</v>
      </c>
      <c r="G236" s="6">
        <f t="shared" si="60"/>
        <v>0</v>
      </c>
      <c r="H236" s="7">
        <f t="shared" si="61"/>
        <v>0</v>
      </c>
      <c r="I236" s="8">
        <v>37.722017205436892</v>
      </c>
      <c r="J236" s="9">
        <f t="shared" si="62"/>
        <v>37.722017205436892</v>
      </c>
      <c r="K236" s="3">
        <f t="shared" si="63"/>
        <v>0</v>
      </c>
      <c r="L236" s="7">
        <f t="shared" si="64"/>
        <v>0</v>
      </c>
      <c r="M236" t="s">
        <v>187</v>
      </c>
      <c r="O236" s="3">
        <f>E236-'314020 - P0624'!F236</f>
        <v>0</v>
      </c>
      <c r="P236" s="30">
        <f>I236-'314020 - P0624'!J236</f>
        <v>0</v>
      </c>
    </row>
    <row r="237" spans="1:16" x14ac:dyDescent="0.25">
      <c r="A237">
        <v>235</v>
      </c>
      <c r="C237" t="s">
        <v>8</v>
      </c>
      <c r="D237" s="4" t="s">
        <v>227</v>
      </c>
      <c r="E237" s="12">
        <v>19.89</v>
      </c>
      <c r="F237" s="12">
        <v>19.89</v>
      </c>
      <c r="G237" s="6">
        <f t="shared" si="60"/>
        <v>0</v>
      </c>
      <c r="H237" s="7">
        <f t="shared" si="61"/>
        <v>0</v>
      </c>
      <c r="I237" s="8">
        <v>39.222494967342996</v>
      </c>
      <c r="J237" s="9">
        <f t="shared" si="62"/>
        <v>39.222494967342996</v>
      </c>
      <c r="K237" s="3">
        <f t="shared" si="63"/>
        <v>0</v>
      </c>
      <c r="L237" s="7">
        <f t="shared" si="64"/>
        <v>0</v>
      </c>
      <c r="M237" t="s">
        <v>187</v>
      </c>
      <c r="O237" s="3">
        <f>E237-'314020 - P0624'!F237</f>
        <v>0</v>
      </c>
      <c r="P237" s="30">
        <f>I237-'314020 - P0624'!J237</f>
        <v>0</v>
      </c>
    </row>
    <row r="238" spans="1:16" x14ac:dyDescent="0.25">
      <c r="A238">
        <v>236</v>
      </c>
      <c r="C238" t="s">
        <v>8</v>
      </c>
      <c r="D238" s="4" t="s">
        <v>228</v>
      </c>
      <c r="E238" s="12">
        <v>4.71</v>
      </c>
      <c r="F238" s="12">
        <v>4.71</v>
      </c>
      <c r="G238" s="6">
        <f t="shared" si="60"/>
        <v>0</v>
      </c>
      <c r="H238" s="7">
        <f t="shared" si="61"/>
        <v>0</v>
      </c>
      <c r="I238" s="8">
        <v>11.98</v>
      </c>
      <c r="J238" s="9">
        <f t="shared" si="62"/>
        <v>11.98</v>
      </c>
      <c r="K238" s="3">
        <f t="shared" si="63"/>
        <v>0</v>
      </c>
      <c r="L238" s="7">
        <f t="shared" si="64"/>
        <v>0</v>
      </c>
      <c r="M238" t="s">
        <v>187</v>
      </c>
      <c r="O238" s="3">
        <f>E238-'314020 - P0624'!F238</f>
        <v>0</v>
      </c>
      <c r="P238" s="30">
        <f>I238-'314020 - P0624'!J238</f>
        <v>0</v>
      </c>
    </row>
    <row r="239" spans="1:16" x14ac:dyDescent="0.25">
      <c r="A239">
        <v>237</v>
      </c>
      <c r="C239" t="s">
        <v>8</v>
      </c>
      <c r="D239" s="4" t="s">
        <v>229</v>
      </c>
      <c r="E239" s="12">
        <v>51.79</v>
      </c>
      <c r="F239" s="12">
        <v>51.79</v>
      </c>
      <c r="G239" s="6">
        <f t="shared" si="60"/>
        <v>0</v>
      </c>
      <c r="H239" s="7">
        <f t="shared" si="61"/>
        <v>0</v>
      </c>
      <c r="I239" s="8">
        <v>79.680000000000007</v>
      </c>
      <c r="J239" s="9">
        <f t="shared" si="62"/>
        <v>79.680000000000007</v>
      </c>
      <c r="K239" s="3">
        <f t="shared" si="63"/>
        <v>0</v>
      </c>
      <c r="L239" s="7">
        <f t="shared" si="64"/>
        <v>0</v>
      </c>
      <c r="M239" t="s">
        <v>187</v>
      </c>
      <c r="O239" s="3">
        <f>E239-'314020 - P0624'!F239</f>
        <v>0</v>
      </c>
      <c r="P239" s="30">
        <f>I239-'314020 - P0624'!J239</f>
        <v>0</v>
      </c>
    </row>
    <row r="240" spans="1:16" x14ac:dyDescent="0.25">
      <c r="A240">
        <v>238</v>
      </c>
      <c r="C240" t="s">
        <v>8</v>
      </c>
      <c r="D240" s="4" t="s">
        <v>230</v>
      </c>
      <c r="E240" s="12">
        <v>9.76</v>
      </c>
      <c r="F240" s="12">
        <v>9.76</v>
      </c>
      <c r="G240" s="6">
        <f t="shared" si="60"/>
        <v>0</v>
      </c>
      <c r="H240" s="7">
        <f t="shared" si="61"/>
        <v>0</v>
      </c>
      <c r="I240" s="8">
        <v>19.82</v>
      </c>
      <c r="J240" s="9">
        <f t="shared" si="62"/>
        <v>19.82</v>
      </c>
      <c r="K240" s="3">
        <f t="shared" si="63"/>
        <v>0</v>
      </c>
      <c r="L240" s="7">
        <f t="shared" si="64"/>
        <v>0</v>
      </c>
      <c r="M240" t="s">
        <v>187</v>
      </c>
      <c r="O240" s="3">
        <f>E240-'314020 - P0624'!F240</f>
        <v>0</v>
      </c>
      <c r="P240" s="30">
        <f>I240-'314020 - P0624'!J240</f>
        <v>0</v>
      </c>
    </row>
    <row r="241" spans="1:16" x14ac:dyDescent="0.25">
      <c r="A241">
        <v>239</v>
      </c>
      <c r="C241" t="s">
        <v>8</v>
      </c>
      <c r="D241" s="4" t="s">
        <v>231</v>
      </c>
      <c r="E241" s="12">
        <v>2.87</v>
      </c>
      <c r="F241" s="12">
        <v>2.87</v>
      </c>
      <c r="G241" s="6">
        <f t="shared" si="60"/>
        <v>0</v>
      </c>
      <c r="H241" s="7">
        <f t="shared" si="61"/>
        <v>0</v>
      </c>
      <c r="I241" s="8">
        <v>5.82</v>
      </c>
      <c r="J241" s="9">
        <f t="shared" si="62"/>
        <v>5.82</v>
      </c>
      <c r="K241" s="3">
        <f t="shared" si="63"/>
        <v>0</v>
      </c>
      <c r="L241" s="7">
        <f t="shared" si="64"/>
        <v>0</v>
      </c>
      <c r="M241" t="s">
        <v>187</v>
      </c>
      <c r="O241" s="3">
        <f>E241-'314020 - P0624'!F241</f>
        <v>0</v>
      </c>
      <c r="P241" s="30">
        <f>I241-'314020 - P0624'!J241</f>
        <v>0</v>
      </c>
    </row>
    <row r="242" spans="1:16" x14ac:dyDescent="0.25">
      <c r="A242">
        <v>240</v>
      </c>
      <c r="D242" s="34" t="s">
        <v>232</v>
      </c>
      <c r="H242" s="10">
        <f>AVERAGE(H194:H237)</f>
        <v>0</v>
      </c>
      <c r="I242"/>
    </row>
    <row r="243" spans="1:16" x14ac:dyDescent="0.25">
      <c r="A243">
        <v>241</v>
      </c>
      <c r="D243" s="34" t="s">
        <v>233</v>
      </c>
      <c r="I243"/>
      <c r="M243" t="s">
        <v>234</v>
      </c>
      <c r="O243" s="3">
        <f>E243-'314020 - P0624'!F243</f>
        <v>0</v>
      </c>
      <c r="P243" s="30">
        <f>I243-'314020 - P0624'!J243</f>
        <v>0</v>
      </c>
    </row>
    <row r="244" spans="1:16" x14ac:dyDescent="0.25">
      <c r="A244">
        <v>242</v>
      </c>
      <c r="C244" t="s">
        <v>8</v>
      </c>
      <c r="D244" s="4" t="s">
        <v>235</v>
      </c>
      <c r="E244" s="12">
        <v>19.32</v>
      </c>
      <c r="F244" s="12">
        <v>19.32</v>
      </c>
      <c r="G244" s="6">
        <f t="shared" ref="G244:G248" si="65">+F244-E244</f>
        <v>0</v>
      </c>
      <c r="H244" s="7">
        <f t="shared" ref="H244:H248" si="66">(F244-E244)/ABS(E244)</f>
        <v>0</v>
      </c>
      <c r="I244" s="8">
        <v>43.363738242210459</v>
      </c>
      <c r="J244" s="9">
        <f t="shared" ref="J244:J248" si="67">(I244*H244)+I244</f>
        <v>43.363738242210459</v>
      </c>
      <c r="K244" s="3">
        <f t="shared" ref="K244:K248" si="68">J244-I244</f>
        <v>0</v>
      </c>
      <c r="L244" s="7">
        <f t="shared" ref="L244:L248" si="69">(J244-I244)/ABS(I244)</f>
        <v>0</v>
      </c>
      <c r="M244" t="s">
        <v>234</v>
      </c>
      <c r="O244" s="3">
        <f>E244-'314020 - P0624'!F244</f>
        <v>0</v>
      </c>
      <c r="P244" s="30">
        <f>I244-'314020 - P0624'!J244</f>
        <v>0</v>
      </c>
    </row>
    <row r="245" spans="1:16" x14ac:dyDescent="0.25">
      <c r="A245">
        <v>243</v>
      </c>
      <c r="C245" t="s">
        <v>8</v>
      </c>
      <c r="D245" s="4" t="s">
        <v>236</v>
      </c>
      <c r="E245" s="12">
        <v>25.76</v>
      </c>
      <c r="F245" s="12">
        <v>25.76</v>
      </c>
      <c r="G245" s="6">
        <f t="shared" si="65"/>
        <v>0</v>
      </c>
      <c r="H245" s="7">
        <f t="shared" si="66"/>
        <v>0</v>
      </c>
      <c r="I245" s="8">
        <v>54.72</v>
      </c>
      <c r="J245" s="9">
        <f t="shared" si="67"/>
        <v>54.72</v>
      </c>
      <c r="K245" s="3">
        <f t="shared" si="68"/>
        <v>0</v>
      </c>
      <c r="L245" s="7">
        <f t="shared" si="69"/>
        <v>0</v>
      </c>
      <c r="M245" t="s">
        <v>234</v>
      </c>
      <c r="O245" s="3">
        <f>E245-'314020 - P0624'!F245</f>
        <v>0</v>
      </c>
      <c r="P245" s="30">
        <f>I245-'314020 - P0624'!J245</f>
        <v>0</v>
      </c>
    </row>
    <row r="246" spans="1:16" x14ac:dyDescent="0.25">
      <c r="A246">
        <v>244</v>
      </c>
      <c r="C246" t="s">
        <v>8</v>
      </c>
      <c r="D246" s="4" t="s">
        <v>237</v>
      </c>
      <c r="E246" s="12">
        <v>26.28</v>
      </c>
      <c r="F246" s="12">
        <v>26.28</v>
      </c>
      <c r="G246" s="6">
        <f t="shared" si="65"/>
        <v>0</v>
      </c>
      <c r="H246" s="7">
        <f t="shared" si="66"/>
        <v>0</v>
      </c>
      <c r="I246" s="8">
        <v>41.047300934300516</v>
      </c>
      <c r="J246" s="9">
        <f t="shared" si="67"/>
        <v>41.047300934300516</v>
      </c>
      <c r="K246" s="3">
        <f t="shared" si="68"/>
        <v>0</v>
      </c>
      <c r="L246" s="7">
        <f t="shared" si="69"/>
        <v>0</v>
      </c>
      <c r="M246" t="s">
        <v>234</v>
      </c>
      <c r="O246" s="3">
        <f>E246-'314020 - P0624'!F246</f>
        <v>0</v>
      </c>
      <c r="P246" s="30">
        <f>I246-'314020 - P0624'!J246</f>
        <v>0</v>
      </c>
    </row>
    <row r="247" spans="1:16" x14ac:dyDescent="0.25">
      <c r="A247">
        <v>245</v>
      </c>
      <c r="C247" t="s">
        <v>8</v>
      </c>
      <c r="D247" s="4" t="s">
        <v>238</v>
      </c>
      <c r="E247" s="12">
        <v>35.04</v>
      </c>
      <c r="F247" s="12">
        <v>35.04</v>
      </c>
      <c r="G247" s="6">
        <f t="shared" si="65"/>
        <v>0</v>
      </c>
      <c r="H247" s="7">
        <f t="shared" si="66"/>
        <v>0</v>
      </c>
      <c r="I247" s="8">
        <v>54.724364707150258</v>
      </c>
      <c r="J247" s="9">
        <f t="shared" si="67"/>
        <v>54.724364707150258</v>
      </c>
      <c r="K247" s="3">
        <f t="shared" si="68"/>
        <v>0</v>
      </c>
      <c r="L247" s="7">
        <f t="shared" si="69"/>
        <v>0</v>
      </c>
      <c r="M247" t="s">
        <v>234</v>
      </c>
      <c r="O247" s="3">
        <f>E247-'314020 - P0624'!F247</f>
        <v>0</v>
      </c>
      <c r="P247" s="30">
        <f>I247-'314020 - P0624'!J247</f>
        <v>0</v>
      </c>
    </row>
    <row r="248" spans="1:16" x14ac:dyDescent="0.25">
      <c r="A248">
        <v>246</v>
      </c>
      <c r="C248" t="s">
        <v>8</v>
      </c>
      <c r="D248" s="4" t="s">
        <v>239</v>
      </c>
      <c r="E248" s="12">
        <v>43.8</v>
      </c>
      <c r="F248" s="12">
        <v>43.8</v>
      </c>
      <c r="G248" s="6">
        <f t="shared" si="65"/>
        <v>0</v>
      </c>
      <c r="H248" s="7">
        <f t="shared" si="66"/>
        <v>0</v>
      </c>
      <c r="I248" s="8">
        <v>68.401428479999993</v>
      </c>
      <c r="J248" s="9">
        <f t="shared" si="67"/>
        <v>68.401428479999993</v>
      </c>
      <c r="K248" s="3">
        <f t="shared" si="68"/>
        <v>0</v>
      </c>
      <c r="L248" s="7">
        <f t="shared" si="69"/>
        <v>0</v>
      </c>
      <c r="M248" t="s">
        <v>234</v>
      </c>
      <c r="O248" s="3">
        <f>E248-'314020 - P0624'!F248</f>
        <v>0</v>
      </c>
      <c r="P248" s="30">
        <f>I248-'314020 - P0624'!J248</f>
        <v>0</v>
      </c>
    </row>
    <row r="249" spans="1:16" x14ac:dyDescent="0.25">
      <c r="A249">
        <v>247</v>
      </c>
      <c r="D249" s="34" t="s">
        <v>240</v>
      </c>
      <c r="H249" s="10">
        <f>AVERAGE(H244:H248)</f>
        <v>0</v>
      </c>
      <c r="I249"/>
    </row>
    <row r="250" spans="1:16" x14ac:dyDescent="0.25">
      <c r="A250">
        <v>248</v>
      </c>
      <c r="D250" s="34" t="s">
        <v>241</v>
      </c>
      <c r="I250"/>
    </row>
    <row r="251" spans="1:16" x14ac:dyDescent="0.25">
      <c r="A251">
        <v>249</v>
      </c>
      <c r="C251" t="s">
        <v>8</v>
      </c>
      <c r="D251" s="4" t="s">
        <v>242</v>
      </c>
      <c r="E251" s="12">
        <v>8.2200000000000006</v>
      </c>
      <c r="F251" s="11">
        <v>8.2200000000000006</v>
      </c>
      <c r="G251" s="6">
        <f t="shared" ref="G251:G295" si="70">+F251-E251</f>
        <v>0</v>
      </c>
      <c r="H251" s="7">
        <f t="shared" ref="H251:H295" si="71">(F251-E251)/ABS(E251)</f>
        <v>0</v>
      </c>
      <c r="I251" s="8">
        <v>28.54202272220985</v>
      </c>
      <c r="J251" s="9">
        <f t="shared" ref="J251:J295" si="72">(I251*H251)+I251</f>
        <v>28.54202272220985</v>
      </c>
      <c r="K251" s="3">
        <f t="shared" ref="K251:K295" si="73">J251-I251</f>
        <v>0</v>
      </c>
      <c r="L251" s="7">
        <f t="shared" ref="L251:L295" si="74">(J251-I251)/ABS(I251)</f>
        <v>0</v>
      </c>
      <c r="M251" t="s">
        <v>150</v>
      </c>
      <c r="O251" s="3">
        <f>E251-'314020 - P0624'!F251</f>
        <v>0</v>
      </c>
      <c r="P251" s="30">
        <f>I251-'314020 - P0624'!J251</f>
        <v>0</v>
      </c>
    </row>
    <row r="252" spans="1:16" x14ac:dyDescent="0.25">
      <c r="A252">
        <v>250</v>
      </c>
      <c r="C252" t="s">
        <v>8</v>
      </c>
      <c r="D252" s="4" t="s">
        <v>243</v>
      </c>
      <c r="E252" s="12">
        <v>7.68</v>
      </c>
      <c r="F252" s="11">
        <v>7.68</v>
      </c>
      <c r="G252" s="6">
        <f t="shared" si="70"/>
        <v>0</v>
      </c>
      <c r="H252" s="7">
        <f t="shared" si="71"/>
        <v>0</v>
      </c>
      <c r="I252" s="8">
        <v>16.421831032972253</v>
      </c>
      <c r="J252" s="9">
        <f t="shared" si="72"/>
        <v>16.421831032972253</v>
      </c>
      <c r="K252" s="3">
        <f t="shared" si="73"/>
        <v>0</v>
      </c>
      <c r="L252" s="7">
        <f t="shared" si="74"/>
        <v>0</v>
      </c>
      <c r="M252" t="s">
        <v>150</v>
      </c>
      <c r="O252" s="3">
        <f>E252-'314020 - P0624'!F252</f>
        <v>0</v>
      </c>
      <c r="P252" s="30">
        <f>I252-'314020 - P0624'!J252</f>
        <v>0</v>
      </c>
    </row>
    <row r="253" spans="1:16" x14ac:dyDescent="0.25">
      <c r="A253">
        <v>251</v>
      </c>
      <c r="C253" t="s">
        <v>8</v>
      </c>
      <c r="D253" s="4" t="s">
        <v>244</v>
      </c>
      <c r="E253" s="12">
        <v>58.2</v>
      </c>
      <c r="F253" s="12">
        <v>58.2</v>
      </c>
      <c r="G253" s="6">
        <f t="shared" si="70"/>
        <v>0</v>
      </c>
      <c r="H253" s="7">
        <f t="shared" si="71"/>
        <v>0</v>
      </c>
      <c r="I253" s="8">
        <v>83.610119999999995</v>
      </c>
      <c r="J253" s="9">
        <f t="shared" si="72"/>
        <v>83.610119999999995</v>
      </c>
      <c r="K253" s="3">
        <f t="shared" si="73"/>
        <v>0</v>
      </c>
      <c r="L253" s="7">
        <f t="shared" si="74"/>
        <v>0</v>
      </c>
      <c r="M253" t="s">
        <v>150</v>
      </c>
      <c r="O253" s="3">
        <f>E253-'314020 - P0624'!F253</f>
        <v>0</v>
      </c>
      <c r="P253" s="30">
        <f>I253-'314020 - P0624'!J253</f>
        <v>0</v>
      </c>
    </row>
    <row r="254" spans="1:16" x14ac:dyDescent="0.25">
      <c r="A254">
        <v>252</v>
      </c>
      <c r="C254" t="s">
        <v>8</v>
      </c>
      <c r="D254" s="4" t="s">
        <v>245</v>
      </c>
      <c r="E254" s="12">
        <v>3.75</v>
      </c>
      <c r="F254" s="12">
        <v>3.75</v>
      </c>
      <c r="G254" s="6">
        <f t="shared" si="70"/>
        <v>0</v>
      </c>
      <c r="H254" s="7">
        <f t="shared" si="71"/>
        <v>0</v>
      </c>
      <c r="I254" s="8">
        <v>7.7840909090909092</v>
      </c>
      <c r="J254" s="9">
        <f t="shared" si="72"/>
        <v>7.7840909090909092</v>
      </c>
      <c r="K254" s="3">
        <f t="shared" si="73"/>
        <v>0</v>
      </c>
      <c r="L254" s="7">
        <f t="shared" si="74"/>
        <v>0</v>
      </c>
      <c r="M254" t="s">
        <v>150</v>
      </c>
      <c r="O254" s="3">
        <f>E254-'314020 - P0624'!F254</f>
        <v>0</v>
      </c>
      <c r="P254" s="30">
        <f>I254-'314020 - P0624'!J254</f>
        <v>0</v>
      </c>
    </row>
    <row r="255" spans="1:16" x14ac:dyDescent="0.25">
      <c r="A255">
        <v>253</v>
      </c>
      <c r="C255" t="s">
        <v>8</v>
      </c>
      <c r="D255" s="4" t="s">
        <v>246</v>
      </c>
      <c r="E255" s="12">
        <v>7.34</v>
      </c>
      <c r="F255" s="11">
        <v>7.34</v>
      </c>
      <c r="G255" s="6">
        <f t="shared" si="70"/>
        <v>0</v>
      </c>
      <c r="H255" s="7">
        <f t="shared" si="71"/>
        <v>0</v>
      </c>
      <c r="I255" s="8">
        <v>27.961904761904762</v>
      </c>
      <c r="J255" s="9">
        <f t="shared" si="72"/>
        <v>27.961904761904762</v>
      </c>
      <c r="K255" s="3">
        <f t="shared" si="73"/>
        <v>0</v>
      </c>
      <c r="L255" s="7">
        <f t="shared" si="74"/>
        <v>0</v>
      </c>
      <c r="M255" t="s">
        <v>150</v>
      </c>
      <c r="O255" s="3">
        <f>E255-'314020 - P0624'!F255</f>
        <v>0</v>
      </c>
      <c r="P255" s="30">
        <f>I255-'314020 - P0624'!J255</f>
        <v>0</v>
      </c>
    </row>
    <row r="256" spans="1:16" x14ac:dyDescent="0.25">
      <c r="A256">
        <v>254</v>
      </c>
      <c r="C256" t="s">
        <v>8</v>
      </c>
      <c r="D256" s="4" t="s">
        <v>247</v>
      </c>
      <c r="E256" s="12">
        <v>13.75</v>
      </c>
      <c r="F256" s="12">
        <v>13.75</v>
      </c>
      <c r="G256" s="6">
        <f t="shared" si="70"/>
        <v>0</v>
      </c>
      <c r="H256" s="7">
        <f t="shared" si="71"/>
        <v>0</v>
      </c>
      <c r="I256" s="8">
        <v>17.348837209302324</v>
      </c>
      <c r="J256" s="9">
        <f t="shared" si="72"/>
        <v>17.348837209302324</v>
      </c>
      <c r="K256" s="3">
        <f t="shared" si="73"/>
        <v>0</v>
      </c>
      <c r="L256" s="7">
        <f t="shared" si="74"/>
        <v>0</v>
      </c>
      <c r="M256" t="s">
        <v>150</v>
      </c>
      <c r="O256" s="3">
        <f>E256-'314020 - P0624'!F256</f>
        <v>0</v>
      </c>
      <c r="P256" s="30">
        <f>I256-'314020 - P0624'!J256</f>
        <v>0</v>
      </c>
    </row>
    <row r="257" spans="1:16" x14ac:dyDescent="0.25">
      <c r="A257">
        <v>255</v>
      </c>
      <c r="C257" t="s">
        <v>8</v>
      </c>
      <c r="D257" s="4" t="s">
        <v>248</v>
      </c>
      <c r="E257" s="12">
        <v>10.25</v>
      </c>
      <c r="F257" s="12">
        <v>10.25</v>
      </c>
      <c r="G257" s="6">
        <f t="shared" si="70"/>
        <v>0</v>
      </c>
      <c r="H257" s="7">
        <f t="shared" si="71"/>
        <v>0</v>
      </c>
      <c r="I257" s="8">
        <v>13.461538461538462</v>
      </c>
      <c r="J257" s="9">
        <f t="shared" si="72"/>
        <v>13.461538461538462</v>
      </c>
      <c r="K257" s="3">
        <f t="shared" si="73"/>
        <v>0</v>
      </c>
      <c r="L257" s="7">
        <f t="shared" si="74"/>
        <v>0</v>
      </c>
      <c r="M257" t="s">
        <v>150</v>
      </c>
      <c r="O257" s="3">
        <f>E257-'314020 - P0624'!F257</f>
        <v>0</v>
      </c>
      <c r="P257" s="30">
        <f>I257-'314020 - P0624'!J257</f>
        <v>0</v>
      </c>
    </row>
    <row r="258" spans="1:16" x14ac:dyDescent="0.25">
      <c r="A258">
        <v>256</v>
      </c>
      <c r="C258" t="s">
        <v>8</v>
      </c>
      <c r="D258" s="4" t="s">
        <v>249</v>
      </c>
      <c r="E258" s="12">
        <v>5.75</v>
      </c>
      <c r="F258" s="12">
        <v>5.75</v>
      </c>
      <c r="G258" s="6">
        <f t="shared" si="70"/>
        <v>0</v>
      </c>
      <c r="H258" s="7">
        <f t="shared" si="71"/>
        <v>0</v>
      </c>
      <c r="I258" s="8">
        <v>15.717408000000002</v>
      </c>
      <c r="J258" s="9">
        <f t="shared" si="72"/>
        <v>15.717408000000002</v>
      </c>
      <c r="K258" s="3">
        <f t="shared" si="73"/>
        <v>0</v>
      </c>
      <c r="L258" s="7">
        <f t="shared" si="74"/>
        <v>0</v>
      </c>
      <c r="M258" t="s">
        <v>187</v>
      </c>
      <c r="O258" s="3">
        <f>E258-'314020 - P0624'!F258</f>
        <v>0</v>
      </c>
      <c r="P258" s="30">
        <f>I258-'314020 - P0624'!J258</f>
        <v>0</v>
      </c>
    </row>
    <row r="259" spans="1:16" x14ac:dyDescent="0.25">
      <c r="A259">
        <v>257</v>
      </c>
      <c r="C259" t="s">
        <v>8</v>
      </c>
      <c r="D259" s="4" t="s">
        <v>250</v>
      </c>
      <c r="E259" s="12">
        <v>18.22</v>
      </c>
      <c r="F259" s="5">
        <v>18.22</v>
      </c>
      <c r="G259" s="6">
        <f t="shared" si="70"/>
        <v>0</v>
      </c>
      <c r="H259" s="7">
        <f t="shared" si="71"/>
        <v>0</v>
      </c>
      <c r="I259" s="8">
        <v>36.44</v>
      </c>
      <c r="J259" s="9">
        <f t="shared" si="72"/>
        <v>36.44</v>
      </c>
      <c r="K259" s="3">
        <f t="shared" si="73"/>
        <v>0</v>
      </c>
      <c r="L259" s="7">
        <f t="shared" si="74"/>
        <v>0</v>
      </c>
      <c r="M259" t="s">
        <v>150</v>
      </c>
      <c r="O259" s="3">
        <f>E259-'314020 - P0624'!F259</f>
        <v>0</v>
      </c>
      <c r="P259" s="30">
        <f>I259-'314020 - P0624'!J259</f>
        <v>0</v>
      </c>
    </row>
    <row r="260" spans="1:16" x14ac:dyDescent="0.25">
      <c r="A260">
        <v>258</v>
      </c>
      <c r="C260" t="s">
        <v>8</v>
      </c>
      <c r="D260" s="4" t="s">
        <v>251</v>
      </c>
      <c r="E260" s="12">
        <v>2.21</v>
      </c>
      <c r="F260" s="5">
        <v>2.21</v>
      </c>
      <c r="G260" s="6">
        <f t="shared" si="70"/>
        <v>0</v>
      </c>
      <c r="H260" s="7">
        <f t="shared" si="71"/>
        <v>0</v>
      </c>
      <c r="I260" s="8">
        <v>4.5939072847682123</v>
      </c>
      <c r="J260" s="9">
        <f t="shared" si="72"/>
        <v>4.5939072847682123</v>
      </c>
      <c r="K260" s="3">
        <f t="shared" si="73"/>
        <v>0</v>
      </c>
      <c r="L260" s="7">
        <f t="shared" si="74"/>
        <v>0</v>
      </c>
      <c r="M260" t="s">
        <v>150</v>
      </c>
      <c r="O260" s="3">
        <f>E260-'314020 - P0624'!F260</f>
        <v>0</v>
      </c>
      <c r="P260" s="30">
        <f>I260-'314020 - P0624'!J260</f>
        <v>0</v>
      </c>
    </row>
    <row r="261" spans="1:16" x14ac:dyDescent="0.25">
      <c r="A261">
        <v>259</v>
      </c>
      <c r="C261" t="s">
        <v>8</v>
      </c>
      <c r="D261" s="4" t="s">
        <v>252</v>
      </c>
      <c r="E261" s="12">
        <v>3.3</v>
      </c>
      <c r="F261" s="5">
        <v>3.3</v>
      </c>
      <c r="G261" s="6">
        <f t="shared" si="70"/>
        <v>0</v>
      </c>
      <c r="H261" s="7">
        <f t="shared" si="71"/>
        <v>0</v>
      </c>
      <c r="I261" s="8">
        <v>7.177170731707319</v>
      </c>
      <c r="J261" s="9">
        <f t="shared" si="72"/>
        <v>7.177170731707319</v>
      </c>
      <c r="K261" s="3">
        <f t="shared" si="73"/>
        <v>0</v>
      </c>
      <c r="L261" s="7">
        <f t="shared" si="74"/>
        <v>0</v>
      </c>
      <c r="M261" t="s">
        <v>150</v>
      </c>
      <c r="O261" s="3">
        <f>E261-'314020 - P0624'!F261</f>
        <v>0</v>
      </c>
      <c r="P261" s="30">
        <f>I261-'314020 - P0624'!J261</f>
        <v>0</v>
      </c>
    </row>
    <row r="262" spans="1:16" x14ac:dyDescent="0.25">
      <c r="A262">
        <v>260</v>
      </c>
      <c r="C262" t="s">
        <v>8</v>
      </c>
      <c r="D262" s="4" t="s">
        <v>253</v>
      </c>
      <c r="E262" s="12">
        <v>123.23</v>
      </c>
      <c r="F262" s="12">
        <v>123.23</v>
      </c>
      <c r="G262" s="6">
        <f t="shared" si="70"/>
        <v>0</v>
      </c>
      <c r="H262" s="7">
        <f t="shared" si="71"/>
        <v>0</v>
      </c>
      <c r="I262" s="8">
        <v>262.95999999999998</v>
      </c>
      <c r="J262" s="9">
        <f t="shared" si="72"/>
        <v>262.95999999999998</v>
      </c>
      <c r="K262" s="3">
        <f t="shared" si="73"/>
        <v>0</v>
      </c>
      <c r="L262" s="7">
        <f t="shared" si="74"/>
        <v>0</v>
      </c>
      <c r="M262" t="s">
        <v>150</v>
      </c>
      <c r="O262" s="3">
        <f>E262-'314020 - P0624'!F262</f>
        <v>0</v>
      </c>
      <c r="P262" s="30">
        <f>I262-'314020 - P0624'!J262</f>
        <v>0</v>
      </c>
    </row>
    <row r="263" spans="1:16" x14ac:dyDescent="0.25">
      <c r="A263">
        <v>261</v>
      </c>
      <c r="C263" t="s">
        <v>8</v>
      </c>
      <c r="D263" s="4" t="s">
        <v>254</v>
      </c>
      <c r="E263" s="12">
        <v>121.84</v>
      </c>
      <c r="F263" s="12">
        <v>121.84</v>
      </c>
      <c r="G263" s="6">
        <f t="shared" si="70"/>
        <v>0</v>
      </c>
      <c r="H263" s="7">
        <f t="shared" si="71"/>
        <v>0</v>
      </c>
      <c r="I263" s="8">
        <v>219.99</v>
      </c>
      <c r="J263" s="9">
        <f t="shared" si="72"/>
        <v>219.99</v>
      </c>
      <c r="K263" s="3">
        <f t="shared" si="73"/>
        <v>0</v>
      </c>
      <c r="L263" s="7">
        <f t="shared" si="74"/>
        <v>0</v>
      </c>
      <c r="M263" t="s">
        <v>150</v>
      </c>
      <c r="O263" s="3">
        <f>E263-'314020 - P0624'!F263</f>
        <v>0</v>
      </c>
      <c r="P263" s="30">
        <f>I263-'314020 - P0624'!J263</f>
        <v>0</v>
      </c>
    </row>
    <row r="264" spans="1:16" x14ac:dyDescent="0.25">
      <c r="A264">
        <v>262</v>
      </c>
      <c r="C264" t="s">
        <v>8</v>
      </c>
      <c r="D264" s="4" t="s">
        <v>255</v>
      </c>
      <c r="E264" s="5">
        <v>10.8</v>
      </c>
      <c r="F264" s="5">
        <v>10.8</v>
      </c>
      <c r="G264" s="6">
        <f t="shared" si="70"/>
        <v>0</v>
      </c>
      <c r="H264" s="7">
        <f t="shared" si="71"/>
        <v>0</v>
      </c>
      <c r="I264" s="8">
        <v>23.043154761904759</v>
      </c>
      <c r="J264" s="9">
        <f t="shared" si="72"/>
        <v>23.043154761904759</v>
      </c>
      <c r="K264" s="3">
        <f t="shared" si="73"/>
        <v>0</v>
      </c>
      <c r="L264" s="7">
        <f t="shared" si="74"/>
        <v>0</v>
      </c>
      <c r="M264" s="7" t="s">
        <v>150</v>
      </c>
      <c r="O264" s="3">
        <f>E264-'314020 - P0624'!F264</f>
        <v>0</v>
      </c>
      <c r="P264" s="30">
        <f>I264-'314020 - P0624'!J264</f>
        <v>0</v>
      </c>
    </row>
    <row r="265" spans="1:16" x14ac:dyDescent="0.25">
      <c r="A265">
        <v>263</v>
      </c>
      <c r="C265" t="s">
        <v>8</v>
      </c>
      <c r="D265" s="4" t="s">
        <v>256</v>
      </c>
      <c r="E265" s="5">
        <v>12.96</v>
      </c>
      <c r="F265" s="5">
        <v>12.96</v>
      </c>
      <c r="G265" s="6">
        <f t="shared" si="70"/>
        <v>0</v>
      </c>
      <c r="H265" s="7">
        <f t="shared" si="71"/>
        <v>0</v>
      </c>
      <c r="I265" s="8">
        <v>30.49</v>
      </c>
      <c r="J265" s="9">
        <f t="shared" si="72"/>
        <v>30.49</v>
      </c>
      <c r="K265" s="3">
        <f t="shared" si="73"/>
        <v>0</v>
      </c>
      <c r="L265" s="7">
        <f t="shared" si="74"/>
        <v>0</v>
      </c>
      <c r="M265" s="7" t="s">
        <v>150</v>
      </c>
      <c r="O265" s="3">
        <f>E265-'314020 - P0624'!F265</f>
        <v>0</v>
      </c>
      <c r="P265" s="30">
        <f>I265-'314020 - P0624'!J265</f>
        <v>0</v>
      </c>
    </row>
    <row r="266" spans="1:16" x14ac:dyDescent="0.25">
      <c r="A266">
        <v>264</v>
      </c>
      <c r="C266" t="s">
        <v>8</v>
      </c>
      <c r="D266" s="4" t="s">
        <v>257</v>
      </c>
      <c r="E266" s="5">
        <v>8.35</v>
      </c>
      <c r="F266" s="5">
        <v>8.35</v>
      </c>
      <c r="G266" s="6">
        <f t="shared" si="70"/>
        <v>0</v>
      </c>
      <c r="H266" s="7">
        <f t="shared" si="71"/>
        <v>0</v>
      </c>
      <c r="I266" s="8">
        <v>17.815772431657845</v>
      </c>
      <c r="J266" s="9">
        <f t="shared" si="72"/>
        <v>17.815772431657845</v>
      </c>
      <c r="K266" s="3">
        <f t="shared" si="73"/>
        <v>0</v>
      </c>
      <c r="L266" s="7">
        <f t="shared" si="74"/>
        <v>0</v>
      </c>
      <c r="M266" t="s">
        <v>150</v>
      </c>
      <c r="O266" s="3">
        <f>E266-'314020 - P0624'!F266</f>
        <v>0</v>
      </c>
      <c r="P266" s="30">
        <f>I266-'314020 - P0624'!J266</f>
        <v>0</v>
      </c>
    </row>
    <row r="267" spans="1:16" x14ac:dyDescent="0.25">
      <c r="A267">
        <v>265</v>
      </c>
      <c r="C267" t="s">
        <v>8</v>
      </c>
      <c r="D267" s="4" t="s">
        <v>258</v>
      </c>
      <c r="E267" s="5">
        <v>3.44</v>
      </c>
      <c r="F267" s="5">
        <v>3.44</v>
      </c>
      <c r="G267" s="6">
        <f t="shared" si="70"/>
        <v>0</v>
      </c>
      <c r="H267" s="7">
        <f t="shared" si="71"/>
        <v>0</v>
      </c>
      <c r="I267" s="8">
        <v>6.5289583333333336</v>
      </c>
      <c r="J267" s="9">
        <f t="shared" si="72"/>
        <v>6.5289583333333336</v>
      </c>
      <c r="K267" s="3">
        <f t="shared" si="73"/>
        <v>0</v>
      </c>
      <c r="L267" s="7">
        <f t="shared" si="74"/>
        <v>0</v>
      </c>
      <c r="M267" t="s">
        <v>150</v>
      </c>
      <c r="O267" s="3">
        <f>E267-'314020 - P0624'!F267</f>
        <v>0</v>
      </c>
      <c r="P267" s="30">
        <f>I267-'314020 - P0624'!J267</f>
        <v>0</v>
      </c>
    </row>
    <row r="268" spans="1:16" x14ac:dyDescent="0.25">
      <c r="A268">
        <v>266</v>
      </c>
      <c r="C268" t="s">
        <v>8</v>
      </c>
      <c r="D268" s="4" t="s">
        <v>259</v>
      </c>
      <c r="E268" s="5">
        <v>2.64</v>
      </c>
      <c r="F268" s="5">
        <v>2.64</v>
      </c>
      <c r="G268" s="6">
        <f t="shared" si="70"/>
        <v>0</v>
      </c>
      <c r="H268" s="7">
        <f t="shared" si="71"/>
        <v>0</v>
      </c>
      <c r="I268" s="8">
        <v>5.9648076923076916</v>
      </c>
      <c r="J268" s="9">
        <f t="shared" si="72"/>
        <v>5.9648076923076916</v>
      </c>
      <c r="K268" s="3">
        <f t="shared" si="73"/>
        <v>0</v>
      </c>
      <c r="L268" s="7">
        <f t="shared" si="74"/>
        <v>0</v>
      </c>
      <c r="M268" t="s">
        <v>150</v>
      </c>
      <c r="O268" s="3">
        <f>E268-'314020 - P0624'!F268</f>
        <v>0</v>
      </c>
      <c r="P268" s="30">
        <f>I268-'314020 - P0624'!J268</f>
        <v>0</v>
      </c>
    </row>
    <row r="269" spans="1:16" x14ac:dyDescent="0.25">
      <c r="A269">
        <v>267</v>
      </c>
      <c r="C269" t="s">
        <v>8</v>
      </c>
      <c r="D269" s="4" t="s">
        <v>260</v>
      </c>
      <c r="E269" s="5">
        <v>2.64</v>
      </c>
      <c r="F269" s="5">
        <v>2.64</v>
      </c>
      <c r="G269" s="6">
        <f t="shared" si="70"/>
        <v>0</v>
      </c>
      <c r="H269" s="7">
        <f t="shared" si="71"/>
        <v>0</v>
      </c>
      <c r="I269" s="8">
        <v>4.9814285714285704</v>
      </c>
      <c r="J269" s="9">
        <f t="shared" si="72"/>
        <v>4.9814285714285704</v>
      </c>
      <c r="K269" s="3">
        <f t="shared" si="73"/>
        <v>0</v>
      </c>
      <c r="L269" s="7">
        <f t="shared" si="74"/>
        <v>0</v>
      </c>
      <c r="M269" t="s">
        <v>150</v>
      </c>
      <c r="O269" s="3">
        <f>E269-'314020 - P0624'!F269</f>
        <v>0</v>
      </c>
      <c r="P269" s="30">
        <f>I269-'314020 - P0624'!J269</f>
        <v>0</v>
      </c>
    </row>
    <row r="270" spans="1:16" x14ac:dyDescent="0.25">
      <c r="A270">
        <v>268</v>
      </c>
      <c r="C270" t="s">
        <v>8</v>
      </c>
      <c r="D270" s="4" t="s">
        <v>261</v>
      </c>
      <c r="E270" s="5">
        <v>1.98</v>
      </c>
      <c r="F270" s="5">
        <v>1.98</v>
      </c>
      <c r="G270" s="6">
        <f t="shared" si="70"/>
        <v>0</v>
      </c>
      <c r="H270" s="7">
        <f t="shared" si="71"/>
        <v>0</v>
      </c>
      <c r="I270" s="8">
        <v>3.5054288194444445</v>
      </c>
      <c r="J270" s="9">
        <f t="shared" si="72"/>
        <v>3.5054288194444445</v>
      </c>
      <c r="K270" s="3">
        <f t="shared" si="73"/>
        <v>0</v>
      </c>
      <c r="L270" s="7">
        <f t="shared" si="74"/>
        <v>0</v>
      </c>
      <c r="M270" t="s">
        <v>150</v>
      </c>
      <c r="O270" s="3">
        <f>E270-'314020 - P0624'!F270</f>
        <v>0</v>
      </c>
      <c r="P270" s="30">
        <f>I270-'314020 - P0624'!J270</f>
        <v>0</v>
      </c>
    </row>
    <row r="271" spans="1:16" x14ac:dyDescent="0.25">
      <c r="A271">
        <v>269</v>
      </c>
      <c r="C271" t="s">
        <v>8</v>
      </c>
      <c r="D271" s="4" t="s">
        <v>262</v>
      </c>
      <c r="E271" s="5">
        <v>3.2</v>
      </c>
      <c r="F271" s="5">
        <v>3.2</v>
      </c>
      <c r="G271" s="6">
        <f t="shared" si="70"/>
        <v>0</v>
      </c>
      <c r="H271" s="7">
        <f t="shared" si="71"/>
        <v>0</v>
      </c>
      <c r="I271" s="8">
        <v>9.5772187500000001</v>
      </c>
      <c r="J271" s="9">
        <f t="shared" si="72"/>
        <v>9.5772187500000001</v>
      </c>
      <c r="K271" s="3">
        <f t="shared" si="73"/>
        <v>0</v>
      </c>
      <c r="L271" s="7">
        <f t="shared" si="74"/>
        <v>0</v>
      </c>
      <c r="M271" t="s">
        <v>150</v>
      </c>
      <c r="O271" s="3">
        <f>E271-'314020 - P0624'!F271</f>
        <v>0</v>
      </c>
      <c r="P271" s="30">
        <f>I271-'314020 - P0624'!J271</f>
        <v>0</v>
      </c>
    </row>
    <row r="272" spans="1:16" x14ac:dyDescent="0.25">
      <c r="A272">
        <v>270</v>
      </c>
      <c r="C272" t="s">
        <v>8</v>
      </c>
      <c r="D272" s="4" t="s">
        <v>263</v>
      </c>
      <c r="E272" s="5">
        <v>2.56</v>
      </c>
      <c r="F272" s="5">
        <v>2.56</v>
      </c>
      <c r="G272" s="6">
        <f t="shared" si="70"/>
        <v>0</v>
      </c>
      <c r="H272" s="7">
        <f t="shared" si="71"/>
        <v>0</v>
      </c>
      <c r="I272" s="8">
        <v>5.0988055555555549</v>
      </c>
      <c r="J272" s="9">
        <f t="shared" si="72"/>
        <v>5.0988055555555549</v>
      </c>
      <c r="K272" s="3">
        <f t="shared" si="73"/>
        <v>0</v>
      </c>
      <c r="L272" s="7">
        <f t="shared" si="74"/>
        <v>0</v>
      </c>
      <c r="M272" t="s">
        <v>150</v>
      </c>
      <c r="O272" s="3">
        <f>E272-'314020 - P0624'!F272</f>
        <v>0</v>
      </c>
      <c r="P272" s="30">
        <f>I272-'314020 - P0624'!J272</f>
        <v>0</v>
      </c>
    </row>
    <row r="273" spans="1:16" x14ac:dyDescent="0.25">
      <c r="A273">
        <v>271</v>
      </c>
      <c r="C273" t="s">
        <v>8</v>
      </c>
      <c r="D273" s="4" t="s">
        <v>264</v>
      </c>
      <c r="E273" s="12">
        <v>34.130000000000003</v>
      </c>
      <c r="F273" s="11">
        <v>34.130000000000003</v>
      </c>
      <c r="G273" s="6">
        <f t="shared" si="70"/>
        <v>0</v>
      </c>
      <c r="H273" s="7">
        <f t="shared" si="71"/>
        <v>0</v>
      </c>
      <c r="I273" s="8">
        <v>83.99904491032467</v>
      </c>
      <c r="J273" s="9">
        <f t="shared" si="72"/>
        <v>83.99904491032467</v>
      </c>
      <c r="K273" s="3">
        <f t="shared" si="73"/>
        <v>0</v>
      </c>
      <c r="L273" s="7">
        <f t="shared" si="74"/>
        <v>0</v>
      </c>
      <c r="M273" t="s">
        <v>150</v>
      </c>
      <c r="O273" s="3">
        <f>E273-'314020 - P0624'!F273</f>
        <v>0</v>
      </c>
      <c r="P273" s="30">
        <f>I273-'314020 - P0624'!J273</f>
        <v>0</v>
      </c>
    </row>
    <row r="274" spans="1:16" x14ac:dyDescent="0.25">
      <c r="A274">
        <v>272</v>
      </c>
      <c r="C274" t="s">
        <v>8</v>
      </c>
      <c r="D274" s="4" t="s">
        <v>265</v>
      </c>
      <c r="E274" s="12">
        <v>40.14</v>
      </c>
      <c r="F274" s="11">
        <v>40.14</v>
      </c>
      <c r="G274" s="6">
        <f t="shared" si="70"/>
        <v>0</v>
      </c>
      <c r="H274" s="7">
        <f t="shared" si="71"/>
        <v>0</v>
      </c>
      <c r="I274" s="8">
        <v>100.73811614890289</v>
      </c>
      <c r="J274" s="9">
        <f t="shared" si="72"/>
        <v>100.73811614890289</v>
      </c>
      <c r="K274" s="3">
        <f t="shared" si="73"/>
        <v>0</v>
      </c>
      <c r="L274" s="7">
        <f t="shared" si="74"/>
        <v>0</v>
      </c>
      <c r="M274" t="s">
        <v>150</v>
      </c>
      <c r="O274" s="3">
        <f>E274-'314020 - P0624'!F274</f>
        <v>0</v>
      </c>
      <c r="P274" s="30">
        <f>I274-'314020 - P0624'!J274</f>
        <v>0</v>
      </c>
    </row>
    <row r="275" spans="1:16" x14ac:dyDescent="0.25">
      <c r="A275">
        <v>273</v>
      </c>
      <c r="C275" t="s">
        <v>8</v>
      </c>
      <c r="D275" s="4" t="s">
        <v>266</v>
      </c>
      <c r="E275" s="12">
        <v>0.71</v>
      </c>
      <c r="F275" s="11">
        <v>0.71</v>
      </c>
      <c r="G275" s="6">
        <f t="shared" si="70"/>
        <v>0</v>
      </c>
      <c r="H275" s="7">
        <f t="shared" si="71"/>
        <v>0</v>
      </c>
      <c r="I275" s="8">
        <v>1.3974603174603173</v>
      </c>
      <c r="J275" s="9">
        <f t="shared" si="72"/>
        <v>1.3974603174603173</v>
      </c>
      <c r="K275" s="3">
        <f t="shared" si="73"/>
        <v>0</v>
      </c>
      <c r="L275" s="7">
        <f t="shared" si="74"/>
        <v>0</v>
      </c>
      <c r="M275" t="s">
        <v>150</v>
      </c>
      <c r="O275" s="3">
        <f>E275-'314020 - P0624'!F275</f>
        <v>0</v>
      </c>
      <c r="P275" s="30">
        <f>I275-'314020 - P0624'!J275</f>
        <v>0</v>
      </c>
    </row>
    <row r="276" spans="1:16" x14ac:dyDescent="0.25">
      <c r="A276">
        <v>274</v>
      </c>
      <c r="C276" t="s">
        <v>8</v>
      </c>
      <c r="D276" s="4" t="s">
        <v>267</v>
      </c>
      <c r="E276" s="12">
        <v>15.02</v>
      </c>
      <c r="F276" s="11">
        <v>15.02</v>
      </c>
      <c r="G276" s="6">
        <f t="shared" si="70"/>
        <v>0</v>
      </c>
      <c r="H276" s="7">
        <f t="shared" si="71"/>
        <v>0</v>
      </c>
      <c r="I276" s="8">
        <v>39.554925957158105</v>
      </c>
      <c r="J276" s="9">
        <f t="shared" si="72"/>
        <v>39.554925957158105</v>
      </c>
      <c r="K276" s="3">
        <f t="shared" si="73"/>
        <v>0</v>
      </c>
      <c r="L276" s="7">
        <f t="shared" si="74"/>
        <v>0</v>
      </c>
      <c r="M276" t="s">
        <v>150</v>
      </c>
      <c r="O276" s="3">
        <f>E276-'314020 - P0624'!F276</f>
        <v>0</v>
      </c>
      <c r="P276" s="30">
        <f>I276-'314020 - P0624'!J276</f>
        <v>0</v>
      </c>
    </row>
    <row r="277" spans="1:16" x14ac:dyDescent="0.25">
      <c r="A277">
        <v>275</v>
      </c>
      <c r="C277" t="s">
        <v>8</v>
      </c>
      <c r="D277" s="4" t="s">
        <v>268</v>
      </c>
      <c r="E277" s="12">
        <v>12.5</v>
      </c>
      <c r="F277" s="11">
        <v>12.5</v>
      </c>
      <c r="G277" s="6">
        <f t="shared" si="70"/>
        <v>0</v>
      </c>
      <c r="H277" s="7">
        <f t="shared" si="71"/>
        <v>0</v>
      </c>
      <c r="I277" s="8">
        <v>21.214819136522753</v>
      </c>
      <c r="J277" s="9">
        <f t="shared" si="72"/>
        <v>21.214819136522753</v>
      </c>
      <c r="K277" s="3">
        <f t="shared" si="73"/>
        <v>0</v>
      </c>
      <c r="L277" s="7">
        <f t="shared" si="74"/>
        <v>0</v>
      </c>
      <c r="M277" t="s">
        <v>187</v>
      </c>
      <c r="O277" s="3">
        <f>E277-'314020 - P0624'!F277</f>
        <v>0</v>
      </c>
      <c r="P277" s="30">
        <f>I277-'314020 - P0624'!J277</f>
        <v>0</v>
      </c>
    </row>
    <row r="278" spans="1:16" x14ac:dyDescent="0.25">
      <c r="A278">
        <v>276</v>
      </c>
      <c r="C278" t="s">
        <v>8</v>
      </c>
      <c r="D278" s="4" t="s">
        <v>269</v>
      </c>
      <c r="E278" s="12">
        <v>12</v>
      </c>
      <c r="F278" s="12">
        <v>12</v>
      </c>
      <c r="G278" s="6">
        <f>+F278-E278</f>
        <v>0</v>
      </c>
      <c r="H278" s="7">
        <f>(F278-E278)/ABS(E278)</f>
        <v>0</v>
      </c>
      <c r="I278" s="8">
        <v>18.47</v>
      </c>
      <c r="J278" s="9">
        <f>(I278*H278)+I278</f>
        <v>18.47</v>
      </c>
      <c r="K278" s="3">
        <f>J278-I278</f>
        <v>0</v>
      </c>
      <c r="L278" s="7">
        <f>(J278-I278)/ABS(I278)</f>
        <v>0</v>
      </c>
      <c r="M278" t="s">
        <v>187</v>
      </c>
      <c r="O278" s="3">
        <f>E278-'314020 - P0624'!F278</f>
        <v>0</v>
      </c>
      <c r="P278" s="30">
        <f>I278-'314020 - P0624'!J278</f>
        <v>0</v>
      </c>
    </row>
    <row r="279" spans="1:16" x14ac:dyDescent="0.25">
      <c r="A279">
        <v>277</v>
      </c>
      <c r="C279" t="s">
        <v>8</v>
      </c>
      <c r="D279" s="4" t="s">
        <v>270</v>
      </c>
      <c r="E279" s="12">
        <v>8.9499999999999993</v>
      </c>
      <c r="F279" s="11">
        <v>8.9499999999999993</v>
      </c>
      <c r="G279" s="6">
        <f t="shared" si="70"/>
        <v>0</v>
      </c>
      <c r="H279" s="7">
        <f t="shared" si="71"/>
        <v>0</v>
      </c>
      <c r="I279" s="8">
        <v>29.456687862360731</v>
      </c>
      <c r="J279" s="9">
        <f t="shared" si="72"/>
        <v>29.456687862360731</v>
      </c>
      <c r="K279" s="3">
        <f t="shared" si="73"/>
        <v>0</v>
      </c>
      <c r="L279" s="7">
        <f t="shared" si="74"/>
        <v>0</v>
      </c>
      <c r="M279" t="s">
        <v>187</v>
      </c>
      <c r="O279" s="3">
        <f>E279-'314020 - P0624'!F279</f>
        <v>0</v>
      </c>
      <c r="P279" s="30">
        <f>I279-'314020 - P0624'!J279</f>
        <v>0</v>
      </c>
    </row>
    <row r="280" spans="1:16" x14ac:dyDescent="0.25">
      <c r="A280">
        <v>278</v>
      </c>
      <c r="C280" t="s">
        <v>8</v>
      </c>
      <c r="D280" s="4" t="s">
        <v>271</v>
      </c>
      <c r="E280" s="16">
        <v>46.13</v>
      </c>
      <c r="F280" s="12">
        <v>46.13</v>
      </c>
      <c r="G280" s="6">
        <f t="shared" si="70"/>
        <v>0</v>
      </c>
      <c r="H280" s="7">
        <f t="shared" si="71"/>
        <v>0</v>
      </c>
      <c r="I280" s="8">
        <v>71.680000000000007</v>
      </c>
      <c r="J280" s="9">
        <f t="shared" si="72"/>
        <v>71.680000000000007</v>
      </c>
      <c r="K280" s="3">
        <f t="shared" si="73"/>
        <v>0</v>
      </c>
      <c r="L280" s="7">
        <f t="shared" si="74"/>
        <v>0</v>
      </c>
      <c r="M280" t="s">
        <v>187</v>
      </c>
      <c r="O280" s="3">
        <f>E280-'314020 - P0624'!F280</f>
        <v>0</v>
      </c>
      <c r="P280" s="30">
        <f>I280-'314020 - P0624'!J280</f>
        <v>0</v>
      </c>
    </row>
    <row r="281" spans="1:16" x14ac:dyDescent="0.25">
      <c r="A281">
        <v>279</v>
      </c>
      <c r="C281" t="s">
        <v>8</v>
      </c>
      <c r="D281" s="4" t="s">
        <v>272</v>
      </c>
      <c r="E281" s="5">
        <v>5.85</v>
      </c>
      <c r="F281" s="5">
        <v>5.85</v>
      </c>
      <c r="G281" s="6">
        <f t="shared" si="70"/>
        <v>0</v>
      </c>
      <c r="H281" s="7">
        <f t="shared" si="71"/>
        <v>0</v>
      </c>
      <c r="I281" s="8">
        <v>6.9</v>
      </c>
      <c r="J281" s="9">
        <f t="shared" si="72"/>
        <v>6.9</v>
      </c>
      <c r="K281" s="3">
        <f t="shared" si="73"/>
        <v>0</v>
      </c>
      <c r="L281" s="7">
        <f t="shared" si="74"/>
        <v>0</v>
      </c>
      <c r="M281" t="s">
        <v>150</v>
      </c>
      <c r="O281" s="3">
        <f>E281-'314020 - P0624'!F281</f>
        <v>0</v>
      </c>
      <c r="P281" s="30">
        <f>I281-'314020 - P0624'!J281</f>
        <v>0</v>
      </c>
    </row>
    <row r="282" spans="1:16" x14ac:dyDescent="0.25">
      <c r="A282">
        <v>280</v>
      </c>
      <c r="C282" t="s">
        <v>8</v>
      </c>
      <c r="D282" s="4" t="s">
        <v>273</v>
      </c>
      <c r="E282" s="5">
        <v>6.93</v>
      </c>
      <c r="F282" s="5">
        <v>6.93</v>
      </c>
      <c r="G282" s="6">
        <f t="shared" si="70"/>
        <v>0</v>
      </c>
      <c r="H282" s="7">
        <f t="shared" si="71"/>
        <v>0</v>
      </c>
      <c r="I282" s="8">
        <v>13.99</v>
      </c>
      <c r="J282" s="9">
        <f t="shared" si="72"/>
        <v>13.99</v>
      </c>
      <c r="K282" s="3">
        <f t="shared" si="73"/>
        <v>0</v>
      </c>
      <c r="L282" s="7">
        <f t="shared" si="74"/>
        <v>0</v>
      </c>
      <c r="M282" t="s">
        <v>150</v>
      </c>
      <c r="O282" s="3">
        <f>E282-'314020 - P0624'!F282</f>
        <v>0</v>
      </c>
      <c r="P282" s="30">
        <f>I282-'314020 - P0624'!J282</f>
        <v>0</v>
      </c>
    </row>
    <row r="283" spans="1:16" x14ac:dyDescent="0.25">
      <c r="A283">
        <v>281</v>
      </c>
      <c r="C283" t="s">
        <v>8</v>
      </c>
      <c r="D283" s="4" t="s">
        <v>274</v>
      </c>
      <c r="E283" s="5">
        <v>6.93</v>
      </c>
      <c r="F283" s="5">
        <v>6.93</v>
      </c>
      <c r="G283" s="6">
        <f t="shared" si="70"/>
        <v>0</v>
      </c>
      <c r="H283" s="7">
        <f t="shared" si="71"/>
        <v>0</v>
      </c>
      <c r="I283" s="8">
        <v>7.9</v>
      </c>
      <c r="J283" s="9">
        <f t="shared" si="72"/>
        <v>7.9</v>
      </c>
      <c r="K283" s="3">
        <f t="shared" si="73"/>
        <v>0</v>
      </c>
      <c r="L283" s="7">
        <f t="shared" si="74"/>
        <v>0</v>
      </c>
      <c r="M283" t="s">
        <v>150</v>
      </c>
      <c r="O283" s="3">
        <f>E283-'314020 - P0624'!F283</f>
        <v>0</v>
      </c>
      <c r="P283" s="30">
        <f>I283-'314020 - P0624'!J283</f>
        <v>0</v>
      </c>
    </row>
    <row r="284" spans="1:16" x14ac:dyDescent="0.25">
      <c r="A284">
        <v>282</v>
      </c>
      <c r="C284" t="s">
        <v>8</v>
      </c>
      <c r="D284" s="4" t="s">
        <v>275</v>
      </c>
      <c r="E284" s="12">
        <v>2.56</v>
      </c>
      <c r="F284" s="11">
        <v>2.56</v>
      </c>
      <c r="G284" s="6">
        <f t="shared" si="70"/>
        <v>0</v>
      </c>
      <c r="H284" s="7">
        <f t="shared" si="71"/>
        <v>0</v>
      </c>
      <c r="I284" s="8">
        <v>8.0228714375055841</v>
      </c>
      <c r="J284" s="9">
        <f t="shared" si="72"/>
        <v>8.0228714375055841</v>
      </c>
      <c r="K284" s="3">
        <f t="shared" si="73"/>
        <v>0</v>
      </c>
      <c r="L284" s="7">
        <f t="shared" si="74"/>
        <v>0</v>
      </c>
      <c r="M284" t="s">
        <v>150</v>
      </c>
      <c r="O284" s="3">
        <f>E284-'314020 - P0624'!F284</f>
        <v>0</v>
      </c>
      <c r="P284" s="30">
        <f>I284-'314020 - P0624'!J284</f>
        <v>0</v>
      </c>
    </row>
    <row r="285" spans="1:16" x14ac:dyDescent="0.25">
      <c r="A285">
        <v>283</v>
      </c>
      <c r="C285" t="s">
        <v>8</v>
      </c>
      <c r="D285" s="4" t="s">
        <v>276</v>
      </c>
      <c r="E285" s="12">
        <v>3.71</v>
      </c>
      <c r="F285" s="11">
        <v>3.71</v>
      </c>
      <c r="G285" s="6">
        <f t="shared" si="70"/>
        <v>0</v>
      </c>
      <c r="H285" s="7">
        <f t="shared" si="71"/>
        <v>0</v>
      </c>
      <c r="I285" s="8">
        <v>9.2527255216693405</v>
      </c>
      <c r="J285" s="9">
        <f t="shared" si="72"/>
        <v>9.2527255216693405</v>
      </c>
      <c r="K285" s="3">
        <f t="shared" si="73"/>
        <v>0</v>
      </c>
      <c r="L285" s="7">
        <f t="shared" si="74"/>
        <v>0</v>
      </c>
      <c r="M285" t="s">
        <v>150</v>
      </c>
      <c r="O285" s="3">
        <f>E285-'314020 - P0624'!F285</f>
        <v>0</v>
      </c>
      <c r="P285" s="30">
        <f>I285-'314020 - P0624'!J285</f>
        <v>0</v>
      </c>
    </row>
    <row r="286" spans="1:16" x14ac:dyDescent="0.25">
      <c r="A286">
        <v>284</v>
      </c>
      <c r="C286" t="s">
        <v>277</v>
      </c>
      <c r="D286" s="4" t="s">
        <v>278</v>
      </c>
      <c r="E286" s="11">
        <v>85.35</v>
      </c>
      <c r="F286" s="11">
        <v>85.35</v>
      </c>
      <c r="G286" s="6">
        <f t="shared" si="70"/>
        <v>0</v>
      </c>
      <c r="H286" s="7">
        <f t="shared" si="71"/>
        <v>0</v>
      </c>
      <c r="I286" s="8">
        <v>129.08106565176024</v>
      </c>
      <c r="J286" s="9">
        <f t="shared" si="72"/>
        <v>129.08106565176024</v>
      </c>
      <c r="K286" s="3">
        <f t="shared" si="73"/>
        <v>0</v>
      </c>
      <c r="L286" s="7">
        <f t="shared" si="74"/>
        <v>0</v>
      </c>
      <c r="M286" t="s">
        <v>150</v>
      </c>
      <c r="O286" s="3">
        <f>E286-'314020 - P0624'!F286</f>
        <v>0</v>
      </c>
      <c r="P286" s="30">
        <f>I286-'314020 - P0624'!J286</f>
        <v>0</v>
      </c>
    </row>
    <row r="287" spans="1:16" x14ac:dyDescent="0.25">
      <c r="A287">
        <v>285</v>
      </c>
      <c r="C287" t="s">
        <v>8</v>
      </c>
      <c r="D287" s="4" t="s">
        <v>279</v>
      </c>
      <c r="E287" s="12">
        <v>3.47</v>
      </c>
      <c r="F287" s="12">
        <v>3.47</v>
      </c>
      <c r="G287" s="6">
        <f t="shared" si="70"/>
        <v>0</v>
      </c>
      <c r="H287" s="7">
        <f t="shared" si="71"/>
        <v>0</v>
      </c>
      <c r="I287" s="8">
        <v>9.272871621621622</v>
      </c>
      <c r="J287" s="9">
        <f t="shared" si="72"/>
        <v>9.272871621621622</v>
      </c>
      <c r="K287" s="3">
        <f t="shared" si="73"/>
        <v>0</v>
      </c>
      <c r="L287" s="7">
        <f t="shared" si="74"/>
        <v>0</v>
      </c>
      <c r="M287" t="s">
        <v>150</v>
      </c>
      <c r="O287" s="3">
        <f>E287-'314020 - P0624'!F287</f>
        <v>0</v>
      </c>
      <c r="P287" s="30">
        <f>I287-'314020 - P0624'!J287</f>
        <v>0</v>
      </c>
    </row>
    <row r="288" spans="1:16" x14ac:dyDescent="0.25">
      <c r="A288">
        <v>286</v>
      </c>
      <c r="C288" t="s">
        <v>8</v>
      </c>
      <c r="D288" s="4" t="s">
        <v>280</v>
      </c>
      <c r="E288" s="12">
        <v>3.03</v>
      </c>
      <c r="F288" s="12">
        <v>3.03</v>
      </c>
      <c r="G288" s="6">
        <f t="shared" si="70"/>
        <v>0</v>
      </c>
      <c r="H288" s="7">
        <f t="shared" si="71"/>
        <v>0</v>
      </c>
      <c r="I288" s="8">
        <v>6.4226640926640925</v>
      </c>
      <c r="J288" s="9">
        <f t="shared" si="72"/>
        <v>6.4226640926640925</v>
      </c>
      <c r="K288" s="3">
        <f t="shared" si="73"/>
        <v>0</v>
      </c>
      <c r="L288" s="7">
        <f t="shared" si="74"/>
        <v>0</v>
      </c>
      <c r="M288" t="s">
        <v>150</v>
      </c>
      <c r="O288" s="3">
        <f>E288-'314020 - P0624'!F288</f>
        <v>0</v>
      </c>
      <c r="P288" s="30">
        <f>I288-'314020 - P0624'!J288</f>
        <v>0</v>
      </c>
    </row>
    <row r="289" spans="1:16" x14ac:dyDescent="0.25">
      <c r="A289">
        <v>287</v>
      </c>
      <c r="C289" t="s">
        <v>8</v>
      </c>
      <c r="D289" s="4" t="s">
        <v>281</v>
      </c>
      <c r="E289" s="12">
        <v>12.95</v>
      </c>
      <c r="F289" s="12">
        <v>12.95</v>
      </c>
      <c r="G289" s="6">
        <f t="shared" si="70"/>
        <v>0</v>
      </c>
      <c r="H289" s="7">
        <f t="shared" si="71"/>
        <v>0</v>
      </c>
      <c r="I289" s="8">
        <v>25.9</v>
      </c>
      <c r="J289" s="9">
        <f t="shared" si="72"/>
        <v>25.9</v>
      </c>
      <c r="K289" s="3">
        <f t="shared" si="73"/>
        <v>0</v>
      </c>
      <c r="L289" s="7">
        <f t="shared" si="74"/>
        <v>0</v>
      </c>
      <c r="M289" t="s">
        <v>150</v>
      </c>
      <c r="O289" s="3">
        <f>E289-'314020 - P0624'!F289</f>
        <v>0</v>
      </c>
      <c r="P289" s="30">
        <f>I289-'314020 - P0624'!J289</f>
        <v>0</v>
      </c>
    </row>
    <row r="290" spans="1:16" x14ac:dyDescent="0.25">
      <c r="A290">
        <v>288</v>
      </c>
      <c r="C290" t="s">
        <v>8</v>
      </c>
      <c r="D290" s="4" t="s">
        <v>282</v>
      </c>
      <c r="E290" s="12">
        <v>9.27</v>
      </c>
      <c r="F290" s="12">
        <v>9.27</v>
      </c>
      <c r="G290" s="6">
        <f t="shared" si="70"/>
        <v>0</v>
      </c>
      <c r="H290" s="7">
        <f t="shared" si="71"/>
        <v>0</v>
      </c>
      <c r="I290" s="8">
        <v>18.54</v>
      </c>
      <c r="J290" s="9">
        <f t="shared" si="72"/>
        <v>18.54</v>
      </c>
      <c r="K290" s="3">
        <f t="shared" si="73"/>
        <v>0</v>
      </c>
      <c r="L290" s="7">
        <f t="shared" si="74"/>
        <v>0</v>
      </c>
      <c r="M290" t="s">
        <v>150</v>
      </c>
      <c r="O290" s="3">
        <f>E290-'314020 - P0624'!F290</f>
        <v>0</v>
      </c>
      <c r="P290" s="30">
        <f>I290-'314020 - P0624'!J290</f>
        <v>0</v>
      </c>
    </row>
    <row r="291" spans="1:16" x14ac:dyDescent="0.25">
      <c r="A291">
        <v>289</v>
      </c>
      <c r="C291" t="s">
        <v>8</v>
      </c>
      <c r="D291" s="4" t="s">
        <v>283</v>
      </c>
      <c r="E291" s="12">
        <v>4.38</v>
      </c>
      <c r="F291" s="12">
        <v>4.38</v>
      </c>
      <c r="G291" s="6">
        <f t="shared" si="70"/>
        <v>0</v>
      </c>
      <c r="H291" s="7">
        <f t="shared" si="71"/>
        <v>0</v>
      </c>
      <c r="I291" s="8">
        <v>19.878299999999999</v>
      </c>
      <c r="J291" s="9">
        <f t="shared" si="72"/>
        <v>19.878299999999999</v>
      </c>
      <c r="K291" s="3">
        <f t="shared" si="73"/>
        <v>0</v>
      </c>
      <c r="L291" s="7">
        <f t="shared" si="74"/>
        <v>0</v>
      </c>
      <c r="M291" t="s">
        <v>150</v>
      </c>
      <c r="O291" s="3">
        <f>E291-'314020 - P0624'!F291</f>
        <v>0</v>
      </c>
      <c r="P291" s="30">
        <f>I291-'314020 - P0624'!J291</f>
        <v>0</v>
      </c>
    </row>
    <row r="292" spans="1:16" x14ac:dyDescent="0.25">
      <c r="A292">
        <v>290</v>
      </c>
      <c r="C292" t="s">
        <v>8</v>
      </c>
      <c r="D292" s="4" t="s">
        <v>284</v>
      </c>
      <c r="E292" s="12">
        <v>7.78</v>
      </c>
      <c r="F292" s="12">
        <v>7.78</v>
      </c>
      <c r="G292" s="6">
        <f t="shared" si="70"/>
        <v>0</v>
      </c>
      <c r="H292" s="7">
        <f t="shared" si="71"/>
        <v>0</v>
      </c>
      <c r="I292" s="8">
        <v>20.218751857355123</v>
      </c>
      <c r="J292" s="9">
        <f t="shared" si="72"/>
        <v>20.218751857355123</v>
      </c>
      <c r="K292" s="3">
        <f t="shared" si="73"/>
        <v>0</v>
      </c>
      <c r="L292" s="7">
        <f t="shared" si="74"/>
        <v>0</v>
      </c>
      <c r="M292" t="s">
        <v>150</v>
      </c>
      <c r="O292" s="3">
        <f>E292-'314020 - P0624'!F292</f>
        <v>0</v>
      </c>
      <c r="P292" s="30">
        <f>I292-'314020 - P0624'!J292</f>
        <v>0</v>
      </c>
    </row>
    <row r="293" spans="1:16" x14ac:dyDescent="0.25">
      <c r="A293">
        <v>291</v>
      </c>
      <c r="C293" t="s">
        <v>8</v>
      </c>
      <c r="D293" s="4" t="s">
        <v>285</v>
      </c>
      <c r="E293" s="12">
        <v>0.98</v>
      </c>
      <c r="F293" s="12">
        <v>0.98</v>
      </c>
      <c r="G293" s="6">
        <f t="shared" si="70"/>
        <v>0</v>
      </c>
      <c r="H293" s="7">
        <f t="shared" si="71"/>
        <v>0</v>
      </c>
      <c r="I293" s="8">
        <v>2.0746808510638299</v>
      </c>
      <c r="J293" s="9">
        <f t="shared" si="72"/>
        <v>2.0746808510638299</v>
      </c>
      <c r="K293" s="3">
        <f t="shared" si="73"/>
        <v>0</v>
      </c>
      <c r="L293" s="7">
        <f t="shared" si="74"/>
        <v>0</v>
      </c>
      <c r="M293" t="s">
        <v>150</v>
      </c>
      <c r="O293" s="3">
        <f>E293-'314020 - P0624'!F293</f>
        <v>0</v>
      </c>
      <c r="P293" s="30">
        <f>I293-'314020 - P0624'!J293</f>
        <v>0</v>
      </c>
    </row>
    <row r="294" spans="1:16" x14ac:dyDescent="0.25">
      <c r="A294">
        <v>292</v>
      </c>
      <c r="C294" t="s">
        <v>8</v>
      </c>
      <c r="D294" s="4" t="s">
        <v>286</v>
      </c>
      <c r="E294" s="12">
        <v>0.56999999999999995</v>
      </c>
      <c r="F294" s="12">
        <v>0.56999999999999995</v>
      </c>
      <c r="G294" s="6">
        <f t="shared" si="70"/>
        <v>0</v>
      </c>
      <c r="H294" s="7">
        <f t="shared" si="71"/>
        <v>0</v>
      </c>
      <c r="I294" s="8">
        <v>1.29</v>
      </c>
      <c r="J294" s="9">
        <f t="shared" si="72"/>
        <v>1.29</v>
      </c>
      <c r="K294" s="3">
        <f t="shared" si="73"/>
        <v>0</v>
      </c>
      <c r="L294" s="7">
        <f t="shared" si="74"/>
        <v>0</v>
      </c>
      <c r="M294" t="s">
        <v>150</v>
      </c>
      <c r="O294" s="3">
        <f>E294-'314020 - P0624'!F294</f>
        <v>0</v>
      </c>
      <c r="P294" s="30">
        <f>I294-'314020 - P0624'!J294</f>
        <v>0</v>
      </c>
    </row>
    <row r="295" spans="1:16" x14ac:dyDescent="0.25">
      <c r="A295">
        <v>293</v>
      </c>
      <c r="C295" t="s">
        <v>8</v>
      </c>
      <c r="D295" s="4" t="s">
        <v>287</v>
      </c>
      <c r="E295" s="12">
        <v>3.2</v>
      </c>
      <c r="F295" s="12">
        <v>3.2</v>
      </c>
      <c r="G295" s="6">
        <f t="shared" si="70"/>
        <v>0</v>
      </c>
      <c r="H295" s="7">
        <f t="shared" si="71"/>
        <v>0</v>
      </c>
      <c r="I295" s="8">
        <v>9.2899999999999991</v>
      </c>
      <c r="J295" s="9">
        <f t="shared" si="72"/>
        <v>9.2899999999999991</v>
      </c>
      <c r="K295" s="3">
        <f t="shared" si="73"/>
        <v>0</v>
      </c>
      <c r="L295" s="7">
        <f t="shared" si="74"/>
        <v>0</v>
      </c>
      <c r="M295" t="s">
        <v>150</v>
      </c>
      <c r="O295" s="3">
        <f>E295-'314020 - P0624'!F295</f>
        <v>0</v>
      </c>
      <c r="P295" s="30">
        <f>I295-'314020 - P0624'!J295</f>
        <v>0</v>
      </c>
    </row>
    <row r="296" spans="1:16" x14ac:dyDescent="0.25">
      <c r="A296">
        <v>294</v>
      </c>
      <c r="D296" s="34" t="s">
        <v>288</v>
      </c>
      <c r="H296" s="10">
        <f>AVERAGE(H251:H290)</f>
        <v>0</v>
      </c>
      <c r="I296"/>
    </row>
    <row r="297" spans="1:16" x14ac:dyDescent="0.25">
      <c r="A297">
        <v>295</v>
      </c>
      <c r="D297" s="34" t="s">
        <v>289</v>
      </c>
      <c r="I297"/>
      <c r="M297" t="s">
        <v>187</v>
      </c>
    </row>
    <row r="298" spans="1:16" x14ac:dyDescent="0.25">
      <c r="A298">
        <v>296</v>
      </c>
      <c r="B298" t="s">
        <v>468</v>
      </c>
      <c r="C298" t="s">
        <v>291</v>
      </c>
      <c r="D298" s="4" t="s">
        <v>292</v>
      </c>
      <c r="E298" s="12">
        <v>83.45</v>
      </c>
      <c r="F298" s="12">
        <v>83.45</v>
      </c>
      <c r="G298" s="6">
        <f t="shared" ref="G298:G331" si="75">+F298-E298</f>
        <v>0</v>
      </c>
      <c r="H298" s="7">
        <f t="shared" ref="H298:H331" si="76">(F298-E298)/ABS(E298)</f>
        <v>0</v>
      </c>
      <c r="I298" s="8">
        <v>116.82130707692306</v>
      </c>
      <c r="J298" s="9">
        <f t="shared" ref="J298:J331" si="77">(I298*H298)+I298</f>
        <v>116.82130707692306</v>
      </c>
      <c r="K298" s="3">
        <f t="shared" ref="K298:K331" si="78">J298-I298</f>
        <v>0</v>
      </c>
      <c r="L298" s="7">
        <f t="shared" ref="L298:L331" si="79">(J298-I298)/ABS(I298)</f>
        <v>0</v>
      </c>
      <c r="M298" t="s">
        <v>187</v>
      </c>
      <c r="O298" s="3">
        <f>E298-'314020 - P0624'!F298</f>
        <v>0</v>
      </c>
      <c r="P298" s="30">
        <f>I298-'314020 - P0624'!J298</f>
        <v>0</v>
      </c>
    </row>
    <row r="299" spans="1:16" x14ac:dyDescent="0.25">
      <c r="A299">
        <v>297</v>
      </c>
      <c r="B299" t="s">
        <v>471</v>
      </c>
      <c r="C299" t="s">
        <v>291</v>
      </c>
      <c r="D299" s="4" t="s">
        <v>293</v>
      </c>
      <c r="E299" s="12">
        <v>17.16</v>
      </c>
      <c r="F299" s="12">
        <v>17.16</v>
      </c>
      <c r="G299" s="6">
        <f t="shared" si="75"/>
        <v>0</v>
      </c>
      <c r="H299" s="7">
        <f t="shared" si="76"/>
        <v>0</v>
      </c>
      <c r="I299" s="8">
        <v>23.58</v>
      </c>
      <c r="J299" s="9">
        <f t="shared" si="77"/>
        <v>23.58</v>
      </c>
      <c r="K299" s="3">
        <f t="shared" si="78"/>
        <v>0</v>
      </c>
      <c r="L299" s="7">
        <f t="shared" si="79"/>
        <v>0</v>
      </c>
      <c r="M299" t="s">
        <v>187</v>
      </c>
      <c r="O299" s="3">
        <f>E299-'314020 - P0624'!F299</f>
        <v>0</v>
      </c>
      <c r="P299" s="30">
        <f>I299-'314020 - P0624'!J299</f>
        <v>0</v>
      </c>
    </row>
    <row r="300" spans="1:16" x14ac:dyDescent="0.25">
      <c r="A300">
        <v>298</v>
      </c>
      <c r="B300" t="s">
        <v>468</v>
      </c>
      <c r="C300" t="s">
        <v>291</v>
      </c>
      <c r="D300" s="4" t="s">
        <v>295</v>
      </c>
      <c r="E300" s="12">
        <v>20.45</v>
      </c>
      <c r="F300" s="12">
        <v>20.45</v>
      </c>
      <c r="G300" s="6">
        <f t="shared" si="75"/>
        <v>0</v>
      </c>
      <c r="H300" s="7">
        <f t="shared" si="76"/>
        <v>0</v>
      </c>
      <c r="I300" s="8">
        <v>28.117117241379304</v>
      </c>
      <c r="J300" s="9">
        <f t="shared" si="77"/>
        <v>28.117117241379304</v>
      </c>
      <c r="K300" s="3">
        <f t="shared" si="78"/>
        <v>0</v>
      </c>
      <c r="L300" s="7">
        <f t="shared" si="79"/>
        <v>0</v>
      </c>
      <c r="M300" t="s">
        <v>187</v>
      </c>
      <c r="O300" s="3">
        <f>E300-'314020 - P0624'!F300</f>
        <v>0</v>
      </c>
      <c r="P300" s="30">
        <f>I300-'314020 - P0624'!J300</f>
        <v>0</v>
      </c>
    </row>
    <row r="301" spans="1:16" x14ac:dyDescent="0.25">
      <c r="A301">
        <v>299</v>
      </c>
      <c r="B301" t="s">
        <v>471</v>
      </c>
      <c r="C301" t="s">
        <v>291</v>
      </c>
      <c r="D301" s="4" t="s">
        <v>296</v>
      </c>
      <c r="E301" s="12">
        <v>35.15</v>
      </c>
      <c r="F301" s="12">
        <v>35.15</v>
      </c>
      <c r="G301" s="6">
        <f t="shared" si="75"/>
        <v>0</v>
      </c>
      <c r="H301" s="7">
        <f t="shared" si="76"/>
        <v>0</v>
      </c>
      <c r="I301" s="8">
        <v>48.263872071910107</v>
      </c>
      <c r="J301" s="9">
        <f t="shared" si="77"/>
        <v>48.263872071910107</v>
      </c>
      <c r="K301" s="3">
        <f t="shared" si="78"/>
        <v>0</v>
      </c>
      <c r="L301" s="7">
        <f t="shared" si="79"/>
        <v>0</v>
      </c>
      <c r="M301" t="s">
        <v>187</v>
      </c>
      <c r="O301" s="3">
        <f>E301-'314020 - P0624'!F301</f>
        <v>0</v>
      </c>
      <c r="P301" s="30">
        <f>I301-'314020 - P0624'!J301</f>
        <v>0</v>
      </c>
    </row>
    <row r="302" spans="1:16" x14ac:dyDescent="0.25">
      <c r="A302">
        <v>300</v>
      </c>
      <c r="B302" t="s">
        <v>472</v>
      </c>
      <c r="C302" t="s">
        <v>291</v>
      </c>
      <c r="D302" s="4" t="s">
        <v>297</v>
      </c>
      <c r="E302" s="12">
        <v>7.16</v>
      </c>
      <c r="F302" s="12">
        <v>7.16</v>
      </c>
      <c r="G302" s="6">
        <f t="shared" si="75"/>
        <v>0</v>
      </c>
      <c r="H302" s="7">
        <f t="shared" si="76"/>
        <v>0</v>
      </c>
      <c r="I302" s="8">
        <v>9.85</v>
      </c>
      <c r="J302" s="9">
        <f t="shared" si="77"/>
        <v>9.85</v>
      </c>
      <c r="K302" s="3">
        <f t="shared" si="78"/>
        <v>0</v>
      </c>
      <c r="L302" s="7">
        <f t="shared" si="79"/>
        <v>0</v>
      </c>
      <c r="M302" t="s">
        <v>187</v>
      </c>
      <c r="O302" s="3">
        <f>E302-'314020 - P0624'!F302</f>
        <v>0</v>
      </c>
      <c r="P302" s="30">
        <f>I302-'314020 - P0624'!J302</f>
        <v>0</v>
      </c>
    </row>
    <row r="303" spans="1:16" x14ac:dyDescent="0.25">
      <c r="A303">
        <v>301</v>
      </c>
      <c r="B303" t="s">
        <v>486</v>
      </c>
      <c r="C303" t="s">
        <v>291</v>
      </c>
      <c r="D303" s="4" t="s">
        <v>298</v>
      </c>
      <c r="E303" s="12">
        <v>0.49</v>
      </c>
      <c r="F303" s="12">
        <v>0.49</v>
      </c>
      <c r="G303" s="6">
        <f t="shared" si="75"/>
        <v>0</v>
      </c>
      <c r="H303" s="7">
        <f t="shared" si="76"/>
        <v>0</v>
      </c>
      <c r="I303" s="8">
        <v>0.69</v>
      </c>
      <c r="J303" s="9">
        <f t="shared" si="77"/>
        <v>0.69</v>
      </c>
      <c r="K303" s="3">
        <f t="shared" si="78"/>
        <v>0</v>
      </c>
      <c r="L303" s="7">
        <f t="shared" si="79"/>
        <v>0</v>
      </c>
      <c r="M303" t="s">
        <v>187</v>
      </c>
      <c r="O303" s="3">
        <f>E303-'314020 - P0624'!F303</f>
        <v>0</v>
      </c>
      <c r="P303" s="30">
        <f>I303-'314020 - P0624'!J303</f>
        <v>0</v>
      </c>
    </row>
    <row r="304" spans="1:16" x14ac:dyDescent="0.25">
      <c r="A304">
        <v>302</v>
      </c>
      <c r="B304" t="s">
        <v>471</v>
      </c>
      <c r="C304" t="s">
        <v>291</v>
      </c>
      <c r="D304" s="4" t="s">
        <v>299</v>
      </c>
      <c r="E304" s="12">
        <v>21.81</v>
      </c>
      <c r="F304" s="12">
        <v>21.81</v>
      </c>
      <c r="G304" s="6">
        <f t="shared" si="75"/>
        <v>0</v>
      </c>
      <c r="H304" s="7">
        <f t="shared" si="76"/>
        <v>0</v>
      </c>
      <c r="I304" s="8">
        <v>29.968966617429842</v>
      </c>
      <c r="J304" s="9">
        <f t="shared" si="77"/>
        <v>29.968966617429842</v>
      </c>
      <c r="K304" s="3">
        <f t="shared" si="78"/>
        <v>0</v>
      </c>
      <c r="L304" s="7">
        <f t="shared" si="79"/>
        <v>0</v>
      </c>
      <c r="M304" t="s">
        <v>187</v>
      </c>
      <c r="O304" s="3">
        <f>E304-'314020 - P0624'!F304</f>
        <v>0</v>
      </c>
      <c r="P304" s="30">
        <f>I304-'314020 - P0624'!J304</f>
        <v>0</v>
      </c>
    </row>
    <row r="305" spans="1:16" x14ac:dyDescent="0.25">
      <c r="A305">
        <v>303</v>
      </c>
      <c r="B305" s="28" t="s">
        <v>471</v>
      </c>
      <c r="C305" t="s">
        <v>291</v>
      </c>
      <c r="D305" s="4" t="s">
        <v>300</v>
      </c>
      <c r="E305" s="12">
        <v>2.2000000000000002</v>
      </c>
      <c r="F305" s="12">
        <v>2.2000000000000002</v>
      </c>
      <c r="G305" s="6">
        <f t="shared" si="75"/>
        <v>0</v>
      </c>
      <c r="H305" s="7">
        <f t="shared" si="76"/>
        <v>0</v>
      </c>
      <c r="I305" s="8">
        <v>3.0480105109489042</v>
      </c>
      <c r="J305" s="9">
        <f t="shared" si="77"/>
        <v>3.0480105109489042</v>
      </c>
      <c r="K305" s="3">
        <f t="shared" si="78"/>
        <v>0</v>
      </c>
      <c r="L305" s="7">
        <f t="shared" si="79"/>
        <v>0</v>
      </c>
      <c r="M305" t="s">
        <v>187</v>
      </c>
      <c r="O305" s="3">
        <f>E305-'314020 - P0624'!F305</f>
        <v>0</v>
      </c>
      <c r="P305" s="30">
        <f>I305-'314020 - P0624'!J305</f>
        <v>0</v>
      </c>
    </row>
    <row r="306" spans="1:16" x14ac:dyDescent="0.25">
      <c r="A306">
        <v>304</v>
      </c>
      <c r="B306" t="s">
        <v>471</v>
      </c>
      <c r="C306" t="s">
        <v>291</v>
      </c>
      <c r="D306" s="4" t="s">
        <v>301</v>
      </c>
      <c r="E306" s="12">
        <v>2.73</v>
      </c>
      <c r="F306" s="12">
        <v>2.73</v>
      </c>
      <c r="G306" s="6">
        <f t="shared" si="75"/>
        <v>0</v>
      </c>
      <c r="H306" s="7">
        <f t="shared" si="76"/>
        <v>0</v>
      </c>
      <c r="I306" s="8">
        <v>3.751827692307693</v>
      </c>
      <c r="J306" s="9">
        <f t="shared" si="77"/>
        <v>3.751827692307693</v>
      </c>
      <c r="K306" s="3">
        <f t="shared" si="78"/>
        <v>0</v>
      </c>
      <c r="L306" s="7">
        <f t="shared" si="79"/>
        <v>0</v>
      </c>
      <c r="M306" t="s">
        <v>187</v>
      </c>
      <c r="O306" s="3">
        <f>E306-'314020 - P0624'!F306</f>
        <v>0</v>
      </c>
      <c r="P306" s="30">
        <f>I306-'314020 - P0624'!J306</f>
        <v>0</v>
      </c>
    </row>
    <row r="307" spans="1:16" x14ac:dyDescent="0.25">
      <c r="A307">
        <v>305</v>
      </c>
      <c r="B307" t="s">
        <v>469</v>
      </c>
      <c r="C307" t="s">
        <v>291</v>
      </c>
      <c r="D307" s="4" t="s">
        <v>302</v>
      </c>
      <c r="E307" s="12">
        <v>0.9</v>
      </c>
      <c r="F307" s="12">
        <v>0.9</v>
      </c>
      <c r="G307" s="6">
        <f t="shared" si="75"/>
        <v>0</v>
      </c>
      <c r="H307" s="7">
        <f t="shared" si="76"/>
        <v>0</v>
      </c>
      <c r="I307" s="8">
        <v>1.7875199999999998</v>
      </c>
      <c r="J307" s="9">
        <f t="shared" si="77"/>
        <v>1.7875199999999998</v>
      </c>
      <c r="K307" s="3">
        <f t="shared" si="78"/>
        <v>0</v>
      </c>
      <c r="L307" s="7">
        <f t="shared" si="79"/>
        <v>0</v>
      </c>
      <c r="M307" t="s">
        <v>187</v>
      </c>
      <c r="O307" s="3">
        <f>E307-'314020 - P0624'!F307</f>
        <v>0</v>
      </c>
      <c r="P307" s="30">
        <f>I307-'314020 - P0624'!J307</f>
        <v>0</v>
      </c>
    </row>
    <row r="308" spans="1:16" x14ac:dyDescent="0.25">
      <c r="A308">
        <v>306</v>
      </c>
      <c r="B308" t="s">
        <v>303</v>
      </c>
      <c r="C308" t="s">
        <v>291</v>
      </c>
      <c r="D308" s="4" t="s">
        <v>304</v>
      </c>
      <c r="E308" s="12">
        <v>66.48</v>
      </c>
      <c r="F308" s="12">
        <v>66.48</v>
      </c>
      <c r="G308" s="6">
        <f t="shared" si="75"/>
        <v>0</v>
      </c>
      <c r="H308" s="7">
        <f t="shared" si="76"/>
        <v>0</v>
      </c>
      <c r="I308" s="8">
        <v>91.32</v>
      </c>
      <c r="J308" s="9">
        <f t="shared" si="77"/>
        <v>91.32</v>
      </c>
      <c r="K308" s="3">
        <f t="shared" si="78"/>
        <v>0</v>
      </c>
      <c r="L308" s="7">
        <f t="shared" si="79"/>
        <v>0</v>
      </c>
      <c r="M308" t="s">
        <v>187</v>
      </c>
      <c r="O308" s="3">
        <f>E308-'314020 - P0624'!F308</f>
        <v>0</v>
      </c>
      <c r="P308" s="30">
        <f>I308-'314020 - P0624'!J308</f>
        <v>0</v>
      </c>
    </row>
    <row r="309" spans="1:16" x14ac:dyDescent="0.25">
      <c r="A309">
        <v>307</v>
      </c>
      <c r="B309" t="s">
        <v>305</v>
      </c>
      <c r="C309" t="s">
        <v>291</v>
      </c>
      <c r="D309" s="4" t="s">
        <v>306</v>
      </c>
      <c r="E309" s="12">
        <v>26.81</v>
      </c>
      <c r="F309" s="12">
        <v>26.81</v>
      </c>
      <c r="G309" s="13">
        <f t="shared" si="75"/>
        <v>0</v>
      </c>
      <c r="H309" s="7">
        <f t="shared" si="76"/>
        <v>0</v>
      </c>
      <c r="I309" s="8">
        <v>41.25</v>
      </c>
      <c r="J309" s="9">
        <f t="shared" si="77"/>
        <v>41.25</v>
      </c>
      <c r="K309" s="3">
        <f t="shared" si="78"/>
        <v>0</v>
      </c>
      <c r="L309" s="7">
        <f t="shared" si="79"/>
        <v>0</v>
      </c>
      <c r="M309" t="s">
        <v>187</v>
      </c>
      <c r="O309" s="3">
        <f>E309-'314020 - P0624'!F309</f>
        <v>0</v>
      </c>
      <c r="P309" s="30">
        <f>I309-'314020 - P0624'!J309</f>
        <v>0</v>
      </c>
    </row>
    <row r="310" spans="1:16" x14ac:dyDescent="0.25">
      <c r="A310">
        <v>308</v>
      </c>
      <c r="B310" t="s">
        <v>303</v>
      </c>
      <c r="C310" t="s">
        <v>291</v>
      </c>
      <c r="D310" s="4" t="s">
        <v>307</v>
      </c>
      <c r="E310" s="12">
        <v>38.020000000000003</v>
      </c>
      <c r="F310" s="12">
        <v>38.020000000000003</v>
      </c>
      <c r="G310" s="6">
        <f t="shared" si="75"/>
        <v>0</v>
      </c>
      <c r="H310" s="7">
        <f t="shared" si="76"/>
        <v>0</v>
      </c>
      <c r="I310" s="8">
        <v>52.23</v>
      </c>
      <c r="J310" s="9">
        <f t="shared" si="77"/>
        <v>52.23</v>
      </c>
      <c r="K310" s="3">
        <f t="shared" si="78"/>
        <v>0</v>
      </c>
      <c r="L310" s="7">
        <f t="shared" si="79"/>
        <v>0</v>
      </c>
      <c r="M310" t="s">
        <v>187</v>
      </c>
      <c r="O310" s="3">
        <f>E310-'314020 - P0624'!F310</f>
        <v>0</v>
      </c>
      <c r="P310" s="30">
        <f>I310-'314020 - P0624'!J310</f>
        <v>0</v>
      </c>
    </row>
    <row r="311" spans="1:16" x14ac:dyDescent="0.25">
      <c r="A311">
        <v>309</v>
      </c>
      <c r="B311" t="s">
        <v>303</v>
      </c>
      <c r="C311" t="s">
        <v>291</v>
      </c>
      <c r="D311" s="4" t="s">
        <v>308</v>
      </c>
      <c r="E311" s="12">
        <v>95.36</v>
      </c>
      <c r="F311" s="12">
        <v>95.36</v>
      </c>
      <c r="G311" s="6">
        <f t="shared" si="75"/>
        <v>0</v>
      </c>
      <c r="H311" s="7">
        <f t="shared" si="76"/>
        <v>0</v>
      </c>
      <c r="I311" s="8">
        <v>130.96011922503726</v>
      </c>
      <c r="J311" s="9">
        <f t="shared" si="77"/>
        <v>130.96011922503726</v>
      </c>
      <c r="K311" s="3">
        <f t="shared" si="78"/>
        <v>0</v>
      </c>
      <c r="L311" s="7">
        <f t="shared" si="79"/>
        <v>0</v>
      </c>
      <c r="M311" t="s">
        <v>187</v>
      </c>
      <c r="O311" s="3">
        <f>E311-'314020 - P0624'!F311</f>
        <v>0</v>
      </c>
      <c r="P311" s="30">
        <f>I311-'314020 - P0624'!J311</f>
        <v>0</v>
      </c>
    </row>
    <row r="312" spans="1:16" x14ac:dyDescent="0.25">
      <c r="A312">
        <v>310</v>
      </c>
      <c r="B312" t="s">
        <v>303</v>
      </c>
      <c r="C312" t="s">
        <v>291</v>
      </c>
      <c r="D312" s="4" t="s">
        <v>309</v>
      </c>
      <c r="E312" s="12">
        <v>15.89</v>
      </c>
      <c r="F312" s="12">
        <v>15.89</v>
      </c>
      <c r="G312" s="6">
        <f t="shared" si="75"/>
        <v>0</v>
      </c>
      <c r="H312" s="7">
        <f t="shared" si="76"/>
        <v>0</v>
      </c>
      <c r="I312" s="8">
        <v>21.821258516129031</v>
      </c>
      <c r="J312" s="9">
        <f t="shared" si="77"/>
        <v>21.821258516129031</v>
      </c>
      <c r="K312" s="3">
        <f t="shared" si="78"/>
        <v>0</v>
      </c>
      <c r="L312" s="7">
        <f t="shared" si="79"/>
        <v>0</v>
      </c>
      <c r="M312" t="s">
        <v>187</v>
      </c>
      <c r="O312" s="3">
        <f>E312-'314020 - P0624'!F312</f>
        <v>0</v>
      </c>
      <c r="P312" s="30">
        <f>I312-'314020 - P0624'!J312</f>
        <v>0</v>
      </c>
    </row>
    <row r="313" spans="1:16" x14ac:dyDescent="0.25">
      <c r="A313">
        <v>311</v>
      </c>
      <c r="B313" t="s">
        <v>303</v>
      </c>
      <c r="C313" t="s">
        <v>291</v>
      </c>
      <c r="D313" s="4" t="s">
        <v>310</v>
      </c>
      <c r="E313" s="12">
        <v>8.59</v>
      </c>
      <c r="F313" s="12">
        <v>8.59</v>
      </c>
      <c r="G313" s="6">
        <f t="shared" si="75"/>
        <v>0</v>
      </c>
      <c r="H313" s="7">
        <f t="shared" si="76"/>
        <v>0</v>
      </c>
      <c r="I313" s="8">
        <v>11.8</v>
      </c>
      <c r="J313" s="9">
        <f t="shared" si="77"/>
        <v>11.8</v>
      </c>
      <c r="K313" s="3">
        <f t="shared" si="78"/>
        <v>0</v>
      </c>
      <c r="L313" s="7">
        <f t="shared" si="79"/>
        <v>0</v>
      </c>
      <c r="M313" t="s">
        <v>187</v>
      </c>
      <c r="O313" s="3">
        <f>E313-'314020 - P0624'!F313</f>
        <v>0</v>
      </c>
      <c r="P313" s="30">
        <f>I313-'314020 - P0624'!J313</f>
        <v>0</v>
      </c>
    </row>
    <row r="314" spans="1:16" x14ac:dyDescent="0.25">
      <c r="A314">
        <v>312</v>
      </c>
      <c r="B314" t="s">
        <v>319</v>
      </c>
      <c r="C314" t="s">
        <v>291</v>
      </c>
      <c r="D314" s="4" t="s">
        <v>311</v>
      </c>
      <c r="E314" s="12">
        <v>11.51</v>
      </c>
      <c r="F314" s="12">
        <v>11.51</v>
      </c>
      <c r="G314" s="6">
        <f t="shared" si="75"/>
        <v>0</v>
      </c>
      <c r="H314" s="7">
        <f t="shared" si="76"/>
        <v>0</v>
      </c>
      <c r="I314" s="8">
        <v>21.72</v>
      </c>
      <c r="J314" s="9">
        <f t="shared" si="77"/>
        <v>21.72</v>
      </c>
      <c r="K314" s="3">
        <f t="shared" si="78"/>
        <v>0</v>
      </c>
      <c r="L314" s="7">
        <f t="shared" si="79"/>
        <v>0</v>
      </c>
      <c r="M314" t="s">
        <v>187</v>
      </c>
      <c r="O314" s="3">
        <f>E314-'314020 - P0624'!F314</f>
        <v>0</v>
      </c>
      <c r="P314" s="30">
        <f>I314-'314020 - P0624'!J314</f>
        <v>0</v>
      </c>
    </row>
    <row r="315" spans="1:16" x14ac:dyDescent="0.25">
      <c r="A315">
        <v>313</v>
      </c>
      <c r="B315" t="s">
        <v>303</v>
      </c>
      <c r="C315" t="s">
        <v>291</v>
      </c>
      <c r="D315" s="4" t="s">
        <v>312</v>
      </c>
      <c r="E315" s="12">
        <v>175</v>
      </c>
      <c r="F315" s="12">
        <v>175</v>
      </c>
      <c r="G315" s="6">
        <f t="shared" si="75"/>
        <v>0</v>
      </c>
      <c r="H315" s="7">
        <f t="shared" si="76"/>
        <v>0</v>
      </c>
      <c r="I315" s="8">
        <v>284.09826122118881</v>
      </c>
      <c r="J315" s="9">
        <f t="shared" si="77"/>
        <v>284.09826122118881</v>
      </c>
      <c r="K315" s="3">
        <f t="shared" si="78"/>
        <v>0</v>
      </c>
      <c r="L315" s="7">
        <f t="shared" si="79"/>
        <v>0</v>
      </c>
      <c r="M315" t="s">
        <v>187</v>
      </c>
      <c r="O315" s="3">
        <f>E315-'314020 - P0624'!F315</f>
        <v>0</v>
      </c>
      <c r="P315" s="30">
        <f>I315-'314020 - P0624'!J315</f>
        <v>0</v>
      </c>
    </row>
    <row r="316" spans="1:16" x14ac:dyDescent="0.25">
      <c r="A316">
        <v>314</v>
      </c>
      <c r="B316" t="s">
        <v>470</v>
      </c>
      <c r="C316" t="s">
        <v>291</v>
      </c>
      <c r="D316" s="4" t="s">
        <v>313</v>
      </c>
      <c r="E316" s="12">
        <v>175</v>
      </c>
      <c r="F316" s="12">
        <v>175</v>
      </c>
      <c r="G316" s="6">
        <f t="shared" si="75"/>
        <v>0</v>
      </c>
      <c r="H316" s="7">
        <f t="shared" si="76"/>
        <v>0</v>
      </c>
      <c r="I316" s="8">
        <v>284.09826122118881</v>
      </c>
      <c r="J316" s="9">
        <f t="shared" si="77"/>
        <v>284.09826122118881</v>
      </c>
      <c r="K316" s="3">
        <f t="shared" si="78"/>
        <v>0</v>
      </c>
      <c r="L316" s="7">
        <f t="shared" si="79"/>
        <v>0</v>
      </c>
      <c r="M316" t="s">
        <v>187</v>
      </c>
      <c r="O316" s="3">
        <f>E316-'314020 - P0624'!F316</f>
        <v>0</v>
      </c>
      <c r="P316" s="30">
        <f>I316-'314020 - P0624'!J316</f>
        <v>0</v>
      </c>
    </row>
    <row r="317" spans="1:16" x14ac:dyDescent="0.25">
      <c r="A317">
        <v>315</v>
      </c>
      <c r="B317" t="s">
        <v>303</v>
      </c>
      <c r="C317" t="s">
        <v>291</v>
      </c>
      <c r="D317" s="4" t="s">
        <v>314</v>
      </c>
      <c r="E317" s="12">
        <v>20.73</v>
      </c>
      <c r="F317" s="12">
        <v>20.73</v>
      </c>
      <c r="G317" s="6">
        <f t="shared" si="75"/>
        <v>0</v>
      </c>
      <c r="H317" s="7">
        <f t="shared" si="76"/>
        <v>0</v>
      </c>
      <c r="I317" s="8">
        <v>33.65</v>
      </c>
      <c r="J317" s="9">
        <f t="shared" si="77"/>
        <v>33.65</v>
      </c>
      <c r="K317" s="3">
        <f t="shared" si="78"/>
        <v>0</v>
      </c>
      <c r="L317" s="7">
        <f t="shared" si="79"/>
        <v>0</v>
      </c>
      <c r="M317" t="s">
        <v>187</v>
      </c>
      <c r="O317" s="3">
        <f>E317-'314020 - P0624'!F317</f>
        <v>0</v>
      </c>
      <c r="P317" s="30">
        <f>I317-'314020 - P0624'!J317</f>
        <v>0</v>
      </c>
    </row>
    <row r="318" spans="1:16" x14ac:dyDescent="0.25">
      <c r="A318">
        <v>316</v>
      </c>
      <c r="B318" t="s">
        <v>470</v>
      </c>
      <c r="C318" t="s">
        <v>291</v>
      </c>
      <c r="D318" s="4" t="s">
        <v>315</v>
      </c>
      <c r="E318" s="12">
        <v>11.34</v>
      </c>
      <c r="F318" s="12">
        <v>11.34</v>
      </c>
      <c r="G318" s="6">
        <f t="shared" si="75"/>
        <v>0</v>
      </c>
      <c r="H318" s="7">
        <f t="shared" si="76"/>
        <v>0</v>
      </c>
      <c r="I318" s="8">
        <v>17.673479758926415</v>
      </c>
      <c r="J318" s="9">
        <f t="shared" si="77"/>
        <v>17.673479758926415</v>
      </c>
      <c r="K318" s="3">
        <f t="shared" si="78"/>
        <v>0</v>
      </c>
      <c r="L318" s="7">
        <f t="shared" si="79"/>
        <v>0</v>
      </c>
      <c r="M318" t="s">
        <v>187</v>
      </c>
      <c r="O318" s="3">
        <f>E318-'314020 - P0624'!F318</f>
        <v>0</v>
      </c>
      <c r="P318" s="30">
        <f>I318-'314020 - P0624'!J318</f>
        <v>0</v>
      </c>
    </row>
    <row r="319" spans="1:16" x14ac:dyDescent="0.25">
      <c r="A319">
        <v>317</v>
      </c>
      <c r="B319" t="s">
        <v>473</v>
      </c>
      <c r="C319" t="s">
        <v>291</v>
      </c>
      <c r="D319" s="4" t="s">
        <v>316</v>
      </c>
      <c r="E319" s="12">
        <v>36.4</v>
      </c>
      <c r="F319" s="12">
        <v>36.4</v>
      </c>
      <c r="G319" s="6">
        <f t="shared" si="75"/>
        <v>0</v>
      </c>
      <c r="H319" s="7">
        <f t="shared" si="76"/>
        <v>0</v>
      </c>
      <c r="I319" s="8">
        <v>56</v>
      </c>
      <c r="J319" s="9">
        <f t="shared" si="77"/>
        <v>56</v>
      </c>
      <c r="K319" s="3">
        <f t="shared" si="78"/>
        <v>0</v>
      </c>
      <c r="L319" s="7">
        <f t="shared" si="79"/>
        <v>0</v>
      </c>
      <c r="M319" t="s">
        <v>187</v>
      </c>
      <c r="O319" s="3">
        <f>E319-'314020 - P0624'!F319</f>
        <v>0</v>
      </c>
      <c r="P319" s="30">
        <f>I319-'314020 - P0624'!J319</f>
        <v>0</v>
      </c>
    </row>
    <row r="320" spans="1:16" x14ac:dyDescent="0.25">
      <c r="A320">
        <v>318</v>
      </c>
      <c r="B320" t="s">
        <v>470</v>
      </c>
      <c r="C320" t="s">
        <v>291</v>
      </c>
      <c r="D320" s="4" t="s">
        <v>317</v>
      </c>
      <c r="E320" s="12">
        <v>32.81</v>
      </c>
      <c r="F320" s="12">
        <v>32.81</v>
      </c>
      <c r="G320" s="6">
        <f t="shared" si="75"/>
        <v>0</v>
      </c>
      <c r="H320" s="7">
        <f t="shared" si="76"/>
        <v>0</v>
      </c>
      <c r="I320" s="8">
        <v>85.12</v>
      </c>
      <c r="J320" s="9">
        <f t="shared" si="77"/>
        <v>85.12</v>
      </c>
      <c r="K320" s="3">
        <f t="shared" si="78"/>
        <v>0</v>
      </c>
      <c r="L320" s="7">
        <f t="shared" si="79"/>
        <v>0</v>
      </c>
      <c r="M320" t="s">
        <v>187</v>
      </c>
      <c r="O320" s="3">
        <f>E320-'314020 - P0624'!F320</f>
        <v>0</v>
      </c>
      <c r="P320" s="30">
        <f>I320-'314020 - P0624'!J320</f>
        <v>0</v>
      </c>
    </row>
    <row r="321" spans="1:16" x14ac:dyDescent="0.25">
      <c r="A321">
        <v>319</v>
      </c>
      <c r="B321" t="s">
        <v>473</v>
      </c>
      <c r="C321" t="s">
        <v>291</v>
      </c>
      <c r="D321" s="4" t="s">
        <v>318</v>
      </c>
      <c r="E321" s="12">
        <v>21.15</v>
      </c>
      <c r="F321" s="12">
        <v>21.15</v>
      </c>
      <c r="G321" s="6">
        <f t="shared" si="75"/>
        <v>0</v>
      </c>
      <c r="H321" s="7">
        <f t="shared" si="76"/>
        <v>0</v>
      </c>
      <c r="I321" s="8">
        <v>32.590000000000003</v>
      </c>
      <c r="J321" s="9">
        <f t="shared" si="77"/>
        <v>32.590000000000003</v>
      </c>
      <c r="K321" s="3">
        <f t="shared" si="78"/>
        <v>0</v>
      </c>
      <c r="L321" s="7">
        <f t="shared" si="79"/>
        <v>0</v>
      </c>
      <c r="M321" t="s">
        <v>187</v>
      </c>
      <c r="O321" s="3">
        <f>E321-'314020 - P0624'!F321</f>
        <v>0</v>
      </c>
      <c r="P321" s="30">
        <f>I321-'314020 - P0624'!J321</f>
        <v>0</v>
      </c>
    </row>
    <row r="322" spans="1:16" x14ac:dyDescent="0.25">
      <c r="A322">
        <v>320</v>
      </c>
      <c r="B322" t="s">
        <v>319</v>
      </c>
      <c r="C322" t="s">
        <v>291</v>
      </c>
      <c r="D322" s="4" t="s">
        <v>320</v>
      </c>
      <c r="E322" s="12">
        <v>1.34</v>
      </c>
      <c r="F322" s="12">
        <v>1.34</v>
      </c>
      <c r="G322" s="6">
        <f t="shared" si="75"/>
        <v>0</v>
      </c>
      <c r="H322" s="7">
        <f t="shared" si="76"/>
        <v>0</v>
      </c>
      <c r="I322" s="8">
        <v>2.5299999999999998</v>
      </c>
      <c r="J322" s="9">
        <f t="shared" si="77"/>
        <v>2.5299999999999998</v>
      </c>
      <c r="K322" s="3">
        <f t="shared" si="78"/>
        <v>0</v>
      </c>
      <c r="L322" s="7">
        <f t="shared" si="79"/>
        <v>0</v>
      </c>
      <c r="M322" t="s">
        <v>187</v>
      </c>
      <c r="O322" s="3">
        <f>E322-'314020 - P0624'!F322</f>
        <v>0</v>
      </c>
      <c r="P322" s="30">
        <f>I322-'314020 - P0624'!J322</f>
        <v>0</v>
      </c>
    </row>
    <row r="323" spans="1:16" x14ac:dyDescent="0.25">
      <c r="A323">
        <v>321</v>
      </c>
      <c r="B323" t="s">
        <v>473</v>
      </c>
      <c r="C323" t="s">
        <v>291</v>
      </c>
      <c r="D323" s="4" t="s">
        <v>321</v>
      </c>
      <c r="E323" s="12">
        <v>1.7</v>
      </c>
      <c r="F323" s="12">
        <v>1.7</v>
      </c>
      <c r="G323" s="6">
        <f t="shared" si="75"/>
        <v>0</v>
      </c>
      <c r="H323" s="7">
        <f t="shared" si="76"/>
        <v>0</v>
      </c>
      <c r="I323" s="8">
        <v>2.62</v>
      </c>
      <c r="J323" s="9">
        <f t="shared" si="77"/>
        <v>2.62</v>
      </c>
      <c r="K323" s="3">
        <f t="shared" si="78"/>
        <v>0</v>
      </c>
      <c r="L323" s="7">
        <f t="shared" si="79"/>
        <v>0</v>
      </c>
      <c r="M323" t="s">
        <v>187</v>
      </c>
      <c r="O323" s="3">
        <f>E323-'314020 - P0624'!F323</f>
        <v>0</v>
      </c>
      <c r="P323" s="30">
        <f>I323-'314020 - P0624'!J323</f>
        <v>0</v>
      </c>
    </row>
    <row r="324" spans="1:16" x14ac:dyDescent="0.25">
      <c r="A324">
        <v>322</v>
      </c>
      <c r="B324" t="s">
        <v>474</v>
      </c>
      <c r="C324" t="s">
        <v>291</v>
      </c>
      <c r="D324" s="4" t="s">
        <v>323</v>
      </c>
      <c r="E324" s="16">
        <v>35.229999999999997</v>
      </c>
      <c r="F324" s="12">
        <v>35.229999999999997</v>
      </c>
      <c r="G324" s="6">
        <f t="shared" si="75"/>
        <v>0</v>
      </c>
      <c r="H324" s="7">
        <f t="shared" si="76"/>
        <v>0</v>
      </c>
      <c r="I324" s="8">
        <v>54.21</v>
      </c>
      <c r="J324" s="9">
        <f t="shared" si="77"/>
        <v>54.21</v>
      </c>
      <c r="K324" s="3">
        <f t="shared" si="78"/>
        <v>0</v>
      </c>
      <c r="L324" s="7">
        <f t="shared" si="79"/>
        <v>0</v>
      </c>
      <c r="M324" t="s">
        <v>187</v>
      </c>
      <c r="O324" s="3">
        <f>E324-'314020 - P0624'!F324</f>
        <v>0</v>
      </c>
      <c r="P324" s="30">
        <f>I324-'314020 - P0624'!J324</f>
        <v>0</v>
      </c>
    </row>
    <row r="325" spans="1:16" x14ac:dyDescent="0.25">
      <c r="A325">
        <v>323</v>
      </c>
      <c r="B325" t="s">
        <v>474</v>
      </c>
      <c r="C325" t="s">
        <v>291</v>
      </c>
      <c r="D325" s="4" t="s">
        <v>324</v>
      </c>
      <c r="E325" s="16">
        <v>19.350000000000001</v>
      </c>
      <c r="F325" s="12">
        <v>19.350000000000001</v>
      </c>
      <c r="G325" s="6">
        <f t="shared" si="75"/>
        <v>0</v>
      </c>
      <c r="H325" s="7">
        <f t="shared" si="76"/>
        <v>0</v>
      </c>
      <c r="I325" s="8">
        <v>34.01</v>
      </c>
      <c r="J325" s="9">
        <f t="shared" si="77"/>
        <v>34.01</v>
      </c>
      <c r="K325" s="3">
        <f t="shared" si="78"/>
        <v>0</v>
      </c>
      <c r="L325" s="7">
        <f t="shared" si="79"/>
        <v>0</v>
      </c>
      <c r="M325" t="s">
        <v>187</v>
      </c>
      <c r="O325" s="3">
        <f>E325-'314020 - P0624'!F325</f>
        <v>0</v>
      </c>
      <c r="P325" s="30">
        <f>I325-'314020 - P0624'!J325</f>
        <v>0</v>
      </c>
    </row>
    <row r="326" spans="1:16" x14ac:dyDescent="0.25">
      <c r="A326">
        <v>324</v>
      </c>
      <c r="B326" t="s">
        <v>474</v>
      </c>
      <c r="C326" t="s">
        <v>291</v>
      </c>
      <c r="D326" s="4" t="s">
        <v>325</v>
      </c>
      <c r="E326" s="16">
        <v>13.97</v>
      </c>
      <c r="F326" s="12">
        <v>13.97</v>
      </c>
      <c r="G326" s="6">
        <f t="shared" si="75"/>
        <v>0</v>
      </c>
      <c r="H326" s="7">
        <f t="shared" si="76"/>
        <v>0</v>
      </c>
      <c r="I326" s="8">
        <v>21.5</v>
      </c>
      <c r="J326" s="9">
        <f t="shared" si="77"/>
        <v>21.5</v>
      </c>
      <c r="K326" s="3">
        <f t="shared" si="78"/>
        <v>0</v>
      </c>
      <c r="L326" s="7">
        <f t="shared" si="79"/>
        <v>0</v>
      </c>
      <c r="M326" t="s">
        <v>187</v>
      </c>
      <c r="O326" s="3">
        <f>E326-'314020 - P0624'!F326</f>
        <v>0</v>
      </c>
      <c r="P326" s="30">
        <f>I326-'314020 - P0624'!J326</f>
        <v>0</v>
      </c>
    </row>
    <row r="327" spans="1:16" x14ac:dyDescent="0.25">
      <c r="A327">
        <v>325</v>
      </c>
      <c r="B327" t="s">
        <v>474</v>
      </c>
      <c r="C327" t="s">
        <v>291</v>
      </c>
      <c r="D327" s="4" t="s">
        <v>326</v>
      </c>
      <c r="E327" s="16">
        <v>4.5599999999999996</v>
      </c>
      <c r="F327" s="12">
        <v>4.5599999999999996</v>
      </c>
      <c r="G327" s="6">
        <f t="shared" si="75"/>
        <v>0</v>
      </c>
      <c r="H327" s="7">
        <f t="shared" si="76"/>
        <v>0</v>
      </c>
      <c r="I327" s="8">
        <v>9.14</v>
      </c>
      <c r="J327" s="9">
        <f t="shared" si="77"/>
        <v>9.14</v>
      </c>
      <c r="K327" s="3">
        <f t="shared" si="78"/>
        <v>0</v>
      </c>
      <c r="L327" s="7">
        <f t="shared" si="79"/>
        <v>0</v>
      </c>
      <c r="M327" t="s">
        <v>187</v>
      </c>
      <c r="O327" s="3">
        <f>E327-'314020 - P0624'!F327</f>
        <v>0</v>
      </c>
      <c r="P327" s="30">
        <f>I327-'314020 - P0624'!J327</f>
        <v>0</v>
      </c>
    </row>
    <row r="328" spans="1:16" x14ac:dyDescent="0.25">
      <c r="A328">
        <v>326</v>
      </c>
      <c r="B328" t="s">
        <v>475</v>
      </c>
      <c r="C328" t="s">
        <v>291</v>
      </c>
      <c r="D328" s="4" t="s">
        <v>327</v>
      </c>
      <c r="E328" s="16">
        <v>3.49</v>
      </c>
      <c r="F328" s="12">
        <v>3.49</v>
      </c>
      <c r="G328" s="6">
        <f t="shared" si="75"/>
        <v>0</v>
      </c>
      <c r="H328" s="7">
        <f t="shared" si="76"/>
        <v>0</v>
      </c>
      <c r="I328" s="8">
        <v>6.59</v>
      </c>
      <c r="J328" s="9">
        <f t="shared" si="77"/>
        <v>6.59</v>
      </c>
      <c r="K328" s="3">
        <f t="shared" si="78"/>
        <v>0</v>
      </c>
      <c r="L328" s="7">
        <f t="shared" si="79"/>
        <v>0</v>
      </c>
      <c r="M328" t="s">
        <v>187</v>
      </c>
      <c r="O328" s="3">
        <f>E328-'314020 - P0624'!F328</f>
        <v>0</v>
      </c>
      <c r="P328" s="30">
        <f>I328-'314020 - P0624'!J328</f>
        <v>0</v>
      </c>
    </row>
    <row r="329" spans="1:16" x14ac:dyDescent="0.25">
      <c r="A329">
        <v>327</v>
      </c>
      <c r="B329" t="s">
        <v>474</v>
      </c>
      <c r="C329" t="s">
        <v>291</v>
      </c>
      <c r="D329" s="4" t="s">
        <v>328</v>
      </c>
      <c r="E329" s="16">
        <v>5.68</v>
      </c>
      <c r="F329" s="12">
        <v>5.68</v>
      </c>
      <c r="G329" s="6">
        <f t="shared" si="75"/>
        <v>0</v>
      </c>
      <c r="H329" s="7">
        <f t="shared" si="76"/>
        <v>0</v>
      </c>
      <c r="I329" s="8">
        <v>8.77</v>
      </c>
      <c r="J329" s="9">
        <f t="shared" si="77"/>
        <v>8.77</v>
      </c>
      <c r="K329" s="3">
        <f t="shared" si="78"/>
        <v>0</v>
      </c>
      <c r="L329" s="7">
        <f t="shared" si="79"/>
        <v>0</v>
      </c>
      <c r="M329" t="s">
        <v>187</v>
      </c>
      <c r="O329" s="3">
        <f>E329-'314020 - P0624'!F329</f>
        <v>0</v>
      </c>
      <c r="P329" s="30">
        <f>I329-'314020 - P0624'!J329</f>
        <v>0</v>
      </c>
    </row>
    <row r="330" spans="1:16" x14ac:dyDescent="0.25">
      <c r="A330">
        <v>328</v>
      </c>
      <c r="B330" t="s">
        <v>473</v>
      </c>
      <c r="C330" t="s">
        <v>291</v>
      </c>
      <c r="D330" s="4" t="s">
        <v>329</v>
      </c>
      <c r="E330" s="16">
        <v>5.22</v>
      </c>
      <c r="F330" s="12">
        <v>5.22</v>
      </c>
      <c r="G330" s="6">
        <f t="shared" si="75"/>
        <v>0</v>
      </c>
      <c r="H330" s="7">
        <f t="shared" si="76"/>
        <v>0</v>
      </c>
      <c r="I330" s="8">
        <v>8.0399999999999991</v>
      </c>
      <c r="J330" s="9">
        <f t="shared" si="77"/>
        <v>8.0399999999999991</v>
      </c>
      <c r="K330" s="3">
        <f t="shared" si="78"/>
        <v>0</v>
      </c>
      <c r="L330" s="7">
        <f t="shared" si="79"/>
        <v>0</v>
      </c>
      <c r="M330" t="s">
        <v>187</v>
      </c>
      <c r="O330" s="3">
        <f>E330-'314020 - P0624'!F330</f>
        <v>0</v>
      </c>
      <c r="P330" s="30">
        <f>I330-'314020 - P0624'!J330</f>
        <v>0</v>
      </c>
    </row>
    <row r="331" spans="1:16" x14ac:dyDescent="0.25">
      <c r="A331">
        <v>329</v>
      </c>
      <c r="B331" t="s">
        <v>474</v>
      </c>
      <c r="C331" t="s">
        <v>291</v>
      </c>
      <c r="D331" s="4" t="s">
        <v>330</v>
      </c>
      <c r="E331" s="16">
        <v>34.32</v>
      </c>
      <c r="F331" s="12">
        <v>34.32</v>
      </c>
      <c r="G331" s="6">
        <f t="shared" si="75"/>
        <v>0</v>
      </c>
      <c r="H331" s="7">
        <f t="shared" si="76"/>
        <v>0</v>
      </c>
      <c r="I331" s="8">
        <v>52.8</v>
      </c>
      <c r="J331" s="9">
        <f t="shared" si="77"/>
        <v>52.8</v>
      </c>
      <c r="K331" s="3">
        <f t="shared" si="78"/>
        <v>0</v>
      </c>
      <c r="L331" s="7">
        <f t="shared" si="79"/>
        <v>0</v>
      </c>
      <c r="M331" t="s">
        <v>187</v>
      </c>
      <c r="O331" s="3">
        <f>E331-'314020 - P0624'!F331</f>
        <v>0</v>
      </c>
      <c r="P331" s="30">
        <f>I331-'314020 - P0624'!J331</f>
        <v>0</v>
      </c>
    </row>
    <row r="332" spans="1:16" x14ac:dyDescent="0.25">
      <c r="A332">
        <v>330</v>
      </c>
      <c r="B332" t="s">
        <v>474</v>
      </c>
      <c r="C332" t="s">
        <v>291</v>
      </c>
      <c r="D332" s="4" t="s">
        <v>331</v>
      </c>
      <c r="E332" s="16">
        <v>2.96</v>
      </c>
      <c r="F332" s="12">
        <v>2.96</v>
      </c>
      <c r="G332" s="6">
        <f>+F332-E332</f>
        <v>0</v>
      </c>
      <c r="H332" s="7">
        <f>(F332-E332)/ABS(E332)</f>
        <v>0</v>
      </c>
      <c r="I332" s="8">
        <v>4.5599999999999996</v>
      </c>
      <c r="J332" s="9">
        <f>(I332*H332)+I332</f>
        <v>4.5599999999999996</v>
      </c>
      <c r="K332" s="3">
        <f>J332-I332</f>
        <v>0</v>
      </c>
      <c r="L332" s="7">
        <f>(J332-I332)/ABS(I332)</f>
        <v>0</v>
      </c>
      <c r="M332" t="s">
        <v>187</v>
      </c>
      <c r="O332" s="3">
        <f>E332-'314020 - P0624'!F332</f>
        <v>0</v>
      </c>
      <c r="P332" s="30">
        <f>I332-'314020 - P0624'!J332</f>
        <v>0</v>
      </c>
    </row>
    <row r="333" spans="1:16" x14ac:dyDescent="0.25">
      <c r="A333">
        <v>331</v>
      </c>
      <c r="B333" t="s">
        <v>473</v>
      </c>
      <c r="C333" t="s">
        <v>291</v>
      </c>
      <c r="D333" s="4" t="s">
        <v>332</v>
      </c>
      <c r="E333" s="12">
        <v>197</v>
      </c>
      <c r="F333" s="12">
        <v>197</v>
      </c>
      <c r="G333" s="6">
        <f t="shared" ref="G333:G345" si="80">+F333-E333</f>
        <v>0</v>
      </c>
      <c r="H333" s="7">
        <f t="shared" ref="H333:H345" si="81">(F333-E333)/ABS(E333)</f>
        <v>0</v>
      </c>
      <c r="I333" s="8">
        <v>303.08</v>
      </c>
      <c r="J333" s="9">
        <f t="shared" ref="J333:J345" si="82">(I333*H333)+I333</f>
        <v>303.08</v>
      </c>
      <c r="K333" s="3">
        <f t="shared" ref="K333:K345" si="83">J333-I333</f>
        <v>0</v>
      </c>
      <c r="L333" s="7">
        <f t="shared" ref="L333:L345" si="84">(J333-I333)/ABS(I333)</f>
        <v>0</v>
      </c>
      <c r="M333" t="s">
        <v>187</v>
      </c>
      <c r="O333" s="3">
        <f>E333-'314020 - P0624'!F333</f>
        <v>0</v>
      </c>
      <c r="P333" s="30">
        <f>I333-'314020 - P0624'!J333</f>
        <v>0</v>
      </c>
    </row>
    <row r="334" spans="1:16" x14ac:dyDescent="0.25">
      <c r="A334">
        <v>332</v>
      </c>
      <c r="B334" t="s">
        <v>319</v>
      </c>
      <c r="C334" t="s">
        <v>291</v>
      </c>
      <c r="D334" s="4" t="s">
        <v>333</v>
      </c>
      <c r="E334" s="12">
        <v>83</v>
      </c>
      <c r="F334" s="12">
        <v>83</v>
      </c>
      <c r="G334" s="6">
        <f t="shared" si="80"/>
        <v>0</v>
      </c>
      <c r="H334" s="7">
        <f t="shared" si="81"/>
        <v>0</v>
      </c>
      <c r="I334" s="8">
        <v>100.7</v>
      </c>
      <c r="J334" s="9">
        <f t="shared" si="82"/>
        <v>100.7</v>
      </c>
      <c r="K334" s="3">
        <f t="shared" si="83"/>
        <v>0</v>
      </c>
      <c r="L334" s="7">
        <f t="shared" si="84"/>
        <v>0</v>
      </c>
      <c r="M334" t="s">
        <v>187</v>
      </c>
      <c r="O334" s="3">
        <f>E334-'314020 - P0624'!F334</f>
        <v>0</v>
      </c>
      <c r="P334" s="30">
        <f>I334-'314020 - P0624'!J334</f>
        <v>0</v>
      </c>
    </row>
    <row r="335" spans="1:16" x14ac:dyDescent="0.25">
      <c r="A335">
        <v>333</v>
      </c>
      <c r="B335" t="s">
        <v>305</v>
      </c>
      <c r="C335" t="s">
        <v>291</v>
      </c>
      <c r="D335" s="4" t="s">
        <v>334</v>
      </c>
      <c r="E335" s="12">
        <v>10</v>
      </c>
      <c r="F335" s="12">
        <v>10</v>
      </c>
      <c r="G335" s="6">
        <f t="shared" si="80"/>
        <v>0</v>
      </c>
      <c r="H335" s="7">
        <f t="shared" si="81"/>
        <v>0</v>
      </c>
      <c r="I335" s="8">
        <v>15.39</v>
      </c>
      <c r="J335" s="9">
        <f t="shared" si="82"/>
        <v>15.39</v>
      </c>
      <c r="K335" s="3">
        <f t="shared" si="83"/>
        <v>0</v>
      </c>
      <c r="L335" s="7">
        <f t="shared" si="84"/>
        <v>0</v>
      </c>
      <c r="M335" t="s">
        <v>187</v>
      </c>
      <c r="O335" s="3">
        <f>E335-'314020 - P0624'!F335</f>
        <v>0</v>
      </c>
      <c r="P335" s="30">
        <f>I335-'314020 - P0624'!J335</f>
        <v>0</v>
      </c>
    </row>
    <row r="336" spans="1:16" x14ac:dyDescent="0.25">
      <c r="A336">
        <v>334</v>
      </c>
      <c r="B336" t="s">
        <v>476</v>
      </c>
      <c r="C336" t="s">
        <v>291</v>
      </c>
      <c r="D336" s="4" t="s">
        <v>335</v>
      </c>
      <c r="E336" s="12">
        <v>2.5099999999999998</v>
      </c>
      <c r="F336" s="12">
        <v>2.5099999999999998</v>
      </c>
      <c r="G336" s="6">
        <f t="shared" si="80"/>
        <v>0</v>
      </c>
      <c r="H336" s="7">
        <f t="shared" si="81"/>
        <v>0</v>
      </c>
      <c r="I336" s="8">
        <v>5.14</v>
      </c>
      <c r="J336" s="9">
        <f t="shared" si="82"/>
        <v>5.14</v>
      </c>
      <c r="K336" s="3">
        <f t="shared" si="83"/>
        <v>0</v>
      </c>
      <c r="L336" s="7">
        <f t="shared" si="84"/>
        <v>0</v>
      </c>
      <c r="M336" t="s">
        <v>187</v>
      </c>
      <c r="O336" s="3">
        <f>E336-'314020 - P0624'!F336</f>
        <v>0</v>
      </c>
      <c r="P336" s="30">
        <f>I336-'314020 - P0624'!J336</f>
        <v>0</v>
      </c>
    </row>
    <row r="337" spans="1:16" x14ac:dyDescent="0.25">
      <c r="A337">
        <v>335</v>
      </c>
      <c r="B337" t="s">
        <v>477</v>
      </c>
      <c r="C337" t="s">
        <v>291</v>
      </c>
      <c r="D337" s="4" t="s">
        <v>336</v>
      </c>
      <c r="E337" s="12">
        <v>5.44</v>
      </c>
      <c r="F337" s="12">
        <v>5.44</v>
      </c>
      <c r="G337" s="6">
        <f t="shared" si="80"/>
        <v>0</v>
      </c>
      <c r="H337" s="7">
        <f t="shared" si="81"/>
        <v>0</v>
      </c>
      <c r="I337" s="8">
        <v>9.49</v>
      </c>
      <c r="J337" s="9">
        <f t="shared" si="82"/>
        <v>9.49</v>
      </c>
      <c r="K337" s="3">
        <f t="shared" si="83"/>
        <v>0</v>
      </c>
      <c r="L337" s="7">
        <f t="shared" si="84"/>
        <v>0</v>
      </c>
      <c r="M337" t="s">
        <v>187</v>
      </c>
      <c r="O337" s="3">
        <f>E337-'314020 - P0624'!F337</f>
        <v>0</v>
      </c>
      <c r="P337" s="30">
        <f>I337-'314020 - P0624'!J337</f>
        <v>0</v>
      </c>
    </row>
    <row r="338" spans="1:16" x14ac:dyDescent="0.25">
      <c r="A338">
        <v>336</v>
      </c>
      <c r="B338" t="s">
        <v>463</v>
      </c>
      <c r="C338" t="s">
        <v>291</v>
      </c>
      <c r="D338" s="4" t="s">
        <v>337</v>
      </c>
      <c r="E338" s="12">
        <v>115.32</v>
      </c>
      <c r="F338" s="12">
        <v>115.32</v>
      </c>
      <c r="G338" s="6">
        <f t="shared" si="80"/>
        <v>0</v>
      </c>
      <c r="H338" s="7">
        <f t="shared" si="81"/>
        <v>0</v>
      </c>
      <c r="I338" s="8">
        <v>177.42</v>
      </c>
      <c r="J338" s="9">
        <f t="shared" si="82"/>
        <v>177.42</v>
      </c>
      <c r="K338" s="3">
        <f t="shared" si="83"/>
        <v>0</v>
      </c>
      <c r="L338" s="7">
        <f t="shared" si="84"/>
        <v>0</v>
      </c>
      <c r="M338" t="s">
        <v>187</v>
      </c>
      <c r="O338" s="3">
        <f>E338-'314020 - P0624'!F338</f>
        <v>0</v>
      </c>
      <c r="P338" s="30">
        <f>I338-'314020 - P0624'!J338</f>
        <v>0</v>
      </c>
    </row>
    <row r="339" spans="1:16" x14ac:dyDescent="0.25">
      <c r="A339">
        <v>337</v>
      </c>
      <c r="B339" t="s">
        <v>463</v>
      </c>
      <c r="C339" t="s">
        <v>291</v>
      </c>
      <c r="D339" s="4" t="s">
        <v>338</v>
      </c>
      <c r="E339" s="12">
        <v>0.89</v>
      </c>
      <c r="F339" s="12">
        <v>0.89</v>
      </c>
      <c r="G339" s="6">
        <f t="shared" si="80"/>
        <v>0</v>
      </c>
      <c r="H339" s="7">
        <f t="shared" si="81"/>
        <v>0</v>
      </c>
      <c r="I339" s="8">
        <v>1.37</v>
      </c>
      <c r="J339" s="9">
        <f t="shared" si="82"/>
        <v>1.37</v>
      </c>
      <c r="K339" s="3">
        <f t="shared" si="83"/>
        <v>0</v>
      </c>
      <c r="L339" s="7">
        <f t="shared" si="84"/>
        <v>0</v>
      </c>
      <c r="M339" t="s">
        <v>187</v>
      </c>
      <c r="O339" s="3">
        <f>E339-'314020 - P0624'!F339</f>
        <v>0</v>
      </c>
      <c r="P339" s="30">
        <f>I339-'314020 - P0624'!J339</f>
        <v>0</v>
      </c>
    </row>
    <row r="340" spans="1:16" x14ac:dyDescent="0.25">
      <c r="A340">
        <v>338</v>
      </c>
      <c r="B340" t="s">
        <v>463</v>
      </c>
      <c r="C340" t="s">
        <v>291</v>
      </c>
      <c r="D340" s="4" t="s">
        <v>339</v>
      </c>
      <c r="E340" s="12">
        <v>33.590000000000003</v>
      </c>
      <c r="F340" s="12">
        <v>33.590000000000003</v>
      </c>
      <c r="G340" s="6">
        <f t="shared" si="80"/>
        <v>0</v>
      </c>
      <c r="H340" s="7">
        <f t="shared" si="81"/>
        <v>0</v>
      </c>
      <c r="I340" s="8">
        <v>51.68</v>
      </c>
      <c r="J340" s="9">
        <f t="shared" si="82"/>
        <v>51.68</v>
      </c>
      <c r="K340" s="3">
        <f t="shared" si="83"/>
        <v>0</v>
      </c>
      <c r="L340" s="7">
        <f t="shared" si="84"/>
        <v>0</v>
      </c>
      <c r="M340" t="s">
        <v>187</v>
      </c>
      <c r="O340" s="3">
        <f>E340-'314020 - P0624'!F340</f>
        <v>0</v>
      </c>
      <c r="P340" s="30">
        <f>I340-'314020 - P0624'!J340</f>
        <v>0</v>
      </c>
    </row>
    <row r="341" spans="1:16" x14ac:dyDescent="0.25">
      <c r="A341">
        <v>339</v>
      </c>
      <c r="B341" t="s">
        <v>463</v>
      </c>
      <c r="C341" t="s">
        <v>291</v>
      </c>
      <c r="D341" s="4" t="s">
        <v>464</v>
      </c>
      <c r="E341" s="12">
        <v>14.78</v>
      </c>
      <c r="F341" s="12">
        <v>14.78</v>
      </c>
      <c r="G341" s="6">
        <f t="shared" si="80"/>
        <v>0</v>
      </c>
      <c r="H341" s="7">
        <f t="shared" si="81"/>
        <v>0</v>
      </c>
      <c r="I341" s="8">
        <v>22.74</v>
      </c>
      <c r="J341" s="9">
        <f t="shared" si="82"/>
        <v>22.74</v>
      </c>
      <c r="K341" s="3">
        <f t="shared" si="83"/>
        <v>0</v>
      </c>
      <c r="L341" s="7">
        <f t="shared" si="84"/>
        <v>0</v>
      </c>
      <c r="M341" t="s">
        <v>187</v>
      </c>
      <c r="O341" s="3">
        <f>E341-'314020 - P0624'!F341</f>
        <v>0</v>
      </c>
      <c r="P341" s="30">
        <f>I341-'314020 - P0624'!J341</f>
        <v>0</v>
      </c>
    </row>
    <row r="342" spans="1:16" x14ac:dyDescent="0.25">
      <c r="A342">
        <v>340</v>
      </c>
      <c r="B342" t="s">
        <v>463</v>
      </c>
      <c r="C342" t="s">
        <v>291</v>
      </c>
      <c r="D342" s="4" t="s">
        <v>466</v>
      </c>
      <c r="E342" s="12">
        <v>2.21</v>
      </c>
      <c r="F342" s="12">
        <v>2.21</v>
      </c>
      <c r="G342" s="6">
        <f t="shared" si="80"/>
        <v>0</v>
      </c>
      <c r="H342" s="7">
        <f t="shared" si="81"/>
        <v>0</v>
      </c>
      <c r="I342" s="8">
        <v>3.8</v>
      </c>
      <c r="J342" s="9">
        <f t="shared" si="82"/>
        <v>3.8</v>
      </c>
      <c r="K342" s="3">
        <f t="shared" si="83"/>
        <v>0</v>
      </c>
      <c r="L342" s="7">
        <f t="shared" si="84"/>
        <v>0</v>
      </c>
      <c r="M342" t="s">
        <v>187</v>
      </c>
      <c r="O342" s="3">
        <f>E342-'314020 - P0624'!F342</f>
        <v>0</v>
      </c>
      <c r="P342" s="30">
        <f>I342-'314020 - P0624'!J342</f>
        <v>0</v>
      </c>
    </row>
    <row r="343" spans="1:16" x14ac:dyDescent="0.25">
      <c r="A343">
        <v>341</v>
      </c>
      <c r="B343" t="s">
        <v>463</v>
      </c>
      <c r="C343" t="s">
        <v>291</v>
      </c>
      <c r="D343" s="4" t="s">
        <v>467</v>
      </c>
      <c r="E343" s="12">
        <v>30.62</v>
      </c>
      <c r="F343" s="12">
        <v>30.62</v>
      </c>
      <c r="G343" s="6">
        <f t="shared" si="80"/>
        <v>0</v>
      </c>
      <c r="H343" s="7">
        <f t="shared" si="81"/>
        <v>0</v>
      </c>
      <c r="I343" s="8">
        <v>52.76</v>
      </c>
      <c r="J343" s="9">
        <f t="shared" si="82"/>
        <v>52.76</v>
      </c>
      <c r="K343" s="3">
        <f t="shared" si="83"/>
        <v>0</v>
      </c>
      <c r="L343" s="7">
        <f t="shared" si="84"/>
        <v>0</v>
      </c>
      <c r="M343" t="s">
        <v>187</v>
      </c>
      <c r="O343" s="3">
        <f>E343-'314020 - P0624'!F343</f>
        <v>0</v>
      </c>
      <c r="P343" s="30">
        <f>I343-'314020 - P0624'!J343</f>
        <v>0</v>
      </c>
    </row>
    <row r="344" spans="1:16" x14ac:dyDescent="0.25">
      <c r="A344">
        <v>342</v>
      </c>
      <c r="B344" t="s">
        <v>485</v>
      </c>
      <c r="C344" t="s">
        <v>291</v>
      </c>
      <c r="D344" s="4" t="s">
        <v>488</v>
      </c>
      <c r="E344" s="12">
        <v>147</v>
      </c>
      <c r="F344" s="12">
        <v>147</v>
      </c>
      <c r="G344" s="6">
        <f t="shared" si="80"/>
        <v>0</v>
      </c>
      <c r="H344" s="7">
        <f t="shared" si="81"/>
        <v>0</v>
      </c>
      <c r="I344" s="8">
        <v>226.16</v>
      </c>
      <c r="J344" s="9">
        <f t="shared" si="82"/>
        <v>226.16</v>
      </c>
      <c r="K344" s="3">
        <f t="shared" si="83"/>
        <v>0</v>
      </c>
      <c r="L344" s="7">
        <f t="shared" si="84"/>
        <v>0</v>
      </c>
      <c r="M344" t="s">
        <v>187</v>
      </c>
      <c r="O344" s="3">
        <f>E344-'314020 - P0624'!F344</f>
        <v>0</v>
      </c>
      <c r="P344" s="30">
        <f>I344-'314020 - P0624'!J344</f>
        <v>0</v>
      </c>
    </row>
    <row r="345" spans="1:16" x14ac:dyDescent="0.25">
      <c r="A345">
        <v>343</v>
      </c>
      <c r="B345" t="s">
        <v>290</v>
      </c>
      <c r="C345" t="s">
        <v>291</v>
      </c>
      <c r="D345" s="4" t="s">
        <v>489</v>
      </c>
      <c r="E345" s="12">
        <v>66.349999999999994</v>
      </c>
      <c r="F345" s="12">
        <v>66.349999999999994</v>
      </c>
      <c r="G345" s="6">
        <f t="shared" si="80"/>
        <v>0</v>
      </c>
      <c r="H345" s="7">
        <f t="shared" si="81"/>
        <v>0</v>
      </c>
      <c r="I345" s="8">
        <v>102.08</v>
      </c>
      <c r="J345" s="9">
        <f t="shared" si="82"/>
        <v>102.08</v>
      </c>
      <c r="K345" s="3">
        <f t="shared" si="83"/>
        <v>0</v>
      </c>
      <c r="L345" s="7">
        <f t="shared" si="84"/>
        <v>0</v>
      </c>
      <c r="M345" t="s">
        <v>187</v>
      </c>
      <c r="O345" s="3">
        <f>E345-'314020 - P0624'!F345</f>
        <v>0</v>
      </c>
      <c r="P345" s="30">
        <f>I345-'314020 - P0624'!J345</f>
        <v>0</v>
      </c>
    </row>
    <row r="346" spans="1:16" x14ac:dyDescent="0.25">
      <c r="A346">
        <v>344</v>
      </c>
      <c r="D346" s="34" t="s">
        <v>340</v>
      </c>
      <c r="H346" s="10">
        <f>AVERAGE(H298:H343)</f>
        <v>0</v>
      </c>
      <c r="I346"/>
    </row>
    <row r="347" spans="1:16" x14ac:dyDescent="0.25">
      <c r="A347">
        <v>345</v>
      </c>
      <c r="D347" s="34" t="s">
        <v>341</v>
      </c>
      <c r="I347"/>
      <c r="M347" t="s">
        <v>7</v>
      </c>
    </row>
    <row r="348" spans="1:16" x14ac:dyDescent="0.25">
      <c r="A348">
        <v>346</v>
      </c>
      <c r="D348" s="34" t="s">
        <v>342</v>
      </c>
      <c r="I348"/>
      <c r="O348" s="3">
        <f>E348-'314020 - P0624'!F348</f>
        <v>0</v>
      </c>
      <c r="P348" s="30">
        <f>I348-'314020 - P0624'!J348</f>
        <v>0</v>
      </c>
    </row>
    <row r="349" spans="1:16" x14ac:dyDescent="0.25">
      <c r="A349">
        <v>347</v>
      </c>
      <c r="B349" t="s">
        <v>470</v>
      </c>
      <c r="C349" s="28" t="s">
        <v>454</v>
      </c>
      <c r="D349" s="4" t="s">
        <v>497</v>
      </c>
      <c r="E349" s="11">
        <v>1450</v>
      </c>
      <c r="F349" s="11">
        <v>1450</v>
      </c>
      <c r="G349" s="6">
        <f t="shared" ref="G349:G356" si="85">+F349-E349</f>
        <v>0</v>
      </c>
      <c r="H349" s="7">
        <f t="shared" ref="H349:H356" si="86">(F349-E349)/ABS(E349)</f>
        <v>0</v>
      </c>
      <c r="I349" s="8">
        <v>118.24570098910753</v>
      </c>
      <c r="J349" s="9">
        <f t="shared" ref="J349:J356" si="87">(I349*H349)+I349</f>
        <v>118.24570098910753</v>
      </c>
      <c r="K349" s="3">
        <f t="shared" ref="K349:K356" si="88">J349-I349</f>
        <v>0</v>
      </c>
      <c r="L349" s="7">
        <f t="shared" ref="L349:L356" si="89">(J349-I349)/ABS(I349)</f>
        <v>0</v>
      </c>
      <c r="M349" t="s">
        <v>7</v>
      </c>
      <c r="O349" s="3">
        <f>E349-'314020 - P0624'!F349</f>
        <v>1450</v>
      </c>
      <c r="P349" s="30">
        <f>I349-'314020 - P0624'!J349</f>
        <v>118.24570098910753</v>
      </c>
    </row>
    <row r="350" spans="1:16" x14ac:dyDescent="0.25">
      <c r="A350">
        <v>348</v>
      </c>
      <c r="B350" t="s">
        <v>290</v>
      </c>
      <c r="C350" s="28" t="s">
        <v>344</v>
      </c>
      <c r="D350" s="4" t="s">
        <v>345</v>
      </c>
      <c r="E350" s="11">
        <v>4.93</v>
      </c>
      <c r="F350" s="11">
        <v>4.93</v>
      </c>
      <c r="G350" s="6">
        <f t="shared" si="85"/>
        <v>0</v>
      </c>
      <c r="H350" s="7">
        <f t="shared" si="86"/>
        <v>0</v>
      </c>
      <c r="I350" s="8">
        <v>10.18301417057406</v>
      </c>
      <c r="J350" s="9">
        <f t="shared" si="87"/>
        <v>10.18301417057406</v>
      </c>
      <c r="K350" s="3">
        <f t="shared" si="88"/>
        <v>0</v>
      </c>
      <c r="L350" s="7">
        <f t="shared" si="89"/>
        <v>0</v>
      </c>
      <c r="M350" t="s">
        <v>7</v>
      </c>
      <c r="O350" s="3">
        <f>E350-'314020 - P0624'!F350</f>
        <v>4.93</v>
      </c>
      <c r="P350" s="30">
        <f>I350-'314020 - P0624'!J350</f>
        <v>10.18301417057406</v>
      </c>
    </row>
    <row r="351" spans="1:16" x14ac:dyDescent="0.25">
      <c r="A351">
        <v>349</v>
      </c>
      <c r="B351" t="s">
        <v>463</v>
      </c>
      <c r="C351" s="28" t="s">
        <v>344</v>
      </c>
      <c r="D351" s="4" t="s">
        <v>346</v>
      </c>
      <c r="E351" s="11">
        <v>6.5</v>
      </c>
      <c r="F351" s="11">
        <v>6.5</v>
      </c>
      <c r="G351" s="6">
        <f t="shared" si="85"/>
        <v>0</v>
      </c>
      <c r="H351" s="7">
        <f t="shared" si="86"/>
        <v>0</v>
      </c>
      <c r="I351" s="8">
        <v>11.46</v>
      </c>
      <c r="J351" s="9">
        <f t="shared" si="87"/>
        <v>11.46</v>
      </c>
      <c r="K351" s="3">
        <f t="shared" si="88"/>
        <v>0</v>
      </c>
      <c r="L351" s="7">
        <f t="shared" si="89"/>
        <v>0</v>
      </c>
      <c r="M351" t="s">
        <v>7</v>
      </c>
      <c r="O351" s="3">
        <f>E351-'314020 - P0624'!F351</f>
        <v>6.5</v>
      </c>
      <c r="P351" s="30">
        <f>I351-'314020 - P0624'!J351</f>
        <v>11.46</v>
      </c>
    </row>
    <row r="352" spans="1:16" x14ac:dyDescent="0.25">
      <c r="A352">
        <v>350</v>
      </c>
      <c r="B352" t="s">
        <v>463</v>
      </c>
      <c r="C352" s="28" t="s">
        <v>347</v>
      </c>
      <c r="D352" s="4" t="s">
        <v>348</v>
      </c>
      <c r="E352" s="11">
        <v>4.7699999999999996</v>
      </c>
      <c r="F352" s="11">
        <v>4.7699999999999996</v>
      </c>
      <c r="G352" s="6">
        <f t="shared" si="85"/>
        <v>0</v>
      </c>
      <c r="H352" s="7">
        <f t="shared" si="86"/>
        <v>0</v>
      </c>
      <c r="I352" s="8">
        <v>6.82</v>
      </c>
      <c r="J352" s="9">
        <f t="shared" si="87"/>
        <v>6.82</v>
      </c>
      <c r="K352" s="3">
        <f t="shared" si="88"/>
        <v>0</v>
      </c>
      <c r="L352" s="7">
        <f t="shared" si="89"/>
        <v>0</v>
      </c>
      <c r="M352" t="s">
        <v>7</v>
      </c>
      <c r="O352" s="3">
        <f>E352-'314020 - P0624'!F352</f>
        <v>4.7699999999999996</v>
      </c>
      <c r="P352" s="30">
        <f>I352-'314020 - P0624'!J352</f>
        <v>6.82</v>
      </c>
    </row>
    <row r="353" spans="1:16" x14ac:dyDescent="0.25">
      <c r="A353">
        <v>351</v>
      </c>
      <c r="B353" t="s">
        <v>463</v>
      </c>
      <c r="C353" s="28" t="s">
        <v>347</v>
      </c>
      <c r="D353" s="4" t="s">
        <v>349</v>
      </c>
      <c r="E353" s="11">
        <v>104</v>
      </c>
      <c r="F353" s="11">
        <v>104</v>
      </c>
      <c r="G353" s="6">
        <f t="shared" si="85"/>
        <v>0</v>
      </c>
      <c r="H353" s="7">
        <f t="shared" si="86"/>
        <v>0</v>
      </c>
      <c r="I353" s="8">
        <v>159.78</v>
      </c>
      <c r="J353" s="9">
        <f t="shared" si="87"/>
        <v>159.78</v>
      </c>
      <c r="K353" s="3">
        <f t="shared" si="88"/>
        <v>0</v>
      </c>
      <c r="L353" s="7">
        <f t="shared" si="89"/>
        <v>0</v>
      </c>
      <c r="M353" t="s">
        <v>7</v>
      </c>
      <c r="O353" s="3">
        <f>E353-'314020 - P0624'!F353</f>
        <v>104</v>
      </c>
      <c r="P353" s="30">
        <f>I353-'314020 - P0624'!J353</f>
        <v>159.78</v>
      </c>
    </row>
    <row r="354" spans="1:16" x14ac:dyDescent="0.25">
      <c r="A354">
        <v>352</v>
      </c>
      <c r="B354" t="s">
        <v>445</v>
      </c>
      <c r="C354" s="28" t="s">
        <v>343</v>
      </c>
      <c r="D354" s="4" t="s">
        <v>446</v>
      </c>
      <c r="E354" s="11">
        <v>49.89</v>
      </c>
      <c r="F354" s="11">
        <v>49.89</v>
      </c>
      <c r="G354" s="6">
        <f t="shared" si="85"/>
        <v>0</v>
      </c>
      <c r="H354" s="7">
        <f t="shared" si="86"/>
        <v>0</v>
      </c>
      <c r="I354" s="8">
        <v>66.30376269809021</v>
      </c>
      <c r="J354" s="9">
        <f t="shared" si="87"/>
        <v>66.30376269809021</v>
      </c>
      <c r="K354" s="3">
        <f t="shared" si="88"/>
        <v>0</v>
      </c>
      <c r="L354" s="7">
        <f t="shared" si="89"/>
        <v>0</v>
      </c>
      <c r="M354" t="s">
        <v>7</v>
      </c>
      <c r="O354" s="3">
        <f>E354-'314020 - P0624'!F354</f>
        <v>49.89</v>
      </c>
      <c r="P354" s="30">
        <f>I354-'314020 - P0624'!J354</f>
        <v>66.30376269809021</v>
      </c>
    </row>
    <row r="355" spans="1:16" x14ac:dyDescent="0.25">
      <c r="A355">
        <v>353</v>
      </c>
      <c r="B355" t="s">
        <v>303</v>
      </c>
      <c r="C355" s="28" t="s">
        <v>343</v>
      </c>
      <c r="D355" s="4" t="s">
        <v>350</v>
      </c>
      <c r="E355" s="11">
        <v>28.21</v>
      </c>
      <c r="F355" s="11">
        <v>28.21</v>
      </c>
      <c r="G355" s="6">
        <f t="shared" si="85"/>
        <v>0</v>
      </c>
      <c r="H355" s="7">
        <f t="shared" si="86"/>
        <v>0</v>
      </c>
      <c r="I355" s="8">
        <v>60.400819101768519</v>
      </c>
      <c r="J355" s="9">
        <f t="shared" si="87"/>
        <v>60.400819101768519</v>
      </c>
      <c r="K355" s="3">
        <f t="shared" si="88"/>
        <v>0</v>
      </c>
      <c r="L355" s="7">
        <f t="shared" si="89"/>
        <v>0</v>
      </c>
      <c r="M355" t="s">
        <v>7</v>
      </c>
      <c r="O355" s="3">
        <f>E355-'314020 - P0624'!F355</f>
        <v>28.21</v>
      </c>
      <c r="P355" s="30">
        <f>I355-'314020 - P0624'!J355</f>
        <v>60.400819101768519</v>
      </c>
    </row>
    <row r="356" spans="1:16" x14ac:dyDescent="0.25">
      <c r="A356">
        <v>354</v>
      </c>
      <c r="B356" t="s">
        <v>303</v>
      </c>
      <c r="C356" s="28" t="s">
        <v>351</v>
      </c>
      <c r="D356" s="4" t="s">
        <v>352</v>
      </c>
      <c r="E356" s="11">
        <v>20.36</v>
      </c>
      <c r="F356" s="11">
        <v>20.36</v>
      </c>
      <c r="G356" s="6">
        <f t="shared" si="85"/>
        <v>0</v>
      </c>
      <c r="H356" s="7">
        <f t="shared" si="86"/>
        <v>0</v>
      </c>
      <c r="I356" s="8">
        <v>33.75</v>
      </c>
      <c r="J356" s="9">
        <f t="shared" si="87"/>
        <v>33.75</v>
      </c>
      <c r="K356" s="3">
        <f t="shared" si="88"/>
        <v>0</v>
      </c>
      <c r="L356" s="7">
        <f t="shared" si="89"/>
        <v>0</v>
      </c>
      <c r="M356" t="s">
        <v>7</v>
      </c>
      <c r="O356" s="3">
        <f>E356-'314020 - P0624'!F356</f>
        <v>20.36</v>
      </c>
      <c r="P356" s="30">
        <f>I356-'314020 - P0624'!J356</f>
        <v>33.75</v>
      </c>
    </row>
    <row r="357" spans="1:16" x14ac:dyDescent="0.25">
      <c r="A357">
        <v>355</v>
      </c>
      <c r="C357" s="28"/>
      <c r="D357" s="34" t="s">
        <v>353</v>
      </c>
      <c r="I357"/>
    </row>
    <row r="358" spans="1:16" x14ac:dyDescent="0.25">
      <c r="A358">
        <v>356</v>
      </c>
      <c r="B358" t="s">
        <v>294</v>
      </c>
      <c r="C358" s="28" t="s">
        <v>354</v>
      </c>
      <c r="D358" s="4" t="s">
        <v>355</v>
      </c>
      <c r="E358" s="12">
        <v>5.98</v>
      </c>
      <c r="F358" s="12">
        <v>5.98</v>
      </c>
      <c r="G358" s="6">
        <f>+F358-E358</f>
        <v>0</v>
      </c>
      <c r="H358" s="7">
        <f>(F358-E358)/ABS(E358)</f>
        <v>0</v>
      </c>
      <c r="I358" s="12">
        <v>10.64931506849315</v>
      </c>
      <c r="J358" s="12">
        <f>(I358*H358)+I358</f>
        <v>10.64931506849315</v>
      </c>
      <c r="K358" s="3">
        <f>J358-I358</f>
        <v>0</v>
      </c>
      <c r="L358" s="7">
        <f>(J358-I358)/ABS(I358)</f>
        <v>0</v>
      </c>
      <c r="M358" t="s">
        <v>150</v>
      </c>
      <c r="O358" s="3">
        <f>E358-'314020 - P0624'!F358</f>
        <v>0</v>
      </c>
      <c r="P358" s="30">
        <f>I358-'314020 - P0624'!J358</f>
        <v>0</v>
      </c>
    </row>
    <row r="359" spans="1:16" x14ac:dyDescent="0.25">
      <c r="A359">
        <v>357</v>
      </c>
      <c r="C359" s="28"/>
      <c r="D359" s="34" t="s">
        <v>356</v>
      </c>
      <c r="I359"/>
    </row>
    <row r="360" spans="1:16" x14ac:dyDescent="0.25">
      <c r="A360">
        <v>358</v>
      </c>
      <c r="B360" t="s">
        <v>502</v>
      </c>
      <c r="C360" s="28" t="s">
        <v>454</v>
      </c>
      <c r="D360" s="4" t="s">
        <v>503</v>
      </c>
      <c r="E360" s="11">
        <v>1517</v>
      </c>
      <c r="F360" s="11">
        <v>1517</v>
      </c>
      <c r="G360" s="13">
        <f t="shared" ref="G360:G394" si="90">+F360-E360</f>
        <v>0</v>
      </c>
      <c r="H360" s="7">
        <f t="shared" ref="H360:H394" si="91">(F360-E360)/ABS(E360)</f>
        <v>0</v>
      </c>
      <c r="I360" s="8">
        <v>83.5202093596059</v>
      </c>
      <c r="J360" s="9">
        <f t="shared" ref="J360:J394" si="92">(I360*H360)+I360</f>
        <v>83.5202093596059</v>
      </c>
      <c r="K360" s="3">
        <f t="shared" ref="K360:K394" si="93">J360-I360</f>
        <v>0</v>
      </c>
      <c r="L360" s="7">
        <f t="shared" ref="L360:L394" si="94">(J360-I360)/ABS(I360)</f>
        <v>0</v>
      </c>
      <c r="M360" t="s">
        <v>7</v>
      </c>
      <c r="O360" s="3">
        <f>E360-'314020 - P0624'!F360</f>
        <v>1517</v>
      </c>
      <c r="P360" s="30">
        <f>I360-'314020 - P0624'!J360</f>
        <v>83.5202093596059</v>
      </c>
    </row>
    <row r="361" spans="1:16" x14ac:dyDescent="0.25">
      <c r="A361">
        <v>359</v>
      </c>
      <c r="B361" t="s">
        <v>290</v>
      </c>
      <c r="C361" s="28" t="s">
        <v>454</v>
      </c>
      <c r="D361" s="4" t="s">
        <v>498</v>
      </c>
      <c r="E361" s="11">
        <v>1710</v>
      </c>
      <c r="F361" s="11">
        <v>1710</v>
      </c>
      <c r="G361" s="13">
        <f t="shared" si="90"/>
        <v>0</v>
      </c>
      <c r="H361" s="7">
        <f t="shared" si="91"/>
        <v>0</v>
      </c>
      <c r="I361" s="8">
        <v>41.429553882394785</v>
      </c>
      <c r="J361" s="9">
        <f t="shared" si="92"/>
        <v>41.429553882394785</v>
      </c>
      <c r="K361" s="3">
        <f t="shared" si="93"/>
        <v>0</v>
      </c>
      <c r="L361" s="7">
        <f t="shared" si="94"/>
        <v>0</v>
      </c>
      <c r="M361" t="s">
        <v>7</v>
      </c>
      <c r="O361" s="3">
        <f>E361-'314020 - P0624'!F361</f>
        <v>1710</v>
      </c>
      <c r="P361" s="30">
        <f>I361-'314020 - P0624'!J361</f>
        <v>41.429553882394785</v>
      </c>
    </row>
    <row r="362" spans="1:16" x14ac:dyDescent="0.25">
      <c r="A362">
        <v>360</v>
      </c>
      <c r="B362" t="s">
        <v>290</v>
      </c>
      <c r="C362" s="28" t="s">
        <v>454</v>
      </c>
      <c r="D362" s="4" t="s">
        <v>495</v>
      </c>
      <c r="E362" s="11">
        <v>76.16</v>
      </c>
      <c r="F362" s="11">
        <v>76.16</v>
      </c>
      <c r="G362" s="13">
        <f t="shared" si="90"/>
        <v>0</v>
      </c>
      <c r="H362" s="7">
        <f t="shared" si="91"/>
        <v>0</v>
      </c>
      <c r="I362" s="8">
        <v>118.41812494751909</v>
      </c>
      <c r="J362" s="9">
        <f t="shared" si="92"/>
        <v>118.41812494751909</v>
      </c>
      <c r="K362" s="3">
        <f t="shared" si="93"/>
        <v>0</v>
      </c>
      <c r="L362" s="7">
        <f t="shared" si="94"/>
        <v>0</v>
      </c>
      <c r="M362" t="s">
        <v>7</v>
      </c>
      <c r="O362" s="3">
        <f>E362-'314020 - P0624'!F362</f>
        <v>76.16</v>
      </c>
      <c r="P362" s="30">
        <f>I362-'314020 - P0624'!J362</f>
        <v>118.41812494751909</v>
      </c>
    </row>
    <row r="363" spans="1:16" x14ac:dyDescent="0.25">
      <c r="A363">
        <v>361</v>
      </c>
      <c r="B363" t="s">
        <v>290</v>
      </c>
      <c r="C363" s="28" t="s">
        <v>454</v>
      </c>
      <c r="D363" s="4" t="s">
        <v>496</v>
      </c>
      <c r="E363" s="11">
        <v>1860</v>
      </c>
      <c r="F363" s="11">
        <v>1860</v>
      </c>
      <c r="G363" s="13">
        <f t="shared" si="90"/>
        <v>0</v>
      </c>
      <c r="H363" s="7">
        <f t="shared" si="91"/>
        <v>0</v>
      </c>
      <c r="I363" s="8">
        <v>249.52645395508233</v>
      </c>
      <c r="J363" s="9">
        <f t="shared" si="92"/>
        <v>249.52645395508233</v>
      </c>
      <c r="K363" s="3">
        <f t="shared" si="93"/>
        <v>0</v>
      </c>
      <c r="L363" s="7">
        <f t="shared" si="94"/>
        <v>0</v>
      </c>
      <c r="M363" t="s">
        <v>7</v>
      </c>
      <c r="O363" s="3">
        <f>E363-'314020 - P0624'!F363</f>
        <v>1860</v>
      </c>
      <c r="P363" s="30">
        <f>I363-'314020 - P0624'!J363</f>
        <v>249.52645395508233</v>
      </c>
    </row>
    <row r="364" spans="1:16" x14ac:dyDescent="0.25">
      <c r="A364">
        <v>362</v>
      </c>
      <c r="B364" t="s">
        <v>483</v>
      </c>
      <c r="C364" s="28" t="s">
        <v>351</v>
      </c>
      <c r="D364" s="4" t="s">
        <v>357</v>
      </c>
      <c r="E364" s="11">
        <v>2709</v>
      </c>
      <c r="F364" s="11">
        <v>2709</v>
      </c>
      <c r="G364" s="13">
        <f t="shared" si="90"/>
        <v>0</v>
      </c>
      <c r="H364" s="7">
        <f t="shared" si="91"/>
        <v>0</v>
      </c>
      <c r="I364" s="8">
        <v>5.1687034714890512</v>
      </c>
      <c r="J364" s="9">
        <f t="shared" si="92"/>
        <v>5.1687034714890512</v>
      </c>
      <c r="K364" s="3">
        <f t="shared" si="93"/>
        <v>0</v>
      </c>
      <c r="L364" s="7">
        <f t="shared" si="94"/>
        <v>0</v>
      </c>
      <c r="M364" t="s">
        <v>7</v>
      </c>
      <c r="O364" s="3">
        <f>E364-'314020 - P0624'!F364</f>
        <v>2709</v>
      </c>
      <c r="P364" s="30">
        <f>I364-'314020 - P0624'!J364</f>
        <v>5.1687034714890512</v>
      </c>
    </row>
    <row r="365" spans="1:16" x14ac:dyDescent="0.25">
      <c r="A365">
        <v>363</v>
      </c>
      <c r="B365" t="s">
        <v>484</v>
      </c>
      <c r="C365" s="28" t="s">
        <v>351</v>
      </c>
      <c r="D365" s="4" t="s">
        <v>358</v>
      </c>
      <c r="E365" s="11">
        <v>2709</v>
      </c>
      <c r="F365" s="11">
        <v>2709</v>
      </c>
      <c r="G365" s="13">
        <f t="shared" si="90"/>
        <v>0</v>
      </c>
      <c r="H365" s="7">
        <f t="shared" si="91"/>
        <v>0</v>
      </c>
      <c r="I365" s="8">
        <v>8.0702736339232413</v>
      </c>
      <c r="J365" s="9">
        <f t="shared" si="92"/>
        <v>8.0702736339232413</v>
      </c>
      <c r="K365" s="3">
        <f t="shared" si="93"/>
        <v>0</v>
      </c>
      <c r="L365" s="7">
        <f t="shared" si="94"/>
        <v>0</v>
      </c>
      <c r="M365" t="s">
        <v>7</v>
      </c>
      <c r="O365" s="3">
        <f>E365-'314020 - P0624'!F365</f>
        <v>2709</v>
      </c>
      <c r="P365" s="30">
        <f>I365-'314020 - P0624'!J365</f>
        <v>8.0702736339232413</v>
      </c>
    </row>
    <row r="366" spans="1:16" x14ac:dyDescent="0.25">
      <c r="A366">
        <v>364</v>
      </c>
      <c r="B366" t="s">
        <v>290</v>
      </c>
      <c r="C366" s="28" t="s">
        <v>351</v>
      </c>
      <c r="D366" s="4" t="s">
        <v>359</v>
      </c>
      <c r="E366" s="11">
        <v>2709</v>
      </c>
      <c r="F366" s="11">
        <v>2709</v>
      </c>
      <c r="G366" s="13">
        <f t="shared" si="90"/>
        <v>0</v>
      </c>
      <c r="H366" s="7">
        <f t="shared" si="91"/>
        <v>0</v>
      </c>
      <c r="I366" s="8">
        <v>11.040593760943526</v>
      </c>
      <c r="J366" s="9">
        <f t="shared" si="92"/>
        <v>11.040593760943526</v>
      </c>
      <c r="K366" s="3">
        <f t="shared" si="93"/>
        <v>0</v>
      </c>
      <c r="L366" s="7">
        <f t="shared" si="94"/>
        <v>0</v>
      </c>
      <c r="M366" t="s">
        <v>7</v>
      </c>
      <c r="O366" s="3">
        <f>E366-'314020 - P0624'!F366</f>
        <v>2709</v>
      </c>
      <c r="P366" s="30">
        <f>I366-'314020 - P0624'!J366</f>
        <v>11.040593760943526</v>
      </c>
    </row>
    <row r="367" spans="1:16" x14ac:dyDescent="0.25">
      <c r="A367">
        <v>365</v>
      </c>
      <c r="B367" t="s">
        <v>476</v>
      </c>
      <c r="C367" s="28" t="s">
        <v>351</v>
      </c>
      <c r="D367" s="4" t="s">
        <v>360</v>
      </c>
      <c r="E367" s="11">
        <v>3148</v>
      </c>
      <c r="F367" s="11">
        <v>3148</v>
      </c>
      <c r="G367" s="13">
        <f t="shared" si="90"/>
        <v>0</v>
      </c>
      <c r="H367" s="7">
        <f t="shared" si="91"/>
        <v>0</v>
      </c>
      <c r="I367" s="8">
        <v>14.3</v>
      </c>
      <c r="J367" s="9">
        <f t="shared" si="92"/>
        <v>14.3</v>
      </c>
      <c r="K367" s="3">
        <f t="shared" si="93"/>
        <v>0</v>
      </c>
      <c r="L367" s="7">
        <f t="shared" si="94"/>
        <v>0</v>
      </c>
      <c r="M367" t="s">
        <v>7</v>
      </c>
      <c r="O367" s="3">
        <f>E367-'314020 - P0624'!F367</f>
        <v>3148</v>
      </c>
      <c r="P367" s="30">
        <f>I367-'314020 - P0624'!J367</f>
        <v>14.3</v>
      </c>
    </row>
    <row r="368" spans="1:16" x14ac:dyDescent="0.25">
      <c r="A368">
        <v>366</v>
      </c>
      <c r="B368" t="s">
        <v>478</v>
      </c>
      <c r="C368" s="28" t="s">
        <v>351</v>
      </c>
      <c r="D368" s="4" t="s">
        <v>361</v>
      </c>
      <c r="E368" s="11">
        <v>3065</v>
      </c>
      <c r="F368" s="11">
        <v>3065</v>
      </c>
      <c r="G368" s="13">
        <f t="shared" si="90"/>
        <v>0</v>
      </c>
      <c r="H368" s="7">
        <f t="shared" si="91"/>
        <v>0</v>
      </c>
      <c r="I368" s="8">
        <v>19.904756025519848</v>
      </c>
      <c r="J368" s="9">
        <f t="shared" si="92"/>
        <v>19.904756025519848</v>
      </c>
      <c r="K368" s="3">
        <f t="shared" si="93"/>
        <v>0</v>
      </c>
      <c r="L368" s="7">
        <f t="shared" si="94"/>
        <v>0</v>
      </c>
      <c r="M368" t="s">
        <v>7</v>
      </c>
      <c r="O368" s="3">
        <f>E368-'314020 - P0624'!F368</f>
        <v>3065</v>
      </c>
      <c r="P368" s="30">
        <f>I368-'314020 - P0624'!J368</f>
        <v>19.904756025519848</v>
      </c>
    </row>
    <row r="369" spans="1:16" x14ac:dyDescent="0.25">
      <c r="A369">
        <v>367</v>
      </c>
      <c r="B369" t="s">
        <v>445</v>
      </c>
      <c r="C369" s="28" t="s">
        <v>351</v>
      </c>
      <c r="D369" s="4" t="s">
        <v>362</v>
      </c>
      <c r="E369" s="11">
        <v>3065</v>
      </c>
      <c r="F369" s="11">
        <v>3065</v>
      </c>
      <c r="G369" s="13">
        <f t="shared" si="90"/>
        <v>0</v>
      </c>
      <c r="H369" s="7">
        <f t="shared" si="91"/>
        <v>0</v>
      </c>
      <c r="I369" s="8">
        <v>23.00692071335494</v>
      </c>
      <c r="J369" s="9">
        <f t="shared" si="92"/>
        <v>23.00692071335494</v>
      </c>
      <c r="K369" s="3">
        <f t="shared" si="93"/>
        <v>0</v>
      </c>
      <c r="L369" s="7">
        <f t="shared" si="94"/>
        <v>0</v>
      </c>
      <c r="M369" t="s">
        <v>7</v>
      </c>
      <c r="O369" s="3">
        <f>E369-'314020 - P0624'!F369</f>
        <v>3065</v>
      </c>
      <c r="P369" s="30">
        <f>I369-'314020 - P0624'!J369</f>
        <v>23.00692071335494</v>
      </c>
    </row>
    <row r="370" spans="1:16" x14ac:dyDescent="0.25">
      <c r="A370">
        <v>368</v>
      </c>
      <c r="B370" t="s">
        <v>478</v>
      </c>
      <c r="C370" s="28" t="s">
        <v>351</v>
      </c>
      <c r="D370" s="4" t="s">
        <v>363</v>
      </c>
      <c r="E370" s="11">
        <v>3135</v>
      </c>
      <c r="F370" s="11">
        <v>3135</v>
      </c>
      <c r="G370" s="13">
        <f t="shared" si="90"/>
        <v>0</v>
      </c>
      <c r="H370" s="7">
        <f t="shared" si="91"/>
        <v>0</v>
      </c>
      <c r="I370" s="8">
        <v>26.876311326468805</v>
      </c>
      <c r="J370" s="9">
        <f t="shared" si="92"/>
        <v>26.876311326468805</v>
      </c>
      <c r="K370" s="3">
        <f t="shared" si="93"/>
        <v>0</v>
      </c>
      <c r="L370" s="7">
        <f t="shared" si="94"/>
        <v>0</v>
      </c>
      <c r="M370" t="s">
        <v>7</v>
      </c>
      <c r="O370" s="3">
        <f>E370-'314020 - P0624'!F370</f>
        <v>3135</v>
      </c>
      <c r="P370" s="30">
        <f>I370-'314020 - P0624'!J370</f>
        <v>26.876311326468805</v>
      </c>
    </row>
    <row r="371" spans="1:16" x14ac:dyDescent="0.25">
      <c r="A371">
        <v>369</v>
      </c>
      <c r="B371" t="s">
        <v>481</v>
      </c>
      <c r="C371" s="28" t="s">
        <v>351</v>
      </c>
      <c r="D371" s="4" t="s">
        <v>364</v>
      </c>
      <c r="E371" s="11">
        <v>2931</v>
      </c>
      <c r="F371" s="11">
        <v>2931</v>
      </c>
      <c r="G371" s="13">
        <f t="shared" si="90"/>
        <v>0</v>
      </c>
      <c r="H371" s="7">
        <f t="shared" si="91"/>
        <v>0</v>
      </c>
      <c r="I371" s="8">
        <v>5.5842827924987404</v>
      </c>
      <c r="J371" s="9">
        <f t="shared" si="92"/>
        <v>5.5842827924987404</v>
      </c>
      <c r="K371" s="3">
        <f t="shared" si="93"/>
        <v>0</v>
      </c>
      <c r="L371" s="7">
        <f t="shared" si="94"/>
        <v>0</v>
      </c>
      <c r="M371" t="s">
        <v>7</v>
      </c>
      <c r="O371" s="3">
        <f>E371-'314020 - P0624'!F371</f>
        <v>2931</v>
      </c>
      <c r="P371" s="30">
        <f>I371-'314020 - P0624'!J371</f>
        <v>5.5842827924987404</v>
      </c>
    </row>
    <row r="372" spans="1:16" x14ac:dyDescent="0.25">
      <c r="A372">
        <v>370</v>
      </c>
      <c r="B372" t="s">
        <v>479</v>
      </c>
      <c r="C372" t="s">
        <v>365</v>
      </c>
      <c r="D372" s="4" t="s">
        <v>366</v>
      </c>
      <c r="E372" s="11">
        <v>3205</v>
      </c>
      <c r="F372" s="11">
        <v>3205</v>
      </c>
      <c r="G372" s="13">
        <f t="shared" si="90"/>
        <v>0</v>
      </c>
      <c r="H372" s="7">
        <f t="shared" si="91"/>
        <v>0</v>
      </c>
      <c r="I372" s="8">
        <v>12.576720322698609</v>
      </c>
      <c r="J372" s="9">
        <f t="shared" si="92"/>
        <v>12.576720322698609</v>
      </c>
      <c r="K372" s="3">
        <f t="shared" si="93"/>
        <v>0</v>
      </c>
      <c r="L372" s="7">
        <f t="shared" si="94"/>
        <v>0</v>
      </c>
      <c r="M372" t="s">
        <v>7</v>
      </c>
      <c r="O372" s="3">
        <f>E372-'314020 - P0624'!F372</f>
        <v>3205</v>
      </c>
      <c r="P372" s="30">
        <f>I372-'314020 - P0624'!J372</f>
        <v>12.576720322698609</v>
      </c>
    </row>
    <row r="373" spans="1:16" x14ac:dyDescent="0.25">
      <c r="A373">
        <v>371</v>
      </c>
      <c r="B373" t="s">
        <v>470</v>
      </c>
      <c r="C373" t="s">
        <v>365</v>
      </c>
      <c r="D373" s="4" t="s">
        <v>367</v>
      </c>
      <c r="E373" s="11">
        <v>2952</v>
      </c>
      <c r="F373" s="11">
        <v>2952</v>
      </c>
      <c r="G373" s="13">
        <f t="shared" si="90"/>
        <v>0</v>
      </c>
      <c r="H373" s="7">
        <f t="shared" si="91"/>
        <v>0</v>
      </c>
      <c r="I373" s="8">
        <v>24.324911704207679</v>
      </c>
      <c r="J373" s="9">
        <f t="shared" si="92"/>
        <v>24.324911704207679</v>
      </c>
      <c r="K373" s="3">
        <f t="shared" si="93"/>
        <v>0</v>
      </c>
      <c r="L373" s="7">
        <f t="shared" si="94"/>
        <v>0</v>
      </c>
      <c r="M373" t="s">
        <v>7</v>
      </c>
      <c r="O373" s="3">
        <f>E373-'314020 - P0624'!F373</f>
        <v>2952</v>
      </c>
      <c r="P373" s="30">
        <f>I373-'314020 - P0624'!J373</f>
        <v>24.324911704207679</v>
      </c>
    </row>
    <row r="374" spans="1:16" x14ac:dyDescent="0.25">
      <c r="A374">
        <v>372</v>
      </c>
      <c r="B374" t="s">
        <v>303</v>
      </c>
      <c r="C374" t="s">
        <v>365</v>
      </c>
      <c r="D374" s="4" t="s">
        <v>368</v>
      </c>
      <c r="E374" s="11">
        <v>2702</v>
      </c>
      <c r="F374" s="11">
        <v>2702</v>
      </c>
      <c r="G374" s="13">
        <f t="shared" si="90"/>
        <v>0</v>
      </c>
      <c r="H374" s="7">
        <f t="shared" si="91"/>
        <v>0</v>
      </c>
      <c r="I374" s="8">
        <v>40.51093209547124</v>
      </c>
      <c r="J374" s="9">
        <f>(I374*H374)+I374</f>
        <v>40.51093209547124</v>
      </c>
      <c r="K374" s="3">
        <f t="shared" si="93"/>
        <v>0</v>
      </c>
      <c r="L374" s="7">
        <f t="shared" si="94"/>
        <v>0</v>
      </c>
      <c r="M374" t="s">
        <v>7</v>
      </c>
      <c r="O374" s="3">
        <f>E374-'314020 - P0624'!F374</f>
        <v>2702</v>
      </c>
      <c r="P374" s="30">
        <f>I374-'314020 - P0624'!J374</f>
        <v>40.51093209547124</v>
      </c>
    </row>
    <row r="375" spans="1:16" x14ac:dyDescent="0.25">
      <c r="A375">
        <v>373</v>
      </c>
      <c r="B375" t="s">
        <v>290</v>
      </c>
      <c r="C375" t="s">
        <v>365</v>
      </c>
      <c r="D375" s="4" t="s">
        <v>369</v>
      </c>
      <c r="E375" s="11">
        <v>2702</v>
      </c>
      <c r="F375" s="11">
        <v>2702</v>
      </c>
      <c r="G375" s="13">
        <f t="shared" si="90"/>
        <v>0</v>
      </c>
      <c r="H375" s="7">
        <f t="shared" si="91"/>
        <v>0</v>
      </c>
      <c r="I375" s="8">
        <v>50.641879791355422</v>
      </c>
      <c r="J375" s="9">
        <f t="shared" si="92"/>
        <v>50.641879791355422</v>
      </c>
      <c r="K375" s="3">
        <f t="shared" si="93"/>
        <v>0</v>
      </c>
      <c r="L375" s="7">
        <f t="shared" si="94"/>
        <v>0</v>
      </c>
      <c r="M375" t="s">
        <v>7</v>
      </c>
      <c r="O375" s="3">
        <f>E375-'314020 - P0624'!F375</f>
        <v>2702</v>
      </c>
      <c r="P375" s="30">
        <f>I375-'314020 - P0624'!J375</f>
        <v>50.641879791355422</v>
      </c>
    </row>
    <row r="376" spans="1:16" x14ac:dyDescent="0.25">
      <c r="A376">
        <v>374</v>
      </c>
      <c r="B376" t="s">
        <v>470</v>
      </c>
      <c r="C376" t="s">
        <v>365</v>
      </c>
      <c r="D376" s="4" t="s">
        <v>370</v>
      </c>
      <c r="E376" s="11">
        <v>2702</v>
      </c>
      <c r="F376" s="11">
        <v>2702</v>
      </c>
      <c r="G376" s="13">
        <f t="shared" si="90"/>
        <v>0</v>
      </c>
      <c r="H376" s="7">
        <f t="shared" si="91"/>
        <v>0</v>
      </c>
      <c r="I376" s="8">
        <v>60.769079441442358</v>
      </c>
      <c r="J376" s="9">
        <f t="shared" si="92"/>
        <v>60.769079441442358</v>
      </c>
      <c r="K376" s="3">
        <f t="shared" si="93"/>
        <v>0</v>
      </c>
      <c r="L376" s="7">
        <f t="shared" si="94"/>
        <v>0</v>
      </c>
      <c r="M376" t="s">
        <v>7</v>
      </c>
      <c r="O376" s="3">
        <f>E376-'314020 - P0624'!F376</f>
        <v>2702</v>
      </c>
      <c r="P376" s="30">
        <f>I376-'314020 - P0624'!J376</f>
        <v>60.769079441442358</v>
      </c>
    </row>
    <row r="377" spans="1:16" x14ac:dyDescent="0.25">
      <c r="A377">
        <v>375</v>
      </c>
      <c r="B377" t="s">
        <v>479</v>
      </c>
      <c r="C377" t="s">
        <v>365</v>
      </c>
      <c r="D377" s="4" t="s">
        <v>371</v>
      </c>
      <c r="E377" s="11">
        <v>3868</v>
      </c>
      <c r="F377" s="11">
        <v>3868</v>
      </c>
      <c r="G377" s="13">
        <f t="shared" si="90"/>
        <v>0</v>
      </c>
      <c r="H377" s="7">
        <f t="shared" si="91"/>
        <v>0</v>
      </c>
      <c r="I377" s="8">
        <v>63.401973632327376</v>
      </c>
      <c r="J377" s="9">
        <f t="shared" si="92"/>
        <v>63.401973632327376</v>
      </c>
      <c r="K377" s="3">
        <f t="shared" si="93"/>
        <v>0</v>
      </c>
      <c r="L377" s="7">
        <f t="shared" si="94"/>
        <v>0</v>
      </c>
      <c r="M377" t="s">
        <v>7</v>
      </c>
      <c r="O377" s="3">
        <f>E377-'314020 - P0624'!F377</f>
        <v>3868</v>
      </c>
      <c r="P377" s="30">
        <f>I377-'314020 - P0624'!J377</f>
        <v>63.401973632327376</v>
      </c>
    </row>
    <row r="378" spans="1:16" x14ac:dyDescent="0.25">
      <c r="A378">
        <v>376</v>
      </c>
      <c r="B378" t="s">
        <v>479</v>
      </c>
      <c r="C378" t="s">
        <v>365</v>
      </c>
      <c r="D378" s="4" t="s">
        <v>372</v>
      </c>
      <c r="E378" s="11">
        <v>3928</v>
      </c>
      <c r="F378" s="11">
        <v>3928</v>
      </c>
      <c r="G378" s="13">
        <f t="shared" si="90"/>
        <v>0</v>
      </c>
      <c r="H378" s="7">
        <f t="shared" si="91"/>
        <v>0</v>
      </c>
      <c r="I378" s="8">
        <v>80.721941958125299</v>
      </c>
      <c r="J378" s="9">
        <f t="shared" si="92"/>
        <v>80.721941958125299</v>
      </c>
      <c r="K378" s="3">
        <f t="shared" si="93"/>
        <v>0</v>
      </c>
      <c r="L378" s="7">
        <f t="shared" si="94"/>
        <v>0</v>
      </c>
      <c r="M378" t="s">
        <v>7</v>
      </c>
      <c r="O378" s="3">
        <f>E378-'314020 - P0624'!F378</f>
        <v>3928</v>
      </c>
      <c r="P378" s="30">
        <f>I378-'314020 - P0624'!J378</f>
        <v>80.721941958125299</v>
      </c>
    </row>
    <row r="379" spans="1:16" x14ac:dyDescent="0.25">
      <c r="A379">
        <v>377</v>
      </c>
      <c r="B379" t="s">
        <v>473</v>
      </c>
      <c r="C379" t="s">
        <v>365</v>
      </c>
      <c r="D379" s="4" t="s">
        <v>373</v>
      </c>
      <c r="E379" s="11">
        <v>3928</v>
      </c>
      <c r="F379" s="11">
        <v>3928</v>
      </c>
      <c r="G379" s="13">
        <f t="shared" si="90"/>
        <v>0</v>
      </c>
      <c r="H379" s="7">
        <f t="shared" si="91"/>
        <v>0</v>
      </c>
      <c r="I379" s="8">
        <v>100.90409723646053</v>
      </c>
      <c r="J379" s="9">
        <f t="shared" si="92"/>
        <v>100.90409723646053</v>
      </c>
      <c r="K379" s="3">
        <f t="shared" si="93"/>
        <v>0</v>
      </c>
      <c r="L379" s="7">
        <f t="shared" si="94"/>
        <v>0</v>
      </c>
      <c r="M379" t="s">
        <v>7</v>
      </c>
      <c r="O379" s="3">
        <f>E379-'314020 - P0624'!F379</f>
        <v>3928</v>
      </c>
      <c r="P379" s="30">
        <f>I379-'314020 - P0624'!J379</f>
        <v>100.90409723646053</v>
      </c>
    </row>
    <row r="380" spans="1:16" x14ac:dyDescent="0.25">
      <c r="A380">
        <v>378</v>
      </c>
      <c r="B380" t="s">
        <v>470</v>
      </c>
      <c r="C380" t="s">
        <v>365</v>
      </c>
      <c r="D380" s="4" t="s">
        <v>374</v>
      </c>
      <c r="E380" s="11">
        <v>3928</v>
      </c>
      <c r="F380" s="11">
        <v>3928</v>
      </c>
      <c r="G380" s="13">
        <f t="shared" si="90"/>
        <v>0</v>
      </c>
      <c r="H380" s="7">
        <f t="shared" si="91"/>
        <v>0</v>
      </c>
      <c r="I380" s="8">
        <v>121.08871182445142</v>
      </c>
      <c r="J380" s="9">
        <f t="shared" si="92"/>
        <v>121.08871182445142</v>
      </c>
      <c r="K380" s="3">
        <f t="shared" si="93"/>
        <v>0</v>
      </c>
      <c r="L380" s="7">
        <f t="shared" si="94"/>
        <v>0</v>
      </c>
      <c r="M380" t="s">
        <v>7</v>
      </c>
      <c r="O380" s="3">
        <f>E380-'314020 - P0624'!F380</f>
        <v>3928</v>
      </c>
      <c r="P380" s="30">
        <f>I380-'314020 - P0624'!J380</f>
        <v>121.08871182445142</v>
      </c>
    </row>
    <row r="381" spans="1:16" x14ac:dyDescent="0.25">
      <c r="A381">
        <v>379</v>
      </c>
      <c r="B381" t="s">
        <v>470</v>
      </c>
      <c r="C381" t="s">
        <v>365</v>
      </c>
      <c r="D381" s="4" t="s">
        <v>375</v>
      </c>
      <c r="E381" s="11">
        <v>3700</v>
      </c>
      <c r="F381" s="11">
        <v>3700</v>
      </c>
      <c r="G381" s="13">
        <f t="shared" si="90"/>
        <v>0</v>
      </c>
      <c r="H381" s="7">
        <f t="shared" si="91"/>
        <v>0</v>
      </c>
      <c r="I381" s="8">
        <v>119.12776534176258</v>
      </c>
      <c r="J381" s="9">
        <f t="shared" si="92"/>
        <v>119.12776534176258</v>
      </c>
      <c r="K381" s="3">
        <f t="shared" si="93"/>
        <v>0</v>
      </c>
      <c r="L381" s="7">
        <f t="shared" si="94"/>
        <v>0</v>
      </c>
      <c r="M381" t="s">
        <v>7</v>
      </c>
      <c r="O381" s="3">
        <f>E381-'314020 - P0624'!F381</f>
        <v>3700</v>
      </c>
      <c r="P381" s="30">
        <f>I381-'314020 - P0624'!J381</f>
        <v>119.12776534176258</v>
      </c>
    </row>
    <row r="382" spans="1:16" x14ac:dyDescent="0.25">
      <c r="A382">
        <v>380</v>
      </c>
      <c r="B382" t="s">
        <v>290</v>
      </c>
      <c r="C382" t="s">
        <v>365</v>
      </c>
      <c r="D382" s="4" t="s">
        <v>376</v>
      </c>
      <c r="E382" s="11">
        <v>3700</v>
      </c>
      <c r="F382" s="11">
        <v>3700</v>
      </c>
      <c r="G382" s="13">
        <f t="shared" si="90"/>
        <v>0</v>
      </c>
      <c r="H382" s="7">
        <f t="shared" si="91"/>
        <v>0</v>
      </c>
      <c r="I382" s="8">
        <v>208.45869530604656</v>
      </c>
      <c r="J382" s="9">
        <f t="shared" si="92"/>
        <v>208.45869530604656</v>
      </c>
      <c r="K382" s="3">
        <f t="shared" si="93"/>
        <v>0</v>
      </c>
      <c r="L382" s="7">
        <f t="shared" si="94"/>
        <v>0</v>
      </c>
      <c r="M382" t="s">
        <v>7</v>
      </c>
      <c r="O382" s="3">
        <f>E382-'314020 - P0624'!F382</f>
        <v>3700</v>
      </c>
      <c r="P382" s="30">
        <f>I382-'314020 - P0624'!J382</f>
        <v>208.45869530604656</v>
      </c>
    </row>
    <row r="383" spans="1:16" x14ac:dyDescent="0.25">
      <c r="A383">
        <v>381</v>
      </c>
      <c r="B383" t="s">
        <v>303</v>
      </c>
      <c r="C383" t="s">
        <v>365</v>
      </c>
      <c r="D383" s="4" t="s">
        <v>377</v>
      </c>
      <c r="E383" s="11">
        <v>5269</v>
      </c>
      <c r="F383" s="11">
        <v>5269</v>
      </c>
      <c r="G383" s="13">
        <f t="shared" si="90"/>
        <v>0</v>
      </c>
      <c r="H383" s="7">
        <f t="shared" si="91"/>
        <v>0</v>
      </c>
      <c r="I383" s="8">
        <v>195.32781627941307</v>
      </c>
      <c r="J383" s="9">
        <f t="shared" si="92"/>
        <v>195.32781627941307</v>
      </c>
      <c r="K383" s="3">
        <f t="shared" si="93"/>
        <v>0</v>
      </c>
      <c r="L383" s="7">
        <f t="shared" si="94"/>
        <v>0</v>
      </c>
      <c r="M383" t="s">
        <v>7</v>
      </c>
      <c r="O383" s="3">
        <f>E383-'314020 - P0624'!F383</f>
        <v>5269</v>
      </c>
      <c r="P383" s="30">
        <f>I383-'314020 - P0624'!J383</f>
        <v>195.32781627941307</v>
      </c>
    </row>
    <row r="384" spans="1:16" x14ac:dyDescent="0.25">
      <c r="A384">
        <v>382</v>
      </c>
      <c r="B384" t="s">
        <v>303</v>
      </c>
      <c r="C384" t="s">
        <v>365</v>
      </c>
      <c r="D384" s="4" t="s">
        <v>378</v>
      </c>
      <c r="E384" s="11">
        <v>5395</v>
      </c>
      <c r="F384" s="11">
        <v>5395</v>
      </c>
      <c r="G384" s="13">
        <f t="shared" si="90"/>
        <v>0</v>
      </c>
      <c r="H384" s="7">
        <f t="shared" si="91"/>
        <v>0</v>
      </c>
      <c r="I384" s="8">
        <v>519.78770475648537</v>
      </c>
      <c r="J384" s="9">
        <f t="shared" si="92"/>
        <v>519.78770475648537</v>
      </c>
      <c r="K384" s="3">
        <f t="shared" si="93"/>
        <v>0</v>
      </c>
      <c r="L384" s="7">
        <f t="shared" si="94"/>
        <v>0</v>
      </c>
      <c r="M384" t="s">
        <v>7</v>
      </c>
      <c r="O384" s="3">
        <f>E384-'314020 - P0624'!F384</f>
        <v>5395</v>
      </c>
      <c r="P384" s="30">
        <f>I384-'314020 - P0624'!J384</f>
        <v>519.78770475648537</v>
      </c>
    </row>
    <row r="385" spans="1:16" x14ac:dyDescent="0.25">
      <c r="A385">
        <v>383</v>
      </c>
      <c r="B385" t="s">
        <v>290</v>
      </c>
      <c r="C385" t="s">
        <v>365</v>
      </c>
      <c r="D385" s="4" t="s">
        <v>379</v>
      </c>
      <c r="E385" s="11">
        <v>5200</v>
      </c>
      <c r="F385" s="11">
        <v>5200</v>
      </c>
      <c r="G385" s="13">
        <f t="shared" si="90"/>
        <v>0</v>
      </c>
      <c r="H385" s="7">
        <f t="shared" si="91"/>
        <v>0</v>
      </c>
      <c r="I385" s="8">
        <v>341.80468131321027</v>
      </c>
      <c r="J385" s="9">
        <f t="shared" si="92"/>
        <v>341.80468131321027</v>
      </c>
      <c r="K385" s="3">
        <f t="shared" si="93"/>
        <v>0</v>
      </c>
      <c r="L385" s="7">
        <f t="shared" si="94"/>
        <v>0</v>
      </c>
      <c r="M385" t="s">
        <v>7</v>
      </c>
      <c r="O385" s="3">
        <f>E385-'314020 - P0624'!F385</f>
        <v>5200</v>
      </c>
      <c r="P385" s="30">
        <f>I385-'314020 - P0624'!J385</f>
        <v>341.80468131321027</v>
      </c>
    </row>
    <row r="386" spans="1:16" x14ac:dyDescent="0.25">
      <c r="A386">
        <v>384</v>
      </c>
      <c r="B386" t="s">
        <v>485</v>
      </c>
      <c r="C386" t="s">
        <v>343</v>
      </c>
      <c r="D386" s="4" t="s">
        <v>380</v>
      </c>
      <c r="E386" s="12">
        <v>9.0500000000000007</v>
      </c>
      <c r="F386" s="12">
        <v>9.0500000000000007</v>
      </c>
      <c r="G386" s="13">
        <f t="shared" si="90"/>
        <v>0</v>
      </c>
      <c r="H386" s="7">
        <f t="shared" si="91"/>
        <v>0</v>
      </c>
      <c r="I386" s="8">
        <v>9.4511903255813987</v>
      </c>
      <c r="J386" s="9">
        <f t="shared" si="92"/>
        <v>9.4511903255813987</v>
      </c>
      <c r="K386" s="3">
        <f t="shared" si="93"/>
        <v>0</v>
      </c>
      <c r="L386" s="7">
        <f t="shared" si="94"/>
        <v>0</v>
      </c>
      <c r="M386" t="s">
        <v>121</v>
      </c>
      <c r="O386" s="3">
        <f>E386-'314020 - P0624'!F386</f>
        <v>0</v>
      </c>
      <c r="P386" s="30">
        <f>I386-'314020 - P0624'!J386</f>
        <v>0</v>
      </c>
    </row>
    <row r="387" spans="1:16" x14ac:dyDescent="0.25">
      <c r="A387">
        <v>385</v>
      </c>
      <c r="B387" t="s">
        <v>290</v>
      </c>
      <c r="C387" t="s">
        <v>343</v>
      </c>
      <c r="D387" s="4" t="s">
        <v>381</v>
      </c>
      <c r="E387" s="12">
        <v>17.38</v>
      </c>
      <c r="F387" s="12">
        <v>17.38</v>
      </c>
      <c r="G387" s="13">
        <f t="shared" si="90"/>
        <v>0</v>
      </c>
      <c r="H387" s="7">
        <f t="shared" si="91"/>
        <v>0</v>
      </c>
      <c r="I387" s="8">
        <v>18.138687748031494</v>
      </c>
      <c r="J387" s="9">
        <f t="shared" si="92"/>
        <v>18.138687748031494</v>
      </c>
      <c r="K387" s="3">
        <f t="shared" si="93"/>
        <v>0</v>
      </c>
      <c r="L387" s="7">
        <f t="shared" si="94"/>
        <v>0</v>
      </c>
      <c r="M387" t="s">
        <v>121</v>
      </c>
      <c r="O387" s="3">
        <f>E387-'314020 - P0624'!F387</f>
        <v>0</v>
      </c>
      <c r="P387" s="30">
        <f>I387-'314020 - P0624'!J387</f>
        <v>0</v>
      </c>
    </row>
    <row r="388" spans="1:16" x14ac:dyDescent="0.25">
      <c r="A388">
        <v>386</v>
      </c>
      <c r="B388" t="s">
        <v>481</v>
      </c>
      <c r="C388" s="28" t="s">
        <v>382</v>
      </c>
      <c r="D388" s="4" t="s">
        <v>383</v>
      </c>
      <c r="E388" s="14">
        <v>112.02</v>
      </c>
      <c r="F388" s="14">
        <v>112.02</v>
      </c>
      <c r="G388" s="6">
        <f t="shared" si="90"/>
        <v>0</v>
      </c>
      <c r="H388" s="7">
        <f t="shared" si="91"/>
        <v>0</v>
      </c>
      <c r="I388" s="8">
        <v>334.74445542845763</v>
      </c>
      <c r="J388" s="9">
        <f t="shared" si="92"/>
        <v>334.74445542845763</v>
      </c>
      <c r="K388" s="3">
        <f t="shared" si="93"/>
        <v>0</v>
      </c>
      <c r="L388" s="7">
        <f t="shared" si="94"/>
        <v>0</v>
      </c>
      <c r="M388" t="s">
        <v>121</v>
      </c>
      <c r="O388" s="3">
        <f>E388-'314020 - P0624'!F388</f>
        <v>0</v>
      </c>
      <c r="P388" s="30">
        <f>I388-'314020 - P0624'!J388</f>
        <v>0</v>
      </c>
    </row>
    <row r="389" spans="1:16" x14ac:dyDescent="0.25">
      <c r="A389">
        <v>387</v>
      </c>
      <c r="B389" t="s">
        <v>482</v>
      </c>
      <c r="C389" s="28" t="s">
        <v>343</v>
      </c>
      <c r="D389" s="4" t="s">
        <v>384</v>
      </c>
      <c r="E389" s="11">
        <v>35.4</v>
      </c>
      <c r="F389" s="11">
        <v>35.4</v>
      </c>
      <c r="G389" s="6">
        <f t="shared" si="90"/>
        <v>0</v>
      </c>
      <c r="H389" s="7">
        <f t="shared" si="91"/>
        <v>0</v>
      </c>
      <c r="I389" s="8">
        <v>53.73333333333332</v>
      </c>
      <c r="J389" s="9">
        <f t="shared" si="92"/>
        <v>53.73333333333332</v>
      </c>
      <c r="K389" s="3">
        <f t="shared" si="93"/>
        <v>0</v>
      </c>
      <c r="L389" s="7">
        <f t="shared" si="94"/>
        <v>0</v>
      </c>
      <c r="M389" t="s">
        <v>150</v>
      </c>
      <c r="O389" s="3">
        <f>E389-'314020 - P0624'!F389</f>
        <v>35.4</v>
      </c>
      <c r="P389" s="30">
        <f>I389-'314020 - P0624'!J389</f>
        <v>53.73333333333332</v>
      </c>
    </row>
    <row r="390" spans="1:16" x14ac:dyDescent="0.25">
      <c r="A390">
        <v>388</v>
      </c>
      <c r="B390" t="s">
        <v>476</v>
      </c>
      <c r="C390" s="28" t="s">
        <v>385</v>
      </c>
      <c r="D390" s="4" t="s">
        <v>386</v>
      </c>
      <c r="E390" s="11">
        <v>70.2</v>
      </c>
      <c r="F390" s="11">
        <v>70.2</v>
      </c>
      <c r="G390" s="6">
        <f t="shared" si="90"/>
        <v>0</v>
      </c>
      <c r="H390" s="7">
        <f t="shared" si="91"/>
        <v>0</v>
      </c>
      <c r="I390" s="8">
        <v>114.84819573542534</v>
      </c>
      <c r="J390" s="9">
        <f t="shared" si="92"/>
        <v>114.84819573542534</v>
      </c>
      <c r="K390" s="3">
        <f t="shared" si="93"/>
        <v>0</v>
      </c>
      <c r="L390" s="7">
        <f t="shared" si="94"/>
        <v>0</v>
      </c>
      <c r="M390" t="s">
        <v>150</v>
      </c>
      <c r="O390" s="3">
        <f>E390-'314020 - P0624'!F390</f>
        <v>70.2</v>
      </c>
      <c r="P390" s="30">
        <f>I390-'314020 - P0624'!J390</f>
        <v>114.84819573542534</v>
      </c>
    </row>
    <row r="391" spans="1:16" x14ac:dyDescent="0.25">
      <c r="A391">
        <v>389</v>
      </c>
      <c r="B391" t="s">
        <v>445</v>
      </c>
      <c r="C391" s="28" t="s">
        <v>351</v>
      </c>
      <c r="D391" s="4" t="s">
        <v>500</v>
      </c>
      <c r="E391" s="11">
        <v>208</v>
      </c>
      <c r="F391" s="11">
        <v>208</v>
      </c>
      <c r="G391" s="6">
        <f t="shared" si="90"/>
        <v>0</v>
      </c>
      <c r="H391" s="7">
        <f t="shared" si="91"/>
        <v>0</v>
      </c>
      <c r="I391" s="8">
        <v>297.15636363636361</v>
      </c>
      <c r="J391" s="9">
        <f t="shared" si="92"/>
        <v>297.15636363636361</v>
      </c>
      <c r="K391" s="3">
        <f t="shared" si="93"/>
        <v>0</v>
      </c>
      <c r="L391" s="7">
        <f t="shared" si="94"/>
        <v>0</v>
      </c>
      <c r="M391" t="s">
        <v>150</v>
      </c>
      <c r="O391" s="3">
        <f>E391-'314020 - P0624'!F391</f>
        <v>208</v>
      </c>
      <c r="P391" s="30">
        <f>I391-'314020 - P0624'!J391</f>
        <v>297.15636363636361</v>
      </c>
    </row>
    <row r="392" spans="1:16" x14ac:dyDescent="0.25">
      <c r="A392">
        <v>390</v>
      </c>
      <c r="B392" t="s">
        <v>387</v>
      </c>
      <c r="C392" s="28" t="s">
        <v>351</v>
      </c>
      <c r="D392" s="4" t="s">
        <v>388</v>
      </c>
      <c r="E392" s="12">
        <v>13.11</v>
      </c>
      <c r="F392" s="12">
        <v>13.11</v>
      </c>
      <c r="G392" s="6">
        <f t="shared" si="90"/>
        <v>0</v>
      </c>
      <c r="H392" s="7">
        <f t="shared" si="91"/>
        <v>0</v>
      </c>
      <c r="I392" s="8">
        <v>15.06</v>
      </c>
      <c r="J392" s="9">
        <f t="shared" si="92"/>
        <v>15.06</v>
      </c>
      <c r="K392" s="3">
        <f t="shared" si="93"/>
        <v>0</v>
      </c>
      <c r="L392" s="7">
        <f t="shared" si="94"/>
        <v>0</v>
      </c>
      <c r="M392" t="s">
        <v>150</v>
      </c>
      <c r="O392" s="3">
        <f>E392-'314020 - P0624'!F392</f>
        <v>0</v>
      </c>
      <c r="P392" s="30">
        <f>I392-'314020 - P0624'!J392</f>
        <v>0</v>
      </c>
    </row>
    <row r="393" spans="1:16" x14ac:dyDescent="0.25">
      <c r="A393">
        <v>391</v>
      </c>
      <c r="B393" t="s">
        <v>387</v>
      </c>
      <c r="C393" s="28" t="s">
        <v>351</v>
      </c>
      <c r="D393" s="4" t="s">
        <v>389</v>
      </c>
      <c r="E393" s="12">
        <v>27.99</v>
      </c>
      <c r="F393" s="12">
        <v>27.99</v>
      </c>
      <c r="G393" s="6">
        <f t="shared" si="90"/>
        <v>0</v>
      </c>
      <c r="H393" s="7">
        <f t="shared" si="91"/>
        <v>0</v>
      </c>
      <c r="I393" s="8">
        <v>32.15</v>
      </c>
      <c r="J393" s="9">
        <f t="shared" si="92"/>
        <v>32.15</v>
      </c>
      <c r="K393" s="3">
        <f t="shared" si="93"/>
        <v>0</v>
      </c>
      <c r="L393" s="7">
        <f t="shared" si="94"/>
        <v>0</v>
      </c>
      <c r="M393" t="s">
        <v>150</v>
      </c>
      <c r="O393" s="3">
        <f>E393-'314020 - P0624'!F393</f>
        <v>0</v>
      </c>
      <c r="P393" s="30">
        <f>I393-'314020 - P0624'!J393</f>
        <v>0</v>
      </c>
    </row>
    <row r="394" spans="1:16" x14ac:dyDescent="0.25">
      <c r="A394">
        <v>392</v>
      </c>
      <c r="B394" t="s">
        <v>387</v>
      </c>
      <c r="C394" s="28" t="s">
        <v>351</v>
      </c>
      <c r="D394" s="4" t="s">
        <v>390</v>
      </c>
      <c r="E394" s="12">
        <v>24.27</v>
      </c>
      <c r="F394" s="12">
        <v>24.27</v>
      </c>
      <c r="G394" s="6">
        <f t="shared" si="90"/>
        <v>0</v>
      </c>
      <c r="H394" s="7">
        <f t="shared" si="91"/>
        <v>0</v>
      </c>
      <c r="I394" s="8">
        <v>27.88</v>
      </c>
      <c r="J394" s="9">
        <f t="shared" si="92"/>
        <v>27.88</v>
      </c>
      <c r="K394" s="3">
        <f t="shared" si="93"/>
        <v>0</v>
      </c>
      <c r="L394" s="7">
        <f t="shared" si="94"/>
        <v>0</v>
      </c>
      <c r="M394" t="s">
        <v>150</v>
      </c>
      <c r="O394" s="3">
        <f>E394-'314020 - P0624'!F394</f>
        <v>0</v>
      </c>
      <c r="P394" s="30">
        <f>I394-'314020 - P0624'!J394</f>
        <v>0</v>
      </c>
    </row>
    <row r="395" spans="1:16" x14ac:dyDescent="0.25">
      <c r="A395">
        <v>393</v>
      </c>
      <c r="C395" s="28"/>
      <c r="D395" s="34" t="s">
        <v>391</v>
      </c>
      <c r="M395" t="s">
        <v>150</v>
      </c>
    </row>
    <row r="396" spans="1:16" x14ac:dyDescent="0.25">
      <c r="A396">
        <v>394</v>
      </c>
      <c r="B396" t="s">
        <v>322</v>
      </c>
      <c r="C396" s="28" t="s">
        <v>354</v>
      </c>
      <c r="D396" s="4" t="s">
        <v>392</v>
      </c>
      <c r="E396" s="12">
        <v>3.7791000000000001</v>
      </c>
      <c r="F396" s="12">
        <v>3.7791000000000001</v>
      </c>
      <c r="G396" s="6">
        <f t="shared" ref="G396:G413" si="95">+F396-E396</f>
        <v>0</v>
      </c>
      <c r="H396" s="7">
        <f t="shared" ref="H396:H413" si="96">(F396-E396)/ABS(E396)</f>
        <v>0</v>
      </c>
      <c r="I396" s="8">
        <v>7.5582000000000003</v>
      </c>
      <c r="J396" s="9">
        <f t="shared" ref="J396:J413" si="97">(I396*H396)+I396</f>
        <v>7.5582000000000003</v>
      </c>
      <c r="K396" s="3">
        <f t="shared" ref="K396:K413" si="98">J396-I396</f>
        <v>0</v>
      </c>
      <c r="L396" s="7">
        <f t="shared" ref="L396:L413" si="99">(J396-I396)/ABS(I396)</f>
        <v>0</v>
      </c>
      <c r="M396" t="s">
        <v>150</v>
      </c>
      <c r="O396" s="3">
        <f>E396-'314020 - P0624'!F396</f>
        <v>0</v>
      </c>
      <c r="P396" s="30">
        <f>I396-'314020 - P0624'!J396</f>
        <v>0</v>
      </c>
    </row>
    <row r="397" spans="1:16" x14ac:dyDescent="0.25">
      <c r="A397">
        <v>395</v>
      </c>
      <c r="B397" t="s">
        <v>476</v>
      </c>
      <c r="C397" s="28" t="s">
        <v>354</v>
      </c>
      <c r="D397" s="4" t="s">
        <v>393</v>
      </c>
      <c r="E397" s="12">
        <v>1.81</v>
      </c>
      <c r="F397" s="12">
        <v>1.81</v>
      </c>
      <c r="G397" s="6">
        <f t="shared" si="95"/>
        <v>0</v>
      </c>
      <c r="H397" s="7">
        <f t="shared" si="96"/>
        <v>0</v>
      </c>
      <c r="I397" s="8">
        <v>3.62</v>
      </c>
      <c r="J397" s="9">
        <f t="shared" si="97"/>
        <v>3.62</v>
      </c>
      <c r="K397" s="3">
        <f t="shared" si="98"/>
        <v>0</v>
      </c>
      <c r="L397" s="7">
        <f t="shared" si="99"/>
        <v>0</v>
      </c>
      <c r="M397" t="s">
        <v>150</v>
      </c>
      <c r="O397" s="3">
        <f>E397-'314020 - P0624'!F397</f>
        <v>0</v>
      </c>
      <c r="P397" s="30">
        <f>I397-'314020 - P0624'!J397</f>
        <v>0</v>
      </c>
    </row>
    <row r="398" spans="1:16" x14ac:dyDescent="0.25">
      <c r="A398">
        <v>396</v>
      </c>
      <c r="B398" t="s">
        <v>480</v>
      </c>
      <c r="C398" s="28" t="s">
        <v>354</v>
      </c>
      <c r="D398" s="4" t="s">
        <v>394</v>
      </c>
      <c r="E398" s="12">
        <v>3.01</v>
      </c>
      <c r="F398" s="12">
        <v>3.01</v>
      </c>
      <c r="G398" s="6">
        <f t="shared" si="95"/>
        <v>0</v>
      </c>
      <c r="H398" s="7">
        <f t="shared" si="96"/>
        <v>0</v>
      </c>
      <c r="I398" s="8">
        <v>6.02</v>
      </c>
      <c r="J398" s="9">
        <f t="shared" si="97"/>
        <v>6.02</v>
      </c>
      <c r="K398" s="3">
        <f t="shared" si="98"/>
        <v>0</v>
      </c>
      <c r="L398" s="7">
        <f t="shared" si="99"/>
        <v>0</v>
      </c>
      <c r="M398" t="s">
        <v>150</v>
      </c>
      <c r="O398" s="3">
        <f>E398-'314020 - P0624'!F398</f>
        <v>0</v>
      </c>
      <c r="P398" s="30">
        <f>I398-'314020 - P0624'!J398</f>
        <v>0</v>
      </c>
    </row>
    <row r="399" spans="1:16" x14ac:dyDescent="0.25">
      <c r="A399">
        <v>397</v>
      </c>
      <c r="B399" t="s">
        <v>470</v>
      </c>
      <c r="C399" s="28" t="s">
        <v>354</v>
      </c>
      <c r="D399" s="4" t="s">
        <v>395</v>
      </c>
      <c r="E399" s="12">
        <v>27.08</v>
      </c>
      <c r="F399" s="12">
        <v>27.08</v>
      </c>
      <c r="G399" s="6">
        <f t="shared" si="95"/>
        <v>0</v>
      </c>
      <c r="H399" s="7">
        <f t="shared" si="96"/>
        <v>0</v>
      </c>
      <c r="I399" s="8">
        <v>54.16</v>
      </c>
      <c r="J399" s="9">
        <f t="shared" si="97"/>
        <v>54.16</v>
      </c>
      <c r="K399" s="3">
        <f t="shared" si="98"/>
        <v>0</v>
      </c>
      <c r="L399" s="7">
        <f t="shared" si="99"/>
        <v>0</v>
      </c>
      <c r="M399" t="s">
        <v>150</v>
      </c>
      <c r="O399" s="3">
        <f>E399-'314020 - P0624'!F399</f>
        <v>0</v>
      </c>
      <c r="P399" s="30">
        <f>I399-'314020 - P0624'!J399</f>
        <v>0</v>
      </c>
    </row>
    <row r="400" spans="1:16" x14ac:dyDescent="0.25">
      <c r="A400">
        <v>398</v>
      </c>
      <c r="B400" t="s">
        <v>303</v>
      </c>
      <c r="C400" s="28" t="s">
        <v>354</v>
      </c>
      <c r="D400" s="4" t="s">
        <v>396</v>
      </c>
      <c r="E400" s="12">
        <v>18.07</v>
      </c>
      <c r="F400" s="12">
        <v>18.07</v>
      </c>
      <c r="G400" s="6">
        <f t="shared" si="95"/>
        <v>0</v>
      </c>
      <c r="H400" s="7">
        <f t="shared" si="96"/>
        <v>0</v>
      </c>
      <c r="I400" s="8">
        <v>32.273257621040045</v>
      </c>
      <c r="J400" s="9">
        <f t="shared" si="97"/>
        <v>32.273257621040045</v>
      </c>
      <c r="K400" s="3">
        <f t="shared" si="98"/>
        <v>0</v>
      </c>
      <c r="L400" s="7">
        <f t="shared" si="99"/>
        <v>0</v>
      </c>
      <c r="M400" t="s">
        <v>150</v>
      </c>
      <c r="O400" s="3">
        <f>E400-'314020 - P0624'!F400</f>
        <v>0</v>
      </c>
      <c r="P400" s="30">
        <f>I400-'314020 - P0624'!J400</f>
        <v>0</v>
      </c>
    </row>
    <row r="401" spans="1:16" x14ac:dyDescent="0.25">
      <c r="A401">
        <v>399</v>
      </c>
      <c r="B401" t="s">
        <v>303</v>
      </c>
      <c r="C401" s="28" t="s">
        <v>354</v>
      </c>
      <c r="D401" s="4" t="s">
        <v>397</v>
      </c>
      <c r="E401" s="12">
        <v>11.92</v>
      </c>
      <c r="F401" s="12">
        <v>11.92</v>
      </c>
      <c r="G401" s="6">
        <f t="shared" si="95"/>
        <v>0</v>
      </c>
      <c r="H401" s="7">
        <f t="shared" si="96"/>
        <v>0</v>
      </c>
      <c r="I401" s="8">
        <v>23.863213242453746</v>
      </c>
      <c r="J401" s="9">
        <f t="shared" si="97"/>
        <v>23.863213242453746</v>
      </c>
      <c r="K401" s="3">
        <f t="shared" si="98"/>
        <v>0</v>
      </c>
      <c r="L401" s="7">
        <f t="shared" si="99"/>
        <v>0</v>
      </c>
      <c r="M401" t="s">
        <v>150</v>
      </c>
      <c r="O401" s="3">
        <f>E401-'314020 - P0624'!F401</f>
        <v>0</v>
      </c>
      <c r="P401" s="30">
        <f>I401-'314020 - P0624'!J401</f>
        <v>0</v>
      </c>
    </row>
    <row r="402" spans="1:16" x14ac:dyDescent="0.25">
      <c r="A402">
        <v>400</v>
      </c>
      <c r="B402" t="s">
        <v>303</v>
      </c>
      <c r="C402" s="28" t="s">
        <v>354</v>
      </c>
      <c r="D402" s="4" t="s">
        <v>398</v>
      </c>
      <c r="E402" s="12">
        <v>12.97</v>
      </c>
      <c r="F402" s="12">
        <v>12.97</v>
      </c>
      <c r="G402" s="6">
        <f t="shared" si="95"/>
        <v>0</v>
      </c>
      <c r="H402" s="7">
        <f t="shared" si="96"/>
        <v>0</v>
      </c>
      <c r="I402" s="8">
        <v>25.96322291853178</v>
      </c>
      <c r="J402" s="9">
        <f t="shared" si="97"/>
        <v>25.96322291853178</v>
      </c>
      <c r="K402" s="3">
        <f t="shared" si="98"/>
        <v>0</v>
      </c>
      <c r="L402" s="7">
        <f t="shared" si="99"/>
        <v>0</v>
      </c>
      <c r="M402" t="s">
        <v>150</v>
      </c>
      <c r="O402" s="3">
        <f>E402-'314020 - P0624'!F402</f>
        <v>0</v>
      </c>
      <c r="P402" s="30">
        <f>I402-'314020 - P0624'!J402</f>
        <v>0</v>
      </c>
    </row>
    <row r="403" spans="1:16" x14ac:dyDescent="0.25">
      <c r="A403">
        <v>401</v>
      </c>
      <c r="B403" t="s">
        <v>475</v>
      </c>
      <c r="C403" s="28" t="s">
        <v>354</v>
      </c>
      <c r="D403" s="4" t="s">
        <v>399</v>
      </c>
      <c r="E403" s="12">
        <v>51.3</v>
      </c>
      <c r="F403" s="12">
        <v>51.3</v>
      </c>
      <c r="G403" s="6">
        <f t="shared" si="95"/>
        <v>0</v>
      </c>
      <c r="H403" s="7">
        <f t="shared" si="96"/>
        <v>0</v>
      </c>
      <c r="I403" s="8">
        <v>102.6</v>
      </c>
      <c r="J403" s="9">
        <f t="shared" si="97"/>
        <v>102.6</v>
      </c>
      <c r="K403" s="3">
        <f t="shared" si="98"/>
        <v>0</v>
      </c>
      <c r="L403" s="7">
        <f t="shared" si="99"/>
        <v>0</v>
      </c>
      <c r="M403" t="s">
        <v>150</v>
      </c>
      <c r="O403" s="3">
        <f>E403-'314020 - P0624'!F403</f>
        <v>0</v>
      </c>
      <c r="P403" s="30">
        <f>I403-'314020 - P0624'!J403</f>
        <v>0</v>
      </c>
    </row>
    <row r="404" spans="1:16" x14ac:dyDescent="0.25">
      <c r="A404">
        <v>402</v>
      </c>
      <c r="B404" t="s">
        <v>479</v>
      </c>
      <c r="C404" s="28" t="s">
        <v>354</v>
      </c>
      <c r="D404" s="4" t="s">
        <v>400</v>
      </c>
      <c r="E404" s="12">
        <v>21.37</v>
      </c>
      <c r="F404" s="12">
        <v>21.37</v>
      </c>
      <c r="G404" s="6">
        <f t="shared" si="95"/>
        <v>0</v>
      </c>
      <c r="H404" s="7">
        <f t="shared" si="96"/>
        <v>0</v>
      </c>
      <c r="I404" s="8">
        <v>42.74</v>
      </c>
      <c r="J404" s="9">
        <f t="shared" si="97"/>
        <v>42.74</v>
      </c>
      <c r="K404" s="3">
        <f t="shared" si="98"/>
        <v>0</v>
      </c>
      <c r="L404" s="7">
        <f t="shared" si="99"/>
        <v>0</v>
      </c>
      <c r="M404" t="s">
        <v>150</v>
      </c>
      <c r="O404" s="3">
        <f>E404-'314020 - P0624'!F404</f>
        <v>0</v>
      </c>
      <c r="P404" s="30">
        <f>I404-'314020 - P0624'!J404</f>
        <v>0</v>
      </c>
    </row>
    <row r="405" spans="1:16" x14ac:dyDescent="0.25">
      <c r="A405">
        <v>403</v>
      </c>
      <c r="B405" t="s">
        <v>476</v>
      </c>
      <c r="C405" s="28" t="s">
        <v>354</v>
      </c>
      <c r="D405" s="4" t="s">
        <v>401</v>
      </c>
      <c r="E405" s="12">
        <v>37.51</v>
      </c>
      <c r="F405" s="12">
        <v>37.51</v>
      </c>
      <c r="G405" s="6">
        <f t="shared" si="95"/>
        <v>0</v>
      </c>
      <c r="H405" s="7">
        <f t="shared" si="96"/>
        <v>0</v>
      </c>
      <c r="I405" s="8">
        <v>75.02</v>
      </c>
      <c r="J405" s="9">
        <f t="shared" si="97"/>
        <v>75.02</v>
      </c>
      <c r="K405" s="3">
        <f t="shared" si="98"/>
        <v>0</v>
      </c>
      <c r="L405" s="7">
        <f t="shared" si="99"/>
        <v>0</v>
      </c>
      <c r="M405" t="s">
        <v>150</v>
      </c>
      <c r="O405" s="3">
        <f>E405-'314020 - P0624'!F405</f>
        <v>0</v>
      </c>
      <c r="P405" s="30">
        <f>I405-'314020 - P0624'!J405</f>
        <v>0</v>
      </c>
    </row>
    <row r="406" spans="1:16" x14ac:dyDescent="0.25">
      <c r="A406">
        <v>404</v>
      </c>
      <c r="B406" t="s">
        <v>476</v>
      </c>
      <c r="C406" s="28" t="s">
        <v>354</v>
      </c>
      <c r="D406" s="4" t="s">
        <v>402</v>
      </c>
      <c r="E406" s="12">
        <v>1.79</v>
      </c>
      <c r="F406" s="12">
        <v>1.79</v>
      </c>
      <c r="G406" s="6">
        <f t="shared" si="95"/>
        <v>0</v>
      </c>
      <c r="H406" s="7">
        <f t="shared" si="96"/>
        <v>0</v>
      </c>
      <c r="I406" s="8">
        <v>4</v>
      </c>
      <c r="J406" s="9">
        <f t="shared" si="97"/>
        <v>4</v>
      </c>
      <c r="K406" s="3">
        <f t="shared" si="98"/>
        <v>0</v>
      </c>
      <c r="L406" s="7">
        <f t="shared" si="99"/>
        <v>0</v>
      </c>
      <c r="M406" t="s">
        <v>150</v>
      </c>
      <c r="O406" s="3">
        <f>E406-'314020 - P0624'!F406</f>
        <v>0</v>
      </c>
      <c r="P406" s="30">
        <f>I406-'314020 - P0624'!J406</f>
        <v>0</v>
      </c>
    </row>
    <row r="407" spans="1:16" x14ac:dyDescent="0.25">
      <c r="A407">
        <v>405</v>
      </c>
      <c r="B407" t="s">
        <v>476</v>
      </c>
      <c r="C407" s="28" t="s">
        <v>354</v>
      </c>
      <c r="D407" s="4" t="s">
        <v>403</v>
      </c>
      <c r="E407" s="12">
        <v>2.4700000000000002</v>
      </c>
      <c r="F407" s="12">
        <v>2.4700000000000002</v>
      </c>
      <c r="G407" s="6">
        <f t="shared" si="95"/>
        <v>0</v>
      </c>
      <c r="H407" s="7">
        <f t="shared" si="96"/>
        <v>0</v>
      </c>
      <c r="I407" s="8">
        <v>5</v>
      </c>
      <c r="J407" s="9">
        <f t="shared" si="97"/>
        <v>5</v>
      </c>
      <c r="K407" s="3">
        <f t="shared" si="98"/>
        <v>0</v>
      </c>
      <c r="L407" s="7">
        <f t="shared" si="99"/>
        <v>0</v>
      </c>
      <c r="M407" t="s">
        <v>150</v>
      </c>
      <c r="O407" s="3">
        <f>E407-'314020 - P0624'!F407</f>
        <v>0</v>
      </c>
      <c r="P407" s="30">
        <f>I407-'314020 - P0624'!J407</f>
        <v>0</v>
      </c>
    </row>
    <row r="408" spans="1:16" x14ac:dyDescent="0.25">
      <c r="A408">
        <v>406</v>
      </c>
      <c r="B408" t="s">
        <v>474</v>
      </c>
      <c r="C408" s="28" t="s">
        <v>354</v>
      </c>
      <c r="D408" s="4" t="s">
        <v>404</v>
      </c>
      <c r="E408" s="12">
        <v>6.48</v>
      </c>
      <c r="F408" s="12">
        <v>6.48</v>
      </c>
      <c r="G408" s="6">
        <f t="shared" si="95"/>
        <v>0</v>
      </c>
      <c r="H408" s="7">
        <f t="shared" si="96"/>
        <v>0</v>
      </c>
      <c r="I408" s="8">
        <v>12.96</v>
      </c>
      <c r="J408" s="9">
        <f t="shared" si="97"/>
        <v>12.96</v>
      </c>
      <c r="K408" s="3">
        <f t="shared" si="98"/>
        <v>0</v>
      </c>
      <c r="L408" s="7">
        <f t="shared" si="99"/>
        <v>0</v>
      </c>
      <c r="M408" t="s">
        <v>150</v>
      </c>
      <c r="O408" s="3">
        <f>E408-'314020 - P0624'!F408</f>
        <v>0</v>
      </c>
      <c r="P408" s="30">
        <f>I408-'314020 - P0624'!J408</f>
        <v>0</v>
      </c>
    </row>
    <row r="409" spans="1:16" x14ac:dyDescent="0.25">
      <c r="A409">
        <v>407</v>
      </c>
      <c r="B409" t="s">
        <v>474</v>
      </c>
      <c r="C409" s="28" t="s">
        <v>354</v>
      </c>
      <c r="D409" s="4" t="s">
        <v>405</v>
      </c>
      <c r="E409" s="12">
        <v>10.78</v>
      </c>
      <c r="F409" s="12">
        <v>10.78</v>
      </c>
      <c r="G409" s="6">
        <f t="shared" si="95"/>
        <v>0</v>
      </c>
      <c r="H409" s="7">
        <f t="shared" si="96"/>
        <v>0</v>
      </c>
      <c r="I409" s="8">
        <v>21.56</v>
      </c>
      <c r="J409" s="9">
        <f t="shared" si="97"/>
        <v>21.56</v>
      </c>
      <c r="K409" s="3">
        <f t="shared" si="98"/>
        <v>0</v>
      </c>
      <c r="L409" s="7">
        <f t="shared" si="99"/>
        <v>0</v>
      </c>
      <c r="M409" t="s">
        <v>150</v>
      </c>
      <c r="O409" s="3">
        <f>E409-'314020 - P0624'!F409</f>
        <v>0</v>
      </c>
      <c r="P409" s="30">
        <f>I409-'314020 - P0624'!J409</f>
        <v>0</v>
      </c>
    </row>
    <row r="410" spans="1:16" x14ac:dyDescent="0.25">
      <c r="A410">
        <v>408</v>
      </c>
      <c r="B410" t="s">
        <v>474</v>
      </c>
      <c r="C410" s="28" t="s">
        <v>354</v>
      </c>
      <c r="D410" s="4" t="s">
        <v>406</v>
      </c>
      <c r="E410" s="12">
        <v>13.22</v>
      </c>
      <c r="F410" s="12">
        <v>13.22</v>
      </c>
      <c r="G410" s="6">
        <f t="shared" si="95"/>
        <v>0</v>
      </c>
      <c r="H410" s="7">
        <f t="shared" si="96"/>
        <v>0</v>
      </c>
      <c r="I410" s="8">
        <v>26.44</v>
      </c>
      <c r="J410" s="9">
        <f t="shared" si="97"/>
        <v>26.44</v>
      </c>
      <c r="K410" s="3">
        <f t="shared" si="98"/>
        <v>0</v>
      </c>
      <c r="L410" s="7">
        <f t="shared" si="99"/>
        <v>0</v>
      </c>
      <c r="M410" t="s">
        <v>150</v>
      </c>
      <c r="O410" s="3">
        <f>E410-'314020 - P0624'!F410</f>
        <v>0</v>
      </c>
      <c r="P410" s="30">
        <f>I410-'314020 - P0624'!J410</f>
        <v>0</v>
      </c>
    </row>
    <row r="411" spans="1:16" x14ac:dyDescent="0.25">
      <c r="A411">
        <v>409</v>
      </c>
      <c r="B411" t="s">
        <v>476</v>
      </c>
      <c r="C411" s="28" t="s">
        <v>354</v>
      </c>
      <c r="D411" s="4" t="s">
        <v>407</v>
      </c>
      <c r="E411" s="12">
        <v>14.72</v>
      </c>
      <c r="F411" s="12">
        <v>14.72</v>
      </c>
      <c r="G411" s="6">
        <f t="shared" si="95"/>
        <v>0</v>
      </c>
      <c r="H411" s="7">
        <f t="shared" si="96"/>
        <v>0</v>
      </c>
      <c r="I411" s="8">
        <v>29.44</v>
      </c>
      <c r="J411" s="9">
        <f t="shared" si="97"/>
        <v>29.44</v>
      </c>
      <c r="K411" s="3">
        <f t="shared" si="98"/>
        <v>0</v>
      </c>
      <c r="L411" s="7">
        <f t="shared" si="99"/>
        <v>0</v>
      </c>
      <c r="M411" t="s">
        <v>150</v>
      </c>
      <c r="O411" s="3">
        <f>E411-'314020 - P0624'!F411</f>
        <v>0</v>
      </c>
      <c r="P411" s="30">
        <f>I411-'314020 - P0624'!J411</f>
        <v>0</v>
      </c>
    </row>
    <row r="412" spans="1:16" x14ac:dyDescent="0.25">
      <c r="A412">
        <v>410</v>
      </c>
      <c r="B412" t="s">
        <v>476</v>
      </c>
      <c r="C412" s="28" t="s">
        <v>354</v>
      </c>
      <c r="D412" s="4" t="s">
        <v>408</v>
      </c>
      <c r="E412" s="12">
        <v>3.74</v>
      </c>
      <c r="F412" s="12">
        <v>3.74</v>
      </c>
      <c r="G412" s="6">
        <f t="shared" si="95"/>
        <v>0</v>
      </c>
      <c r="H412" s="7">
        <f t="shared" si="96"/>
        <v>0</v>
      </c>
      <c r="I412" s="8">
        <v>7.48</v>
      </c>
      <c r="J412" s="9">
        <f t="shared" si="97"/>
        <v>7.48</v>
      </c>
      <c r="K412" s="3">
        <f t="shared" si="98"/>
        <v>0</v>
      </c>
      <c r="L412" s="7">
        <f t="shared" si="99"/>
        <v>0</v>
      </c>
      <c r="M412" t="s">
        <v>150</v>
      </c>
      <c r="O412" s="3">
        <f>E412-'314020 - P0624'!F412</f>
        <v>0</v>
      </c>
      <c r="P412" s="30">
        <f>I412-'314020 - P0624'!J412</f>
        <v>0</v>
      </c>
    </row>
    <row r="413" spans="1:16" x14ac:dyDescent="0.25">
      <c r="A413">
        <v>411</v>
      </c>
      <c r="B413" t="s">
        <v>476</v>
      </c>
      <c r="C413" s="28" t="s">
        <v>354</v>
      </c>
      <c r="D413" s="4" t="s">
        <v>409</v>
      </c>
      <c r="E413" s="12">
        <v>5.12</v>
      </c>
      <c r="F413" s="12">
        <v>5.12</v>
      </c>
      <c r="G413" s="6">
        <f t="shared" si="95"/>
        <v>0</v>
      </c>
      <c r="H413" s="7">
        <f t="shared" si="96"/>
        <v>0</v>
      </c>
      <c r="I413" s="8">
        <v>10.24</v>
      </c>
      <c r="J413" s="9">
        <f t="shared" si="97"/>
        <v>10.24</v>
      </c>
      <c r="K413" s="3">
        <f t="shared" si="98"/>
        <v>0</v>
      </c>
      <c r="L413" s="7">
        <f t="shared" si="99"/>
        <v>0</v>
      </c>
      <c r="M413" t="s">
        <v>150</v>
      </c>
      <c r="O413" s="3">
        <f>E413-'314020 - P0624'!F413</f>
        <v>0</v>
      </c>
      <c r="P413" s="30">
        <f>I413-'314020 - P0624'!J413</f>
        <v>0</v>
      </c>
    </row>
    <row r="414" spans="1:16" x14ac:dyDescent="0.25">
      <c r="A414">
        <v>412</v>
      </c>
      <c r="D414" s="34" t="s">
        <v>410</v>
      </c>
      <c r="H414" s="10">
        <f>AVERAGE(H349:H410)</f>
        <v>0</v>
      </c>
    </row>
    <row r="415" spans="1:16" x14ac:dyDescent="0.25">
      <c r="D415" s="34" t="s">
        <v>411</v>
      </c>
    </row>
    <row r="416" spans="1:16" x14ac:dyDescent="0.25">
      <c r="D416" s="17" t="s">
        <v>412</v>
      </c>
      <c r="E416" s="5">
        <v>495</v>
      </c>
      <c r="F416" s="5">
        <v>480</v>
      </c>
      <c r="G416" s="6">
        <f t="shared" ref="G416:G425" si="100">+F416-E416</f>
        <v>-15</v>
      </c>
      <c r="H416" s="7">
        <f t="shared" ref="H416:H425" si="101">(F416-E416)/ABS(E416)</f>
        <v>-3.0303030303030304E-2</v>
      </c>
      <c r="J416" s="3"/>
      <c r="K416" s="3"/>
      <c r="L416" s="7"/>
    </row>
    <row r="417" spans="1:16" x14ac:dyDescent="0.25">
      <c r="D417" s="17" t="s">
        <v>413</v>
      </c>
      <c r="E417" s="5">
        <v>485</v>
      </c>
      <c r="F417" s="5">
        <v>480</v>
      </c>
      <c r="G417" s="6">
        <f t="shared" si="100"/>
        <v>-5</v>
      </c>
      <c r="H417" s="7">
        <f t="shared" si="101"/>
        <v>-1.0309278350515464E-2</v>
      </c>
      <c r="J417" s="3"/>
      <c r="K417" s="3"/>
      <c r="L417" s="7"/>
    </row>
    <row r="418" spans="1:16" x14ac:dyDescent="0.25">
      <c r="D418" s="17" t="s">
        <v>414</v>
      </c>
      <c r="E418" s="5">
        <v>818</v>
      </c>
      <c r="F418" s="5">
        <v>798</v>
      </c>
      <c r="G418" s="6">
        <f t="shared" si="100"/>
        <v>-20</v>
      </c>
      <c r="H418" s="7">
        <f t="shared" si="101"/>
        <v>-2.4449877750611249E-2</v>
      </c>
      <c r="J418" s="3"/>
      <c r="K418" s="3"/>
      <c r="L418" s="7"/>
    </row>
    <row r="419" spans="1:16" x14ac:dyDescent="0.25">
      <c r="D419" s="4" t="s">
        <v>415</v>
      </c>
      <c r="E419" s="5">
        <v>654</v>
      </c>
      <c r="F419" s="5">
        <v>634</v>
      </c>
      <c r="G419" s="6">
        <f t="shared" si="100"/>
        <v>-20</v>
      </c>
      <c r="H419" s="7">
        <f t="shared" si="101"/>
        <v>-3.0581039755351681E-2</v>
      </c>
      <c r="J419" s="3"/>
      <c r="K419" s="3"/>
      <c r="L419" s="7"/>
    </row>
    <row r="420" spans="1:16" x14ac:dyDescent="0.25">
      <c r="D420" s="4" t="s">
        <v>416</v>
      </c>
      <c r="E420" s="5">
        <v>604</v>
      </c>
      <c r="F420" s="5">
        <v>579</v>
      </c>
      <c r="G420" s="6">
        <f t="shared" si="100"/>
        <v>-25</v>
      </c>
      <c r="H420" s="7">
        <f t="shared" si="101"/>
        <v>-4.1390728476821195E-2</v>
      </c>
      <c r="J420" s="3"/>
      <c r="K420" s="3"/>
      <c r="L420" s="7"/>
    </row>
    <row r="421" spans="1:16" x14ac:dyDescent="0.25">
      <c r="D421" s="4" t="s">
        <v>417</v>
      </c>
      <c r="E421" s="5">
        <v>1485</v>
      </c>
      <c r="F421" s="5">
        <v>1425</v>
      </c>
      <c r="G421" s="6">
        <f t="shared" si="100"/>
        <v>-60</v>
      </c>
      <c r="H421" s="7">
        <f t="shared" si="101"/>
        <v>-4.0404040404040407E-2</v>
      </c>
      <c r="J421" s="3"/>
      <c r="K421" s="3"/>
      <c r="L421" s="7"/>
    </row>
    <row r="422" spans="1:16" x14ac:dyDescent="0.25">
      <c r="D422" s="4" t="s">
        <v>418</v>
      </c>
      <c r="E422" s="5">
        <v>1460</v>
      </c>
      <c r="F422" s="5">
        <v>1395</v>
      </c>
      <c r="G422" s="6">
        <f t="shared" si="100"/>
        <v>-65</v>
      </c>
      <c r="H422" s="7">
        <f t="shared" si="101"/>
        <v>-4.4520547945205477E-2</v>
      </c>
      <c r="J422" s="3"/>
      <c r="K422" s="3"/>
      <c r="L422" s="7"/>
    </row>
    <row r="423" spans="1:16" x14ac:dyDescent="0.25">
      <c r="D423" s="4" t="s">
        <v>419</v>
      </c>
      <c r="E423" s="5">
        <v>799</v>
      </c>
      <c r="F423" s="5">
        <v>749</v>
      </c>
      <c r="G423" s="6">
        <f t="shared" si="100"/>
        <v>-50</v>
      </c>
      <c r="H423" s="7">
        <f t="shared" si="101"/>
        <v>-6.2578222778473094E-2</v>
      </c>
      <c r="J423" s="3"/>
      <c r="K423" s="3"/>
      <c r="L423" s="7"/>
    </row>
    <row r="424" spans="1:16" x14ac:dyDescent="0.25">
      <c r="D424" s="4" t="s">
        <v>420</v>
      </c>
      <c r="E424" s="5">
        <v>709</v>
      </c>
      <c r="F424" s="5">
        <v>664</v>
      </c>
      <c r="G424" s="6">
        <f t="shared" si="100"/>
        <v>-45</v>
      </c>
      <c r="H424" s="7">
        <f t="shared" si="101"/>
        <v>-6.3469675599435824E-2</v>
      </c>
      <c r="J424" s="3"/>
      <c r="K424" s="3"/>
      <c r="L424" s="7"/>
    </row>
    <row r="425" spans="1:16" x14ac:dyDescent="0.25">
      <c r="D425" s="4" t="s">
        <v>421</v>
      </c>
      <c r="E425" s="5">
        <v>972</v>
      </c>
      <c r="F425" s="5">
        <v>922</v>
      </c>
      <c r="G425" s="6">
        <f t="shared" si="100"/>
        <v>-50</v>
      </c>
      <c r="H425" s="7">
        <f t="shared" si="101"/>
        <v>-5.1440329218106998E-2</v>
      </c>
      <c r="J425" s="3"/>
      <c r="K425" s="3"/>
      <c r="L425" s="7"/>
    </row>
    <row r="426" spans="1:16" s="3" customFormat="1" x14ac:dyDescent="0.25">
      <c r="A426"/>
      <c r="B426"/>
      <c r="C426"/>
      <c r="D426" s="2" t="s">
        <v>422</v>
      </c>
      <c r="H426" s="10">
        <f>AVERAGE(H416:H425)</f>
        <v>-3.994467705815917E-2</v>
      </c>
      <c r="J426"/>
      <c r="K426"/>
      <c r="L426"/>
      <c r="M426"/>
      <c r="N426"/>
      <c r="P426" s="30"/>
    </row>
  </sheetData>
  <autoFilter ref="A1:M426" xr:uid="{00000000-0009-0000-0000-000001000000}"/>
  <pageMargins left="0.7" right="0.7" top="0.75" bottom="0.75" header="0.3" footer="0.3"/>
  <pageSetup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DEEB-284A-45B8-B89A-468666D5FA48}">
  <dimension ref="A1:P426"/>
  <sheetViews>
    <sheetView workbookViewId="0">
      <pane ySplit="2" topLeftCell="A3" activePane="bottomLeft" state="frozen"/>
      <selection pane="bottomLeft"/>
    </sheetView>
  </sheetViews>
  <sheetFormatPr defaultColWidth="9.140625" defaultRowHeight="15" x14ac:dyDescent="0.25"/>
  <cols>
    <col min="1" max="1" width="4" bestFit="1" customWidth="1"/>
    <col min="2" max="2" width="14.85546875" customWidth="1"/>
    <col min="3" max="3" width="9" customWidth="1"/>
    <col min="4" max="4" width="76.7109375" customWidth="1"/>
    <col min="5" max="5" width="28.42578125" style="3" customWidth="1"/>
    <col min="6" max="6" width="29.5703125" style="3" customWidth="1"/>
    <col min="7" max="7" width="8.28515625" style="3" customWidth="1"/>
    <col min="8" max="8" width="7.7109375" style="3" customWidth="1"/>
    <col min="9" max="9" width="28.42578125" style="3" customWidth="1"/>
    <col min="10" max="10" width="29.5703125" customWidth="1"/>
    <col min="16" max="16" width="9.140625" style="30"/>
  </cols>
  <sheetData>
    <row r="1" spans="1:16" x14ac:dyDescent="0.25">
      <c r="E1" s="1" t="s">
        <v>0</v>
      </c>
      <c r="F1" s="1" t="s">
        <v>0</v>
      </c>
      <c r="G1" s="1"/>
      <c r="H1" s="1"/>
      <c r="I1" s="1" t="s">
        <v>1</v>
      </c>
      <c r="J1" s="1" t="s">
        <v>1</v>
      </c>
      <c r="M1" t="s">
        <v>2</v>
      </c>
    </row>
    <row r="2" spans="1:16" x14ac:dyDescent="0.25">
      <c r="B2" t="s">
        <v>3</v>
      </c>
      <c r="C2" t="s">
        <v>4</v>
      </c>
      <c r="D2" t="s">
        <v>5</v>
      </c>
      <c r="E2" s="1" t="s">
        <v>519</v>
      </c>
      <c r="F2" s="1" t="s">
        <v>521</v>
      </c>
      <c r="G2" s="1"/>
      <c r="H2" s="1"/>
      <c r="I2" s="1" t="s">
        <v>517</v>
      </c>
      <c r="J2" s="1" t="s">
        <v>521</v>
      </c>
    </row>
    <row r="3" spans="1:16" x14ac:dyDescent="0.25">
      <c r="A3">
        <v>1</v>
      </c>
      <c r="D3" s="2" t="s">
        <v>6</v>
      </c>
      <c r="M3" t="s">
        <v>7</v>
      </c>
    </row>
    <row r="4" spans="1:16" x14ac:dyDescent="0.25">
      <c r="A4">
        <v>2</v>
      </c>
      <c r="C4" t="s">
        <v>8</v>
      </c>
      <c r="D4" s="4" t="s">
        <v>9</v>
      </c>
      <c r="E4" s="5">
        <v>681</v>
      </c>
      <c r="F4" s="5">
        <v>681</v>
      </c>
      <c r="G4" s="6">
        <f t="shared" ref="G4:G23" si="0">+F4-E4</f>
        <v>0</v>
      </c>
      <c r="H4" s="7">
        <f t="shared" ref="H4:H23" si="1">(F4-E4)/ABS(E4)</f>
        <v>0</v>
      </c>
      <c r="I4" s="8">
        <v>821.46118192352264</v>
      </c>
      <c r="J4" s="9">
        <f t="shared" ref="J4:J23" si="2">(I4*H4)+I4</f>
        <v>821.46118192352264</v>
      </c>
      <c r="K4" s="3">
        <f t="shared" ref="K4:K23" si="3">J4-I4</f>
        <v>0</v>
      </c>
      <c r="L4" s="7">
        <f t="shared" ref="L4:L23" si="4">(J4-I4)/ABS(I4)</f>
        <v>0</v>
      </c>
      <c r="M4" t="s">
        <v>7</v>
      </c>
      <c r="O4" s="3">
        <f>E4-'310785 - P0524'!F4</f>
        <v>0</v>
      </c>
      <c r="P4" s="30">
        <f>I4-'310785 - P0524'!J4</f>
        <v>0</v>
      </c>
    </row>
    <row r="5" spans="1:16" x14ac:dyDescent="0.25">
      <c r="A5">
        <v>3</v>
      </c>
      <c r="D5" s="4" t="s">
        <v>10</v>
      </c>
      <c r="E5" s="8">
        <v>681</v>
      </c>
      <c r="F5" s="8">
        <f>F4</f>
        <v>681</v>
      </c>
      <c r="G5" s="6">
        <f t="shared" si="0"/>
        <v>0</v>
      </c>
      <c r="H5" s="7">
        <f t="shared" si="1"/>
        <v>0</v>
      </c>
      <c r="I5" s="8">
        <v>821.46118192352264</v>
      </c>
      <c r="J5" s="9">
        <f t="shared" si="2"/>
        <v>821.46118192352264</v>
      </c>
      <c r="K5" s="3">
        <f t="shared" si="3"/>
        <v>0</v>
      </c>
      <c r="L5" s="7">
        <f t="shared" si="4"/>
        <v>0</v>
      </c>
      <c r="M5" t="s">
        <v>7</v>
      </c>
      <c r="O5" s="3">
        <f>E5-'310785 - P0524'!F5</f>
        <v>0</v>
      </c>
      <c r="P5" s="30">
        <f>I5-'310785 - P0524'!J5</f>
        <v>0</v>
      </c>
    </row>
    <row r="6" spans="1:16" x14ac:dyDescent="0.25">
      <c r="A6">
        <v>4</v>
      </c>
      <c r="D6" s="4" t="s">
        <v>11</v>
      </c>
      <c r="E6" s="8">
        <v>681</v>
      </c>
      <c r="F6" s="8">
        <f>F4</f>
        <v>681</v>
      </c>
      <c r="G6" s="6">
        <f t="shared" si="0"/>
        <v>0</v>
      </c>
      <c r="H6" s="7">
        <f t="shared" si="1"/>
        <v>0</v>
      </c>
      <c r="I6" s="8">
        <v>821.46118192352264</v>
      </c>
      <c r="J6" s="9">
        <f t="shared" si="2"/>
        <v>821.46118192352264</v>
      </c>
      <c r="K6" s="3">
        <f t="shared" si="3"/>
        <v>0</v>
      </c>
      <c r="L6" s="7">
        <f t="shared" si="4"/>
        <v>0</v>
      </c>
      <c r="M6" t="s">
        <v>7</v>
      </c>
      <c r="O6" s="3">
        <f>E6-'310785 - P0524'!F6</f>
        <v>0</v>
      </c>
      <c r="P6" s="30">
        <f>I6-'310785 - P0524'!J6</f>
        <v>0</v>
      </c>
    </row>
    <row r="7" spans="1:16" x14ac:dyDescent="0.25">
      <c r="A7">
        <v>5</v>
      </c>
      <c r="C7" t="s">
        <v>8</v>
      </c>
      <c r="D7" s="4" t="s">
        <v>12</v>
      </c>
      <c r="E7" s="5">
        <v>706</v>
      </c>
      <c r="F7" s="5">
        <v>686</v>
      </c>
      <c r="G7" s="6">
        <f t="shared" si="0"/>
        <v>-20</v>
      </c>
      <c r="H7" s="7">
        <f t="shared" si="1"/>
        <v>-2.8328611898016998E-2</v>
      </c>
      <c r="I7" s="8">
        <v>911.33415841584144</v>
      </c>
      <c r="J7" s="9">
        <f t="shared" si="2"/>
        <v>885.51732673267315</v>
      </c>
      <c r="K7" s="3">
        <f t="shared" si="3"/>
        <v>-25.816831683168289</v>
      </c>
      <c r="L7" s="7">
        <f t="shared" si="4"/>
        <v>-2.832861189801697E-2</v>
      </c>
      <c r="M7" t="s">
        <v>7</v>
      </c>
      <c r="N7" s="27"/>
      <c r="O7" s="3">
        <f>E7-'310785 - P0524'!F7</f>
        <v>0</v>
      </c>
      <c r="P7" s="30">
        <f>I7-'310785 - P0524'!J7</f>
        <v>0</v>
      </c>
    </row>
    <row r="8" spans="1:16" x14ac:dyDescent="0.25">
      <c r="A8">
        <v>6</v>
      </c>
      <c r="D8" s="4" t="s">
        <v>13</v>
      </c>
      <c r="E8" s="8">
        <v>706</v>
      </c>
      <c r="F8" s="8">
        <f>F7</f>
        <v>686</v>
      </c>
      <c r="G8" s="6">
        <f t="shared" si="0"/>
        <v>-20</v>
      </c>
      <c r="H8" s="7">
        <f t="shared" si="1"/>
        <v>-2.8328611898016998E-2</v>
      </c>
      <c r="I8" s="8">
        <v>911.33415841584144</v>
      </c>
      <c r="J8" s="9">
        <f t="shared" si="2"/>
        <v>885.51732673267315</v>
      </c>
      <c r="K8" s="3">
        <f t="shared" si="3"/>
        <v>-25.816831683168289</v>
      </c>
      <c r="L8" s="7">
        <f t="shared" si="4"/>
        <v>-2.832861189801697E-2</v>
      </c>
      <c r="M8" t="s">
        <v>7</v>
      </c>
      <c r="N8" s="27"/>
      <c r="O8" s="3">
        <f>E8-'310785 - P0524'!F8</f>
        <v>0</v>
      </c>
      <c r="P8" s="30">
        <f>I8-'310785 - P0524'!J8</f>
        <v>0</v>
      </c>
    </row>
    <row r="9" spans="1:16" x14ac:dyDescent="0.25">
      <c r="A9">
        <v>7</v>
      </c>
      <c r="D9" s="4" t="s">
        <v>14</v>
      </c>
      <c r="E9" s="8">
        <v>706</v>
      </c>
      <c r="F9" s="8">
        <f>F7</f>
        <v>686</v>
      </c>
      <c r="G9" s="6">
        <f t="shared" si="0"/>
        <v>-20</v>
      </c>
      <c r="H9" s="7">
        <f t="shared" si="1"/>
        <v>-2.8328611898016998E-2</v>
      </c>
      <c r="I9" s="8">
        <v>911.33415841584144</v>
      </c>
      <c r="J9" s="9">
        <f t="shared" si="2"/>
        <v>885.51732673267315</v>
      </c>
      <c r="K9" s="3">
        <f t="shared" si="3"/>
        <v>-25.816831683168289</v>
      </c>
      <c r="L9" s="7">
        <f t="shared" si="4"/>
        <v>-2.832861189801697E-2</v>
      </c>
      <c r="M9" t="s">
        <v>7</v>
      </c>
      <c r="N9" s="27"/>
      <c r="O9" s="3">
        <f>E9-'310785 - P0524'!F9</f>
        <v>0</v>
      </c>
      <c r="P9" s="30">
        <f>I9-'310785 - P0524'!J9</f>
        <v>0</v>
      </c>
    </row>
    <row r="10" spans="1:16" x14ac:dyDescent="0.25">
      <c r="A10">
        <v>8</v>
      </c>
      <c r="C10" t="s">
        <v>8</v>
      </c>
      <c r="D10" s="4" t="s">
        <v>15</v>
      </c>
      <c r="E10" s="5">
        <v>889</v>
      </c>
      <c r="F10" s="5">
        <v>790</v>
      </c>
      <c r="G10" s="6">
        <f t="shared" si="0"/>
        <v>-99</v>
      </c>
      <c r="H10" s="7">
        <f t="shared" si="1"/>
        <v>-0.11136107986501688</v>
      </c>
      <c r="I10" s="8">
        <v>1180.6805630752574</v>
      </c>
      <c r="J10" s="9">
        <f t="shared" si="2"/>
        <v>1049.1987005955605</v>
      </c>
      <c r="K10" s="3">
        <f t="shared" si="3"/>
        <v>-131.48186247969693</v>
      </c>
      <c r="L10" s="7">
        <f t="shared" si="4"/>
        <v>-0.11136107986501696</v>
      </c>
      <c r="M10" t="s">
        <v>7</v>
      </c>
      <c r="N10" s="27"/>
      <c r="O10" s="3">
        <f>E10-'310785 - P0524'!F10</f>
        <v>0</v>
      </c>
      <c r="P10" s="30">
        <f>I10-'310785 - P0524'!J10</f>
        <v>0</v>
      </c>
    </row>
    <row r="11" spans="1:16" x14ac:dyDescent="0.25">
      <c r="A11">
        <v>9</v>
      </c>
      <c r="D11" s="4" t="s">
        <v>16</v>
      </c>
      <c r="E11" s="8">
        <v>889</v>
      </c>
      <c r="F11" s="8">
        <f>F10</f>
        <v>790</v>
      </c>
      <c r="G11" s="6">
        <f t="shared" si="0"/>
        <v>-99</v>
      </c>
      <c r="H11" s="7">
        <f t="shared" si="1"/>
        <v>-0.11136107986501688</v>
      </c>
      <c r="I11" s="8">
        <v>1180.6805630752574</v>
      </c>
      <c r="J11" s="9">
        <f t="shared" si="2"/>
        <v>1049.1987005955605</v>
      </c>
      <c r="K11" s="3">
        <f t="shared" si="3"/>
        <v>-131.48186247969693</v>
      </c>
      <c r="L11" s="7">
        <f t="shared" si="4"/>
        <v>-0.11136107986501696</v>
      </c>
      <c r="M11" t="s">
        <v>7</v>
      </c>
      <c r="N11" s="27"/>
      <c r="O11" s="3">
        <f>E11-'310785 - P0524'!F11</f>
        <v>0</v>
      </c>
      <c r="P11" s="30">
        <f>I11-'310785 - P0524'!J11</f>
        <v>0</v>
      </c>
    </row>
    <row r="12" spans="1:16" x14ac:dyDescent="0.25">
      <c r="A12">
        <v>10</v>
      </c>
      <c r="C12" t="s">
        <v>8</v>
      </c>
      <c r="D12" s="4" t="s">
        <v>17</v>
      </c>
      <c r="E12" s="5">
        <v>832</v>
      </c>
      <c r="F12" s="5">
        <v>735</v>
      </c>
      <c r="G12" s="6">
        <f t="shared" si="0"/>
        <v>-97</v>
      </c>
      <c r="H12" s="7">
        <f t="shared" si="1"/>
        <v>-0.11658653846153846</v>
      </c>
      <c r="I12" s="8">
        <v>992.45070422535241</v>
      </c>
      <c r="J12" s="9">
        <f t="shared" si="2"/>
        <v>876.74431202600249</v>
      </c>
      <c r="K12" s="3">
        <f t="shared" si="3"/>
        <v>-115.70639219934992</v>
      </c>
      <c r="L12" s="7">
        <f t="shared" si="4"/>
        <v>-0.11658653846153841</v>
      </c>
      <c r="M12" t="s">
        <v>7</v>
      </c>
      <c r="N12" s="27"/>
      <c r="O12" s="3">
        <f>E12-'310785 - P0524'!F12</f>
        <v>0</v>
      </c>
      <c r="P12" s="30">
        <f>I12-'310785 - P0524'!J12</f>
        <v>0</v>
      </c>
    </row>
    <row r="13" spans="1:16" x14ac:dyDescent="0.25">
      <c r="A13">
        <v>11</v>
      </c>
      <c r="D13" s="4" t="s">
        <v>18</v>
      </c>
      <c r="E13" s="8">
        <v>832</v>
      </c>
      <c r="F13" s="8">
        <f>F12</f>
        <v>735</v>
      </c>
      <c r="G13" s="6">
        <f t="shared" si="0"/>
        <v>-97</v>
      </c>
      <c r="H13" s="7">
        <f t="shared" si="1"/>
        <v>-0.11658653846153846</v>
      </c>
      <c r="I13" s="8">
        <v>992.45070422535241</v>
      </c>
      <c r="J13" s="9">
        <f t="shared" si="2"/>
        <v>876.74431202600249</v>
      </c>
      <c r="K13" s="3">
        <f t="shared" si="3"/>
        <v>-115.70639219934992</v>
      </c>
      <c r="L13" s="7">
        <f t="shared" si="4"/>
        <v>-0.11658653846153841</v>
      </c>
      <c r="M13" t="s">
        <v>7</v>
      </c>
      <c r="N13" s="27"/>
      <c r="O13" s="3">
        <f>E13-'310785 - P0524'!F13</f>
        <v>0</v>
      </c>
      <c r="P13" s="30">
        <f>I13-'310785 - P0524'!J13</f>
        <v>0</v>
      </c>
    </row>
    <row r="14" spans="1:16" x14ac:dyDescent="0.25">
      <c r="A14">
        <v>12</v>
      </c>
      <c r="D14" s="4" t="s">
        <v>19</v>
      </c>
      <c r="E14" s="5">
        <v>811</v>
      </c>
      <c r="F14" s="5">
        <v>720</v>
      </c>
      <c r="G14" s="6">
        <f t="shared" si="0"/>
        <v>-91</v>
      </c>
      <c r="H14" s="7">
        <f t="shared" si="1"/>
        <v>-0.11220715166461159</v>
      </c>
      <c r="I14" s="8">
        <v>1042.4808596373405</v>
      </c>
      <c r="J14" s="9">
        <f t="shared" si="2"/>
        <v>925.50705171255868</v>
      </c>
      <c r="K14" s="3">
        <f t="shared" si="3"/>
        <v>-116.9738079247818</v>
      </c>
      <c r="L14" s="7">
        <f t="shared" si="4"/>
        <v>-0.11220715166461165</v>
      </c>
      <c r="M14" t="s">
        <v>7</v>
      </c>
      <c r="N14" s="27"/>
      <c r="O14" s="3">
        <f>E14-'310785 - P0524'!F14</f>
        <v>0</v>
      </c>
      <c r="P14" s="30">
        <f>I14-'310785 - P0524'!J14</f>
        <v>0</v>
      </c>
    </row>
    <row r="15" spans="1:16" x14ac:dyDescent="0.25">
      <c r="A15">
        <v>13</v>
      </c>
      <c r="D15" s="4" t="s">
        <v>20</v>
      </c>
      <c r="E15" s="8">
        <v>811</v>
      </c>
      <c r="F15" s="8">
        <f>F14</f>
        <v>720</v>
      </c>
      <c r="G15" s="6">
        <f t="shared" si="0"/>
        <v>-91</v>
      </c>
      <c r="H15" s="7">
        <f t="shared" si="1"/>
        <v>-0.11220715166461159</v>
      </c>
      <c r="I15" s="8">
        <v>1042.4808596373405</v>
      </c>
      <c r="J15" s="9">
        <f t="shared" si="2"/>
        <v>925.50705171255868</v>
      </c>
      <c r="K15" s="3">
        <f t="shared" si="3"/>
        <v>-116.9738079247818</v>
      </c>
      <c r="L15" s="7">
        <f t="shared" si="4"/>
        <v>-0.11220715166461165</v>
      </c>
      <c r="M15" t="s">
        <v>7</v>
      </c>
      <c r="N15" s="27"/>
      <c r="O15" s="3">
        <f>E15-'310785 - P0524'!F15</f>
        <v>0</v>
      </c>
      <c r="P15" s="30">
        <f>I15-'310785 - P0524'!J15</f>
        <v>0</v>
      </c>
    </row>
    <row r="16" spans="1:16" x14ac:dyDescent="0.25">
      <c r="A16">
        <v>14</v>
      </c>
      <c r="C16" t="s">
        <v>8</v>
      </c>
      <c r="D16" s="4" t="s">
        <v>21</v>
      </c>
      <c r="E16" s="5">
        <v>796</v>
      </c>
      <c r="F16" s="5">
        <v>740</v>
      </c>
      <c r="G16" s="6">
        <f t="shared" si="0"/>
        <v>-56</v>
      </c>
      <c r="H16" s="7">
        <f t="shared" si="1"/>
        <v>-7.0351758793969849E-2</v>
      </c>
      <c r="I16" s="8">
        <v>1121.247311827957</v>
      </c>
      <c r="J16" s="9">
        <f t="shared" si="2"/>
        <v>1042.3655913978496</v>
      </c>
      <c r="K16" s="3">
        <f t="shared" si="3"/>
        <v>-78.881720430107407</v>
      </c>
      <c r="L16" s="7">
        <f t="shared" si="4"/>
        <v>-7.0351758793969738E-2</v>
      </c>
      <c r="M16" t="s">
        <v>7</v>
      </c>
      <c r="N16" s="27"/>
      <c r="O16" s="3">
        <f>E16-'310785 - P0524'!F16</f>
        <v>0</v>
      </c>
      <c r="P16" s="30">
        <f>I16-'310785 - P0524'!J16</f>
        <v>0</v>
      </c>
    </row>
    <row r="17" spans="1:16" x14ac:dyDescent="0.25">
      <c r="A17">
        <v>15</v>
      </c>
      <c r="D17" s="4" t="s">
        <v>22</v>
      </c>
      <c r="E17" s="8">
        <v>796</v>
      </c>
      <c r="F17" s="8">
        <f>F16</f>
        <v>740</v>
      </c>
      <c r="G17" s="6">
        <f t="shared" si="0"/>
        <v>-56</v>
      </c>
      <c r="H17" s="7">
        <f t="shared" si="1"/>
        <v>-7.0351758793969849E-2</v>
      </c>
      <c r="I17" s="8">
        <v>1121.247311827957</v>
      </c>
      <c r="J17" s="9">
        <f t="shared" si="2"/>
        <v>1042.3655913978496</v>
      </c>
      <c r="K17" s="3">
        <f t="shared" si="3"/>
        <v>-78.881720430107407</v>
      </c>
      <c r="L17" s="7">
        <f t="shared" si="4"/>
        <v>-7.0351758793969738E-2</v>
      </c>
      <c r="M17" t="s">
        <v>7</v>
      </c>
      <c r="N17" s="27"/>
      <c r="O17" s="3">
        <f>E17-'310785 - P0524'!F17</f>
        <v>0</v>
      </c>
      <c r="P17" s="30">
        <f>I17-'310785 - P0524'!J17</f>
        <v>0</v>
      </c>
    </row>
    <row r="18" spans="1:16" x14ac:dyDescent="0.25">
      <c r="A18">
        <v>16</v>
      </c>
      <c r="C18" t="s">
        <v>8</v>
      </c>
      <c r="D18" s="4" t="s">
        <v>23</v>
      </c>
      <c r="E18" s="5">
        <v>1129</v>
      </c>
      <c r="F18" s="5">
        <v>855</v>
      </c>
      <c r="G18" s="6">
        <f t="shared" si="0"/>
        <v>-274</v>
      </c>
      <c r="H18" s="7">
        <f t="shared" si="1"/>
        <v>-0.24269264836138174</v>
      </c>
      <c r="I18" s="8">
        <v>1569.0479957805901</v>
      </c>
      <c r="J18" s="9">
        <f t="shared" si="2"/>
        <v>1188.2515822784806</v>
      </c>
      <c r="K18" s="3">
        <f t="shared" si="3"/>
        <v>-380.79641350210954</v>
      </c>
      <c r="L18" s="7">
        <f t="shared" si="4"/>
        <v>-0.24269264836138174</v>
      </c>
      <c r="M18" t="s">
        <v>7</v>
      </c>
      <c r="N18" s="27"/>
      <c r="O18" s="3">
        <f>E18-'310785 - P0524'!F18</f>
        <v>0</v>
      </c>
      <c r="P18" s="30">
        <f>I18-'310785 - P0524'!J18</f>
        <v>0</v>
      </c>
    </row>
    <row r="19" spans="1:16" x14ac:dyDescent="0.25">
      <c r="A19">
        <v>17</v>
      </c>
      <c r="D19" s="4" t="s">
        <v>24</v>
      </c>
      <c r="E19" s="8">
        <v>1129</v>
      </c>
      <c r="F19" s="8">
        <f>F18</f>
        <v>855</v>
      </c>
      <c r="G19" s="6">
        <f t="shared" si="0"/>
        <v>-274</v>
      </c>
      <c r="H19" s="7">
        <f t="shared" si="1"/>
        <v>-0.24269264836138174</v>
      </c>
      <c r="I19" s="8">
        <v>1569.0479957805901</v>
      </c>
      <c r="J19" s="9">
        <f t="shared" si="2"/>
        <v>1188.2515822784806</v>
      </c>
      <c r="K19" s="3">
        <f t="shared" si="3"/>
        <v>-380.79641350210954</v>
      </c>
      <c r="L19" s="7">
        <f t="shared" si="4"/>
        <v>-0.24269264836138174</v>
      </c>
      <c r="M19" t="s">
        <v>7</v>
      </c>
      <c r="N19" s="27"/>
      <c r="O19" s="3">
        <f>E19-'310785 - P0524'!F19</f>
        <v>0</v>
      </c>
      <c r="P19" s="30">
        <f>I19-'310785 - P0524'!J19</f>
        <v>0</v>
      </c>
    </row>
    <row r="20" spans="1:16" x14ac:dyDescent="0.25">
      <c r="A20">
        <v>18</v>
      </c>
      <c r="C20" t="s">
        <v>8</v>
      </c>
      <c r="D20" s="4" t="s">
        <v>25</v>
      </c>
      <c r="E20" s="5">
        <v>52.08</v>
      </c>
      <c r="F20" s="5">
        <v>42</v>
      </c>
      <c r="G20" s="6">
        <f t="shared" si="0"/>
        <v>-10.079999999999998</v>
      </c>
      <c r="H20" s="7">
        <f t="shared" si="1"/>
        <v>-0.19354838709677416</v>
      </c>
      <c r="I20" s="8">
        <v>2615.6101989389927</v>
      </c>
      <c r="J20" s="9">
        <f t="shared" si="2"/>
        <v>2109.363063660478</v>
      </c>
      <c r="K20" s="3">
        <f t="shared" si="3"/>
        <v>-506.24713527851463</v>
      </c>
      <c r="L20" s="7">
        <f t="shared" si="4"/>
        <v>-0.19354838709677416</v>
      </c>
      <c r="M20" t="s">
        <v>7</v>
      </c>
      <c r="N20" s="27"/>
      <c r="O20" s="3">
        <f>E20-'310785 - P0524'!F20</f>
        <v>0</v>
      </c>
      <c r="P20" s="30">
        <f>I20-'310785 - P0524'!J20</f>
        <v>0</v>
      </c>
    </row>
    <row r="21" spans="1:16" x14ac:dyDescent="0.25">
      <c r="A21">
        <v>19</v>
      </c>
      <c r="C21" t="s">
        <v>8</v>
      </c>
      <c r="D21" s="4" t="s">
        <v>26</v>
      </c>
      <c r="E21" s="5">
        <v>15.6</v>
      </c>
      <c r="F21" s="5">
        <v>16.07</v>
      </c>
      <c r="G21" s="6">
        <f t="shared" si="0"/>
        <v>0.47000000000000064</v>
      </c>
      <c r="H21" s="7">
        <f t="shared" si="1"/>
        <v>3.012820512820517E-2</v>
      </c>
      <c r="I21" s="8">
        <v>35.421479529587309</v>
      </c>
      <c r="J21" s="9">
        <f t="shared" si="2"/>
        <v>36.488665130799234</v>
      </c>
      <c r="K21" s="3">
        <f t="shared" si="3"/>
        <v>1.067185601211925</v>
      </c>
      <c r="L21" s="7">
        <f t="shared" si="4"/>
        <v>3.0128205128205118E-2</v>
      </c>
      <c r="M21" t="s">
        <v>7</v>
      </c>
      <c r="O21" s="3">
        <f>E21-'310785 - P0524'!F21</f>
        <v>0</v>
      </c>
      <c r="P21" s="30">
        <f>I21-'310785 - P0524'!J21</f>
        <v>0</v>
      </c>
    </row>
    <row r="22" spans="1:16" x14ac:dyDescent="0.25">
      <c r="A22">
        <v>20</v>
      </c>
      <c r="C22" t="s">
        <v>8</v>
      </c>
      <c r="D22" s="4" t="s">
        <v>27</v>
      </c>
      <c r="E22" s="5">
        <v>1430</v>
      </c>
      <c r="F22" s="5">
        <v>1430</v>
      </c>
      <c r="G22" s="6">
        <f t="shared" si="0"/>
        <v>0</v>
      </c>
      <c r="H22" s="7">
        <f t="shared" si="1"/>
        <v>0</v>
      </c>
      <c r="I22" s="8">
        <v>2041.9221967963392</v>
      </c>
      <c r="J22" s="9">
        <f t="shared" si="2"/>
        <v>2041.9221967963392</v>
      </c>
      <c r="K22" s="3">
        <f t="shared" si="3"/>
        <v>0</v>
      </c>
      <c r="L22" s="7">
        <f t="shared" si="4"/>
        <v>0</v>
      </c>
      <c r="M22" t="s">
        <v>7</v>
      </c>
      <c r="N22" s="27"/>
      <c r="O22" s="3">
        <f>E22-'310785 - P0524'!F22</f>
        <v>0</v>
      </c>
      <c r="P22" s="30">
        <f>I22-'310785 - P0524'!J22</f>
        <v>0</v>
      </c>
    </row>
    <row r="23" spans="1:16" x14ac:dyDescent="0.25">
      <c r="A23">
        <v>21</v>
      </c>
      <c r="D23" s="4" t="s">
        <v>28</v>
      </c>
      <c r="E23" s="8">
        <v>1430</v>
      </c>
      <c r="F23" s="8">
        <f>F22</f>
        <v>1430</v>
      </c>
      <c r="G23" s="6">
        <f t="shared" si="0"/>
        <v>0</v>
      </c>
      <c r="H23" s="7">
        <f t="shared" si="1"/>
        <v>0</v>
      </c>
      <c r="I23" s="8">
        <v>2041.9221967963392</v>
      </c>
      <c r="J23" s="9">
        <f t="shared" si="2"/>
        <v>2041.9221967963392</v>
      </c>
      <c r="K23" s="3">
        <f t="shared" si="3"/>
        <v>0</v>
      </c>
      <c r="L23" s="7">
        <f t="shared" si="4"/>
        <v>0</v>
      </c>
      <c r="M23" t="s">
        <v>7</v>
      </c>
      <c r="N23" s="27"/>
      <c r="O23" s="3">
        <f>E23-'310785 - P0524'!F23</f>
        <v>0</v>
      </c>
      <c r="P23" s="30">
        <f>I23-'310785 - P0524'!J23</f>
        <v>0</v>
      </c>
    </row>
    <row r="24" spans="1:16" x14ac:dyDescent="0.25">
      <c r="A24">
        <v>22</v>
      </c>
      <c r="D24" s="2" t="s">
        <v>29</v>
      </c>
      <c r="H24" s="10">
        <f>AVERAGE(H4:H23)</f>
        <v>-7.7740218597782851E-2</v>
      </c>
      <c r="L24" s="10">
        <f>AVERAGE(L4:L23)</f>
        <v>-7.7740218597782865E-2</v>
      </c>
    </row>
    <row r="25" spans="1:16" x14ac:dyDescent="0.25">
      <c r="A25">
        <v>23</v>
      </c>
      <c r="D25" s="2" t="s">
        <v>30</v>
      </c>
      <c r="M25" t="s">
        <v>7</v>
      </c>
    </row>
    <row r="26" spans="1:16" x14ac:dyDescent="0.25">
      <c r="A26">
        <v>24</v>
      </c>
      <c r="D26" s="4" t="s">
        <v>31</v>
      </c>
      <c r="E26" s="5">
        <v>561</v>
      </c>
      <c r="F26" s="5">
        <v>501</v>
      </c>
      <c r="G26" s="6">
        <f t="shared" ref="G26:G31" si="5">+F26-E26</f>
        <v>-60</v>
      </c>
      <c r="H26" s="7">
        <f t="shared" ref="H26:H31" si="6">(F26-E26)/ABS(E26)</f>
        <v>-0.10695187165775401</v>
      </c>
      <c r="I26" s="8">
        <v>832.33668648071944</v>
      </c>
      <c r="J26" s="9">
        <f t="shared" ref="J26:J31" si="7">(I26*H26)+I26</f>
        <v>743.31672001219329</v>
      </c>
      <c r="K26" s="3">
        <f t="shared" ref="K26:K31" si="8">J26-I26</f>
        <v>-89.01996646852615</v>
      </c>
      <c r="L26" s="7">
        <f t="shared" ref="L26:L31" si="9">(J26-I26)/ABS(I26)</f>
        <v>-0.10695187165775402</v>
      </c>
      <c r="M26" t="s">
        <v>7</v>
      </c>
      <c r="O26" s="3">
        <f>E26-'310785 - P0524'!F26</f>
        <v>0</v>
      </c>
      <c r="P26" s="30">
        <f>I26-'310785 - P0524'!J26</f>
        <v>0</v>
      </c>
    </row>
    <row r="27" spans="1:16" x14ac:dyDescent="0.25">
      <c r="A27">
        <v>25</v>
      </c>
      <c r="D27" s="4" t="s">
        <v>32</v>
      </c>
      <c r="E27" s="5">
        <v>616</v>
      </c>
      <c r="F27" s="5">
        <v>531</v>
      </c>
      <c r="G27" s="6">
        <f t="shared" si="5"/>
        <v>-85</v>
      </c>
      <c r="H27" s="7">
        <f t="shared" si="6"/>
        <v>-0.13798701298701299</v>
      </c>
      <c r="I27" s="8">
        <v>812.63514033064212</v>
      </c>
      <c r="J27" s="9">
        <f t="shared" si="7"/>
        <v>700.50204466813466</v>
      </c>
      <c r="K27" s="3">
        <f t="shared" si="8"/>
        <v>-112.13309566250746</v>
      </c>
      <c r="L27" s="7">
        <f t="shared" si="9"/>
        <v>-0.13798701298701302</v>
      </c>
      <c r="M27" t="s">
        <v>7</v>
      </c>
      <c r="O27" s="3">
        <f>E27-'310785 - P0524'!F27</f>
        <v>0</v>
      </c>
      <c r="P27" s="30">
        <f>I27-'310785 - P0524'!J27</f>
        <v>0</v>
      </c>
    </row>
    <row r="28" spans="1:16" x14ac:dyDescent="0.25">
      <c r="A28">
        <v>26</v>
      </c>
      <c r="D28" s="4" t="s">
        <v>33</v>
      </c>
      <c r="E28" s="5">
        <v>616</v>
      </c>
      <c r="F28" s="5">
        <v>531</v>
      </c>
      <c r="G28" s="6">
        <f t="shared" si="5"/>
        <v>-85</v>
      </c>
      <c r="H28" s="7">
        <f t="shared" si="6"/>
        <v>-0.13798701298701299</v>
      </c>
      <c r="I28" s="8">
        <v>763.20184544405993</v>
      </c>
      <c r="J28" s="9">
        <f t="shared" si="7"/>
        <v>657.8899024850582</v>
      </c>
      <c r="K28" s="3">
        <f t="shared" si="8"/>
        <v>-105.31194295900173</v>
      </c>
      <c r="L28" s="7">
        <f t="shared" si="9"/>
        <v>-0.13798701298701294</v>
      </c>
      <c r="M28" t="s">
        <v>7</v>
      </c>
      <c r="O28" s="3">
        <f>E28-'310785 - P0524'!F28</f>
        <v>0</v>
      </c>
      <c r="P28" s="30">
        <f>I28-'310785 - P0524'!J28</f>
        <v>0</v>
      </c>
    </row>
    <row r="29" spans="1:16" x14ac:dyDescent="0.25">
      <c r="A29">
        <v>27</v>
      </c>
      <c r="D29" s="4" t="s">
        <v>34</v>
      </c>
      <c r="E29" s="5">
        <v>491</v>
      </c>
      <c r="F29" s="5">
        <v>456</v>
      </c>
      <c r="G29" s="6">
        <f t="shared" si="5"/>
        <v>-35</v>
      </c>
      <c r="H29" s="7">
        <f t="shared" si="6"/>
        <v>-7.128309572301425E-2</v>
      </c>
      <c r="I29" s="8">
        <v>631.17641966759004</v>
      </c>
      <c r="J29" s="9">
        <f t="shared" si="7"/>
        <v>586.18421052631584</v>
      </c>
      <c r="K29" s="3">
        <f t="shared" si="8"/>
        <v>-44.992209141274202</v>
      </c>
      <c r="L29" s="7">
        <f t="shared" si="9"/>
        <v>-7.1283095723014195E-2</v>
      </c>
      <c r="M29" t="s">
        <v>7</v>
      </c>
      <c r="O29" s="3">
        <f>E29-'310785 - P0524'!F29</f>
        <v>0</v>
      </c>
      <c r="P29" s="30">
        <f>I29-'310785 - P0524'!J29</f>
        <v>0</v>
      </c>
    </row>
    <row r="30" spans="1:16" x14ac:dyDescent="0.25">
      <c r="A30">
        <v>28</v>
      </c>
      <c r="D30" s="4" t="s">
        <v>35</v>
      </c>
      <c r="E30" s="5">
        <v>621</v>
      </c>
      <c r="F30" s="5">
        <v>566</v>
      </c>
      <c r="G30" s="6">
        <f t="shared" si="5"/>
        <v>-55</v>
      </c>
      <c r="H30" s="7">
        <f t="shared" si="6"/>
        <v>-8.8566827697262485E-2</v>
      </c>
      <c r="I30" s="8">
        <v>785.88224974715627</v>
      </c>
      <c r="J30" s="9">
        <f t="shared" si="7"/>
        <v>716.27915194346292</v>
      </c>
      <c r="K30" s="3">
        <f t="shared" si="8"/>
        <v>-69.603097803693345</v>
      </c>
      <c r="L30" s="7">
        <f t="shared" si="9"/>
        <v>-8.8566827697262429E-2</v>
      </c>
      <c r="M30" t="s">
        <v>7</v>
      </c>
      <c r="O30" s="3">
        <f>E30-'310785 - P0524'!F30</f>
        <v>0</v>
      </c>
      <c r="P30" s="30">
        <f>I30-'310785 - P0524'!J30</f>
        <v>0</v>
      </c>
    </row>
    <row r="31" spans="1:16" x14ac:dyDescent="0.25">
      <c r="A31">
        <v>29</v>
      </c>
      <c r="D31" s="4" t="s">
        <v>36</v>
      </c>
      <c r="E31" s="5">
        <v>621</v>
      </c>
      <c r="F31" s="5">
        <v>566</v>
      </c>
      <c r="G31" s="6">
        <f t="shared" si="5"/>
        <v>-55</v>
      </c>
      <c r="H31" s="7">
        <f t="shared" si="6"/>
        <v>-8.8566827697262485E-2</v>
      </c>
      <c r="I31" s="8">
        <v>742.4179100750415</v>
      </c>
      <c r="J31" s="9">
        <f t="shared" si="7"/>
        <v>676.66431095406358</v>
      </c>
      <c r="K31" s="3">
        <f t="shared" si="8"/>
        <v>-65.753599120977924</v>
      </c>
      <c r="L31" s="7">
        <f t="shared" si="9"/>
        <v>-8.8566827697262498E-2</v>
      </c>
      <c r="M31" t="s">
        <v>7</v>
      </c>
      <c r="O31" s="3">
        <f>E31-'310785 - P0524'!F31</f>
        <v>0</v>
      </c>
      <c r="P31" s="30">
        <f>I31-'310785 - P0524'!J31</f>
        <v>0</v>
      </c>
    </row>
    <row r="32" spans="1:16" x14ac:dyDescent="0.25">
      <c r="A32">
        <v>30</v>
      </c>
      <c r="D32" s="2" t="s">
        <v>37</v>
      </c>
      <c r="H32" s="10">
        <f>AVERAGE(H26:H31)</f>
        <v>-0.1052237747915532</v>
      </c>
      <c r="L32" s="10">
        <f>AVERAGE(L26:L31)</f>
        <v>-0.10522377479155319</v>
      </c>
    </row>
    <row r="33" spans="1:16" x14ac:dyDescent="0.25">
      <c r="A33">
        <v>31</v>
      </c>
      <c r="D33" s="2" t="s">
        <v>38</v>
      </c>
      <c r="M33" t="s">
        <v>7</v>
      </c>
    </row>
    <row r="34" spans="1:16" x14ac:dyDescent="0.25">
      <c r="A34">
        <v>32</v>
      </c>
      <c r="D34" s="4" t="s">
        <v>39</v>
      </c>
      <c r="E34" s="5">
        <v>675</v>
      </c>
      <c r="F34" s="5">
        <v>590</v>
      </c>
      <c r="G34" s="6">
        <f t="shared" ref="G34:G62" si="10">+F34-E34</f>
        <v>-85</v>
      </c>
      <c r="H34" s="7">
        <f t="shared" ref="H34:H62" si="11">(F34-E34)/ABS(E34)</f>
        <v>-0.12592592592592591</v>
      </c>
      <c r="I34" s="8">
        <v>767.52155172413768</v>
      </c>
      <c r="J34" s="9">
        <f t="shared" ref="J34:J62" si="12">(I34*H34)+I34</f>
        <v>670.87068965517221</v>
      </c>
      <c r="K34" s="3">
        <f t="shared" ref="K34:K62" si="13">J34-I34</f>
        <v>-96.650862068965466</v>
      </c>
      <c r="L34" s="7">
        <f t="shared" ref="L34:L62" si="14">(J34-I34)/ABS(I34)</f>
        <v>-0.12592592592592591</v>
      </c>
      <c r="M34" t="s">
        <v>7</v>
      </c>
      <c r="O34" s="3">
        <f>E34-'310785 - P0524'!F34</f>
        <v>0</v>
      </c>
      <c r="P34" s="30">
        <f>I34-'310785 - P0524'!J34</f>
        <v>0</v>
      </c>
    </row>
    <row r="35" spans="1:16" x14ac:dyDescent="0.25">
      <c r="A35">
        <v>33</v>
      </c>
      <c r="D35" s="4" t="s">
        <v>40</v>
      </c>
      <c r="E35" s="8">
        <v>675</v>
      </c>
      <c r="F35" s="8">
        <f>F34</f>
        <v>590</v>
      </c>
      <c r="G35" s="6">
        <f t="shared" si="10"/>
        <v>-85</v>
      </c>
      <c r="H35" s="7">
        <f t="shared" si="11"/>
        <v>-0.12592592592592591</v>
      </c>
      <c r="I35" s="8">
        <v>767.52155172413802</v>
      </c>
      <c r="J35" s="9">
        <f t="shared" si="12"/>
        <v>670.87068965517255</v>
      </c>
      <c r="K35" s="3">
        <f t="shared" si="13"/>
        <v>-96.650862068965466</v>
      </c>
      <c r="L35" s="7">
        <f t="shared" si="14"/>
        <v>-0.12592592592592586</v>
      </c>
      <c r="M35" t="s">
        <v>7</v>
      </c>
      <c r="O35" s="3">
        <f>E35-'310785 - P0524'!F35</f>
        <v>0</v>
      </c>
      <c r="P35" s="30">
        <f>I35-'310785 - P0524'!J35</f>
        <v>0</v>
      </c>
    </row>
    <row r="36" spans="1:16" x14ac:dyDescent="0.25">
      <c r="A36">
        <v>34</v>
      </c>
      <c r="D36" s="4" t="s">
        <v>41</v>
      </c>
      <c r="E36" s="8">
        <v>675</v>
      </c>
      <c r="F36" s="8">
        <f>F34</f>
        <v>590</v>
      </c>
      <c r="G36" s="6">
        <f t="shared" si="10"/>
        <v>-85</v>
      </c>
      <c r="H36" s="7">
        <f t="shared" si="11"/>
        <v>-0.12592592592592591</v>
      </c>
      <c r="I36" s="8">
        <v>767.52155172413802</v>
      </c>
      <c r="J36" s="9">
        <f t="shared" si="12"/>
        <v>670.87068965517255</v>
      </c>
      <c r="K36" s="3">
        <f t="shared" si="13"/>
        <v>-96.650862068965466</v>
      </c>
      <c r="L36" s="7">
        <f t="shared" si="14"/>
        <v>-0.12592592592592586</v>
      </c>
      <c r="M36" t="s">
        <v>7</v>
      </c>
      <c r="O36" s="3">
        <f>E36-'310785 - P0524'!F36</f>
        <v>0</v>
      </c>
      <c r="P36" s="30">
        <f>I36-'310785 - P0524'!J36</f>
        <v>0</v>
      </c>
    </row>
    <row r="37" spans="1:16" x14ac:dyDescent="0.25">
      <c r="A37">
        <v>35</v>
      </c>
      <c r="D37" s="4" t="s">
        <v>42</v>
      </c>
      <c r="E37" s="8">
        <v>675</v>
      </c>
      <c r="F37" s="8">
        <f>F34</f>
        <v>590</v>
      </c>
      <c r="G37" s="6">
        <f t="shared" si="10"/>
        <v>-85</v>
      </c>
      <c r="H37" s="7">
        <f t="shared" si="11"/>
        <v>-0.12592592592592591</v>
      </c>
      <c r="I37" s="8">
        <v>767.52155172413802</v>
      </c>
      <c r="J37" s="9">
        <f t="shared" si="12"/>
        <v>670.87068965517255</v>
      </c>
      <c r="K37" s="3">
        <f t="shared" si="13"/>
        <v>-96.650862068965466</v>
      </c>
      <c r="L37" s="7">
        <f t="shared" si="14"/>
        <v>-0.12592592592592586</v>
      </c>
      <c r="M37" t="s">
        <v>7</v>
      </c>
      <c r="O37" s="3">
        <f>E37-'310785 - P0524'!F37</f>
        <v>0</v>
      </c>
      <c r="P37" s="30">
        <f>I37-'310785 - P0524'!J37</f>
        <v>0</v>
      </c>
    </row>
    <row r="38" spans="1:16" x14ac:dyDescent="0.25">
      <c r="A38">
        <v>36</v>
      </c>
      <c r="D38" s="4" t="s">
        <v>43</v>
      </c>
      <c r="E38" s="8">
        <v>675</v>
      </c>
      <c r="F38" s="8">
        <f>F34</f>
        <v>590</v>
      </c>
      <c r="G38" s="6">
        <f t="shared" si="10"/>
        <v>-85</v>
      </c>
      <c r="H38" s="7">
        <f t="shared" si="11"/>
        <v>-0.12592592592592591</v>
      </c>
      <c r="I38" s="8">
        <v>767.52155172413802</v>
      </c>
      <c r="J38" s="9">
        <f t="shared" si="12"/>
        <v>670.87068965517255</v>
      </c>
      <c r="K38" s="3">
        <f t="shared" si="13"/>
        <v>-96.650862068965466</v>
      </c>
      <c r="L38" s="7">
        <f t="shared" si="14"/>
        <v>-0.12592592592592586</v>
      </c>
      <c r="M38" t="s">
        <v>7</v>
      </c>
      <c r="O38" s="3">
        <f>E38-'310785 - P0524'!F38</f>
        <v>0</v>
      </c>
      <c r="P38" s="30">
        <f>I38-'310785 - P0524'!J38</f>
        <v>0</v>
      </c>
    </row>
    <row r="39" spans="1:16" x14ac:dyDescent="0.25">
      <c r="A39">
        <v>37</v>
      </c>
      <c r="D39" s="4" t="s">
        <v>44</v>
      </c>
      <c r="E39" s="8">
        <v>675</v>
      </c>
      <c r="F39" s="8">
        <f>F34</f>
        <v>590</v>
      </c>
      <c r="G39" s="6">
        <f t="shared" si="10"/>
        <v>-85</v>
      </c>
      <c r="H39" s="7">
        <f t="shared" si="11"/>
        <v>-0.12592592592592591</v>
      </c>
      <c r="I39" s="8">
        <v>767.52155172413802</v>
      </c>
      <c r="J39" s="9">
        <f t="shared" si="12"/>
        <v>670.87068965517255</v>
      </c>
      <c r="K39" s="3">
        <f t="shared" si="13"/>
        <v>-96.650862068965466</v>
      </c>
      <c r="L39" s="7">
        <f t="shared" si="14"/>
        <v>-0.12592592592592586</v>
      </c>
      <c r="M39" t="s">
        <v>7</v>
      </c>
      <c r="O39" s="3">
        <f>E39-'310785 - P0524'!F39</f>
        <v>0</v>
      </c>
      <c r="P39" s="30">
        <f>I39-'310785 - P0524'!J39</f>
        <v>0</v>
      </c>
    </row>
    <row r="40" spans="1:16" x14ac:dyDescent="0.25">
      <c r="A40">
        <v>38</v>
      </c>
      <c r="D40" s="4" t="s">
        <v>45</v>
      </c>
      <c r="E40" s="8">
        <v>675</v>
      </c>
      <c r="F40" s="8">
        <f>F34</f>
        <v>590</v>
      </c>
      <c r="G40" s="6">
        <f t="shared" si="10"/>
        <v>-85</v>
      </c>
      <c r="H40" s="7">
        <f t="shared" si="11"/>
        <v>-0.12592592592592591</v>
      </c>
      <c r="I40" s="8">
        <v>767.52155172413802</v>
      </c>
      <c r="J40" s="9">
        <f t="shared" si="12"/>
        <v>670.87068965517255</v>
      </c>
      <c r="K40" s="3">
        <f t="shared" si="13"/>
        <v>-96.650862068965466</v>
      </c>
      <c r="L40" s="7">
        <f t="shared" si="14"/>
        <v>-0.12592592592592586</v>
      </c>
      <c r="M40" t="s">
        <v>7</v>
      </c>
      <c r="O40" s="3">
        <f>E40-'310785 - P0524'!F40</f>
        <v>0</v>
      </c>
      <c r="P40" s="30">
        <f>I40-'310785 - P0524'!J40</f>
        <v>0</v>
      </c>
    </row>
    <row r="41" spans="1:16" x14ac:dyDescent="0.25">
      <c r="A41">
        <v>39</v>
      </c>
      <c r="D41" s="4" t="s">
        <v>46</v>
      </c>
      <c r="E41" s="8">
        <v>675</v>
      </c>
      <c r="F41" s="8">
        <f>F35</f>
        <v>590</v>
      </c>
      <c r="G41" s="6">
        <f t="shared" si="10"/>
        <v>-85</v>
      </c>
      <c r="H41" s="7">
        <f t="shared" si="11"/>
        <v>-0.12592592592592591</v>
      </c>
      <c r="I41" s="8">
        <v>767.52155172413802</v>
      </c>
      <c r="J41" s="9">
        <f t="shared" si="12"/>
        <v>670.87068965517255</v>
      </c>
      <c r="K41" s="3">
        <f t="shared" si="13"/>
        <v>-96.650862068965466</v>
      </c>
      <c r="L41" s="7">
        <f t="shared" si="14"/>
        <v>-0.12592592592592586</v>
      </c>
      <c r="M41" t="s">
        <v>7</v>
      </c>
      <c r="O41" s="3">
        <f>E41-'310785 - P0524'!F41</f>
        <v>0</v>
      </c>
      <c r="P41" s="30">
        <f>I41-'310785 - P0524'!J41</f>
        <v>0</v>
      </c>
    </row>
    <row r="42" spans="1:16" x14ac:dyDescent="0.25">
      <c r="A42">
        <v>40</v>
      </c>
      <c r="D42" s="4" t="s">
        <v>47</v>
      </c>
      <c r="E42" s="5">
        <v>625</v>
      </c>
      <c r="F42" s="5">
        <v>560</v>
      </c>
      <c r="G42" s="6">
        <f t="shared" si="10"/>
        <v>-65</v>
      </c>
      <c r="H42" s="7">
        <f t="shared" si="11"/>
        <v>-0.104</v>
      </c>
      <c r="I42" s="8">
        <v>712.74038461538487</v>
      </c>
      <c r="J42" s="9">
        <f t="shared" si="12"/>
        <v>638.61538461538487</v>
      </c>
      <c r="K42" s="3">
        <f t="shared" si="13"/>
        <v>-74.125</v>
      </c>
      <c r="L42" s="7">
        <f t="shared" si="14"/>
        <v>-0.10399999999999997</v>
      </c>
      <c r="M42" t="s">
        <v>7</v>
      </c>
      <c r="O42" s="3">
        <f>E42-'310785 - P0524'!F42</f>
        <v>0</v>
      </c>
      <c r="P42" s="30">
        <f>I42-'310785 - P0524'!J42</f>
        <v>0</v>
      </c>
    </row>
    <row r="43" spans="1:16" x14ac:dyDescent="0.25">
      <c r="A43">
        <v>41</v>
      </c>
      <c r="D43" s="4" t="s">
        <v>48</v>
      </c>
      <c r="E43" s="8">
        <v>625</v>
      </c>
      <c r="F43" s="8">
        <f>F42</f>
        <v>560</v>
      </c>
      <c r="G43" s="6">
        <f t="shared" si="10"/>
        <v>-65</v>
      </c>
      <c r="H43" s="7">
        <f t="shared" si="11"/>
        <v>-0.104</v>
      </c>
      <c r="I43" s="8">
        <v>712.74038461538487</v>
      </c>
      <c r="J43" s="9">
        <f t="shared" si="12"/>
        <v>638.61538461538487</v>
      </c>
      <c r="K43" s="3">
        <f t="shared" si="13"/>
        <v>-74.125</v>
      </c>
      <c r="L43" s="7">
        <f t="shared" si="14"/>
        <v>-0.10399999999999997</v>
      </c>
      <c r="M43" t="s">
        <v>7</v>
      </c>
      <c r="O43" s="3">
        <f>E43-'310785 - P0524'!F43</f>
        <v>0</v>
      </c>
      <c r="P43" s="30">
        <f>I43-'310785 - P0524'!J43</f>
        <v>0</v>
      </c>
    </row>
    <row r="44" spans="1:16" x14ac:dyDescent="0.25">
      <c r="A44">
        <v>42</v>
      </c>
      <c r="D44" s="4" t="s">
        <v>49</v>
      </c>
      <c r="E44" s="8">
        <v>625</v>
      </c>
      <c r="F44" s="8">
        <f>F42</f>
        <v>560</v>
      </c>
      <c r="G44" s="6">
        <f t="shared" si="10"/>
        <v>-65</v>
      </c>
      <c r="H44" s="7">
        <f t="shared" si="11"/>
        <v>-0.104</v>
      </c>
      <c r="I44" s="8">
        <v>712.74038461538487</v>
      </c>
      <c r="J44" s="9">
        <f t="shared" si="12"/>
        <v>638.61538461538487</v>
      </c>
      <c r="K44" s="3">
        <f t="shared" si="13"/>
        <v>-74.125</v>
      </c>
      <c r="L44" s="7">
        <f t="shared" si="14"/>
        <v>-0.10399999999999997</v>
      </c>
      <c r="M44" t="s">
        <v>7</v>
      </c>
      <c r="O44" s="3">
        <f>E44-'310785 - P0524'!F44</f>
        <v>0</v>
      </c>
      <c r="P44" s="30">
        <f>I44-'310785 - P0524'!J44</f>
        <v>0</v>
      </c>
    </row>
    <row r="45" spans="1:16" x14ac:dyDescent="0.25">
      <c r="A45">
        <v>43</v>
      </c>
      <c r="D45" s="4" t="s">
        <v>50</v>
      </c>
      <c r="E45" s="8">
        <v>625</v>
      </c>
      <c r="F45" s="8">
        <f>F42</f>
        <v>560</v>
      </c>
      <c r="G45" s="6">
        <f t="shared" si="10"/>
        <v>-65</v>
      </c>
      <c r="H45" s="7">
        <f t="shared" si="11"/>
        <v>-0.104</v>
      </c>
      <c r="I45" s="8">
        <v>712.74038461538487</v>
      </c>
      <c r="J45" s="9">
        <f t="shared" si="12"/>
        <v>638.61538461538487</v>
      </c>
      <c r="K45" s="3">
        <f t="shared" si="13"/>
        <v>-74.125</v>
      </c>
      <c r="L45" s="7">
        <f t="shared" si="14"/>
        <v>-0.10399999999999997</v>
      </c>
      <c r="M45" t="s">
        <v>7</v>
      </c>
      <c r="O45" s="3">
        <f>E45-'310785 - P0524'!F45</f>
        <v>0</v>
      </c>
      <c r="P45" s="30">
        <f>I45-'310785 - P0524'!J45</f>
        <v>0</v>
      </c>
    </row>
    <row r="46" spans="1:16" x14ac:dyDescent="0.25">
      <c r="A46">
        <v>44</v>
      </c>
      <c r="D46" s="4" t="s">
        <v>51</v>
      </c>
      <c r="E46" s="8">
        <v>625</v>
      </c>
      <c r="F46" s="8">
        <f>F42</f>
        <v>560</v>
      </c>
      <c r="G46" s="6">
        <f t="shared" si="10"/>
        <v>-65</v>
      </c>
      <c r="H46" s="7">
        <f t="shared" si="11"/>
        <v>-0.104</v>
      </c>
      <c r="I46" s="8">
        <v>712.74038461538487</v>
      </c>
      <c r="J46" s="9">
        <f t="shared" si="12"/>
        <v>638.61538461538487</v>
      </c>
      <c r="K46" s="3">
        <f t="shared" si="13"/>
        <v>-74.125</v>
      </c>
      <c r="L46" s="7">
        <f t="shared" si="14"/>
        <v>-0.10399999999999997</v>
      </c>
      <c r="M46" t="s">
        <v>7</v>
      </c>
      <c r="O46" s="3">
        <f>E46-'310785 - P0524'!F46</f>
        <v>0</v>
      </c>
      <c r="P46" s="30">
        <f>I46-'310785 - P0524'!J46</f>
        <v>0</v>
      </c>
    </row>
    <row r="47" spans="1:16" x14ac:dyDescent="0.25">
      <c r="A47">
        <v>45</v>
      </c>
      <c r="D47" s="4" t="s">
        <v>52</v>
      </c>
      <c r="E47" s="8">
        <v>625</v>
      </c>
      <c r="F47" s="8">
        <f>F42</f>
        <v>560</v>
      </c>
      <c r="G47" s="6">
        <f t="shared" si="10"/>
        <v>-65</v>
      </c>
      <c r="H47" s="7">
        <f t="shared" si="11"/>
        <v>-0.104</v>
      </c>
      <c r="I47" s="8">
        <v>712.74038461538487</v>
      </c>
      <c r="J47" s="9">
        <f t="shared" si="12"/>
        <v>638.61538461538487</v>
      </c>
      <c r="K47" s="3">
        <f t="shared" si="13"/>
        <v>-74.125</v>
      </c>
      <c r="L47" s="7">
        <f t="shared" si="14"/>
        <v>-0.10399999999999997</v>
      </c>
      <c r="M47" t="s">
        <v>7</v>
      </c>
      <c r="O47" s="3">
        <f>E47-'310785 - P0524'!F47</f>
        <v>0</v>
      </c>
      <c r="P47" s="30">
        <f>I47-'310785 - P0524'!J47</f>
        <v>0</v>
      </c>
    </row>
    <row r="48" spans="1:16" x14ac:dyDescent="0.25">
      <c r="A48">
        <v>46</v>
      </c>
      <c r="D48" s="4" t="s">
        <v>53</v>
      </c>
      <c r="E48" s="8">
        <v>625</v>
      </c>
      <c r="F48" s="8">
        <f>F42</f>
        <v>560</v>
      </c>
      <c r="G48" s="6">
        <f t="shared" si="10"/>
        <v>-65</v>
      </c>
      <c r="H48" s="7">
        <f t="shared" si="11"/>
        <v>-0.104</v>
      </c>
      <c r="I48" s="8">
        <v>712.74038461538487</v>
      </c>
      <c r="J48" s="9">
        <f t="shared" si="12"/>
        <v>638.61538461538487</v>
      </c>
      <c r="K48" s="3">
        <f t="shared" si="13"/>
        <v>-74.125</v>
      </c>
      <c r="L48" s="7">
        <f t="shared" si="14"/>
        <v>-0.10399999999999997</v>
      </c>
      <c r="M48" t="s">
        <v>7</v>
      </c>
      <c r="O48" s="3">
        <f>E48-'310785 - P0524'!F48</f>
        <v>0</v>
      </c>
      <c r="P48" s="30">
        <f>I48-'310785 - P0524'!J48</f>
        <v>0</v>
      </c>
    </row>
    <row r="49" spans="1:16" x14ac:dyDescent="0.25">
      <c r="A49">
        <v>47</v>
      </c>
      <c r="D49" s="4" t="s">
        <v>54</v>
      </c>
      <c r="E49" s="8">
        <v>625</v>
      </c>
      <c r="F49" s="8">
        <f>F43</f>
        <v>560</v>
      </c>
      <c r="G49" s="6">
        <f t="shared" si="10"/>
        <v>-65</v>
      </c>
      <c r="H49" s="7">
        <f t="shared" si="11"/>
        <v>-0.104</v>
      </c>
      <c r="I49" s="8">
        <v>712.74038461538487</v>
      </c>
      <c r="J49" s="9">
        <f t="shared" si="12"/>
        <v>638.61538461538487</v>
      </c>
      <c r="K49" s="3">
        <f t="shared" si="13"/>
        <v>-74.125</v>
      </c>
      <c r="L49" s="7">
        <f t="shared" si="14"/>
        <v>-0.10399999999999997</v>
      </c>
      <c r="M49" t="s">
        <v>7</v>
      </c>
      <c r="O49" s="3">
        <f>E49-'310785 - P0524'!F49</f>
        <v>0</v>
      </c>
      <c r="P49" s="30">
        <f>I49-'310785 - P0524'!J49</f>
        <v>0</v>
      </c>
    </row>
    <row r="50" spans="1:16" x14ac:dyDescent="0.25">
      <c r="A50">
        <v>48</v>
      </c>
      <c r="D50" s="4" t="s">
        <v>55</v>
      </c>
      <c r="E50" s="5">
        <v>540</v>
      </c>
      <c r="F50" s="5">
        <v>495</v>
      </c>
      <c r="G50" s="6">
        <f t="shared" si="10"/>
        <v>-45</v>
      </c>
      <c r="H50" s="7">
        <f t="shared" si="11"/>
        <v>-8.3333333333333329E-2</v>
      </c>
      <c r="I50" s="8">
        <v>668.47706422018348</v>
      </c>
      <c r="J50" s="9">
        <f t="shared" si="12"/>
        <v>612.7706422018349</v>
      </c>
      <c r="K50" s="3">
        <f t="shared" si="13"/>
        <v>-55.706422018348576</v>
      </c>
      <c r="L50" s="7">
        <f t="shared" si="14"/>
        <v>-8.3333333333333259E-2</v>
      </c>
      <c r="M50" t="s">
        <v>7</v>
      </c>
      <c r="O50" s="3">
        <f>E50-'310785 - P0524'!F50</f>
        <v>0</v>
      </c>
      <c r="P50" s="30">
        <f>I50-'310785 - P0524'!J50</f>
        <v>0</v>
      </c>
    </row>
    <row r="51" spans="1:16" x14ac:dyDescent="0.25">
      <c r="A51">
        <v>49</v>
      </c>
      <c r="D51" s="4" t="s">
        <v>56</v>
      </c>
      <c r="E51" s="8">
        <v>540</v>
      </c>
      <c r="F51" s="8">
        <f>F50</f>
        <v>495</v>
      </c>
      <c r="G51" s="6">
        <f t="shared" si="10"/>
        <v>-45</v>
      </c>
      <c r="H51" s="7">
        <f t="shared" si="11"/>
        <v>-8.3333333333333329E-2</v>
      </c>
      <c r="I51" s="8">
        <v>668.47706422018348</v>
      </c>
      <c r="J51" s="9">
        <f t="shared" si="12"/>
        <v>612.7706422018349</v>
      </c>
      <c r="K51" s="3">
        <f t="shared" si="13"/>
        <v>-55.706422018348576</v>
      </c>
      <c r="L51" s="7">
        <f t="shared" si="14"/>
        <v>-8.3333333333333259E-2</v>
      </c>
      <c r="M51" t="s">
        <v>7</v>
      </c>
      <c r="O51" s="3">
        <f>E51-'310785 - P0524'!F51</f>
        <v>0</v>
      </c>
      <c r="P51" s="30">
        <f>I51-'310785 - P0524'!J51</f>
        <v>0</v>
      </c>
    </row>
    <row r="52" spans="1:16" x14ac:dyDescent="0.25">
      <c r="A52">
        <v>50</v>
      </c>
      <c r="D52" s="4" t="s">
        <v>57</v>
      </c>
      <c r="E52" s="8">
        <v>540</v>
      </c>
      <c r="F52" s="8">
        <f>F50</f>
        <v>495</v>
      </c>
      <c r="G52" s="6">
        <f t="shared" si="10"/>
        <v>-45</v>
      </c>
      <c r="H52" s="7">
        <f t="shared" si="11"/>
        <v>-8.3333333333333329E-2</v>
      </c>
      <c r="I52" s="8">
        <v>668.47706422018348</v>
      </c>
      <c r="J52" s="9">
        <f t="shared" si="12"/>
        <v>612.7706422018349</v>
      </c>
      <c r="K52" s="3">
        <f t="shared" si="13"/>
        <v>-55.706422018348576</v>
      </c>
      <c r="L52" s="7">
        <f t="shared" si="14"/>
        <v>-8.3333333333333259E-2</v>
      </c>
      <c r="M52" t="s">
        <v>7</v>
      </c>
      <c r="O52" s="3">
        <f>E52-'310785 - P0524'!F52</f>
        <v>0</v>
      </c>
      <c r="P52" s="30">
        <f>I52-'310785 - P0524'!J52</f>
        <v>0</v>
      </c>
    </row>
    <row r="53" spans="1:16" x14ac:dyDescent="0.25">
      <c r="A53">
        <v>51</v>
      </c>
      <c r="D53" s="4" t="s">
        <v>58</v>
      </c>
      <c r="E53" s="8">
        <v>540</v>
      </c>
      <c r="F53" s="8">
        <f>F50</f>
        <v>495</v>
      </c>
      <c r="G53" s="6">
        <f t="shared" si="10"/>
        <v>-45</v>
      </c>
      <c r="H53" s="7">
        <f t="shared" si="11"/>
        <v>-8.3333333333333329E-2</v>
      </c>
      <c r="I53" s="8">
        <v>668.47706422018348</v>
      </c>
      <c r="J53" s="9">
        <f t="shared" si="12"/>
        <v>612.7706422018349</v>
      </c>
      <c r="K53" s="3">
        <f t="shared" si="13"/>
        <v>-55.706422018348576</v>
      </c>
      <c r="L53" s="7">
        <f t="shared" si="14"/>
        <v>-8.3333333333333259E-2</v>
      </c>
      <c r="M53" t="s">
        <v>7</v>
      </c>
      <c r="O53" s="3">
        <f>E53-'310785 - P0524'!F53</f>
        <v>0</v>
      </c>
      <c r="P53" s="30">
        <f>I53-'310785 - P0524'!J53</f>
        <v>0</v>
      </c>
    </row>
    <row r="54" spans="1:16" x14ac:dyDescent="0.25">
      <c r="A54">
        <v>52</v>
      </c>
      <c r="D54" s="4" t="s">
        <v>59</v>
      </c>
      <c r="E54" s="5">
        <v>573</v>
      </c>
      <c r="F54" s="5">
        <v>528</v>
      </c>
      <c r="G54" s="6">
        <f t="shared" si="10"/>
        <v>-45</v>
      </c>
      <c r="H54" s="7">
        <f t="shared" si="11"/>
        <v>-7.8534031413612565E-2</v>
      </c>
      <c r="I54" s="8">
        <v>914.47178329571102</v>
      </c>
      <c r="J54" s="9">
        <f t="shared" si="12"/>
        <v>842.65462753950339</v>
      </c>
      <c r="K54" s="3">
        <f t="shared" si="13"/>
        <v>-71.817155756207626</v>
      </c>
      <c r="L54" s="7">
        <f t="shared" si="14"/>
        <v>-7.8534031413612509E-2</v>
      </c>
      <c r="M54" t="s">
        <v>7</v>
      </c>
      <c r="O54" s="3">
        <f>E54-'310785 - P0524'!F54</f>
        <v>0</v>
      </c>
      <c r="P54" s="30">
        <f>I54-'310785 - P0524'!J54</f>
        <v>0</v>
      </c>
    </row>
    <row r="55" spans="1:16" x14ac:dyDescent="0.25">
      <c r="A55">
        <v>53</v>
      </c>
      <c r="D55" s="4" t="s">
        <v>60</v>
      </c>
      <c r="E55" s="8">
        <v>573</v>
      </c>
      <c r="F55" s="8">
        <f>F54</f>
        <v>528</v>
      </c>
      <c r="G55" s="6">
        <f t="shared" si="10"/>
        <v>-45</v>
      </c>
      <c r="H55" s="7">
        <f t="shared" si="11"/>
        <v>-7.8534031413612565E-2</v>
      </c>
      <c r="I55" s="8">
        <v>914.47178329571102</v>
      </c>
      <c r="J55" s="9">
        <f t="shared" si="12"/>
        <v>842.65462753950339</v>
      </c>
      <c r="K55" s="3">
        <f t="shared" si="13"/>
        <v>-71.817155756207626</v>
      </c>
      <c r="L55" s="7">
        <f t="shared" si="14"/>
        <v>-7.8534031413612509E-2</v>
      </c>
      <c r="M55" t="s">
        <v>7</v>
      </c>
      <c r="O55" s="3">
        <f>E55-'310785 - P0524'!F55</f>
        <v>0</v>
      </c>
      <c r="P55" s="30">
        <f>I55-'310785 - P0524'!J55</f>
        <v>0</v>
      </c>
    </row>
    <row r="56" spans="1:16" x14ac:dyDescent="0.25">
      <c r="A56">
        <v>54</v>
      </c>
      <c r="D56" s="4" t="s">
        <v>61</v>
      </c>
      <c r="E56" s="8">
        <v>573</v>
      </c>
      <c r="F56" s="8">
        <f>F54</f>
        <v>528</v>
      </c>
      <c r="G56" s="6">
        <f t="shared" si="10"/>
        <v>-45</v>
      </c>
      <c r="H56" s="7">
        <f t="shared" si="11"/>
        <v>-7.8534031413612565E-2</v>
      </c>
      <c r="I56" s="8">
        <v>914.47178329571102</v>
      </c>
      <c r="J56" s="9">
        <f t="shared" si="12"/>
        <v>842.65462753950339</v>
      </c>
      <c r="K56" s="3">
        <f t="shared" si="13"/>
        <v>-71.817155756207626</v>
      </c>
      <c r="L56" s="7">
        <f t="shared" si="14"/>
        <v>-7.8534031413612509E-2</v>
      </c>
      <c r="M56" t="s">
        <v>7</v>
      </c>
      <c r="O56" s="3">
        <f>E56-'310785 - P0524'!F56</f>
        <v>0</v>
      </c>
      <c r="P56" s="30">
        <f>I56-'310785 - P0524'!J56</f>
        <v>0</v>
      </c>
    </row>
    <row r="57" spans="1:16" x14ac:dyDescent="0.25">
      <c r="A57">
        <v>55</v>
      </c>
      <c r="D57" s="4" t="s">
        <v>62</v>
      </c>
      <c r="E57" s="8">
        <v>573</v>
      </c>
      <c r="F57" s="8">
        <f>F54</f>
        <v>528</v>
      </c>
      <c r="G57" s="6">
        <f t="shared" si="10"/>
        <v>-45</v>
      </c>
      <c r="H57" s="7">
        <f t="shared" si="11"/>
        <v>-7.8534031413612565E-2</v>
      </c>
      <c r="I57" s="8">
        <v>914.47178329571102</v>
      </c>
      <c r="J57" s="9">
        <f t="shared" si="12"/>
        <v>842.65462753950339</v>
      </c>
      <c r="K57" s="3">
        <f t="shared" si="13"/>
        <v>-71.817155756207626</v>
      </c>
      <c r="L57" s="7">
        <f t="shared" si="14"/>
        <v>-7.8534031413612509E-2</v>
      </c>
      <c r="M57" t="s">
        <v>7</v>
      </c>
      <c r="O57" s="3">
        <f>E57-'310785 - P0524'!F57</f>
        <v>0</v>
      </c>
      <c r="P57" s="30">
        <f>I57-'310785 - P0524'!J57</f>
        <v>0</v>
      </c>
    </row>
    <row r="58" spans="1:16" x14ac:dyDescent="0.25">
      <c r="A58">
        <v>56</v>
      </c>
      <c r="D58" s="4" t="s">
        <v>63</v>
      </c>
      <c r="E58" s="8">
        <v>573</v>
      </c>
      <c r="F58" s="8">
        <f>F54</f>
        <v>528</v>
      </c>
      <c r="G58" s="6">
        <f t="shared" si="10"/>
        <v>-45</v>
      </c>
      <c r="H58" s="7">
        <f t="shared" si="11"/>
        <v>-7.8534031413612565E-2</v>
      </c>
      <c r="I58" s="8">
        <v>914.47178329571102</v>
      </c>
      <c r="J58" s="9">
        <f t="shared" si="12"/>
        <v>842.65462753950339</v>
      </c>
      <c r="K58" s="3">
        <f t="shared" si="13"/>
        <v>-71.817155756207626</v>
      </c>
      <c r="L58" s="7">
        <f t="shared" si="14"/>
        <v>-7.8534031413612509E-2</v>
      </c>
      <c r="M58" t="s">
        <v>7</v>
      </c>
      <c r="O58" s="3">
        <f>E58-'310785 - P0524'!F58</f>
        <v>0</v>
      </c>
      <c r="P58" s="30">
        <f>I58-'310785 - P0524'!J58</f>
        <v>0</v>
      </c>
    </row>
    <row r="59" spans="1:16" x14ac:dyDescent="0.25">
      <c r="A59">
        <v>57</v>
      </c>
      <c r="D59" s="4" t="s">
        <v>64</v>
      </c>
      <c r="E59" s="5">
        <v>578</v>
      </c>
      <c r="F59" s="5">
        <v>523</v>
      </c>
      <c r="G59" s="6">
        <f t="shared" si="10"/>
        <v>-55</v>
      </c>
      <c r="H59" s="7">
        <f t="shared" si="11"/>
        <v>-9.5155709342560554E-2</v>
      </c>
      <c r="I59" s="8">
        <v>830.47211895910777</v>
      </c>
      <c r="J59" s="9">
        <f t="shared" si="12"/>
        <v>751.44795539033453</v>
      </c>
      <c r="K59" s="3">
        <f t="shared" si="13"/>
        <v>-79.024163568773247</v>
      </c>
      <c r="L59" s="7">
        <f t="shared" si="14"/>
        <v>-9.5155709342560568E-2</v>
      </c>
      <c r="M59" t="s">
        <v>7</v>
      </c>
      <c r="O59" s="3">
        <f>E59-'310785 - P0524'!F59</f>
        <v>0</v>
      </c>
      <c r="P59" s="30">
        <f>I59-'310785 - P0524'!J59</f>
        <v>0</v>
      </c>
    </row>
    <row r="60" spans="1:16" x14ac:dyDescent="0.25">
      <c r="A60">
        <v>58</v>
      </c>
      <c r="D60" s="4" t="s">
        <v>65</v>
      </c>
      <c r="E60" s="8">
        <v>578</v>
      </c>
      <c r="F60" s="8">
        <f>F59</f>
        <v>523</v>
      </c>
      <c r="G60" s="6">
        <f t="shared" si="10"/>
        <v>-55</v>
      </c>
      <c r="H60" s="7">
        <f t="shared" si="11"/>
        <v>-9.5155709342560554E-2</v>
      </c>
      <c r="I60" s="8">
        <v>830.47211895910777</v>
      </c>
      <c r="J60" s="9">
        <f t="shared" si="12"/>
        <v>751.44795539033453</v>
      </c>
      <c r="K60" s="3">
        <f t="shared" si="13"/>
        <v>-79.024163568773247</v>
      </c>
      <c r="L60" s="7">
        <f t="shared" si="14"/>
        <v>-9.5155709342560568E-2</v>
      </c>
      <c r="M60" t="s">
        <v>7</v>
      </c>
      <c r="O60" s="3">
        <f>E60-'310785 - P0524'!F60</f>
        <v>0</v>
      </c>
      <c r="P60" s="30">
        <f>I60-'310785 - P0524'!J60</f>
        <v>0</v>
      </c>
    </row>
    <row r="61" spans="1:16" x14ac:dyDescent="0.25">
      <c r="A61">
        <v>59</v>
      </c>
      <c r="D61" s="4" t="s">
        <v>66</v>
      </c>
      <c r="E61" s="8">
        <v>578</v>
      </c>
      <c r="F61" s="8">
        <f>F59</f>
        <v>523</v>
      </c>
      <c r="G61" s="6">
        <f t="shared" si="10"/>
        <v>-55</v>
      </c>
      <c r="H61" s="7">
        <f t="shared" si="11"/>
        <v>-9.5155709342560554E-2</v>
      </c>
      <c r="I61" s="8">
        <v>830.47211895910777</v>
      </c>
      <c r="J61" s="9">
        <f t="shared" si="12"/>
        <v>751.44795539033453</v>
      </c>
      <c r="K61" s="3">
        <f t="shared" si="13"/>
        <v>-79.024163568773247</v>
      </c>
      <c r="L61" s="7">
        <f t="shared" si="14"/>
        <v>-9.5155709342560568E-2</v>
      </c>
      <c r="M61" t="s">
        <v>7</v>
      </c>
      <c r="O61" s="3">
        <f>E61-'310785 - P0524'!F61</f>
        <v>0</v>
      </c>
      <c r="P61" s="30">
        <f>I61-'310785 - P0524'!J61</f>
        <v>0</v>
      </c>
    </row>
    <row r="62" spans="1:16" x14ac:dyDescent="0.25">
      <c r="A62">
        <v>60</v>
      </c>
      <c r="D62" s="4" t="s">
        <v>67</v>
      </c>
      <c r="E62" s="8">
        <v>578</v>
      </c>
      <c r="F62" s="8">
        <f>F59</f>
        <v>523</v>
      </c>
      <c r="G62" s="6">
        <f t="shared" si="10"/>
        <v>-55</v>
      </c>
      <c r="H62" s="7">
        <f t="shared" si="11"/>
        <v>-9.5155709342560554E-2</v>
      </c>
      <c r="I62" s="8">
        <v>830.47211895910777</v>
      </c>
      <c r="J62" s="9">
        <f t="shared" si="12"/>
        <v>751.44795539033453</v>
      </c>
      <c r="K62" s="3">
        <f t="shared" si="13"/>
        <v>-79.024163568773247</v>
      </c>
      <c r="L62" s="7">
        <f t="shared" si="14"/>
        <v>-9.5155709342560568E-2</v>
      </c>
      <c r="M62" t="s">
        <v>7</v>
      </c>
      <c r="O62" s="3">
        <f>E62-'310785 - P0524'!F62</f>
        <v>0</v>
      </c>
      <c r="P62" s="30">
        <f>I62-'310785 - P0524'!J62</f>
        <v>0</v>
      </c>
    </row>
    <row r="63" spans="1:16" x14ac:dyDescent="0.25">
      <c r="A63">
        <v>61</v>
      </c>
      <c r="D63" s="2"/>
      <c r="G63" s="6"/>
      <c r="H63" s="10">
        <f>AVERAGE(H34:H62)</f>
        <v>-0.10158737017858778</v>
      </c>
      <c r="J63" s="3"/>
      <c r="K63" s="3"/>
      <c r="L63" s="10">
        <f>AVERAGE(L34:L62)</f>
        <v>-0.10158737017858775</v>
      </c>
    </row>
    <row r="64" spans="1:16" x14ac:dyDescent="0.25">
      <c r="A64">
        <v>62</v>
      </c>
      <c r="D64" s="2" t="s">
        <v>68</v>
      </c>
      <c r="G64" s="6"/>
      <c r="H64" s="7"/>
      <c r="J64" s="3"/>
      <c r="K64" s="3"/>
      <c r="L64" s="7"/>
    </row>
    <row r="65" spans="1:16" x14ac:dyDescent="0.25">
      <c r="A65">
        <v>63</v>
      </c>
      <c r="D65" s="4" t="s">
        <v>69</v>
      </c>
      <c r="E65" s="5">
        <v>600</v>
      </c>
      <c r="F65" s="5">
        <v>545</v>
      </c>
      <c r="G65" s="6">
        <f t="shared" ref="G65:G71" si="15">+F65-E65</f>
        <v>-55</v>
      </c>
      <c r="H65" s="7">
        <f t="shared" ref="H65:H71" si="16">(F65-E65)/ABS(E65)</f>
        <v>-9.166666666666666E-2</v>
      </c>
      <c r="I65" s="8">
        <v>731.80327868852476</v>
      </c>
      <c r="J65" s="9">
        <f t="shared" ref="J65:J90" si="17">(I65*H65)+I65</f>
        <v>664.72131147540995</v>
      </c>
      <c r="K65" s="3">
        <f t="shared" ref="K65:K71" si="18">J65-I65</f>
        <v>-67.081967213114808</v>
      </c>
      <c r="L65" s="7">
        <f t="shared" ref="L65:L71" si="19">(J65-I65)/ABS(I65)</f>
        <v>-9.1666666666666716E-2</v>
      </c>
      <c r="M65" t="s">
        <v>7</v>
      </c>
      <c r="O65" s="3">
        <f>E65-'310785 - P0524'!F65</f>
        <v>0</v>
      </c>
      <c r="P65" s="30">
        <f>I65-'310785 - P0524'!J65</f>
        <v>0</v>
      </c>
    </row>
    <row r="66" spans="1:16" x14ac:dyDescent="0.25">
      <c r="A66">
        <v>64</v>
      </c>
      <c r="D66" s="4" t="s">
        <v>70</v>
      </c>
      <c r="E66" s="8">
        <v>600</v>
      </c>
      <c r="F66" s="8">
        <f>F65</f>
        <v>545</v>
      </c>
      <c r="G66" s="6">
        <f t="shared" si="15"/>
        <v>-55</v>
      </c>
      <c r="H66" s="7">
        <f t="shared" si="16"/>
        <v>-9.166666666666666E-2</v>
      </c>
      <c r="I66" s="8">
        <v>731.80327868852476</v>
      </c>
      <c r="J66" s="9">
        <f t="shared" si="17"/>
        <v>664.72131147540995</v>
      </c>
      <c r="K66" s="3">
        <f t="shared" si="18"/>
        <v>-67.081967213114808</v>
      </c>
      <c r="L66" s="7">
        <f t="shared" si="19"/>
        <v>-9.1666666666666716E-2</v>
      </c>
      <c r="M66" t="s">
        <v>7</v>
      </c>
      <c r="O66" s="3">
        <f>E66-'310785 - P0524'!F66</f>
        <v>0</v>
      </c>
      <c r="P66" s="30">
        <f>I66-'310785 - P0524'!J66</f>
        <v>0</v>
      </c>
    </row>
    <row r="67" spans="1:16" x14ac:dyDescent="0.25">
      <c r="A67">
        <v>65</v>
      </c>
      <c r="D67" s="4" t="s">
        <v>71</v>
      </c>
      <c r="E67" s="8">
        <v>600</v>
      </c>
      <c r="F67" s="8">
        <f>F65</f>
        <v>545</v>
      </c>
      <c r="G67" s="6">
        <f t="shared" si="15"/>
        <v>-55</v>
      </c>
      <c r="H67" s="7">
        <f t="shared" si="16"/>
        <v>-9.166666666666666E-2</v>
      </c>
      <c r="I67" s="8">
        <v>731.80327868852476</v>
      </c>
      <c r="J67" s="9">
        <f t="shared" si="17"/>
        <v>664.72131147540995</v>
      </c>
      <c r="K67" s="3">
        <f t="shared" si="18"/>
        <v>-67.081967213114808</v>
      </c>
      <c r="L67" s="7">
        <f t="shared" si="19"/>
        <v>-9.1666666666666716E-2</v>
      </c>
      <c r="M67" t="s">
        <v>7</v>
      </c>
      <c r="O67" s="3">
        <f>E67-'310785 - P0524'!F67</f>
        <v>0</v>
      </c>
      <c r="P67" s="30">
        <f>I67-'310785 - P0524'!J67</f>
        <v>0</v>
      </c>
    </row>
    <row r="68" spans="1:16" x14ac:dyDescent="0.25">
      <c r="A68">
        <v>66</v>
      </c>
      <c r="D68" s="4" t="s">
        <v>72</v>
      </c>
      <c r="E68" s="8">
        <v>600</v>
      </c>
      <c r="F68" s="8">
        <f>F65</f>
        <v>545</v>
      </c>
      <c r="G68" s="6">
        <f t="shared" si="15"/>
        <v>-55</v>
      </c>
      <c r="H68" s="7">
        <f t="shared" si="16"/>
        <v>-9.166666666666666E-2</v>
      </c>
      <c r="I68" s="8">
        <v>731.80327868852476</v>
      </c>
      <c r="J68" s="9">
        <f t="shared" si="17"/>
        <v>664.72131147540995</v>
      </c>
      <c r="K68" s="3">
        <f t="shared" si="18"/>
        <v>-67.081967213114808</v>
      </c>
      <c r="L68" s="7">
        <f t="shared" si="19"/>
        <v>-9.1666666666666716E-2</v>
      </c>
      <c r="M68" t="s">
        <v>7</v>
      </c>
      <c r="O68" s="3">
        <f>E68-'310785 - P0524'!F68</f>
        <v>0</v>
      </c>
      <c r="P68" s="30">
        <f>I68-'310785 - P0524'!J68</f>
        <v>0</v>
      </c>
    </row>
    <row r="69" spans="1:16" x14ac:dyDescent="0.25">
      <c r="A69">
        <v>67</v>
      </c>
      <c r="D69" s="4" t="s">
        <v>73</v>
      </c>
      <c r="E69" s="8">
        <v>600</v>
      </c>
      <c r="F69" s="8">
        <f>F65</f>
        <v>545</v>
      </c>
      <c r="G69" s="6">
        <f t="shared" si="15"/>
        <v>-55</v>
      </c>
      <c r="H69" s="7">
        <f t="shared" si="16"/>
        <v>-9.166666666666666E-2</v>
      </c>
      <c r="I69" s="8">
        <v>731.80327868852476</v>
      </c>
      <c r="J69" s="9">
        <f t="shared" si="17"/>
        <v>664.72131147540995</v>
      </c>
      <c r="K69" s="3">
        <f t="shared" si="18"/>
        <v>-67.081967213114808</v>
      </c>
      <c r="L69" s="7">
        <f t="shared" si="19"/>
        <v>-9.1666666666666716E-2</v>
      </c>
      <c r="M69" t="s">
        <v>7</v>
      </c>
      <c r="O69" s="3">
        <f>E69-'310785 - P0524'!F69</f>
        <v>0</v>
      </c>
      <c r="P69" s="30">
        <f>I69-'310785 - P0524'!J69</f>
        <v>0</v>
      </c>
    </row>
    <row r="70" spans="1:16" x14ac:dyDescent="0.25">
      <c r="A70">
        <v>68</v>
      </c>
      <c r="D70" s="4" t="s">
        <v>74</v>
      </c>
      <c r="E70" s="8">
        <v>600</v>
      </c>
      <c r="F70" s="8">
        <f>F65</f>
        <v>545</v>
      </c>
      <c r="G70" s="6">
        <f t="shared" si="15"/>
        <v>-55</v>
      </c>
      <c r="H70" s="7">
        <f t="shared" si="16"/>
        <v>-9.166666666666666E-2</v>
      </c>
      <c r="I70" s="8">
        <v>731.80327868852476</v>
      </c>
      <c r="J70" s="9">
        <f t="shared" si="17"/>
        <v>664.72131147540995</v>
      </c>
      <c r="K70" s="3">
        <f t="shared" si="18"/>
        <v>-67.081967213114808</v>
      </c>
      <c r="L70" s="7">
        <f t="shared" si="19"/>
        <v>-9.1666666666666716E-2</v>
      </c>
      <c r="M70" t="s">
        <v>7</v>
      </c>
      <c r="O70" s="3">
        <f>E70-'310785 - P0524'!F70</f>
        <v>0</v>
      </c>
      <c r="P70" s="30">
        <f>I70-'310785 - P0524'!J70</f>
        <v>0</v>
      </c>
    </row>
    <row r="71" spans="1:16" x14ac:dyDescent="0.25">
      <c r="A71">
        <v>69</v>
      </c>
      <c r="D71" s="4" t="s">
        <v>75</v>
      </c>
      <c r="E71" s="8">
        <v>600</v>
      </c>
      <c r="F71" s="8">
        <f>F67</f>
        <v>545</v>
      </c>
      <c r="G71" s="6">
        <f t="shared" si="15"/>
        <v>-55</v>
      </c>
      <c r="H71" s="7">
        <f t="shared" si="16"/>
        <v>-9.166666666666666E-2</v>
      </c>
      <c r="I71" s="8">
        <v>731.80327868852476</v>
      </c>
      <c r="J71" s="9">
        <f t="shared" si="17"/>
        <v>664.72131147540995</v>
      </c>
      <c r="K71" s="3">
        <f t="shared" si="18"/>
        <v>-67.081967213114808</v>
      </c>
      <c r="L71" s="7">
        <f t="shared" si="19"/>
        <v>-9.1666666666666716E-2</v>
      </c>
      <c r="M71" t="s">
        <v>7</v>
      </c>
      <c r="O71" s="3">
        <f>E71-'310785 - P0524'!F71</f>
        <v>0</v>
      </c>
      <c r="P71" s="30">
        <f>I71-'310785 - P0524'!J71</f>
        <v>0</v>
      </c>
    </row>
    <row r="72" spans="1:16" x14ac:dyDescent="0.25">
      <c r="A72">
        <v>70</v>
      </c>
      <c r="D72" s="4" t="s">
        <v>76</v>
      </c>
      <c r="E72" s="5">
        <v>698</v>
      </c>
      <c r="F72" s="5">
        <v>678</v>
      </c>
      <c r="G72" s="6">
        <f>+F72-E72</f>
        <v>-20</v>
      </c>
      <c r="H72" s="7">
        <f>(F72-E72)/ABS(E72)</f>
        <v>-2.865329512893983E-2</v>
      </c>
      <c r="I72" s="8">
        <v>979.03811503811494</v>
      </c>
      <c r="J72" s="9">
        <f t="shared" si="17"/>
        <v>950.98544698544686</v>
      </c>
      <c r="K72" s="3">
        <f>J72-I72</f>
        <v>-28.052668052668082</v>
      </c>
      <c r="L72" s="7">
        <f>(J72-I72)/ABS(I72)</f>
        <v>-2.8653295128939861E-2</v>
      </c>
      <c r="M72" t="s">
        <v>7</v>
      </c>
      <c r="O72" s="3">
        <f>E72-'310785 - P0524'!F72</f>
        <v>0</v>
      </c>
      <c r="P72" s="30">
        <f>I72-'310785 - P0524'!J72</f>
        <v>0</v>
      </c>
    </row>
    <row r="73" spans="1:16" x14ac:dyDescent="0.25">
      <c r="A73">
        <v>71</v>
      </c>
      <c r="D73" s="4" t="s">
        <v>77</v>
      </c>
      <c r="E73" s="8">
        <v>698</v>
      </c>
      <c r="F73" s="8">
        <f>F72</f>
        <v>678</v>
      </c>
      <c r="G73" s="6">
        <f>+F73-E73</f>
        <v>-20</v>
      </c>
      <c r="H73" s="7">
        <f>(F73-E73)/ABS(E73)</f>
        <v>-2.865329512893983E-2</v>
      </c>
      <c r="I73" s="8">
        <v>979.03811503811494</v>
      </c>
      <c r="J73" s="9">
        <f t="shared" si="17"/>
        <v>950.98544698544686</v>
      </c>
      <c r="K73" s="3">
        <f>J73-I73</f>
        <v>-28.052668052668082</v>
      </c>
      <c r="L73" s="7">
        <f>(J73-I73)/ABS(I73)</f>
        <v>-2.8653295128939861E-2</v>
      </c>
      <c r="M73" t="s">
        <v>7</v>
      </c>
      <c r="O73" s="3">
        <f>E73-'310785 - P0524'!F73</f>
        <v>0</v>
      </c>
      <c r="P73" s="30">
        <f>I73-'310785 - P0524'!J73</f>
        <v>0</v>
      </c>
    </row>
    <row r="74" spans="1:16" x14ac:dyDescent="0.25">
      <c r="A74">
        <v>72</v>
      </c>
      <c r="D74" s="4" t="s">
        <v>78</v>
      </c>
      <c r="E74" s="8">
        <v>698</v>
      </c>
      <c r="F74" s="8">
        <f>F72</f>
        <v>678</v>
      </c>
      <c r="G74" s="6">
        <f>+F74-E74</f>
        <v>-20</v>
      </c>
      <c r="H74" s="7">
        <f>(F74-E74)/ABS(E74)</f>
        <v>-2.865329512893983E-2</v>
      </c>
      <c r="I74" s="8">
        <v>979.03811503811494</v>
      </c>
      <c r="J74" s="9">
        <f t="shared" si="17"/>
        <v>950.98544698544686</v>
      </c>
      <c r="K74" s="3">
        <f>J74-I74</f>
        <v>-28.052668052668082</v>
      </c>
      <c r="L74" s="7">
        <f>(J74-I74)/ABS(I74)</f>
        <v>-2.8653295128939861E-2</v>
      </c>
      <c r="M74" t="s">
        <v>7</v>
      </c>
      <c r="O74" s="3">
        <f>E74-'310785 - P0524'!F74</f>
        <v>0</v>
      </c>
      <c r="P74" s="30">
        <f>I74-'310785 - P0524'!J74</f>
        <v>0</v>
      </c>
    </row>
    <row r="75" spans="1:16" x14ac:dyDescent="0.25">
      <c r="A75">
        <v>73</v>
      </c>
      <c r="D75" s="4" t="s">
        <v>79</v>
      </c>
      <c r="E75" s="8">
        <v>698</v>
      </c>
      <c r="F75" s="8">
        <f>F72</f>
        <v>678</v>
      </c>
      <c r="G75" s="6">
        <f>+F75-E75</f>
        <v>-20</v>
      </c>
      <c r="H75" s="7">
        <f>(F75-E75)/ABS(E75)</f>
        <v>-2.865329512893983E-2</v>
      </c>
      <c r="I75" s="8">
        <v>979.03811503811494</v>
      </c>
      <c r="J75" s="9">
        <f t="shared" si="17"/>
        <v>950.98544698544686</v>
      </c>
      <c r="K75" s="3">
        <f>J75-I75</f>
        <v>-28.052668052668082</v>
      </c>
      <c r="L75" s="7">
        <f>(J75-I75)/ABS(I75)</f>
        <v>-2.8653295128939861E-2</v>
      </c>
      <c r="M75" t="s">
        <v>7</v>
      </c>
      <c r="O75" s="3">
        <f>E75-'310785 - P0524'!F75</f>
        <v>0</v>
      </c>
      <c r="P75" s="30">
        <f>I75-'310785 - P0524'!J75</f>
        <v>0</v>
      </c>
    </row>
    <row r="76" spans="1:16" x14ac:dyDescent="0.25">
      <c r="A76">
        <v>74</v>
      </c>
      <c r="D76" s="4" t="s">
        <v>80</v>
      </c>
      <c r="E76" s="8">
        <v>698</v>
      </c>
      <c r="F76" s="8">
        <f>F72</f>
        <v>678</v>
      </c>
      <c r="G76" s="6">
        <f>+F76-E76</f>
        <v>-20</v>
      </c>
      <c r="H76" s="7">
        <f>(F76-E76)/ABS(E76)</f>
        <v>-2.865329512893983E-2</v>
      </c>
      <c r="I76" s="8">
        <v>979.03811503811494</v>
      </c>
      <c r="J76" s="9">
        <f t="shared" si="17"/>
        <v>950.98544698544686</v>
      </c>
      <c r="K76" s="3">
        <f>J76-I76</f>
        <v>-28.052668052668082</v>
      </c>
      <c r="L76" s="7">
        <f>(J76-I76)/ABS(I76)</f>
        <v>-2.8653295128939861E-2</v>
      </c>
      <c r="M76" t="s">
        <v>7</v>
      </c>
      <c r="O76" s="3">
        <f>E76-'310785 - P0524'!F76</f>
        <v>0</v>
      </c>
      <c r="P76" s="30">
        <f>I76-'310785 - P0524'!J76</f>
        <v>0</v>
      </c>
    </row>
    <row r="77" spans="1:16" x14ac:dyDescent="0.25">
      <c r="A77">
        <v>75</v>
      </c>
      <c r="D77" s="4" t="s">
        <v>81</v>
      </c>
      <c r="E77" s="8">
        <v>698</v>
      </c>
      <c r="F77" s="8">
        <f t="shared" ref="F77" si="20">F74</f>
        <v>678</v>
      </c>
      <c r="G77" s="6">
        <f t="shared" ref="G77" si="21">+F77-E77</f>
        <v>-20</v>
      </c>
      <c r="H77" s="7">
        <f t="shared" ref="H77" si="22">(F77-E77)/ABS(E77)</f>
        <v>-2.865329512893983E-2</v>
      </c>
      <c r="I77" s="8">
        <v>979.03811503811494</v>
      </c>
      <c r="J77" s="9">
        <f t="shared" si="17"/>
        <v>950.98544698544686</v>
      </c>
      <c r="K77" s="3">
        <f t="shared" ref="K77" si="23">J77-I77</f>
        <v>-28.052668052668082</v>
      </c>
      <c r="L77" s="7">
        <f t="shared" ref="L77" si="24">(J77-I77)/ABS(I77)</f>
        <v>-2.8653295128939861E-2</v>
      </c>
      <c r="M77" t="s">
        <v>7</v>
      </c>
      <c r="O77" s="3">
        <f>E77-'310785 - P0524'!F77</f>
        <v>0</v>
      </c>
      <c r="P77" s="30">
        <f>I77-'310785 - P0524'!J77</f>
        <v>0</v>
      </c>
    </row>
    <row r="78" spans="1:16" x14ac:dyDescent="0.25">
      <c r="A78">
        <v>76</v>
      </c>
      <c r="D78" s="4" t="s">
        <v>82</v>
      </c>
      <c r="E78" s="5">
        <v>738</v>
      </c>
      <c r="F78" s="5">
        <v>728</v>
      </c>
      <c r="G78" s="6">
        <f>+F78-E78</f>
        <v>-10</v>
      </c>
      <c r="H78" s="7">
        <f>(F78-E78)/ABS(E78)</f>
        <v>-1.3550135501355014E-2</v>
      </c>
      <c r="I78" s="8">
        <v>934.28481675392675</v>
      </c>
      <c r="J78" s="9">
        <f t="shared" si="17"/>
        <v>921.62513089005245</v>
      </c>
      <c r="K78" s="3">
        <f>J78-I78</f>
        <v>-12.659685863874302</v>
      </c>
      <c r="L78" s="7">
        <f>(J78-I78)/ABS(I78)</f>
        <v>-1.3550135501354966E-2</v>
      </c>
      <c r="M78" t="s">
        <v>7</v>
      </c>
      <c r="O78" s="3">
        <f>E78-'310785 - P0524'!F78</f>
        <v>0</v>
      </c>
      <c r="P78" s="30">
        <f>I78-'310785 - P0524'!J78</f>
        <v>0</v>
      </c>
    </row>
    <row r="79" spans="1:16" x14ac:dyDescent="0.25">
      <c r="A79">
        <v>77</v>
      </c>
      <c r="D79" s="4" t="s">
        <v>83</v>
      </c>
      <c r="E79" s="8">
        <v>738</v>
      </c>
      <c r="F79" s="8">
        <f>F78</f>
        <v>728</v>
      </c>
      <c r="G79" s="6">
        <f>+F79-E79</f>
        <v>-10</v>
      </c>
      <c r="H79" s="7">
        <f>(F79-E79)/ABS(E79)</f>
        <v>-1.3550135501355014E-2</v>
      </c>
      <c r="I79" s="8">
        <v>934.28481675392675</v>
      </c>
      <c r="J79" s="9">
        <f t="shared" si="17"/>
        <v>921.62513089005245</v>
      </c>
      <c r="K79" s="3">
        <f>J79-I79</f>
        <v>-12.659685863874302</v>
      </c>
      <c r="L79" s="7">
        <f>(J79-I79)/ABS(I79)</f>
        <v>-1.3550135501354966E-2</v>
      </c>
      <c r="M79" t="s">
        <v>7</v>
      </c>
      <c r="O79" s="3">
        <f>E79-'310785 - P0524'!F79</f>
        <v>0</v>
      </c>
      <c r="P79" s="30">
        <f>I79-'310785 - P0524'!J79</f>
        <v>0</v>
      </c>
    </row>
    <row r="80" spans="1:16" x14ac:dyDescent="0.25">
      <c r="A80">
        <v>78</v>
      </c>
      <c r="D80" s="4" t="s">
        <v>84</v>
      </c>
      <c r="E80" s="8">
        <v>738</v>
      </c>
      <c r="F80" s="8">
        <f>F78</f>
        <v>728</v>
      </c>
      <c r="G80" s="6">
        <f>+F80-E80</f>
        <v>-10</v>
      </c>
      <c r="H80" s="7">
        <f>(F80-E80)/ABS(E80)</f>
        <v>-1.3550135501355014E-2</v>
      </c>
      <c r="I80" s="8">
        <v>934.28481675392675</v>
      </c>
      <c r="J80" s="9">
        <f t="shared" si="17"/>
        <v>921.62513089005245</v>
      </c>
      <c r="K80" s="3">
        <f>J80-I80</f>
        <v>-12.659685863874302</v>
      </c>
      <c r="L80" s="7">
        <f>(J80-I80)/ABS(I80)</f>
        <v>-1.3550135501354966E-2</v>
      </c>
      <c r="M80" t="s">
        <v>7</v>
      </c>
      <c r="O80" s="3">
        <f>E80-'310785 - P0524'!F80</f>
        <v>0</v>
      </c>
      <c r="P80" s="30">
        <f>I80-'310785 - P0524'!J80</f>
        <v>0</v>
      </c>
    </row>
    <row r="81" spans="1:16" x14ac:dyDescent="0.25">
      <c r="A81">
        <v>79</v>
      </c>
      <c r="D81" s="4" t="s">
        <v>85</v>
      </c>
      <c r="E81" s="8">
        <v>738</v>
      </c>
      <c r="F81" s="8">
        <f>F78</f>
        <v>728</v>
      </c>
      <c r="G81" s="6">
        <f>+F81-E81</f>
        <v>-10</v>
      </c>
      <c r="H81" s="7">
        <f>(F81-E81)/ABS(E81)</f>
        <v>-1.3550135501355014E-2</v>
      </c>
      <c r="I81" s="8">
        <v>934.28481675392675</v>
      </c>
      <c r="J81" s="9">
        <f t="shared" si="17"/>
        <v>921.62513089005245</v>
      </c>
      <c r="K81" s="3">
        <f>J81-I81</f>
        <v>-12.659685863874302</v>
      </c>
      <c r="L81" s="7">
        <f>(J81-I81)/ABS(I81)</f>
        <v>-1.3550135501354966E-2</v>
      </c>
      <c r="M81" t="s">
        <v>7</v>
      </c>
      <c r="O81" s="3">
        <f>E81-'310785 - P0524'!F81</f>
        <v>0</v>
      </c>
      <c r="P81" s="30">
        <f>I81-'310785 - P0524'!J81</f>
        <v>0</v>
      </c>
    </row>
    <row r="82" spans="1:16" x14ac:dyDescent="0.25">
      <c r="A82">
        <v>80</v>
      </c>
      <c r="D82" s="4" t="s">
        <v>86</v>
      </c>
      <c r="E82" s="8">
        <v>738</v>
      </c>
      <c r="F82" s="8">
        <f>F78</f>
        <v>728</v>
      </c>
      <c r="G82" s="6">
        <f>+F82-E82</f>
        <v>-10</v>
      </c>
      <c r="H82" s="7">
        <f>(F82-E82)/ABS(E82)</f>
        <v>-1.3550135501355014E-2</v>
      </c>
      <c r="I82" s="8">
        <v>934.28481675392675</v>
      </c>
      <c r="J82" s="9">
        <f t="shared" si="17"/>
        <v>921.62513089005245</v>
      </c>
      <c r="K82" s="3">
        <f>J82-I82</f>
        <v>-12.659685863874302</v>
      </c>
      <c r="L82" s="7">
        <f>(J82-I82)/ABS(I82)</f>
        <v>-1.3550135501354966E-2</v>
      </c>
      <c r="M82" t="s">
        <v>7</v>
      </c>
      <c r="O82" s="3">
        <f>E82-'310785 - P0524'!F82</f>
        <v>0</v>
      </c>
      <c r="P82" s="30">
        <f>I82-'310785 - P0524'!J82</f>
        <v>0</v>
      </c>
    </row>
    <row r="83" spans="1:16" x14ac:dyDescent="0.25">
      <c r="A83">
        <v>81</v>
      </c>
      <c r="D83" s="4" t="s">
        <v>87</v>
      </c>
      <c r="E83" s="8">
        <v>738</v>
      </c>
      <c r="F83" s="8">
        <f>F80</f>
        <v>728</v>
      </c>
      <c r="G83" s="6">
        <f t="shared" ref="G83" si="25">+F83-E83</f>
        <v>-10</v>
      </c>
      <c r="H83" s="7">
        <f t="shared" ref="H83" si="26">(F83-E83)/ABS(E83)</f>
        <v>-1.3550135501355014E-2</v>
      </c>
      <c r="I83" s="8">
        <v>934.28481675392675</v>
      </c>
      <c r="J83" s="9">
        <f t="shared" si="17"/>
        <v>921.62513089005245</v>
      </c>
      <c r="K83" s="3">
        <f t="shared" ref="K83" si="27">J83-I83</f>
        <v>-12.659685863874302</v>
      </c>
      <c r="L83" s="7">
        <f t="shared" ref="L83" si="28">(J83-I83)/ABS(I83)</f>
        <v>-1.3550135501354966E-2</v>
      </c>
      <c r="M83" t="s">
        <v>7</v>
      </c>
      <c r="O83" s="3">
        <f>E83-'310785 - P0524'!F83</f>
        <v>0</v>
      </c>
      <c r="P83" s="30">
        <f>I83-'310785 - P0524'!J83</f>
        <v>0</v>
      </c>
    </row>
    <row r="84" spans="1:16" x14ac:dyDescent="0.25">
      <c r="A84">
        <v>82</v>
      </c>
      <c r="D84" s="4" t="s">
        <v>493</v>
      </c>
      <c r="E84" s="5">
        <v>808</v>
      </c>
      <c r="F84" s="5">
        <v>743</v>
      </c>
      <c r="G84" s="6">
        <f>+F84-E84</f>
        <v>-65</v>
      </c>
      <c r="H84" s="7">
        <f>(F84-E84)/ABS(E84)</f>
        <v>-8.0445544554455448E-2</v>
      </c>
      <c r="I84" s="8">
        <v>1035.0303767349637</v>
      </c>
      <c r="J84" s="9">
        <f t="shared" si="17"/>
        <v>951.76679444811634</v>
      </c>
      <c r="K84" s="3">
        <f>J84-I84</f>
        <v>-83.263582286847395</v>
      </c>
      <c r="L84" s="7">
        <f>(J84-I84)/ABS(I84)</f>
        <v>-8.0445544554455503E-2</v>
      </c>
      <c r="M84" t="s">
        <v>7</v>
      </c>
      <c r="O84" s="3">
        <f>E84-'310785 - P0524'!F84</f>
        <v>0</v>
      </c>
      <c r="P84" s="30">
        <f>I84-'310785 - P0524'!J84</f>
        <v>0</v>
      </c>
    </row>
    <row r="85" spans="1:16" x14ac:dyDescent="0.25">
      <c r="A85">
        <v>83</v>
      </c>
      <c r="D85" s="4" t="s">
        <v>88</v>
      </c>
      <c r="E85" s="8">
        <v>808</v>
      </c>
      <c r="F85" s="8">
        <f>F84</f>
        <v>743</v>
      </c>
      <c r="G85" s="6">
        <f>+F85-E85</f>
        <v>-65</v>
      </c>
      <c r="H85" s="7">
        <f>(F85-E85)/ABS(E85)</f>
        <v>-8.0445544554455448E-2</v>
      </c>
      <c r="I85" s="8">
        <v>1035.0303767349637</v>
      </c>
      <c r="J85" s="9">
        <f t="shared" si="17"/>
        <v>951.76679444811634</v>
      </c>
      <c r="K85" s="3">
        <f>J85-I85</f>
        <v>-83.263582286847395</v>
      </c>
      <c r="L85" s="7">
        <f>(J85-I85)/ABS(I85)</f>
        <v>-8.0445544554455503E-2</v>
      </c>
      <c r="M85" t="s">
        <v>7</v>
      </c>
      <c r="O85" s="3">
        <f>E85-'310785 - P0524'!F85</f>
        <v>0</v>
      </c>
      <c r="P85" s="30">
        <f>I85-'310785 - P0524'!J85</f>
        <v>0</v>
      </c>
    </row>
    <row r="86" spans="1:16" x14ac:dyDescent="0.25">
      <c r="A86">
        <v>84</v>
      </c>
      <c r="D86" s="4" t="s">
        <v>89</v>
      </c>
      <c r="E86" s="8">
        <v>808</v>
      </c>
      <c r="F86" s="8">
        <f>F84</f>
        <v>743</v>
      </c>
      <c r="G86" s="6">
        <f>+F86-E86</f>
        <v>-65</v>
      </c>
      <c r="H86" s="7">
        <f>(F86-E86)/ABS(E86)</f>
        <v>-8.0445544554455448E-2</v>
      </c>
      <c r="I86" s="8">
        <v>1035.0303767349637</v>
      </c>
      <c r="J86" s="9">
        <f t="shared" si="17"/>
        <v>951.76679444811634</v>
      </c>
      <c r="K86" s="3">
        <f>J86-I86</f>
        <v>-83.263582286847395</v>
      </c>
      <c r="L86" s="7">
        <f>(J86-I86)/ABS(I86)</f>
        <v>-8.0445544554455503E-2</v>
      </c>
      <c r="M86" t="s">
        <v>7</v>
      </c>
      <c r="O86" s="3">
        <f>E86-'310785 - P0524'!F86</f>
        <v>0</v>
      </c>
      <c r="P86" s="30">
        <f>I86-'310785 - P0524'!J86</f>
        <v>0</v>
      </c>
    </row>
    <row r="87" spans="1:16" x14ac:dyDescent="0.25">
      <c r="A87">
        <v>85</v>
      </c>
      <c r="D87" s="4" t="s">
        <v>90</v>
      </c>
      <c r="E87" s="8">
        <v>808</v>
      </c>
      <c r="F87" s="8">
        <f>F84</f>
        <v>743</v>
      </c>
      <c r="G87" s="6">
        <f>+F87-E87</f>
        <v>-65</v>
      </c>
      <c r="H87" s="7">
        <f>(F87-E87)/ABS(E87)</f>
        <v>-8.0445544554455448E-2</v>
      </c>
      <c r="I87" s="8">
        <v>1035.0303767349637</v>
      </c>
      <c r="J87" s="9">
        <f t="shared" si="17"/>
        <v>951.76679444811634</v>
      </c>
      <c r="K87" s="3">
        <f>J87-I87</f>
        <v>-83.263582286847395</v>
      </c>
      <c r="L87" s="7">
        <f>(J87-I87)/ABS(I87)</f>
        <v>-8.0445544554455503E-2</v>
      </c>
      <c r="M87" t="s">
        <v>7</v>
      </c>
      <c r="O87" s="3">
        <f>E87-'310785 - P0524'!F87</f>
        <v>0</v>
      </c>
      <c r="P87" s="30">
        <f>I87-'310785 - P0524'!J87</f>
        <v>0</v>
      </c>
    </row>
    <row r="88" spans="1:16" x14ac:dyDescent="0.25">
      <c r="A88">
        <v>86</v>
      </c>
      <c r="D88" s="4" t="s">
        <v>91</v>
      </c>
      <c r="E88" s="8">
        <v>808</v>
      </c>
      <c r="F88" s="8">
        <f>F84</f>
        <v>743</v>
      </c>
      <c r="G88" s="6">
        <f>+F88-E88</f>
        <v>-65</v>
      </c>
      <c r="H88" s="7">
        <f>(F88-E88)/ABS(E88)</f>
        <v>-8.0445544554455448E-2</v>
      </c>
      <c r="I88" s="8">
        <v>1035.0303767349637</v>
      </c>
      <c r="J88" s="9">
        <f t="shared" si="17"/>
        <v>951.76679444811634</v>
      </c>
      <c r="K88" s="3">
        <f>J88-I88</f>
        <v>-83.263582286847395</v>
      </c>
      <c r="L88" s="7">
        <f>(J88-I88)/ABS(I88)</f>
        <v>-8.0445544554455503E-2</v>
      </c>
      <c r="M88" t="s">
        <v>7</v>
      </c>
      <c r="O88" s="3">
        <f>E88-'310785 - P0524'!F88</f>
        <v>0</v>
      </c>
      <c r="P88" s="30">
        <f>I88-'310785 - P0524'!J88</f>
        <v>0</v>
      </c>
    </row>
    <row r="89" spans="1:16" x14ac:dyDescent="0.25">
      <c r="A89">
        <v>87</v>
      </c>
      <c r="D89" s="4" t="s">
        <v>92</v>
      </c>
      <c r="E89" s="8">
        <v>808</v>
      </c>
      <c r="F89" s="8">
        <f t="shared" ref="F89" si="29">F86</f>
        <v>743</v>
      </c>
      <c r="G89" s="6">
        <f t="shared" ref="G89:G90" si="30">+F89-E89</f>
        <v>-65</v>
      </c>
      <c r="H89" s="7">
        <f t="shared" ref="H89:H90" si="31">(F89-E89)/ABS(E89)</f>
        <v>-8.0445544554455448E-2</v>
      </c>
      <c r="I89" s="8">
        <v>1035.0303767349637</v>
      </c>
      <c r="J89" s="9">
        <f t="shared" si="17"/>
        <v>951.76679444811634</v>
      </c>
      <c r="K89" s="3">
        <f t="shared" ref="K89:K90" si="32">J89-I89</f>
        <v>-83.263582286847395</v>
      </c>
      <c r="L89" s="7">
        <f t="shared" ref="L89:L90" si="33">(J89-I89)/ABS(I89)</f>
        <v>-8.0445544554455503E-2</v>
      </c>
      <c r="M89" t="s">
        <v>7</v>
      </c>
      <c r="O89" s="3">
        <f>E89-'310785 - P0524'!F89</f>
        <v>0</v>
      </c>
      <c r="P89" s="30">
        <f>I89-'310785 - P0524'!J89</f>
        <v>0</v>
      </c>
    </row>
    <row r="90" spans="1:16" x14ac:dyDescent="0.25">
      <c r="A90">
        <v>88</v>
      </c>
      <c r="C90" t="s">
        <v>8</v>
      </c>
      <c r="D90" s="4" t="s">
        <v>93</v>
      </c>
      <c r="E90" s="5">
        <v>12.48</v>
      </c>
      <c r="F90" s="5">
        <v>12.85</v>
      </c>
      <c r="G90" s="6">
        <f t="shared" si="30"/>
        <v>0.36999999999999922</v>
      </c>
      <c r="H90" s="7">
        <f t="shared" si="31"/>
        <v>2.9647435897435834E-2</v>
      </c>
      <c r="I90" s="8">
        <v>2506.0176074572773</v>
      </c>
      <c r="J90" s="9">
        <f t="shared" si="17"/>
        <v>2580.3146038322125</v>
      </c>
      <c r="K90" s="3">
        <f t="shared" si="32"/>
        <v>74.296996374935134</v>
      </c>
      <c r="L90" s="7">
        <f t="shared" si="33"/>
        <v>2.964743589743583E-2</v>
      </c>
      <c r="M90" t="s">
        <v>7</v>
      </c>
      <c r="O90" s="3">
        <f>E90-'310785 - P0524'!F90</f>
        <v>0</v>
      </c>
      <c r="P90" s="30">
        <f>I90-'310785 - P0524'!J90</f>
        <v>0</v>
      </c>
    </row>
    <row r="91" spans="1:16" x14ac:dyDescent="0.25">
      <c r="A91">
        <v>89</v>
      </c>
      <c r="D91" s="2" t="s">
        <v>94</v>
      </c>
      <c r="H91" s="10">
        <f>AVERAGE(H65:H90)</f>
        <v>-5.1842810841451245E-2</v>
      </c>
      <c r="I91"/>
      <c r="L91" s="10">
        <f>AVERAGE(L65:L89)</f>
        <v>-5.5102420711006746E-2</v>
      </c>
    </row>
    <row r="92" spans="1:16" x14ac:dyDescent="0.25">
      <c r="A92">
        <v>90</v>
      </c>
      <c r="D92" s="2" t="s">
        <v>95</v>
      </c>
      <c r="I92"/>
      <c r="M92" t="s">
        <v>7</v>
      </c>
      <c r="O92" s="3">
        <f>E92-'310785 - P0524'!F92</f>
        <v>0</v>
      </c>
      <c r="P92" s="30">
        <f>I92-'310785 - P0524'!J92</f>
        <v>0</v>
      </c>
    </row>
    <row r="93" spans="1:16" x14ac:dyDescent="0.25">
      <c r="A93">
        <v>91</v>
      </c>
      <c r="D93" s="4" t="s">
        <v>96</v>
      </c>
      <c r="E93" s="5">
        <v>641</v>
      </c>
      <c r="F93" s="5">
        <v>510</v>
      </c>
      <c r="G93" s="6">
        <f t="shared" ref="G93:G101" si="34">+F93-E93</f>
        <v>-131</v>
      </c>
      <c r="H93" s="7">
        <f t="shared" ref="H93:H101" si="35">(F93-E93)/ABS(E93)</f>
        <v>-0.20436817472698907</v>
      </c>
      <c r="I93" s="8">
        <v>726.94413407821241</v>
      </c>
      <c r="J93" s="9">
        <f t="shared" ref="J93:J101" si="36">(I93*H93)+I93</f>
        <v>578.37988826815649</v>
      </c>
      <c r="K93" s="3">
        <f t="shared" ref="K93:K101" si="37">J93-I93</f>
        <v>-148.56424581005592</v>
      </c>
      <c r="L93" s="7">
        <f t="shared" ref="L93:L101" si="38">(J93-I93)/ABS(I93)</f>
        <v>-0.20436817472698912</v>
      </c>
      <c r="M93" t="s">
        <v>7</v>
      </c>
      <c r="O93" s="3">
        <f>E93-'310785 - P0524'!F93</f>
        <v>0</v>
      </c>
      <c r="P93" s="30">
        <f>I93-'310785 - P0524'!J93</f>
        <v>0</v>
      </c>
    </row>
    <row r="94" spans="1:16" x14ac:dyDescent="0.25">
      <c r="A94">
        <v>92</v>
      </c>
      <c r="D94" s="4" t="s">
        <v>97</v>
      </c>
      <c r="E94" s="5">
        <v>661</v>
      </c>
      <c r="F94" s="5">
        <v>530</v>
      </c>
      <c r="G94" s="6">
        <f t="shared" si="34"/>
        <v>-131</v>
      </c>
      <c r="H94" s="7">
        <f t="shared" si="35"/>
        <v>-0.19818456883509833</v>
      </c>
      <c r="I94" s="8">
        <v>760.69711833231156</v>
      </c>
      <c r="J94" s="9">
        <f t="shared" si="36"/>
        <v>609.93868792152057</v>
      </c>
      <c r="K94" s="3">
        <f t="shared" si="37"/>
        <v>-150.75843041079099</v>
      </c>
      <c r="L94" s="7">
        <f t="shared" si="38"/>
        <v>-0.19818456883509841</v>
      </c>
      <c r="M94" t="s">
        <v>7</v>
      </c>
      <c r="O94" s="3">
        <f>E94-'310785 - P0524'!F94</f>
        <v>0</v>
      </c>
      <c r="P94" s="30">
        <f>I94-'310785 - P0524'!J94</f>
        <v>0</v>
      </c>
    </row>
    <row r="95" spans="1:16" x14ac:dyDescent="0.25">
      <c r="A95">
        <v>93</v>
      </c>
      <c r="D95" s="4" t="s">
        <v>98</v>
      </c>
      <c r="E95" s="5">
        <v>661</v>
      </c>
      <c r="F95" s="5">
        <v>530</v>
      </c>
      <c r="G95" s="6">
        <f t="shared" si="34"/>
        <v>-131</v>
      </c>
      <c r="H95" s="7">
        <f t="shared" si="35"/>
        <v>-0.19818456883509833</v>
      </c>
      <c r="I95" s="8">
        <v>756.23911710606967</v>
      </c>
      <c r="J95" s="9">
        <f t="shared" si="36"/>
        <v>606.36419374616776</v>
      </c>
      <c r="K95" s="3">
        <f t="shared" si="37"/>
        <v>-149.87492335990191</v>
      </c>
      <c r="L95" s="7">
        <f t="shared" si="38"/>
        <v>-0.19818456883509841</v>
      </c>
      <c r="M95" t="s">
        <v>7</v>
      </c>
      <c r="O95" s="3">
        <f>E95-'310785 - P0524'!F95</f>
        <v>0</v>
      </c>
      <c r="P95" s="30">
        <f>I95-'310785 - P0524'!J95</f>
        <v>0</v>
      </c>
    </row>
    <row r="96" spans="1:16" x14ac:dyDescent="0.25">
      <c r="A96">
        <v>94</v>
      </c>
      <c r="D96" s="4" t="s">
        <v>99</v>
      </c>
      <c r="E96" s="5">
        <v>666</v>
      </c>
      <c r="F96" s="5">
        <v>530</v>
      </c>
      <c r="G96" s="6">
        <f t="shared" si="34"/>
        <v>-136</v>
      </c>
      <c r="H96" s="7">
        <f t="shared" si="35"/>
        <v>-0.20420420420420421</v>
      </c>
      <c r="I96" s="8">
        <v>785.02978723404249</v>
      </c>
      <c r="J96" s="9">
        <f t="shared" si="36"/>
        <v>624.72340425531911</v>
      </c>
      <c r="K96" s="3">
        <f t="shared" si="37"/>
        <v>-160.30638297872338</v>
      </c>
      <c r="L96" s="7">
        <f t="shared" si="38"/>
        <v>-0.20420420420420418</v>
      </c>
      <c r="M96" t="s">
        <v>7</v>
      </c>
      <c r="O96" s="3">
        <f>E96-'310785 - P0524'!F96</f>
        <v>0</v>
      </c>
      <c r="P96" s="30">
        <f>I96-'310785 - P0524'!J96</f>
        <v>0</v>
      </c>
    </row>
    <row r="97" spans="1:16" x14ac:dyDescent="0.25">
      <c r="A97">
        <v>95</v>
      </c>
      <c r="D97" s="4" t="s">
        <v>100</v>
      </c>
      <c r="E97" s="5">
        <v>873</v>
      </c>
      <c r="F97" s="5">
        <v>743</v>
      </c>
      <c r="G97" s="6">
        <f t="shared" si="34"/>
        <v>-130</v>
      </c>
      <c r="H97" s="7">
        <f t="shared" si="35"/>
        <v>-0.14891179839633448</v>
      </c>
      <c r="I97" s="8">
        <v>1026.90273556231</v>
      </c>
      <c r="J97" s="9">
        <f t="shared" si="36"/>
        <v>873.98480243161089</v>
      </c>
      <c r="K97" s="3">
        <f t="shared" si="37"/>
        <v>-152.91793313069911</v>
      </c>
      <c r="L97" s="7">
        <f>(J97-I97)/ABS(I97)</f>
        <v>-0.1489117983963345</v>
      </c>
      <c r="M97" t="s">
        <v>7</v>
      </c>
      <c r="O97" s="3">
        <f>E97-'310785 - P0524'!F97</f>
        <v>0</v>
      </c>
      <c r="P97" s="30">
        <f>I97-'310785 - P0524'!J97</f>
        <v>0</v>
      </c>
    </row>
    <row r="98" spans="1:16" x14ac:dyDescent="0.25">
      <c r="A98">
        <v>96</v>
      </c>
      <c r="C98" t="s">
        <v>8</v>
      </c>
      <c r="D98" s="29" t="s">
        <v>101</v>
      </c>
      <c r="E98" s="5">
        <v>1015</v>
      </c>
      <c r="F98" s="5">
        <v>950</v>
      </c>
      <c r="G98" s="6">
        <f t="shared" si="34"/>
        <v>-65</v>
      </c>
      <c r="H98" s="7">
        <f t="shared" si="35"/>
        <v>-6.4039408866995079E-2</v>
      </c>
      <c r="I98" s="8">
        <v>1209.5854922279793</v>
      </c>
      <c r="J98" s="9">
        <f t="shared" si="36"/>
        <v>1132.1243523316064</v>
      </c>
      <c r="K98" s="3">
        <f t="shared" si="37"/>
        <v>-77.46113989637297</v>
      </c>
      <c r="L98" s="7">
        <f t="shared" si="38"/>
        <v>-6.4039408866994996E-2</v>
      </c>
      <c r="M98" t="s">
        <v>7</v>
      </c>
      <c r="O98" s="3">
        <f>E98-'310785 - P0524'!F98</f>
        <v>0</v>
      </c>
      <c r="P98" s="30">
        <f>I98-'310785 - P0524'!J98</f>
        <v>0</v>
      </c>
    </row>
    <row r="99" spans="1:16" x14ac:dyDescent="0.25">
      <c r="A99">
        <v>97</v>
      </c>
      <c r="C99" t="s">
        <v>8</v>
      </c>
      <c r="D99" s="4" t="s">
        <v>102</v>
      </c>
      <c r="E99" s="5">
        <v>1214</v>
      </c>
      <c r="F99" s="5">
        <v>1149</v>
      </c>
      <c r="G99" s="6">
        <f t="shared" si="34"/>
        <v>-65</v>
      </c>
      <c r="H99" s="7">
        <f t="shared" si="35"/>
        <v>-5.3542009884678748E-2</v>
      </c>
      <c r="I99" s="8">
        <v>1594.6085616880466</v>
      </c>
      <c r="J99" s="9">
        <f t="shared" si="36"/>
        <v>1509.2300143159518</v>
      </c>
      <c r="K99" s="3">
        <f t="shared" si="37"/>
        <v>-85.378547372094772</v>
      </c>
      <c r="L99" s="7">
        <f t="shared" si="38"/>
        <v>-5.3542009884678762E-2</v>
      </c>
      <c r="M99" t="s">
        <v>7</v>
      </c>
      <c r="O99" s="3">
        <f>E99-'310785 - P0524'!F99</f>
        <v>0</v>
      </c>
      <c r="P99" s="30">
        <f>I99-'310785 - P0524'!J99</f>
        <v>0</v>
      </c>
    </row>
    <row r="100" spans="1:16" x14ac:dyDescent="0.25">
      <c r="A100">
        <v>98</v>
      </c>
      <c r="D100" s="4" t="s">
        <v>103</v>
      </c>
      <c r="E100" s="5">
        <v>17.600000000000001</v>
      </c>
      <c r="F100" s="5">
        <v>17.600000000000001</v>
      </c>
      <c r="G100" s="6">
        <f t="shared" si="34"/>
        <v>0</v>
      </c>
      <c r="H100" s="7">
        <f t="shared" si="35"/>
        <v>0</v>
      </c>
      <c r="I100" s="8">
        <v>47.120192307692307</v>
      </c>
      <c r="J100" s="9">
        <f t="shared" si="36"/>
        <v>47.120192307692307</v>
      </c>
      <c r="K100" s="3">
        <f t="shared" si="37"/>
        <v>0</v>
      </c>
      <c r="L100" s="7">
        <f t="shared" si="38"/>
        <v>0</v>
      </c>
      <c r="M100" t="s">
        <v>7</v>
      </c>
      <c r="O100" s="3">
        <f>E100-'310785 - P0524'!F100</f>
        <v>0</v>
      </c>
      <c r="P100" s="30">
        <f>I100-'310785 - P0524'!J100</f>
        <v>0</v>
      </c>
    </row>
    <row r="101" spans="1:16" x14ac:dyDescent="0.25">
      <c r="A101">
        <v>99</v>
      </c>
      <c r="C101" t="s">
        <v>8</v>
      </c>
      <c r="D101" s="4" t="s">
        <v>104</v>
      </c>
      <c r="E101" s="5">
        <v>1866</v>
      </c>
      <c r="F101" s="5">
        <v>1735</v>
      </c>
      <c r="G101" s="6">
        <f t="shared" si="34"/>
        <v>-131</v>
      </c>
      <c r="H101" s="7">
        <f t="shared" si="35"/>
        <v>-7.0203644158628078E-2</v>
      </c>
      <c r="I101" s="8">
        <v>3085.0669509594886</v>
      </c>
      <c r="J101" s="9">
        <f t="shared" si="36"/>
        <v>2868.4840085287851</v>
      </c>
      <c r="K101" s="3">
        <f t="shared" si="37"/>
        <v>-216.5829424307035</v>
      </c>
      <c r="L101" s="7">
        <f t="shared" si="38"/>
        <v>-7.0203644158628037E-2</v>
      </c>
      <c r="M101" t="s">
        <v>7</v>
      </c>
      <c r="O101" s="3">
        <f>E101-'310785 - P0524'!F101</f>
        <v>0</v>
      </c>
      <c r="P101" s="30">
        <f>I101-'310785 - P0524'!J101</f>
        <v>0</v>
      </c>
    </row>
    <row r="102" spans="1:16" x14ac:dyDescent="0.25">
      <c r="A102">
        <v>100</v>
      </c>
      <c r="D102" s="2" t="s">
        <v>105</v>
      </c>
      <c r="H102" s="10">
        <f>AVERAGE(H93:H101)</f>
        <v>-0.12684870865644737</v>
      </c>
      <c r="I102"/>
      <c r="L102" s="10">
        <f>AVERAGE(L93:L101)</f>
        <v>-0.12684870865644737</v>
      </c>
    </row>
    <row r="103" spans="1:16" x14ac:dyDescent="0.25">
      <c r="A103">
        <v>101</v>
      </c>
      <c r="D103" s="2" t="s">
        <v>106</v>
      </c>
      <c r="G103" s="6"/>
      <c r="H103" s="7"/>
      <c r="I103"/>
      <c r="M103" t="s">
        <v>106</v>
      </c>
    </row>
    <row r="104" spans="1:16" x14ac:dyDescent="0.25">
      <c r="A104">
        <v>102</v>
      </c>
      <c r="C104" t="s">
        <v>8</v>
      </c>
      <c r="D104" s="4" t="s">
        <v>107</v>
      </c>
      <c r="E104" s="5">
        <v>36</v>
      </c>
      <c r="F104" s="5">
        <v>36</v>
      </c>
      <c r="G104" s="6">
        <f t="shared" ref="G104:G115" si="39">+F104-E104</f>
        <v>0</v>
      </c>
      <c r="H104" s="7">
        <f t="shared" ref="H104:H115" si="40">(F104-E104)/ABS(E104)</f>
        <v>0</v>
      </c>
      <c r="I104" s="8">
        <v>85.406538115384606</v>
      </c>
      <c r="J104" s="9">
        <f t="shared" ref="J104:J115" si="41">(I104*H104)+I104</f>
        <v>85.406538115384606</v>
      </c>
      <c r="K104" s="3">
        <f t="shared" ref="K104:K115" si="42">J104-I104</f>
        <v>0</v>
      </c>
      <c r="L104" s="7">
        <f t="shared" ref="L104:L115" si="43">(J104-I104)/ABS(I104)</f>
        <v>0</v>
      </c>
      <c r="M104" t="s">
        <v>106</v>
      </c>
      <c r="O104" s="3">
        <f>E104-'310785 - P0524'!F104</f>
        <v>0</v>
      </c>
      <c r="P104" s="30">
        <f>I104-'310785 - P0524'!J104</f>
        <v>18.726091961538458</v>
      </c>
    </row>
    <row r="105" spans="1:16" x14ac:dyDescent="0.25">
      <c r="A105">
        <v>103</v>
      </c>
      <c r="C105" t="s">
        <v>8</v>
      </c>
      <c r="D105" s="4" t="s">
        <v>108</v>
      </c>
      <c r="E105" s="5">
        <v>42</v>
      </c>
      <c r="F105" s="5">
        <v>42</v>
      </c>
      <c r="G105" s="6">
        <f t="shared" si="39"/>
        <v>0</v>
      </c>
      <c r="H105" s="7">
        <f t="shared" si="40"/>
        <v>0</v>
      </c>
      <c r="I105" s="8">
        <v>80.176901208617949</v>
      </c>
      <c r="J105" s="9">
        <f t="shared" si="41"/>
        <v>80.176901208617949</v>
      </c>
      <c r="K105" s="3">
        <f>J105-I105</f>
        <v>0</v>
      </c>
      <c r="L105" s="7">
        <f>(J105-I105)/ABS(I105)</f>
        <v>0</v>
      </c>
      <c r="M105" t="s">
        <v>106</v>
      </c>
      <c r="O105" s="3">
        <f>E105-'310785 - P0524'!F105</f>
        <v>0</v>
      </c>
      <c r="P105" s="30">
        <f>I105-'310785 - P0524'!J105</f>
        <v>15.368782448765103</v>
      </c>
    </row>
    <row r="106" spans="1:16" x14ac:dyDescent="0.25">
      <c r="A106">
        <v>104</v>
      </c>
      <c r="C106" t="s">
        <v>8</v>
      </c>
      <c r="D106" s="4" t="s">
        <v>109</v>
      </c>
      <c r="E106" s="12">
        <v>3.19</v>
      </c>
      <c r="F106" s="12">
        <v>3.19</v>
      </c>
      <c r="G106" s="6">
        <f t="shared" si="39"/>
        <v>0</v>
      </c>
      <c r="H106" s="7">
        <f t="shared" si="40"/>
        <v>0</v>
      </c>
      <c r="I106" s="8">
        <v>3.8745328209552197</v>
      </c>
      <c r="J106" s="9">
        <f t="shared" si="41"/>
        <v>3.8745328209552197</v>
      </c>
      <c r="K106" s="3">
        <f t="shared" si="42"/>
        <v>0</v>
      </c>
      <c r="L106" s="7">
        <f t="shared" si="43"/>
        <v>0</v>
      </c>
      <c r="M106" t="s">
        <v>106</v>
      </c>
      <c r="O106" s="3">
        <f>E106-'310785 - P0524'!F106</f>
        <v>0</v>
      </c>
      <c r="P106" s="30">
        <f>I106-'310785 - P0524'!J106</f>
        <v>0</v>
      </c>
    </row>
    <row r="107" spans="1:16" x14ac:dyDescent="0.25">
      <c r="A107">
        <v>105</v>
      </c>
      <c r="C107" t="s">
        <v>8</v>
      </c>
      <c r="D107" s="4" t="s">
        <v>110</v>
      </c>
      <c r="E107" s="12">
        <v>3.48</v>
      </c>
      <c r="F107" s="12">
        <v>3.48</v>
      </c>
      <c r="G107" s="6">
        <f t="shared" si="39"/>
        <v>0</v>
      </c>
      <c r="H107" s="7">
        <f t="shared" si="40"/>
        <v>0</v>
      </c>
      <c r="I107" s="8">
        <v>4.0655928193903108</v>
      </c>
      <c r="J107" s="9">
        <f t="shared" si="41"/>
        <v>4.0655928193903108</v>
      </c>
      <c r="K107" s="3">
        <f t="shared" si="42"/>
        <v>0</v>
      </c>
      <c r="L107" s="7">
        <f t="shared" si="43"/>
        <v>0</v>
      </c>
      <c r="M107" t="s">
        <v>106</v>
      </c>
      <c r="O107" s="3">
        <f>E107-'310785 - P0524'!F107</f>
        <v>0</v>
      </c>
      <c r="P107" s="30">
        <f>I107-'310785 - P0524'!J107</f>
        <v>0</v>
      </c>
    </row>
    <row r="108" spans="1:16" x14ac:dyDescent="0.25">
      <c r="A108">
        <v>106</v>
      </c>
      <c r="C108" t="s">
        <v>8</v>
      </c>
      <c r="D108" s="4" t="s">
        <v>111</v>
      </c>
      <c r="E108" s="12">
        <v>7.89</v>
      </c>
      <c r="F108" s="12">
        <v>7.89</v>
      </c>
      <c r="G108" s="6">
        <f t="shared" si="39"/>
        <v>0</v>
      </c>
      <c r="H108" s="7">
        <f t="shared" si="40"/>
        <v>0</v>
      </c>
      <c r="I108" s="8">
        <v>8.9203191080353719</v>
      </c>
      <c r="J108" s="9">
        <f t="shared" si="41"/>
        <v>8.9203191080353719</v>
      </c>
      <c r="K108" s="3">
        <f t="shared" si="42"/>
        <v>0</v>
      </c>
      <c r="L108" s="7">
        <f t="shared" si="43"/>
        <v>0</v>
      </c>
      <c r="M108" t="s">
        <v>106</v>
      </c>
      <c r="O108" s="3">
        <f>E108-'310785 - P0524'!F108</f>
        <v>0</v>
      </c>
      <c r="P108" s="30">
        <f>I108-'310785 - P0524'!J108</f>
        <v>0</v>
      </c>
    </row>
    <row r="109" spans="1:16" x14ac:dyDescent="0.25">
      <c r="A109">
        <v>107</v>
      </c>
      <c r="C109" t="s">
        <v>8</v>
      </c>
      <c r="D109" s="4" t="s">
        <v>112</v>
      </c>
      <c r="E109" s="12">
        <v>9.34</v>
      </c>
      <c r="F109" s="12">
        <v>9.34</v>
      </c>
      <c r="G109" s="6">
        <f t="shared" si="39"/>
        <v>0</v>
      </c>
      <c r="H109" s="7">
        <f t="shared" si="40"/>
        <v>0</v>
      </c>
      <c r="I109" s="8">
        <v>10.432893234927514</v>
      </c>
      <c r="J109" s="9">
        <f t="shared" si="41"/>
        <v>10.432893234927514</v>
      </c>
      <c r="K109" s="3">
        <f t="shared" si="42"/>
        <v>0</v>
      </c>
      <c r="L109" s="7">
        <f t="shared" si="43"/>
        <v>0</v>
      </c>
      <c r="M109" t="s">
        <v>106</v>
      </c>
      <c r="O109" s="3">
        <f>E109-'310785 - P0524'!F109</f>
        <v>0</v>
      </c>
      <c r="P109" s="30">
        <f>I109-'310785 - P0524'!J109</f>
        <v>0</v>
      </c>
    </row>
    <row r="110" spans="1:16" x14ac:dyDescent="0.25">
      <c r="A110">
        <v>108</v>
      </c>
      <c r="C110" t="s">
        <v>8</v>
      </c>
      <c r="D110" s="4" t="s">
        <v>113</v>
      </c>
      <c r="E110" s="12">
        <v>3.79</v>
      </c>
      <c r="F110" s="12">
        <v>3.79</v>
      </c>
      <c r="G110" s="6">
        <f t="shared" si="39"/>
        <v>0</v>
      </c>
      <c r="H110" s="7">
        <f t="shared" si="40"/>
        <v>0</v>
      </c>
      <c r="I110" s="8">
        <v>5.2944973572314407</v>
      </c>
      <c r="J110" s="9">
        <f t="shared" si="41"/>
        <v>5.2944973572314407</v>
      </c>
      <c r="K110" s="3">
        <f>J110-I110</f>
        <v>0</v>
      </c>
      <c r="L110" s="7">
        <f>(J110-I110)/ABS(I110)</f>
        <v>0</v>
      </c>
      <c r="M110" t="s">
        <v>106</v>
      </c>
      <c r="O110" s="3">
        <f>E110-'310785 - P0524'!F110</f>
        <v>0</v>
      </c>
      <c r="P110" s="30">
        <f>I110-'310785 - P0524'!J110</f>
        <v>0</v>
      </c>
    </row>
    <row r="111" spans="1:16" x14ac:dyDescent="0.25">
      <c r="A111">
        <v>109</v>
      </c>
      <c r="C111" t="s">
        <v>8</v>
      </c>
      <c r="D111" s="4" t="s">
        <v>114</v>
      </c>
      <c r="E111" s="12">
        <v>4.95</v>
      </c>
      <c r="F111" s="12">
        <v>4.95</v>
      </c>
      <c r="G111" s="6">
        <f t="shared" si="39"/>
        <v>0</v>
      </c>
      <c r="H111" s="7">
        <f t="shared" si="40"/>
        <v>0</v>
      </c>
      <c r="I111" s="8">
        <v>6.6523403553892901</v>
      </c>
      <c r="J111" s="9">
        <f t="shared" si="41"/>
        <v>6.6523403553892901</v>
      </c>
      <c r="K111" s="3">
        <f t="shared" si="42"/>
        <v>0</v>
      </c>
      <c r="L111" s="7">
        <f t="shared" si="43"/>
        <v>0</v>
      </c>
      <c r="M111" t="s">
        <v>106</v>
      </c>
      <c r="O111" s="3">
        <f>E111-'310785 - P0524'!F111</f>
        <v>0</v>
      </c>
      <c r="P111" s="30">
        <f>I111-'310785 - P0524'!J111</f>
        <v>0</v>
      </c>
    </row>
    <row r="112" spans="1:16" x14ac:dyDescent="0.25">
      <c r="A112">
        <v>110</v>
      </c>
      <c r="C112" t="s">
        <v>8</v>
      </c>
      <c r="D112" s="4" t="s">
        <v>115</v>
      </c>
      <c r="E112" s="12">
        <v>6.16</v>
      </c>
      <c r="F112" s="12">
        <v>6.16</v>
      </c>
      <c r="G112" s="6">
        <f t="shared" si="39"/>
        <v>0</v>
      </c>
      <c r="H112" s="7">
        <f t="shared" si="40"/>
        <v>0</v>
      </c>
      <c r="I112" s="8">
        <v>7.8767696532032376</v>
      </c>
      <c r="J112" s="9">
        <f t="shared" si="41"/>
        <v>7.8767696532032376</v>
      </c>
      <c r="K112" s="3">
        <f t="shared" si="42"/>
        <v>0</v>
      </c>
      <c r="L112" s="7">
        <f t="shared" si="43"/>
        <v>0</v>
      </c>
      <c r="M112" t="s">
        <v>106</v>
      </c>
      <c r="O112" s="3">
        <f>E112-'310785 - P0524'!F112</f>
        <v>0</v>
      </c>
      <c r="P112" s="30">
        <f>I112-'310785 - P0524'!J112</f>
        <v>0</v>
      </c>
    </row>
    <row r="113" spans="1:16" x14ac:dyDescent="0.25">
      <c r="A113">
        <v>111</v>
      </c>
      <c r="C113" t="s">
        <v>8</v>
      </c>
      <c r="D113" s="4" t="s">
        <v>116</v>
      </c>
      <c r="E113" s="12">
        <v>7.33</v>
      </c>
      <c r="F113" s="12">
        <v>7.33</v>
      </c>
      <c r="G113" s="6">
        <f t="shared" si="39"/>
        <v>0</v>
      </c>
      <c r="H113" s="7">
        <f t="shared" si="40"/>
        <v>0</v>
      </c>
      <c r="I113" s="8">
        <v>9.6975016766020872</v>
      </c>
      <c r="J113" s="9">
        <f t="shared" si="41"/>
        <v>9.6975016766020872</v>
      </c>
      <c r="K113" s="3">
        <f t="shared" si="42"/>
        <v>0</v>
      </c>
      <c r="L113" s="7">
        <f t="shared" si="43"/>
        <v>0</v>
      </c>
      <c r="M113" t="s">
        <v>106</v>
      </c>
      <c r="O113" s="3">
        <f>E113-'310785 - P0524'!F113</f>
        <v>0</v>
      </c>
      <c r="P113" s="30">
        <f>I113-'310785 - P0524'!J113</f>
        <v>0</v>
      </c>
    </row>
    <row r="114" spans="1:16" x14ac:dyDescent="0.25">
      <c r="A114">
        <v>112</v>
      </c>
      <c r="C114" t="s">
        <v>8</v>
      </c>
      <c r="D114" s="4" t="s">
        <v>117</v>
      </c>
      <c r="E114" s="12">
        <v>8.39</v>
      </c>
      <c r="F114" s="12">
        <v>8.39</v>
      </c>
      <c r="G114" s="6">
        <f t="shared" si="39"/>
        <v>0</v>
      </c>
      <c r="H114" s="7">
        <f t="shared" si="40"/>
        <v>0</v>
      </c>
      <c r="I114" s="8">
        <v>9.9493819659061415</v>
      </c>
      <c r="J114" s="9">
        <f t="shared" si="41"/>
        <v>9.9493819659061415</v>
      </c>
      <c r="K114" s="3">
        <f t="shared" si="42"/>
        <v>0</v>
      </c>
      <c r="L114" s="7">
        <f t="shared" si="43"/>
        <v>0</v>
      </c>
      <c r="M114" t="s">
        <v>106</v>
      </c>
      <c r="O114" s="3">
        <f>E114-'310785 - P0524'!F114</f>
        <v>0</v>
      </c>
      <c r="P114" s="30">
        <f>I114-'310785 - P0524'!J114</f>
        <v>0</v>
      </c>
    </row>
    <row r="115" spans="1:16" x14ac:dyDescent="0.25">
      <c r="A115">
        <v>113</v>
      </c>
      <c r="C115" t="s">
        <v>8</v>
      </c>
      <c r="D115" s="4" t="s">
        <v>118</v>
      </c>
      <c r="E115" s="12">
        <v>9.39</v>
      </c>
      <c r="F115" s="12">
        <v>9.39</v>
      </c>
      <c r="G115" s="6">
        <f t="shared" si="39"/>
        <v>0</v>
      </c>
      <c r="H115" s="7">
        <f t="shared" si="40"/>
        <v>0</v>
      </c>
      <c r="I115" s="8">
        <v>11.783981312354875</v>
      </c>
      <c r="J115" s="9">
        <f t="shared" si="41"/>
        <v>11.783981312354875</v>
      </c>
      <c r="K115" s="3">
        <f t="shared" si="42"/>
        <v>0</v>
      </c>
      <c r="L115" s="7">
        <f t="shared" si="43"/>
        <v>0</v>
      </c>
      <c r="M115" t="s">
        <v>106</v>
      </c>
      <c r="O115" s="3">
        <f>E115-'310785 - P0524'!F115</f>
        <v>0</v>
      </c>
      <c r="P115" s="30">
        <f>I115-'310785 - P0524'!J115</f>
        <v>0</v>
      </c>
    </row>
    <row r="116" spans="1:16" x14ac:dyDescent="0.25">
      <c r="A116">
        <v>114</v>
      </c>
      <c r="D116" s="2" t="s">
        <v>119</v>
      </c>
      <c r="H116" s="10">
        <f>AVERAGE(H104:H115)</f>
        <v>0</v>
      </c>
      <c r="I116"/>
      <c r="L116" s="10">
        <f>AVERAGE(L104:L115)</f>
        <v>0</v>
      </c>
    </row>
    <row r="117" spans="1:16" x14ac:dyDescent="0.25">
      <c r="A117">
        <v>115</v>
      </c>
      <c r="D117" s="2" t="s">
        <v>120</v>
      </c>
      <c r="I117"/>
      <c r="M117" t="s">
        <v>121</v>
      </c>
    </row>
    <row r="118" spans="1:16" x14ac:dyDescent="0.25">
      <c r="A118">
        <v>116</v>
      </c>
      <c r="C118" t="s">
        <v>8</v>
      </c>
      <c r="D118" s="4" t="s">
        <v>456</v>
      </c>
      <c r="E118" s="12">
        <v>6.3</v>
      </c>
      <c r="F118" s="12">
        <v>6.3</v>
      </c>
      <c r="G118" s="13">
        <f t="shared" ref="G118:G153" si="44">+F118-E118</f>
        <v>0</v>
      </c>
      <c r="H118" s="7">
        <f t="shared" ref="H118:H155" si="45">(F118-E118)/ABS(E118)</f>
        <v>0</v>
      </c>
      <c r="I118" s="8">
        <v>8.2214999999999989</v>
      </c>
      <c r="J118" s="9">
        <f t="shared" ref="J118:J155" si="46">(I118*H118)+I118</f>
        <v>8.2214999999999989</v>
      </c>
      <c r="K118" s="3">
        <f t="shared" ref="K118:K155" si="47">J118-I118</f>
        <v>0</v>
      </c>
      <c r="L118" s="7">
        <f t="shared" ref="L118:L155" si="48">(J118-I118)/ABS(I118)</f>
        <v>0</v>
      </c>
      <c r="M118" t="s">
        <v>121</v>
      </c>
      <c r="O118" s="3">
        <f>E118-'310785 - P0524'!F118</f>
        <v>0</v>
      </c>
      <c r="P118" s="30">
        <f>I118-'310785 - P0524'!J118</f>
        <v>0</v>
      </c>
    </row>
    <row r="119" spans="1:16" x14ac:dyDescent="0.25">
      <c r="A119">
        <v>117</v>
      </c>
      <c r="C119" t="s">
        <v>8</v>
      </c>
      <c r="D119" s="4" t="s">
        <v>457</v>
      </c>
      <c r="E119" s="12">
        <v>6.93</v>
      </c>
      <c r="F119" s="12">
        <v>6.93</v>
      </c>
      <c r="G119" s="13">
        <f t="shared" si="44"/>
        <v>0</v>
      </c>
      <c r="H119" s="7">
        <f t="shared" si="45"/>
        <v>0</v>
      </c>
      <c r="I119" s="8">
        <v>8.9245000000000001</v>
      </c>
      <c r="J119" s="9">
        <f t="shared" si="46"/>
        <v>8.9245000000000001</v>
      </c>
      <c r="K119" s="3">
        <f t="shared" si="47"/>
        <v>0</v>
      </c>
      <c r="L119" s="7">
        <f t="shared" si="48"/>
        <v>0</v>
      </c>
      <c r="M119" t="s">
        <v>121</v>
      </c>
      <c r="O119" s="3">
        <f>E119-'310785 - P0524'!F119</f>
        <v>0</v>
      </c>
      <c r="P119" s="30">
        <f>I119-'310785 - P0524'!J119</f>
        <v>0</v>
      </c>
    </row>
    <row r="120" spans="1:16" x14ac:dyDescent="0.25">
      <c r="A120">
        <v>118</v>
      </c>
      <c r="C120" t="s">
        <v>8</v>
      </c>
      <c r="D120" s="4" t="s">
        <v>458</v>
      </c>
      <c r="E120" s="12">
        <v>7.98</v>
      </c>
      <c r="F120" s="12">
        <v>7.98</v>
      </c>
      <c r="G120" s="13">
        <f t="shared" si="44"/>
        <v>0</v>
      </c>
      <c r="H120" s="7">
        <f t="shared" si="45"/>
        <v>0</v>
      </c>
      <c r="I120" s="8">
        <v>10.762500000000001</v>
      </c>
      <c r="J120" s="9">
        <f t="shared" si="46"/>
        <v>10.762500000000001</v>
      </c>
      <c r="K120" s="3">
        <f t="shared" si="47"/>
        <v>0</v>
      </c>
      <c r="L120" s="7">
        <f t="shared" si="48"/>
        <v>0</v>
      </c>
      <c r="M120" t="s">
        <v>121</v>
      </c>
      <c r="O120" s="3">
        <f>E120-'310785 - P0524'!F120</f>
        <v>0</v>
      </c>
      <c r="P120" s="30">
        <f>I120-'310785 - P0524'!J120</f>
        <v>0</v>
      </c>
    </row>
    <row r="121" spans="1:16" x14ac:dyDescent="0.25">
      <c r="A121">
        <v>119</v>
      </c>
      <c r="C121" t="s">
        <v>8</v>
      </c>
      <c r="D121" s="4" t="s">
        <v>460</v>
      </c>
      <c r="E121" s="12">
        <v>10.08</v>
      </c>
      <c r="F121" s="12">
        <v>10.08</v>
      </c>
      <c r="G121" s="6">
        <f t="shared" si="44"/>
        <v>0</v>
      </c>
      <c r="H121" s="7">
        <f t="shared" si="45"/>
        <v>0</v>
      </c>
      <c r="I121" s="8">
        <v>14.563499999999999</v>
      </c>
      <c r="J121" s="9">
        <f t="shared" si="46"/>
        <v>14.563499999999999</v>
      </c>
      <c r="K121" s="3">
        <f t="shared" si="47"/>
        <v>0</v>
      </c>
      <c r="L121" s="7">
        <f t="shared" si="48"/>
        <v>0</v>
      </c>
      <c r="M121" t="s">
        <v>121</v>
      </c>
      <c r="O121" s="3">
        <f>E121-'310785 - P0524'!F121</f>
        <v>0</v>
      </c>
      <c r="P121" s="30">
        <f>I121-'310785 - P0524'!J121</f>
        <v>0</v>
      </c>
    </row>
    <row r="122" spans="1:16" x14ac:dyDescent="0.25">
      <c r="A122">
        <v>120</v>
      </c>
      <c r="C122" t="s">
        <v>8</v>
      </c>
      <c r="D122" s="4" t="s">
        <v>459</v>
      </c>
      <c r="E122" s="14">
        <v>26.88</v>
      </c>
      <c r="F122" s="14">
        <v>26.88</v>
      </c>
      <c r="G122" s="6">
        <f t="shared" si="44"/>
        <v>0</v>
      </c>
      <c r="H122" s="7">
        <f t="shared" si="45"/>
        <v>0</v>
      </c>
      <c r="I122" s="8">
        <v>39.973499999999994</v>
      </c>
      <c r="J122" s="9">
        <f t="shared" si="46"/>
        <v>39.973499999999994</v>
      </c>
      <c r="K122" s="3">
        <f t="shared" si="47"/>
        <v>0</v>
      </c>
      <c r="L122" s="7">
        <f t="shared" si="48"/>
        <v>0</v>
      </c>
      <c r="M122" t="s">
        <v>121</v>
      </c>
      <c r="O122" s="3">
        <f>E122-'310785 - P0524'!F122</f>
        <v>0</v>
      </c>
      <c r="P122" s="30">
        <f>I122-'310785 - P0524'!J122</f>
        <v>0</v>
      </c>
    </row>
    <row r="123" spans="1:16" x14ac:dyDescent="0.25">
      <c r="A123">
        <v>121</v>
      </c>
      <c r="C123" t="s">
        <v>8</v>
      </c>
      <c r="D123" s="4" t="s">
        <v>122</v>
      </c>
      <c r="E123" s="12">
        <v>6.25</v>
      </c>
      <c r="F123" s="12">
        <v>6.25</v>
      </c>
      <c r="G123" s="6">
        <f t="shared" si="44"/>
        <v>0</v>
      </c>
      <c r="H123" s="7">
        <f t="shared" si="45"/>
        <v>0</v>
      </c>
      <c r="I123" s="8">
        <v>6.930903510039002</v>
      </c>
      <c r="J123" s="9">
        <f t="shared" si="46"/>
        <v>6.930903510039002</v>
      </c>
      <c r="K123" s="3">
        <f t="shared" si="47"/>
        <v>0</v>
      </c>
      <c r="L123" s="7">
        <f t="shared" si="48"/>
        <v>0</v>
      </c>
      <c r="M123" t="s">
        <v>121</v>
      </c>
      <c r="O123" s="3">
        <f>E123-'310785 - P0524'!F123</f>
        <v>0</v>
      </c>
      <c r="P123" s="30">
        <f>I123-'310785 - P0524'!J123</f>
        <v>0</v>
      </c>
    </row>
    <row r="124" spans="1:16" x14ac:dyDescent="0.25">
      <c r="A124">
        <v>122</v>
      </c>
      <c r="C124" t="s">
        <v>8</v>
      </c>
      <c r="D124" s="4" t="s">
        <v>123</v>
      </c>
      <c r="E124" s="12">
        <v>8.6300000000000008</v>
      </c>
      <c r="F124" s="12">
        <v>8.6300000000000008</v>
      </c>
      <c r="G124" s="13">
        <f t="shared" si="44"/>
        <v>0</v>
      </c>
      <c r="H124" s="7">
        <f t="shared" si="45"/>
        <v>0</v>
      </c>
      <c r="I124" s="8">
        <v>8.7073886883273168</v>
      </c>
      <c r="J124" s="9">
        <f t="shared" si="46"/>
        <v>8.7073886883273168</v>
      </c>
      <c r="K124" s="3">
        <f t="shared" si="47"/>
        <v>0</v>
      </c>
      <c r="L124" s="7">
        <f t="shared" si="48"/>
        <v>0</v>
      </c>
      <c r="M124" t="s">
        <v>121</v>
      </c>
      <c r="O124" s="3">
        <f>E124-'310785 - P0524'!F124</f>
        <v>0</v>
      </c>
      <c r="P124" s="30">
        <f>I124-'310785 - P0524'!J124</f>
        <v>0</v>
      </c>
    </row>
    <row r="125" spans="1:16" x14ac:dyDescent="0.25">
      <c r="A125">
        <v>123</v>
      </c>
      <c r="C125" t="s">
        <v>8</v>
      </c>
      <c r="D125" s="4" t="s">
        <v>124</v>
      </c>
      <c r="E125" s="12">
        <v>9.82</v>
      </c>
      <c r="F125" s="12">
        <v>9.82</v>
      </c>
      <c r="G125" s="13">
        <f t="shared" si="44"/>
        <v>0</v>
      </c>
      <c r="H125" s="7">
        <f t="shared" si="45"/>
        <v>0</v>
      </c>
      <c r="I125" s="8">
        <v>10.822370370370372</v>
      </c>
      <c r="J125" s="9">
        <f t="shared" si="46"/>
        <v>10.822370370370372</v>
      </c>
      <c r="K125" s="3">
        <f t="shared" si="47"/>
        <v>0</v>
      </c>
      <c r="L125" s="7">
        <f t="shared" si="48"/>
        <v>0</v>
      </c>
      <c r="M125" t="s">
        <v>121</v>
      </c>
      <c r="O125" s="3">
        <f>E125-'310785 - P0524'!F125</f>
        <v>0</v>
      </c>
      <c r="P125" s="30">
        <f>I125-'310785 - P0524'!J125</f>
        <v>0</v>
      </c>
    </row>
    <row r="126" spans="1:16" x14ac:dyDescent="0.25">
      <c r="A126">
        <v>124</v>
      </c>
      <c r="C126" t="s">
        <v>8</v>
      </c>
      <c r="D126" s="4" t="s">
        <v>125</v>
      </c>
      <c r="E126" s="12">
        <v>11.01</v>
      </c>
      <c r="F126" s="12">
        <v>11.01</v>
      </c>
      <c r="G126" s="13">
        <f t="shared" si="44"/>
        <v>0</v>
      </c>
      <c r="H126" s="7">
        <f t="shared" si="45"/>
        <v>0</v>
      </c>
      <c r="I126" s="8">
        <v>12.518858490566037</v>
      </c>
      <c r="J126" s="9">
        <f t="shared" si="46"/>
        <v>12.518858490566037</v>
      </c>
      <c r="K126" s="3">
        <f t="shared" si="47"/>
        <v>0</v>
      </c>
      <c r="L126" s="7">
        <f t="shared" si="48"/>
        <v>0</v>
      </c>
      <c r="M126" t="s">
        <v>121</v>
      </c>
      <c r="O126" s="3">
        <f>E126-'310785 - P0524'!F126</f>
        <v>0</v>
      </c>
      <c r="P126" s="30">
        <f>I126-'310785 - P0524'!J126</f>
        <v>0</v>
      </c>
    </row>
    <row r="127" spans="1:16" x14ac:dyDescent="0.25">
      <c r="A127">
        <v>125</v>
      </c>
      <c r="C127" t="s">
        <v>8</v>
      </c>
      <c r="D127" s="4" t="s">
        <v>126</v>
      </c>
      <c r="E127" s="12">
        <v>12.13</v>
      </c>
      <c r="F127" s="12">
        <v>12.13</v>
      </c>
      <c r="G127" s="6">
        <f t="shared" si="44"/>
        <v>0</v>
      </c>
      <c r="H127" s="7">
        <f t="shared" si="45"/>
        <v>0</v>
      </c>
      <c r="I127" s="8">
        <v>13.092551369863015</v>
      </c>
      <c r="J127" s="9">
        <f t="shared" si="46"/>
        <v>13.092551369863015</v>
      </c>
      <c r="K127" s="3">
        <f t="shared" si="47"/>
        <v>0</v>
      </c>
      <c r="L127" s="7">
        <f t="shared" si="48"/>
        <v>0</v>
      </c>
      <c r="M127" t="s">
        <v>121</v>
      </c>
      <c r="O127" s="3">
        <f>E127-'310785 - P0524'!F127</f>
        <v>0</v>
      </c>
      <c r="P127" s="30">
        <f>I127-'310785 - P0524'!J127</f>
        <v>0</v>
      </c>
    </row>
    <row r="128" spans="1:16" x14ac:dyDescent="0.25">
      <c r="A128">
        <v>126</v>
      </c>
      <c r="C128" t="s">
        <v>8</v>
      </c>
      <c r="D128" s="4" t="s">
        <v>127</v>
      </c>
      <c r="E128" s="12">
        <v>16.18</v>
      </c>
      <c r="F128" s="12">
        <v>16.18</v>
      </c>
      <c r="G128" s="6">
        <f t="shared" si="44"/>
        <v>0</v>
      </c>
      <c r="H128" s="7">
        <f t="shared" si="45"/>
        <v>0</v>
      </c>
      <c r="I128" s="8">
        <v>18.131712053429638</v>
      </c>
      <c r="J128" s="9">
        <f t="shared" si="46"/>
        <v>18.131712053429638</v>
      </c>
      <c r="K128" s="3">
        <f t="shared" si="47"/>
        <v>0</v>
      </c>
      <c r="L128" s="7">
        <f t="shared" si="48"/>
        <v>0</v>
      </c>
      <c r="M128" t="s">
        <v>121</v>
      </c>
      <c r="O128" s="3">
        <f>E128-'310785 - P0524'!F128</f>
        <v>0</v>
      </c>
      <c r="P128" s="30">
        <f>I128-'310785 - P0524'!J128</f>
        <v>0</v>
      </c>
    </row>
    <row r="129" spans="1:16" x14ac:dyDescent="0.25">
      <c r="A129">
        <v>127</v>
      </c>
      <c r="C129" t="s">
        <v>8</v>
      </c>
      <c r="D129" s="4" t="s">
        <v>128</v>
      </c>
      <c r="E129" s="12">
        <v>7.18</v>
      </c>
      <c r="F129" s="12">
        <v>7.18</v>
      </c>
      <c r="G129" s="6">
        <f t="shared" si="44"/>
        <v>0</v>
      </c>
      <c r="H129" s="7">
        <f t="shared" si="45"/>
        <v>0</v>
      </c>
      <c r="I129" s="8">
        <v>8.8881221902017273</v>
      </c>
      <c r="J129" s="9">
        <f t="shared" si="46"/>
        <v>8.8881221902017273</v>
      </c>
      <c r="K129" s="3">
        <f t="shared" si="47"/>
        <v>0</v>
      </c>
      <c r="L129" s="7">
        <f t="shared" si="48"/>
        <v>0</v>
      </c>
      <c r="M129" t="s">
        <v>121</v>
      </c>
      <c r="O129" s="3">
        <f>E129-'310785 - P0524'!F129</f>
        <v>0</v>
      </c>
      <c r="P129" s="30">
        <f>I129-'310785 - P0524'!J129</f>
        <v>0</v>
      </c>
    </row>
    <row r="130" spans="1:16" x14ac:dyDescent="0.25">
      <c r="A130">
        <v>128</v>
      </c>
      <c r="C130" t="s">
        <v>8</v>
      </c>
      <c r="D130" s="22" t="s">
        <v>504</v>
      </c>
      <c r="E130" s="12">
        <v>7.18</v>
      </c>
      <c r="F130" s="12">
        <v>7.18</v>
      </c>
      <c r="G130" s="6">
        <f t="shared" si="44"/>
        <v>0</v>
      </c>
      <c r="H130" s="7">
        <f t="shared" si="45"/>
        <v>0</v>
      </c>
      <c r="I130" s="8">
        <v>8.8881221902017273</v>
      </c>
      <c r="J130" s="9">
        <f t="shared" si="46"/>
        <v>8.8881221902017273</v>
      </c>
      <c r="K130" s="3">
        <f t="shared" si="47"/>
        <v>0</v>
      </c>
      <c r="L130" s="7">
        <f t="shared" si="48"/>
        <v>0</v>
      </c>
      <c r="M130" t="s">
        <v>121</v>
      </c>
      <c r="O130" s="3">
        <f>E130-'310785 - P0524'!F130</f>
        <v>0</v>
      </c>
      <c r="P130" s="30">
        <f>I130-'310785 - P0524'!J130</f>
        <v>0</v>
      </c>
    </row>
    <row r="131" spans="1:16" x14ac:dyDescent="0.25">
      <c r="A131">
        <v>129</v>
      </c>
      <c r="C131" t="s">
        <v>8</v>
      </c>
      <c r="D131" s="4" t="s">
        <v>129</v>
      </c>
      <c r="E131" s="12">
        <v>31.782399999999999</v>
      </c>
      <c r="F131" s="12">
        <v>31.782399999999999</v>
      </c>
      <c r="G131" s="6">
        <f t="shared" si="44"/>
        <v>0</v>
      </c>
      <c r="H131" s="7">
        <f t="shared" si="45"/>
        <v>0</v>
      </c>
      <c r="I131" s="8">
        <v>42.795999999999999</v>
      </c>
      <c r="J131" s="9">
        <f t="shared" si="46"/>
        <v>42.795999999999999</v>
      </c>
      <c r="K131" s="3">
        <f t="shared" si="47"/>
        <v>0</v>
      </c>
      <c r="L131" s="7">
        <f t="shared" si="48"/>
        <v>0</v>
      </c>
      <c r="M131" t="s">
        <v>121</v>
      </c>
      <c r="O131" s="3">
        <f>E131-'310785 - P0524'!F131</f>
        <v>0</v>
      </c>
      <c r="P131" s="30">
        <f>I131-'310785 - P0524'!J131</f>
        <v>0</v>
      </c>
    </row>
    <row r="132" spans="1:16" x14ac:dyDescent="0.25">
      <c r="A132">
        <v>130</v>
      </c>
      <c r="C132" t="s">
        <v>8</v>
      </c>
      <c r="D132" s="4" t="s">
        <v>130</v>
      </c>
      <c r="E132" s="14">
        <v>38.08</v>
      </c>
      <c r="F132" s="14">
        <v>38.08</v>
      </c>
      <c r="G132" s="6">
        <f t="shared" si="44"/>
        <v>0</v>
      </c>
      <c r="H132" s="7">
        <f t="shared" si="45"/>
        <v>0</v>
      </c>
      <c r="I132" s="8">
        <v>43.505252249795468</v>
      </c>
      <c r="J132" s="9">
        <f t="shared" si="46"/>
        <v>43.505252249795468</v>
      </c>
      <c r="K132" s="3">
        <f t="shared" si="47"/>
        <v>0</v>
      </c>
      <c r="L132" s="7">
        <f t="shared" si="48"/>
        <v>0</v>
      </c>
      <c r="M132" t="s">
        <v>121</v>
      </c>
      <c r="O132" s="3">
        <f>E132-'310785 - P0524'!F132</f>
        <v>0</v>
      </c>
      <c r="P132" s="30">
        <f>I132-'310785 - P0524'!J132</f>
        <v>0</v>
      </c>
    </row>
    <row r="133" spans="1:16" x14ac:dyDescent="0.25">
      <c r="A133">
        <v>131</v>
      </c>
      <c r="C133" t="s">
        <v>8</v>
      </c>
      <c r="D133" s="4" t="s">
        <v>131</v>
      </c>
      <c r="E133" s="14">
        <v>38.08</v>
      </c>
      <c r="F133" s="14">
        <v>38.08</v>
      </c>
      <c r="G133" s="6">
        <f t="shared" si="44"/>
        <v>0</v>
      </c>
      <c r="H133" s="7">
        <f t="shared" si="45"/>
        <v>0</v>
      </c>
      <c r="I133" s="8">
        <v>57.541818816471228</v>
      </c>
      <c r="J133" s="9">
        <f t="shared" si="46"/>
        <v>57.541818816471228</v>
      </c>
      <c r="K133" s="3">
        <f t="shared" si="47"/>
        <v>0</v>
      </c>
      <c r="L133" s="7">
        <f t="shared" si="48"/>
        <v>0</v>
      </c>
      <c r="M133" t="s">
        <v>121</v>
      </c>
      <c r="O133" s="3">
        <f>E133-'310785 - P0524'!F133</f>
        <v>0</v>
      </c>
      <c r="P133" s="30">
        <f>I133-'310785 - P0524'!J133</f>
        <v>0</v>
      </c>
    </row>
    <row r="134" spans="1:16" x14ac:dyDescent="0.25">
      <c r="A134">
        <v>132</v>
      </c>
      <c r="C134" t="s">
        <v>8</v>
      </c>
      <c r="D134" s="4" t="s">
        <v>132</v>
      </c>
      <c r="E134" s="12">
        <v>15.8436</v>
      </c>
      <c r="F134" s="12">
        <v>15.8436</v>
      </c>
      <c r="G134" s="6">
        <f t="shared" si="44"/>
        <v>0</v>
      </c>
      <c r="H134" s="7">
        <f t="shared" si="45"/>
        <v>0</v>
      </c>
      <c r="I134" s="8">
        <v>19.584000000000003</v>
      </c>
      <c r="J134" s="9">
        <f t="shared" si="46"/>
        <v>19.584000000000003</v>
      </c>
      <c r="K134" s="3">
        <f t="shared" si="47"/>
        <v>0</v>
      </c>
      <c r="L134" s="7">
        <f t="shared" si="48"/>
        <v>0</v>
      </c>
      <c r="M134" t="s">
        <v>121</v>
      </c>
      <c r="O134" s="3">
        <f>E134-'310785 - P0524'!F134</f>
        <v>0</v>
      </c>
      <c r="P134" s="30">
        <f>I134-'310785 - P0524'!J134</f>
        <v>0</v>
      </c>
    </row>
    <row r="135" spans="1:16" x14ac:dyDescent="0.25">
      <c r="A135">
        <v>133</v>
      </c>
      <c r="C135" t="s">
        <v>8</v>
      </c>
      <c r="D135" s="4" t="s">
        <v>133</v>
      </c>
      <c r="E135" s="12">
        <v>36.493200000000002</v>
      </c>
      <c r="F135" s="12">
        <v>36.493200000000002</v>
      </c>
      <c r="G135" s="6">
        <f t="shared" si="44"/>
        <v>0</v>
      </c>
      <c r="H135" s="7">
        <f t="shared" si="45"/>
        <v>0</v>
      </c>
      <c r="I135" s="8">
        <v>43.51</v>
      </c>
      <c r="J135" s="9">
        <f t="shared" si="46"/>
        <v>43.51</v>
      </c>
      <c r="K135" s="3">
        <f t="shared" si="47"/>
        <v>0</v>
      </c>
      <c r="L135" s="7">
        <f t="shared" si="48"/>
        <v>0</v>
      </c>
      <c r="M135" t="s">
        <v>121</v>
      </c>
      <c r="O135" s="3">
        <f>E135-'310785 - P0524'!F135</f>
        <v>0</v>
      </c>
      <c r="P135" s="30">
        <f>I135-'310785 - P0524'!J135</f>
        <v>0</v>
      </c>
    </row>
    <row r="136" spans="1:16" x14ac:dyDescent="0.25">
      <c r="A136">
        <v>134</v>
      </c>
      <c r="C136" t="s">
        <v>8</v>
      </c>
      <c r="D136" s="4" t="s">
        <v>134</v>
      </c>
      <c r="E136" s="12">
        <v>54.151200000000003</v>
      </c>
      <c r="F136" s="12">
        <v>54.151200000000003</v>
      </c>
      <c r="G136" s="6">
        <f t="shared" si="44"/>
        <v>0</v>
      </c>
      <c r="H136" s="7">
        <f t="shared" si="45"/>
        <v>0</v>
      </c>
      <c r="I136" s="8">
        <v>92.212972774869115</v>
      </c>
      <c r="J136" s="9">
        <f t="shared" si="46"/>
        <v>92.212972774869115</v>
      </c>
      <c r="K136" s="3">
        <f t="shared" si="47"/>
        <v>0</v>
      </c>
      <c r="L136" s="7">
        <f t="shared" si="48"/>
        <v>0</v>
      </c>
      <c r="M136" t="s">
        <v>121</v>
      </c>
      <c r="O136" s="3">
        <f>E136-'310785 - P0524'!F136</f>
        <v>0</v>
      </c>
      <c r="P136" s="30">
        <f>I136-'310785 - P0524'!J136</f>
        <v>0</v>
      </c>
    </row>
    <row r="137" spans="1:16" x14ac:dyDescent="0.25">
      <c r="A137">
        <v>135</v>
      </c>
      <c r="C137" t="s">
        <v>8</v>
      </c>
      <c r="D137" s="4" t="s">
        <v>135</v>
      </c>
      <c r="E137" s="12">
        <v>6.0588000000000006</v>
      </c>
      <c r="F137" s="12">
        <v>6.0588000000000006</v>
      </c>
      <c r="G137" s="6">
        <f t="shared" si="44"/>
        <v>0</v>
      </c>
      <c r="H137" s="7">
        <f t="shared" si="45"/>
        <v>0</v>
      </c>
      <c r="I137" s="8">
        <v>9.417600000000002</v>
      </c>
      <c r="J137" s="9">
        <f t="shared" si="46"/>
        <v>9.417600000000002</v>
      </c>
      <c r="K137" s="3">
        <f t="shared" si="47"/>
        <v>0</v>
      </c>
      <c r="L137" s="7">
        <f t="shared" si="48"/>
        <v>0</v>
      </c>
      <c r="M137" t="s">
        <v>121</v>
      </c>
      <c r="O137" s="3">
        <f>E137-'310785 - P0524'!F137</f>
        <v>0</v>
      </c>
      <c r="P137" s="30">
        <f>I137-'310785 - P0524'!J137</f>
        <v>0</v>
      </c>
    </row>
    <row r="138" spans="1:16" x14ac:dyDescent="0.25">
      <c r="A138">
        <v>136</v>
      </c>
      <c r="C138" t="s">
        <v>8</v>
      </c>
      <c r="D138" s="4" t="s">
        <v>136</v>
      </c>
      <c r="E138" s="12">
        <v>10.7028</v>
      </c>
      <c r="F138" s="12">
        <v>10.7028</v>
      </c>
      <c r="G138" s="6">
        <f t="shared" si="44"/>
        <v>0</v>
      </c>
      <c r="H138" s="7">
        <f t="shared" si="45"/>
        <v>0</v>
      </c>
      <c r="I138" s="8">
        <v>14.990400000000001</v>
      </c>
      <c r="J138" s="9">
        <f t="shared" si="46"/>
        <v>14.990400000000001</v>
      </c>
      <c r="K138" s="3">
        <f t="shared" si="47"/>
        <v>0</v>
      </c>
      <c r="L138" s="7">
        <f t="shared" si="48"/>
        <v>0</v>
      </c>
      <c r="M138" t="s">
        <v>121</v>
      </c>
      <c r="O138" s="3">
        <f>E138-'310785 - P0524'!F138</f>
        <v>0</v>
      </c>
      <c r="P138" s="30">
        <f>I138-'310785 - P0524'!J138</f>
        <v>0</v>
      </c>
    </row>
    <row r="139" spans="1:16" x14ac:dyDescent="0.25">
      <c r="A139">
        <v>137</v>
      </c>
      <c r="C139" t="s">
        <v>8</v>
      </c>
      <c r="D139" s="4" t="s">
        <v>137</v>
      </c>
      <c r="E139" s="12">
        <v>16.0488</v>
      </c>
      <c r="F139" s="12">
        <v>16.0488</v>
      </c>
      <c r="G139" s="6">
        <f t="shared" si="44"/>
        <v>0</v>
      </c>
      <c r="H139" s="7">
        <f t="shared" si="45"/>
        <v>0</v>
      </c>
      <c r="I139" s="8">
        <v>22.485600000000002</v>
      </c>
      <c r="J139" s="9">
        <f t="shared" si="46"/>
        <v>22.485600000000002</v>
      </c>
      <c r="K139" s="3">
        <f t="shared" si="47"/>
        <v>0</v>
      </c>
      <c r="L139" s="7">
        <f t="shared" si="48"/>
        <v>0</v>
      </c>
      <c r="M139" t="s">
        <v>121</v>
      </c>
      <c r="O139" s="3">
        <f>E139-'310785 - P0524'!F139</f>
        <v>0</v>
      </c>
      <c r="P139" s="30">
        <f>I139-'310785 - P0524'!J139</f>
        <v>0</v>
      </c>
    </row>
    <row r="140" spans="1:16" x14ac:dyDescent="0.25">
      <c r="A140">
        <v>138</v>
      </c>
      <c r="C140" t="s">
        <v>8</v>
      </c>
      <c r="D140" s="4" t="s">
        <v>138</v>
      </c>
      <c r="E140" s="12">
        <v>21.4056</v>
      </c>
      <c r="F140" s="12">
        <v>21.4056</v>
      </c>
      <c r="G140" s="6">
        <f t="shared" si="44"/>
        <v>0</v>
      </c>
      <c r="H140" s="7">
        <f t="shared" si="45"/>
        <v>0</v>
      </c>
      <c r="I140" s="8">
        <v>31.557599999999997</v>
      </c>
      <c r="J140" s="9">
        <f t="shared" si="46"/>
        <v>31.557599999999997</v>
      </c>
      <c r="K140" s="3">
        <f t="shared" si="47"/>
        <v>0</v>
      </c>
      <c r="L140" s="7">
        <f t="shared" si="48"/>
        <v>0</v>
      </c>
      <c r="M140" t="s">
        <v>121</v>
      </c>
      <c r="O140" s="3">
        <f>E140-'310785 - P0524'!F140</f>
        <v>0</v>
      </c>
      <c r="P140" s="30">
        <f>I140-'310785 - P0524'!J140</f>
        <v>0</v>
      </c>
    </row>
    <row r="141" spans="1:16" x14ac:dyDescent="0.25">
      <c r="A141">
        <v>139</v>
      </c>
      <c r="C141" t="s">
        <v>8</v>
      </c>
      <c r="D141" s="4" t="s">
        <v>139</v>
      </c>
      <c r="E141" s="12">
        <v>29.019600000000001</v>
      </c>
      <c r="F141" s="12">
        <v>29.019600000000001</v>
      </c>
      <c r="G141" s="6">
        <f>+F141-E141</f>
        <v>0</v>
      </c>
      <c r="H141" s="7">
        <f t="shared" si="45"/>
        <v>0</v>
      </c>
      <c r="I141" s="8">
        <v>45.165599999999998</v>
      </c>
      <c r="J141" s="9">
        <f t="shared" si="46"/>
        <v>45.165599999999998</v>
      </c>
      <c r="K141" s="3">
        <f t="shared" si="47"/>
        <v>0</v>
      </c>
      <c r="L141" s="7">
        <f t="shared" si="48"/>
        <v>0</v>
      </c>
      <c r="M141" t="s">
        <v>121</v>
      </c>
      <c r="O141" s="3">
        <f>E141-'310785 - P0524'!F141</f>
        <v>0</v>
      </c>
      <c r="P141" s="30">
        <f>I141-'310785 - P0524'!J141</f>
        <v>0</v>
      </c>
    </row>
    <row r="142" spans="1:16" x14ac:dyDescent="0.25">
      <c r="A142">
        <v>140</v>
      </c>
      <c r="C142" t="s">
        <v>8</v>
      </c>
      <c r="D142" s="4" t="s">
        <v>140</v>
      </c>
      <c r="E142" s="12">
        <v>34.819200000000002</v>
      </c>
      <c r="F142" s="12">
        <v>34.819200000000002</v>
      </c>
      <c r="G142" s="6">
        <f t="shared" si="44"/>
        <v>0</v>
      </c>
      <c r="H142" s="7">
        <f t="shared" si="45"/>
        <v>0</v>
      </c>
      <c r="I142" s="8">
        <v>54.205199999999998</v>
      </c>
      <c r="J142" s="9">
        <f t="shared" si="46"/>
        <v>54.205199999999998</v>
      </c>
      <c r="K142" s="3">
        <f t="shared" si="47"/>
        <v>0</v>
      </c>
      <c r="L142" s="7">
        <f t="shared" si="48"/>
        <v>0</v>
      </c>
      <c r="M142" t="s">
        <v>121</v>
      </c>
      <c r="O142" s="3">
        <f>E142-'310785 - P0524'!F142</f>
        <v>0</v>
      </c>
      <c r="P142" s="30">
        <f>I142-'310785 - P0524'!J142</f>
        <v>0</v>
      </c>
    </row>
    <row r="143" spans="1:16" x14ac:dyDescent="0.25">
      <c r="A143">
        <v>141</v>
      </c>
      <c r="C143" t="s">
        <v>8</v>
      </c>
      <c r="D143" s="4" t="s">
        <v>141</v>
      </c>
      <c r="E143" s="12">
        <v>7.7867999999999995</v>
      </c>
      <c r="F143" s="12">
        <v>7.7867999999999995</v>
      </c>
      <c r="G143" s="6">
        <f t="shared" si="44"/>
        <v>0</v>
      </c>
      <c r="H143" s="7">
        <f t="shared" si="45"/>
        <v>0</v>
      </c>
      <c r="I143" s="8">
        <v>11.102399999999999</v>
      </c>
      <c r="J143" s="9">
        <f t="shared" si="46"/>
        <v>11.102399999999999</v>
      </c>
      <c r="K143" s="3">
        <f t="shared" si="47"/>
        <v>0</v>
      </c>
      <c r="L143" s="7">
        <f t="shared" si="48"/>
        <v>0</v>
      </c>
      <c r="M143" t="s">
        <v>121</v>
      </c>
      <c r="O143" s="3">
        <f>E143-'310785 - P0524'!F143</f>
        <v>0</v>
      </c>
      <c r="P143" s="30">
        <f>I143-'310785 - P0524'!J143</f>
        <v>0</v>
      </c>
    </row>
    <row r="144" spans="1:16" x14ac:dyDescent="0.25">
      <c r="A144">
        <v>142</v>
      </c>
      <c r="C144" t="s">
        <v>8</v>
      </c>
      <c r="D144" s="4" t="s">
        <v>142</v>
      </c>
      <c r="E144" s="12">
        <v>12.0528</v>
      </c>
      <c r="F144" s="12">
        <v>12.0528</v>
      </c>
      <c r="G144" s="6">
        <f t="shared" si="44"/>
        <v>0</v>
      </c>
      <c r="H144" s="7">
        <f t="shared" si="45"/>
        <v>0</v>
      </c>
      <c r="I144" s="8">
        <v>16.880400000000002</v>
      </c>
      <c r="J144" s="9">
        <f t="shared" si="46"/>
        <v>16.880400000000002</v>
      </c>
      <c r="K144" s="3">
        <f t="shared" si="47"/>
        <v>0</v>
      </c>
      <c r="L144" s="7">
        <f t="shared" si="48"/>
        <v>0</v>
      </c>
      <c r="M144" t="s">
        <v>121</v>
      </c>
      <c r="O144" s="3">
        <f>E144-'310785 - P0524'!F144</f>
        <v>0</v>
      </c>
      <c r="P144" s="30">
        <f>I144-'310785 - P0524'!J144</f>
        <v>0</v>
      </c>
    </row>
    <row r="145" spans="1:16" x14ac:dyDescent="0.25">
      <c r="A145">
        <v>143</v>
      </c>
      <c r="C145" t="s">
        <v>8</v>
      </c>
      <c r="D145" s="4" t="s">
        <v>143</v>
      </c>
      <c r="E145" s="12">
        <v>18.0792</v>
      </c>
      <c r="F145" s="12">
        <v>18.0792</v>
      </c>
      <c r="G145" s="6">
        <f t="shared" si="44"/>
        <v>0</v>
      </c>
      <c r="H145" s="7">
        <f t="shared" si="45"/>
        <v>0</v>
      </c>
      <c r="I145" s="8">
        <v>25.315200000000004</v>
      </c>
      <c r="J145" s="9">
        <f t="shared" si="46"/>
        <v>25.315200000000004</v>
      </c>
      <c r="K145" s="3">
        <f t="shared" si="47"/>
        <v>0</v>
      </c>
      <c r="L145" s="7">
        <f t="shared" si="48"/>
        <v>0</v>
      </c>
      <c r="M145" t="s">
        <v>121</v>
      </c>
      <c r="O145" s="3">
        <f>E145-'310785 - P0524'!F145</f>
        <v>0</v>
      </c>
      <c r="P145" s="30">
        <f>I145-'310785 - P0524'!J145</f>
        <v>0</v>
      </c>
    </row>
    <row r="146" spans="1:16" x14ac:dyDescent="0.25">
      <c r="A146">
        <v>144</v>
      </c>
      <c r="C146" t="s">
        <v>8</v>
      </c>
      <c r="D146" s="4" t="s">
        <v>144</v>
      </c>
      <c r="E146" s="12">
        <v>24.094799999999999</v>
      </c>
      <c r="F146" s="12">
        <v>24.094799999999999</v>
      </c>
      <c r="G146" s="6">
        <f t="shared" si="44"/>
        <v>0</v>
      </c>
      <c r="H146" s="7">
        <f t="shared" si="45"/>
        <v>0</v>
      </c>
      <c r="I146" s="8">
        <v>35.531999999999996</v>
      </c>
      <c r="J146" s="9">
        <f t="shared" si="46"/>
        <v>35.531999999999996</v>
      </c>
      <c r="K146" s="3">
        <f t="shared" si="47"/>
        <v>0</v>
      </c>
      <c r="L146" s="7">
        <f t="shared" si="48"/>
        <v>0</v>
      </c>
      <c r="M146" t="s">
        <v>121</v>
      </c>
      <c r="O146" s="3">
        <f>E146-'310785 - P0524'!F146</f>
        <v>0</v>
      </c>
      <c r="P146" s="30">
        <f>I146-'310785 - P0524'!J146</f>
        <v>0</v>
      </c>
    </row>
    <row r="147" spans="1:16" x14ac:dyDescent="0.25">
      <c r="A147">
        <v>145</v>
      </c>
      <c r="C147" t="s">
        <v>8</v>
      </c>
      <c r="D147" s="4" t="s">
        <v>145</v>
      </c>
      <c r="E147" s="12">
        <v>33.706800000000001</v>
      </c>
      <c r="F147" s="12">
        <v>33.706800000000001</v>
      </c>
      <c r="G147" s="6">
        <f t="shared" si="44"/>
        <v>0</v>
      </c>
      <c r="H147" s="7">
        <f t="shared" si="45"/>
        <v>0</v>
      </c>
      <c r="I147" s="8">
        <v>52.433999999999997</v>
      </c>
      <c r="J147" s="9">
        <f t="shared" si="46"/>
        <v>52.433999999999997</v>
      </c>
      <c r="K147" s="3">
        <f t="shared" si="47"/>
        <v>0</v>
      </c>
      <c r="L147" s="7">
        <f t="shared" si="48"/>
        <v>0</v>
      </c>
      <c r="M147" t="s">
        <v>121</v>
      </c>
      <c r="O147" s="3">
        <f>E147-'310785 - P0524'!F147</f>
        <v>0</v>
      </c>
      <c r="P147" s="30">
        <f>I147-'310785 - P0524'!J147</f>
        <v>0</v>
      </c>
    </row>
    <row r="148" spans="1:16" x14ac:dyDescent="0.25">
      <c r="A148">
        <v>146</v>
      </c>
      <c r="C148" t="s">
        <v>8</v>
      </c>
      <c r="D148" s="4" t="s">
        <v>146</v>
      </c>
      <c r="E148" s="12">
        <v>40.456800000000001</v>
      </c>
      <c r="F148" s="12">
        <v>40.456800000000001</v>
      </c>
      <c r="G148" s="6">
        <f t="shared" si="44"/>
        <v>0</v>
      </c>
      <c r="H148" s="7">
        <f t="shared" si="45"/>
        <v>0</v>
      </c>
      <c r="I148" s="8">
        <v>62.91</v>
      </c>
      <c r="J148" s="9">
        <f t="shared" si="46"/>
        <v>62.91</v>
      </c>
      <c r="K148" s="3">
        <f t="shared" si="47"/>
        <v>0</v>
      </c>
      <c r="L148" s="7">
        <f t="shared" si="48"/>
        <v>0</v>
      </c>
      <c r="M148" t="s">
        <v>121</v>
      </c>
      <c r="O148" s="3">
        <f>E148-'310785 - P0524'!F148</f>
        <v>0</v>
      </c>
      <c r="P148" s="30">
        <f>I148-'310785 - P0524'!J148</f>
        <v>0</v>
      </c>
    </row>
    <row r="149" spans="1:16" x14ac:dyDescent="0.25">
      <c r="A149">
        <v>147</v>
      </c>
      <c r="C149" t="s">
        <v>8</v>
      </c>
      <c r="D149" s="4" t="s">
        <v>147</v>
      </c>
      <c r="E149" s="12">
        <v>7.0091999999999999</v>
      </c>
      <c r="F149" s="12">
        <v>7.0091999999999999</v>
      </c>
      <c r="G149" s="6">
        <f t="shared" si="44"/>
        <v>0</v>
      </c>
      <c r="H149" s="7">
        <f t="shared" si="45"/>
        <v>0</v>
      </c>
      <c r="I149" s="8">
        <v>10.471083890410959</v>
      </c>
      <c r="J149" s="9">
        <f t="shared" si="46"/>
        <v>10.471083890410959</v>
      </c>
      <c r="K149" s="3">
        <f t="shared" si="47"/>
        <v>0</v>
      </c>
      <c r="L149" s="7">
        <f t="shared" si="48"/>
        <v>0</v>
      </c>
      <c r="M149" t="s">
        <v>121</v>
      </c>
      <c r="O149" s="3">
        <f>E149-'310785 - P0524'!F149</f>
        <v>0</v>
      </c>
      <c r="P149" s="30">
        <f>I149-'310785 - P0524'!J149</f>
        <v>0</v>
      </c>
    </row>
    <row r="150" spans="1:16" x14ac:dyDescent="0.25">
      <c r="A150">
        <v>148</v>
      </c>
      <c r="C150" t="s">
        <v>8</v>
      </c>
      <c r="D150" s="4" t="s">
        <v>448</v>
      </c>
      <c r="E150" s="12">
        <v>6.97</v>
      </c>
      <c r="F150" s="12">
        <v>6.97</v>
      </c>
      <c r="G150" s="6">
        <f t="shared" si="44"/>
        <v>0</v>
      </c>
      <c r="H150" s="7">
        <f t="shared" si="45"/>
        <v>0</v>
      </c>
      <c r="I150" s="8">
        <v>8.7200000000000006</v>
      </c>
      <c r="J150" s="9">
        <f t="shared" si="46"/>
        <v>8.7200000000000006</v>
      </c>
      <c r="K150" s="3">
        <f t="shared" si="47"/>
        <v>0</v>
      </c>
      <c r="L150" s="7">
        <f t="shared" si="48"/>
        <v>0</v>
      </c>
      <c r="M150" t="s">
        <v>121</v>
      </c>
      <c r="O150" s="3">
        <f>E150-'310785 - P0524'!F150</f>
        <v>0</v>
      </c>
      <c r="P150" s="30">
        <f>I150-'310785 - P0524'!J150</f>
        <v>0</v>
      </c>
    </row>
    <row r="151" spans="1:16" x14ac:dyDescent="0.25">
      <c r="A151">
        <v>149</v>
      </c>
      <c r="C151" t="s">
        <v>8</v>
      </c>
      <c r="D151" s="4" t="s">
        <v>449</v>
      </c>
      <c r="E151" s="12">
        <v>8.33</v>
      </c>
      <c r="F151" s="12">
        <v>8.33</v>
      </c>
      <c r="G151" s="6">
        <f t="shared" si="44"/>
        <v>0</v>
      </c>
      <c r="H151" s="7">
        <f t="shared" si="45"/>
        <v>0</v>
      </c>
      <c r="I151" s="8">
        <v>10.42</v>
      </c>
      <c r="J151" s="9">
        <f t="shared" si="46"/>
        <v>10.42</v>
      </c>
      <c r="K151" s="3">
        <f t="shared" si="47"/>
        <v>0</v>
      </c>
      <c r="L151" s="7">
        <f t="shared" si="48"/>
        <v>0</v>
      </c>
      <c r="M151" t="s">
        <v>121</v>
      </c>
      <c r="O151" s="3">
        <f>E151-'310785 - P0524'!F151</f>
        <v>0</v>
      </c>
      <c r="P151" s="30">
        <f>I151-'310785 - P0524'!J151</f>
        <v>0</v>
      </c>
    </row>
    <row r="152" spans="1:16" x14ac:dyDescent="0.25">
      <c r="A152">
        <v>150</v>
      </c>
      <c r="C152" t="s">
        <v>8</v>
      </c>
      <c r="D152" s="4" t="s">
        <v>450</v>
      </c>
      <c r="E152" s="12">
        <v>12.49</v>
      </c>
      <c r="F152" s="12">
        <v>12.49</v>
      </c>
      <c r="G152" s="6">
        <f t="shared" si="44"/>
        <v>0</v>
      </c>
      <c r="H152" s="7">
        <f t="shared" si="45"/>
        <v>0</v>
      </c>
      <c r="I152" s="8">
        <v>15.62</v>
      </c>
      <c r="J152" s="9">
        <f t="shared" si="46"/>
        <v>15.62</v>
      </c>
      <c r="K152" s="3">
        <f t="shared" si="47"/>
        <v>0</v>
      </c>
      <c r="L152" s="7">
        <f t="shared" si="48"/>
        <v>0</v>
      </c>
      <c r="M152" t="s">
        <v>121</v>
      </c>
      <c r="O152" s="3">
        <f>E152-'310785 - P0524'!F152</f>
        <v>0</v>
      </c>
      <c r="P152" s="30">
        <f>I152-'310785 - P0524'!J152</f>
        <v>0</v>
      </c>
    </row>
    <row r="153" spans="1:16" x14ac:dyDescent="0.25">
      <c r="A153">
        <v>151</v>
      </c>
      <c r="C153" t="s">
        <v>8</v>
      </c>
      <c r="D153" s="4" t="s">
        <v>451</v>
      </c>
      <c r="E153" s="12">
        <v>16.27</v>
      </c>
      <c r="F153" s="12">
        <v>16.27</v>
      </c>
      <c r="G153" s="6">
        <f t="shared" si="44"/>
        <v>0</v>
      </c>
      <c r="H153" s="7">
        <f t="shared" si="45"/>
        <v>0</v>
      </c>
      <c r="I153" s="8">
        <v>21.41</v>
      </c>
      <c r="J153" s="9">
        <f t="shared" si="46"/>
        <v>21.41</v>
      </c>
      <c r="K153" s="3">
        <f t="shared" si="47"/>
        <v>0</v>
      </c>
      <c r="L153" s="7">
        <f t="shared" si="48"/>
        <v>0</v>
      </c>
      <c r="M153" t="s">
        <v>121</v>
      </c>
      <c r="O153" s="3">
        <f>E153-'310785 - P0524'!F153</f>
        <v>0</v>
      </c>
      <c r="P153" s="30">
        <f>I153-'310785 - P0524'!J153</f>
        <v>0</v>
      </c>
    </row>
    <row r="154" spans="1:16" x14ac:dyDescent="0.25">
      <c r="A154">
        <v>152</v>
      </c>
      <c r="C154" t="s">
        <v>8</v>
      </c>
      <c r="D154" s="4" t="s">
        <v>452</v>
      </c>
      <c r="E154" s="12">
        <v>20.329999999999998</v>
      </c>
      <c r="F154" s="12">
        <v>20.329999999999998</v>
      </c>
      <c r="G154" s="6">
        <f>+F154-E154</f>
        <v>0</v>
      </c>
      <c r="H154" s="7">
        <f t="shared" si="45"/>
        <v>0</v>
      </c>
      <c r="I154" s="8">
        <v>28.24</v>
      </c>
      <c r="J154" s="9">
        <f t="shared" si="46"/>
        <v>28.24</v>
      </c>
      <c r="K154" s="3">
        <f t="shared" si="47"/>
        <v>0</v>
      </c>
      <c r="L154" s="7">
        <f t="shared" si="48"/>
        <v>0</v>
      </c>
      <c r="M154" t="s">
        <v>121</v>
      </c>
      <c r="O154" s="3">
        <f>E154-'310785 - P0524'!F154</f>
        <v>0</v>
      </c>
      <c r="P154" s="30">
        <f>I154-'310785 - P0524'!J154</f>
        <v>0</v>
      </c>
    </row>
    <row r="155" spans="1:16" x14ac:dyDescent="0.25">
      <c r="A155">
        <v>153</v>
      </c>
      <c r="C155" t="s">
        <v>8</v>
      </c>
      <c r="D155" s="4" t="s">
        <v>453</v>
      </c>
      <c r="E155" s="12">
        <v>24.4</v>
      </c>
      <c r="F155" s="12">
        <v>24.4</v>
      </c>
      <c r="G155" s="6">
        <f t="shared" ref="G155" si="49">+F155-E155</f>
        <v>0</v>
      </c>
      <c r="H155" s="7">
        <f t="shared" si="45"/>
        <v>0</v>
      </c>
      <c r="I155" s="8">
        <v>33.89</v>
      </c>
      <c r="J155" s="9">
        <f t="shared" si="46"/>
        <v>33.89</v>
      </c>
      <c r="K155" s="3">
        <f t="shared" si="47"/>
        <v>0</v>
      </c>
      <c r="L155" s="7">
        <f t="shared" si="48"/>
        <v>0</v>
      </c>
      <c r="M155" t="s">
        <v>121</v>
      </c>
      <c r="O155" s="3">
        <f>E155-'310785 - P0524'!F155</f>
        <v>0</v>
      </c>
      <c r="P155" s="30">
        <f>I155-'310785 - P0524'!J155</f>
        <v>0</v>
      </c>
    </row>
    <row r="156" spans="1:16" x14ac:dyDescent="0.25">
      <c r="A156">
        <v>154</v>
      </c>
      <c r="D156" s="2" t="s">
        <v>148</v>
      </c>
      <c r="F156" s="15"/>
      <c r="H156" s="10">
        <f>AVERAGE(H123:H149)</f>
        <v>0</v>
      </c>
      <c r="I156"/>
    </row>
    <row r="157" spans="1:16" x14ac:dyDescent="0.25">
      <c r="A157">
        <v>155</v>
      </c>
      <c r="D157" s="2" t="s">
        <v>149</v>
      </c>
      <c r="I157"/>
      <c r="M157" t="s">
        <v>150</v>
      </c>
    </row>
    <row r="158" spans="1:16" x14ac:dyDescent="0.25">
      <c r="A158">
        <v>156</v>
      </c>
      <c r="C158" t="s">
        <v>8</v>
      </c>
      <c r="D158" s="4" t="s">
        <v>151</v>
      </c>
      <c r="E158" s="12">
        <v>37.49</v>
      </c>
      <c r="F158" s="12">
        <v>37.49</v>
      </c>
      <c r="G158" s="6">
        <f t="shared" ref="G158:G164" si="50">+F158-E158</f>
        <v>0</v>
      </c>
      <c r="H158" s="7">
        <f t="shared" ref="H158:H164" si="51">(F158-E158)/ABS(E158)</f>
        <v>0</v>
      </c>
      <c r="I158" s="12">
        <v>40.250769230769222</v>
      </c>
      <c r="J158" s="12">
        <f t="shared" ref="J158:J164" si="52">(I158*H158)+I158</f>
        <v>40.250769230769222</v>
      </c>
      <c r="K158" s="3">
        <f t="shared" ref="K158:K164" si="53">J158-I158</f>
        <v>0</v>
      </c>
      <c r="L158" s="7">
        <f t="shared" ref="L158:L164" si="54">(J158-I158)/ABS(I158)</f>
        <v>0</v>
      </c>
      <c r="M158" t="s">
        <v>150</v>
      </c>
      <c r="O158" s="3">
        <f>E158-'310785 - P0524'!F158</f>
        <v>0</v>
      </c>
      <c r="P158" s="30">
        <f>I158-'310785 - P0524'!J158</f>
        <v>0</v>
      </c>
    </row>
    <row r="159" spans="1:16" x14ac:dyDescent="0.25">
      <c r="A159">
        <v>157</v>
      </c>
      <c r="C159" t="s">
        <v>8</v>
      </c>
      <c r="D159" s="4" t="s">
        <v>152</v>
      </c>
      <c r="E159" s="12">
        <v>6.1</v>
      </c>
      <c r="F159" s="12">
        <v>6.1</v>
      </c>
      <c r="G159" s="6">
        <f t="shared" si="50"/>
        <v>0</v>
      </c>
      <c r="H159" s="7">
        <f t="shared" si="51"/>
        <v>0</v>
      </c>
      <c r="I159" s="12">
        <v>13.248680851063828</v>
      </c>
      <c r="J159" s="12">
        <f t="shared" si="52"/>
        <v>13.248680851063828</v>
      </c>
      <c r="K159" s="3">
        <f t="shared" si="53"/>
        <v>0</v>
      </c>
      <c r="L159" s="7">
        <f t="shared" si="54"/>
        <v>0</v>
      </c>
      <c r="M159" t="s">
        <v>150</v>
      </c>
      <c r="O159" s="3">
        <f>E159-'310785 - P0524'!F159</f>
        <v>0</v>
      </c>
      <c r="P159" s="30">
        <f>I159-'310785 - P0524'!J159</f>
        <v>0</v>
      </c>
    </row>
    <row r="160" spans="1:16" x14ac:dyDescent="0.25">
      <c r="A160">
        <v>158</v>
      </c>
      <c r="C160" t="s">
        <v>8</v>
      </c>
      <c r="D160" s="4" t="s">
        <v>153</v>
      </c>
      <c r="E160" s="12">
        <v>11.16</v>
      </c>
      <c r="F160" s="12">
        <v>11.16</v>
      </c>
      <c r="G160" s="6">
        <f t="shared" si="50"/>
        <v>0</v>
      </c>
      <c r="H160" s="7">
        <f t="shared" si="51"/>
        <v>0</v>
      </c>
      <c r="I160" s="12">
        <v>22.971018518518513</v>
      </c>
      <c r="J160" s="12">
        <f t="shared" si="52"/>
        <v>22.971018518518513</v>
      </c>
      <c r="K160" s="3">
        <f t="shared" si="53"/>
        <v>0</v>
      </c>
      <c r="L160" s="7">
        <f t="shared" si="54"/>
        <v>0</v>
      </c>
      <c r="M160" t="s">
        <v>150</v>
      </c>
      <c r="O160" s="3">
        <f>E160-'310785 - P0524'!F160</f>
        <v>0</v>
      </c>
      <c r="P160" s="30">
        <f>I160-'310785 - P0524'!J160</f>
        <v>0</v>
      </c>
    </row>
    <row r="161" spans="1:16" x14ac:dyDescent="0.25">
      <c r="A161">
        <v>159</v>
      </c>
      <c r="D161" s="4" t="s">
        <v>154</v>
      </c>
      <c r="E161" s="12">
        <v>6.8040000000000003</v>
      </c>
      <c r="F161" s="12">
        <v>6.8040000000000003</v>
      </c>
      <c r="G161" s="6">
        <f t="shared" si="50"/>
        <v>0</v>
      </c>
      <c r="H161" s="7">
        <f t="shared" si="51"/>
        <v>0</v>
      </c>
      <c r="I161" s="12">
        <v>22.285410234150319</v>
      </c>
      <c r="J161" s="12">
        <f t="shared" si="52"/>
        <v>22.285410234150319</v>
      </c>
      <c r="K161" s="3">
        <f t="shared" si="53"/>
        <v>0</v>
      </c>
      <c r="L161" s="7">
        <f t="shared" si="54"/>
        <v>0</v>
      </c>
      <c r="M161" t="s">
        <v>150</v>
      </c>
      <c r="O161" s="3">
        <f>E161-'310785 - P0524'!F161</f>
        <v>0</v>
      </c>
      <c r="P161" s="30">
        <f>I161-'310785 - P0524'!J161</f>
        <v>0</v>
      </c>
    </row>
    <row r="162" spans="1:16" x14ac:dyDescent="0.25">
      <c r="A162">
        <v>160</v>
      </c>
      <c r="C162" t="s">
        <v>8</v>
      </c>
      <c r="D162" s="4" t="s">
        <v>155</v>
      </c>
      <c r="E162" s="12">
        <v>18.05</v>
      </c>
      <c r="F162" s="12">
        <v>18.05</v>
      </c>
      <c r="G162" s="6">
        <f t="shared" si="50"/>
        <v>0</v>
      </c>
      <c r="H162" s="7">
        <f t="shared" si="51"/>
        <v>0</v>
      </c>
      <c r="I162" s="12">
        <v>28.933702479338844</v>
      </c>
      <c r="J162" s="12">
        <f t="shared" si="52"/>
        <v>28.933702479338844</v>
      </c>
      <c r="K162" s="3">
        <f t="shared" si="53"/>
        <v>0</v>
      </c>
      <c r="L162" s="7">
        <f t="shared" si="54"/>
        <v>0</v>
      </c>
      <c r="M162" t="s">
        <v>150</v>
      </c>
      <c r="O162" s="3">
        <f>E162-'310785 - P0524'!F162</f>
        <v>0</v>
      </c>
      <c r="P162" s="30">
        <f>I162-'310785 - P0524'!J162</f>
        <v>0</v>
      </c>
    </row>
    <row r="163" spans="1:16" x14ac:dyDescent="0.25">
      <c r="A163">
        <v>161</v>
      </c>
      <c r="D163" s="4" t="s">
        <v>156</v>
      </c>
      <c r="E163" s="12">
        <v>0.4</v>
      </c>
      <c r="F163" s="12">
        <v>0.4</v>
      </c>
      <c r="G163" s="6">
        <f t="shared" si="50"/>
        <v>0</v>
      </c>
      <c r="H163" s="7">
        <f t="shared" si="51"/>
        <v>0</v>
      </c>
      <c r="I163" s="12">
        <v>1.1076923076923078</v>
      </c>
      <c r="J163" s="12">
        <f t="shared" si="52"/>
        <v>1.1076923076923078</v>
      </c>
      <c r="K163" s="3">
        <f t="shared" si="53"/>
        <v>0</v>
      </c>
      <c r="L163" s="7">
        <f t="shared" si="54"/>
        <v>0</v>
      </c>
      <c r="M163" t="s">
        <v>150</v>
      </c>
      <c r="O163" s="3">
        <f>E163-'310785 - P0524'!F163</f>
        <v>0</v>
      </c>
      <c r="P163" s="30">
        <f>I163-'310785 - P0524'!J163</f>
        <v>0</v>
      </c>
    </row>
    <row r="164" spans="1:16" x14ac:dyDescent="0.25">
      <c r="A164">
        <v>162</v>
      </c>
      <c r="C164" t="s">
        <v>8</v>
      </c>
      <c r="D164" s="4" t="s">
        <v>157</v>
      </c>
      <c r="E164" s="12">
        <v>5.99</v>
      </c>
      <c r="F164" s="12">
        <v>5.99</v>
      </c>
      <c r="G164" s="6">
        <f t="shared" si="50"/>
        <v>0</v>
      </c>
      <c r="H164" s="7">
        <f t="shared" si="51"/>
        <v>0</v>
      </c>
      <c r="I164" s="12">
        <v>10.65</v>
      </c>
      <c r="J164" s="12">
        <f t="shared" si="52"/>
        <v>10.65</v>
      </c>
      <c r="K164" s="3">
        <f t="shared" si="53"/>
        <v>0</v>
      </c>
      <c r="L164" s="7">
        <f t="shared" si="54"/>
        <v>0</v>
      </c>
      <c r="M164" t="s">
        <v>150</v>
      </c>
      <c r="O164" s="3">
        <f>E164-'310785 - P0524'!F164</f>
        <v>0</v>
      </c>
      <c r="P164" s="30">
        <f>I164-'310785 - P0524'!J164</f>
        <v>0</v>
      </c>
    </row>
    <row r="165" spans="1:16" x14ac:dyDescent="0.25">
      <c r="A165">
        <v>163</v>
      </c>
      <c r="D165" s="2" t="s">
        <v>158</v>
      </c>
      <c r="H165" s="10">
        <f>AVERAGE(H158:H163)</f>
        <v>0</v>
      </c>
      <c r="I165"/>
    </row>
    <row r="166" spans="1:16" x14ac:dyDescent="0.25">
      <c r="A166">
        <v>164</v>
      </c>
      <c r="D166" s="2" t="s">
        <v>159</v>
      </c>
      <c r="I166"/>
    </row>
    <row r="167" spans="1:16" x14ac:dyDescent="0.25">
      <c r="A167">
        <v>165</v>
      </c>
      <c r="C167" t="s">
        <v>8</v>
      </c>
      <c r="D167" s="4" t="s">
        <v>160</v>
      </c>
      <c r="E167" s="5">
        <v>3.34</v>
      </c>
      <c r="F167" s="5">
        <v>3.34</v>
      </c>
      <c r="G167" s="6">
        <f t="shared" ref="G167:G191" si="55">+F167-E167</f>
        <v>0</v>
      </c>
      <c r="H167" s="7">
        <f t="shared" ref="H167:H191" si="56">(F167-E167)/ABS(E167)</f>
        <v>0</v>
      </c>
      <c r="I167" s="8">
        <v>6.1290657389972267</v>
      </c>
      <c r="J167" s="9">
        <f t="shared" ref="J167:J191" si="57">(I167*H167)+I167</f>
        <v>6.1290657389972267</v>
      </c>
      <c r="K167" s="3">
        <f t="shared" ref="K167:K191" si="58">J167-I167</f>
        <v>0</v>
      </c>
      <c r="L167" s="7">
        <f t="shared" ref="L167:L191" si="59">(J167-I167)/ABS(I167)</f>
        <v>0</v>
      </c>
      <c r="M167" t="s">
        <v>150</v>
      </c>
      <c r="O167" s="3">
        <f>E167-'310785 - P0524'!F167</f>
        <v>0</v>
      </c>
      <c r="P167" s="30">
        <f>I167-'310785 - P0524'!J167</f>
        <v>0</v>
      </c>
    </row>
    <row r="168" spans="1:16" x14ac:dyDescent="0.25">
      <c r="A168">
        <v>166</v>
      </c>
      <c r="C168" t="s">
        <v>8</v>
      </c>
      <c r="D168" s="4" t="s">
        <v>161</v>
      </c>
      <c r="E168" s="5">
        <v>5.01</v>
      </c>
      <c r="F168" s="5">
        <v>5.01</v>
      </c>
      <c r="G168" s="6">
        <f t="shared" si="55"/>
        <v>0</v>
      </c>
      <c r="H168" s="7">
        <f t="shared" si="56"/>
        <v>0</v>
      </c>
      <c r="I168" s="8">
        <v>10.644195465054626</v>
      </c>
      <c r="J168" s="9">
        <f t="shared" si="57"/>
        <v>10.644195465054626</v>
      </c>
      <c r="K168" s="3">
        <f t="shared" si="58"/>
        <v>0</v>
      </c>
      <c r="L168" s="7">
        <f t="shared" si="59"/>
        <v>0</v>
      </c>
      <c r="M168" t="s">
        <v>150</v>
      </c>
      <c r="O168" s="3">
        <f>E168-'310785 - P0524'!F168</f>
        <v>0</v>
      </c>
      <c r="P168" s="30">
        <f>I168-'310785 - P0524'!J168</f>
        <v>0</v>
      </c>
    </row>
    <row r="169" spans="1:16" x14ac:dyDescent="0.25">
      <c r="A169">
        <v>167</v>
      </c>
      <c r="C169" t="s">
        <v>8</v>
      </c>
      <c r="D169" s="4" t="s">
        <v>162</v>
      </c>
      <c r="E169" s="5">
        <v>3.58</v>
      </c>
      <c r="F169" s="5">
        <v>3.47</v>
      </c>
      <c r="G169" s="6">
        <f t="shared" si="55"/>
        <v>-0.10999999999999988</v>
      </c>
      <c r="H169" s="7">
        <f t="shared" si="56"/>
        <v>-3.0726256983240188E-2</v>
      </c>
      <c r="I169" s="8">
        <v>5.0807645647811626</v>
      </c>
      <c r="J169" s="9">
        <f t="shared" si="57"/>
        <v>4.9246516870923562</v>
      </c>
      <c r="K169" s="3">
        <f t="shared" si="58"/>
        <v>-0.15611287768880633</v>
      </c>
      <c r="L169" s="7">
        <f t="shared" si="59"/>
        <v>-3.0726256983240156E-2</v>
      </c>
      <c r="M169" t="s">
        <v>150</v>
      </c>
      <c r="O169" s="3">
        <f>E169-'310785 - P0524'!F169</f>
        <v>0</v>
      </c>
      <c r="P169" s="30">
        <f>I169-'310785 - P0524'!J169</f>
        <v>0</v>
      </c>
    </row>
    <row r="170" spans="1:16" x14ac:dyDescent="0.25">
      <c r="A170">
        <v>168</v>
      </c>
      <c r="C170" t="s">
        <v>8</v>
      </c>
      <c r="D170" s="4" t="s">
        <v>163</v>
      </c>
      <c r="E170" s="5">
        <v>15.52</v>
      </c>
      <c r="F170" s="5">
        <v>13.87</v>
      </c>
      <c r="G170" s="6">
        <f t="shared" si="55"/>
        <v>-1.6500000000000004</v>
      </c>
      <c r="H170" s="7">
        <f t="shared" si="56"/>
        <v>-0.10631443298969075</v>
      </c>
      <c r="I170" s="8">
        <v>23.196839909202765</v>
      </c>
      <c r="J170" s="9">
        <f t="shared" si="57"/>
        <v>20.730681027103245</v>
      </c>
      <c r="K170" s="3">
        <f t="shared" si="58"/>
        <v>-2.4661588820995206</v>
      </c>
      <c r="L170" s="7">
        <f t="shared" si="59"/>
        <v>-0.10631443298969072</v>
      </c>
      <c r="M170" t="s">
        <v>150</v>
      </c>
      <c r="O170" s="3">
        <f>E170-'310785 - P0524'!F170</f>
        <v>0</v>
      </c>
      <c r="P170" s="30">
        <f>I170-'310785 - P0524'!J170</f>
        <v>0</v>
      </c>
    </row>
    <row r="171" spans="1:16" x14ac:dyDescent="0.25">
      <c r="A171">
        <v>169</v>
      </c>
      <c r="C171" t="s">
        <v>8</v>
      </c>
      <c r="D171" s="4" t="s">
        <v>164</v>
      </c>
      <c r="E171" s="5">
        <v>1533</v>
      </c>
      <c r="F171" s="5">
        <v>1300</v>
      </c>
      <c r="G171" s="6">
        <f t="shared" si="55"/>
        <v>-233</v>
      </c>
      <c r="H171" s="7">
        <f t="shared" si="56"/>
        <v>-0.15198956294846705</v>
      </c>
      <c r="I171" s="8">
        <v>40.671014217719069</v>
      </c>
      <c r="J171" s="9">
        <f t="shared" si="57"/>
        <v>34.489444542097061</v>
      </c>
      <c r="K171" s="3">
        <f t="shared" si="58"/>
        <v>-6.1815696756220078</v>
      </c>
      <c r="L171" s="7">
        <f t="shared" si="59"/>
        <v>-0.15198956294846697</v>
      </c>
      <c r="M171" t="s">
        <v>150</v>
      </c>
      <c r="O171" s="3">
        <f>E171-'310785 - P0524'!F171</f>
        <v>0</v>
      </c>
      <c r="P171" s="30">
        <f>I171-'310785 - P0524'!J171</f>
        <v>0</v>
      </c>
    </row>
    <row r="172" spans="1:16" x14ac:dyDescent="0.25">
      <c r="A172">
        <v>170</v>
      </c>
      <c r="C172" t="s">
        <v>8</v>
      </c>
      <c r="D172" s="4" t="s">
        <v>165</v>
      </c>
      <c r="E172" s="5">
        <v>1426</v>
      </c>
      <c r="F172" s="5">
        <v>1300</v>
      </c>
      <c r="G172" s="6">
        <f t="shared" si="55"/>
        <v>-126</v>
      </c>
      <c r="H172" s="7">
        <f t="shared" si="56"/>
        <v>-8.8359046283309955E-2</v>
      </c>
      <c r="I172" s="8">
        <v>2255.1835334476846</v>
      </c>
      <c r="J172" s="9">
        <f t="shared" si="57"/>
        <v>2055.9176672384219</v>
      </c>
      <c r="K172" s="3">
        <f t="shared" si="58"/>
        <v>-199.26586620926264</v>
      </c>
      <c r="L172" s="7">
        <f t="shared" si="59"/>
        <v>-8.8359046283310039E-2</v>
      </c>
      <c r="M172" t="s">
        <v>150</v>
      </c>
      <c r="O172" s="3">
        <f>E172-'310785 - P0524'!F172</f>
        <v>0</v>
      </c>
      <c r="P172" s="30">
        <f>I172-'310785 - P0524'!J172</f>
        <v>0</v>
      </c>
    </row>
    <row r="173" spans="1:16" x14ac:dyDescent="0.25">
      <c r="A173">
        <v>171</v>
      </c>
      <c r="C173" t="s">
        <v>8</v>
      </c>
      <c r="D173" s="4" t="s">
        <v>166</v>
      </c>
      <c r="E173" s="5">
        <v>18.45</v>
      </c>
      <c r="F173" s="5">
        <v>18.45</v>
      </c>
      <c r="G173" s="6">
        <f t="shared" si="55"/>
        <v>0</v>
      </c>
      <c r="H173" s="7">
        <f t="shared" si="56"/>
        <v>0</v>
      </c>
      <c r="I173" s="8">
        <v>28.75</v>
      </c>
      <c r="J173" s="9">
        <f t="shared" si="57"/>
        <v>28.75</v>
      </c>
      <c r="K173" s="3">
        <f t="shared" si="58"/>
        <v>0</v>
      </c>
      <c r="L173" s="7">
        <f t="shared" si="59"/>
        <v>0</v>
      </c>
      <c r="M173" t="s">
        <v>150</v>
      </c>
      <c r="O173" s="3">
        <f>E173-'310785 - P0524'!F173</f>
        <v>0</v>
      </c>
      <c r="P173" s="30">
        <f>I173-'310785 - P0524'!J173</f>
        <v>-3.8435209870166318</v>
      </c>
    </row>
    <row r="174" spans="1:16" x14ac:dyDescent="0.25">
      <c r="A174">
        <v>172</v>
      </c>
      <c r="C174" t="s">
        <v>8</v>
      </c>
      <c r="D174" s="4" t="s">
        <v>167</v>
      </c>
      <c r="E174" s="11">
        <v>4.0199999999999996</v>
      </c>
      <c r="F174" s="11">
        <v>4.0199999999999996</v>
      </c>
      <c r="G174" s="6">
        <f t="shared" si="55"/>
        <v>0</v>
      </c>
      <c r="H174" s="7">
        <f t="shared" si="56"/>
        <v>0</v>
      </c>
      <c r="I174" s="8">
        <v>15.098612891135524</v>
      </c>
      <c r="J174" s="9">
        <f t="shared" si="57"/>
        <v>15.098612891135524</v>
      </c>
      <c r="K174" s="3">
        <f t="shared" si="58"/>
        <v>0</v>
      </c>
      <c r="L174" s="7">
        <f t="shared" si="59"/>
        <v>0</v>
      </c>
      <c r="M174" t="s">
        <v>150</v>
      </c>
      <c r="O174" s="3">
        <f>E174-'310785 - P0524'!F174</f>
        <v>0</v>
      </c>
      <c r="P174" s="30">
        <f>I174-'310785 - P0524'!J174</f>
        <v>0</v>
      </c>
    </row>
    <row r="175" spans="1:16" x14ac:dyDescent="0.25">
      <c r="A175">
        <v>173</v>
      </c>
      <c r="C175" t="s">
        <v>8</v>
      </c>
      <c r="D175" s="4" t="s">
        <v>168</v>
      </c>
      <c r="E175" s="11">
        <v>0.59</v>
      </c>
      <c r="F175" s="11">
        <v>0.59</v>
      </c>
      <c r="G175" s="6">
        <f t="shared" si="55"/>
        <v>0</v>
      </c>
      <c r="H175" s="7">
        <f t="shared" si="56"/>
        <v>0</v>
      </c>
      <c r="I175" s="8">
        <v>2.1049549224666428</v>
      </c>
      <c r="J175" s="9">
        <f t="shared" si="57"/>
        <v>2.1049549224666428</v>
      </c>
      <c r="K175" s="3">
        <f t="shared" si="58"/>
        <v>0</v>
      </c>
      <c r="L175" s="7">
        <f t="shared" si="59"/>
        <v>0</v>
      </c>
      <c r="M175" t="s">
        <v>150</v>
      </c>
      <c r="O175" s="3">
        <f>E175-'310785 - P0524'!F175</f>
        <v>0</v>
      </c>
      <c r="P175" s="30">
        <f>I175-'310785 - P0524'!J175</f>
        <v>0</v>
      </c>
    </row>
    <row r="176" spans="1:16" x14ac:dyDescent="0.25">
      <c r="A176">
        <v>174</v>
      </c>
      <c r="C176" t="s">
        <v>8</v>
      </c>
      <c r="D176" s="4" t="s">
        <v>169</v>
      </c>
      <c r="E176" s="11">
        <v>0.63</v>
      </c>
      <c r="F176" s="11">
        <v>0.63</v>
      </c>
      <c r="G176" s="6">
        <f t="shared" si="55"/>
        <v>0</v>
      </c>
      <c r="H176" s="7">
        <f t="shared" si="56"/>
        <v>0</v>
      </c>
      <c r="I176" s="8">
        <v>1.9152</v>
      </c>
      <c r="J176" s="9">
        <f t="shared" si="57"/>
        <v>1.9152</v>
      </c>
      <c r="K176" s="3">
        <f t="shared" si="58"/>
        <v>0</v>
      </c>
      <c r="L176" s="7">
        <f t="shared" si="59"/>
        <v>0</v>
      </c>
      <c r="M176" t="s">
        <v>150</v>
      </c>
      <c r="O176" s="3">
        <f>E176-'310785 - P0524'!F176</f>
        <v>0</v>
      </c>
      <c r="P176" s="30">
        <f>I176-'310785 - P0524'!J176</f>
        <v>0</v>
      </c>
    </row>
    <row r="177" spans="1:16" x14ac:dyDescent="0.25">
      <c r="A177">
        <v>175</v>
      </c>
      <c r="C177" t="s">
        <v>8</v>
      </c>
      <c r="D177" s="4" t="s">
        <v>461</v>
      </c>
      <c r="E177" s="11">
        <v>29</v>
      </c>
      <c r="F177" s="11">
        <v>29</v>
      </c>
      <c r="G177" s="6">
        <f t="shared" si="55"/>
        <v>0</v>
      </c>
      <c r="H177" s="7">
        <f t="shared" si="56"/>
        <v>0</v>
      </c>
      <c r="I177" s="8">
        <v>45.490196078431374</v>
      </c>
      <c r="J177" s="9">
        <f t="shared" si="57"/>
        <v>45.490196078431374</v>
      </c>
      <c r="K177" s="3">
        <f t="shared" si="58"/>
        <v>0</v>
      </c>
      <c r="L177" s="7">
        <f t="shared" si="59"/>
        <v>0</v>
      </c>
      <c r="M177" t="s">
        <v>150</v>
      </c>
      <c r="O177" s="3">
        <f>E177-'310785 - P0524'!F177</f>
        <v>0</v>
      </c>
      <c r="P177" s="30">
        <f>I177-'310785 - P0524'!J177</f>
        <v>0</v>
      </c>
    </row>
    <row r="178" spans="1:16" x14ac:dyDescent="0.25">
      <c r="A178">
        <v>176</v>
      </c>
      <c r="C178" t="s">
        <v>8</v>
      </c>
      <c r="D178" s="4" t="s">
        <v>170</v>
      </c>
      <c r="E178" s="11">
        <v>35.4</v>
      </c>
      <c r="F178" s="11">
        <v>35.4</v>
      </c>
      <c r="G178" s="6">
        <f t="shared" si="55"/>
        <v>0</v>
      </c>
      <c r="H178" s="7">
        <f t="shared" si="56"/>
        <v>0</v>
      </c>
      <c r="I178" s="8">
        <v>21.717791411042946</v>
      </c>
      <c r="J178" s="9">
        <f t="shared" si="57"/>
        <v>21.717791411042946</v>
      </c>
      <c r="K178" s="3">
        <f t="shared" si="58"/>
        <v>0</v>
      </c>
      <c r="L178" s="7">
        <f t="shared" si="59"/>
        <v>0</v>
      </c>
      <c r="M178" t="s">
        <v>150</v>
      </c>
      <c r="O178" s="3">
        <f>E178-'310785 - P0524'!F178</f>
        <v>0</v>
      </c>
      <c r="P178" s="30">
        <f>I178-'310785 - P0524'!J178</f>
        <v>0</v>
      </c>
    </row>
    <row r="179" spans="1:16" x14ac:dyDescent="0.25">
      <c r="A179">
        <v>177</v>
      </c>
      <c r="C179" t="s">
        <v>8</v>
      </c>
      <c r="D179" s="4" t="s">
        <v>171</v>
      </c>
      <c r="E179" s="11">
        <v>29.3</v>
      </c>
      <c r="F179" s="11">
        <v>29.3</v>
      </c>
      <c r="G179" s="6">
        <f t="shared" si="55"/>
        <v>0</v>
      </c>
      <c r="H179" s="7">
        <f t="shared" si="56"/>
        <v>0</v>
      </c>
      <c r="I179" s="8">
        <v>20</v>
      </c>
      <c r="J179" s="9">
        <f t="shared" si="57"/>
        <v>20</v>
      </c>
      <c r="K179" s="3">
        <f t="shared" si="58"/>
        <v>0</v>
      </c>
      <c r="L179" s="7">
        <f t="shared" si="59"/>
        <v>0</v>
      </c>
      <c r="M179" t="s">
        <v>150</v>
      </c>
      <c r="O179" s="3">
        <f>E179-'310785 - P0524'!F179</f>
        <v>0</v>
      </c>
      <c r="P179" s="30">
        <f>I179-'310785 - P0524'!J179</f>
        <v>0</v>
      </c>
    </row>
    <row r="180" spans="1:16" x14ac:dyDescent="0.25">
      <c r="A180">
        <v>178</v>
      </c>
      <c r="C180" t="s">
        <v>8</v>
      </c>
      <c r="D180" s="4" t="s">
        <v>172</v>
      </c>
      <c r="E180" s="11">
        <v>24.2</v>
      </c>
      <c r="F180" s="11">
        <v>24.2</v>
      </c>
      <c r="G180" s="6">
        <f t="shared" si="55"/>
        <v>0</v>
      </c>
      <c r="H180" s="7">
        <f t="shared" si="56"/>
        <v>0</v>
      </c>
      <c r="I180" s="8">
        <v>20</v>
      </c>
      <c r="J180" s="9">
        <f t="shared" si="57"/>
        <v>20</v>
      </c>
      <c r="K180" s="3">
        <f t="shared" si="58"/>
        <v>0</v>
      </c>
      <c r="L180" s="7">
        <f t="shared" si="59"/>
        <v>0</v>
      </c>
      <c r="M180" t="s">
        <v>150</v>
      </c>
      <c r="O180" s="3">
        <f>E180-'310785 - P0524'!F180</f>
        <v>0</v>
      </c>
      <c r="P180" s="30">
        <f>I180-'310785 - P0524'!J180</f>
        <v>0</v>
      </c>
    </row>
    <row r="181" spans="1:16" x14ac:dyDescent="0.25">
      <c r="A181">
        <v>179</v>
      </c>
      <c r="C181" t="s">
        <v>8</v>
      </c>
      <c r="D181" s="4" t="s">
        <v>173</v>
      </c>
      <c r="E181" s="12">
        <v>116</v>
      </c>
      <c r="F181" s="12">
        <v>116</v>
      </c>
      <c r="G181" s="6">
        <f t="shared" si="55"/>
        <v>0</v>
      </c>
      <c r="H181" s="7">
        <f t="shared" si="56"/>
        <v>0</v>
      </c>
      <c r="I181" s="8">
        <v>153.29999999999998</v>
      </c>
      <c r="J181" s="9">
        <f t="shared" si="57"/>
        <v>153.29999999999998</v>
      </c>
      <c r="K181" s="3">
        <f t="shared" si="58"/>
        <v>0</v>
      </c>
      <c r="L181" s="7">
        <f t="shared" si="59"/>
        <v>0</v>
      </c>
      <c r="M181" t="s">
        <v>121</v>
      </c>
      <c r="O181" s="3">
        <f>E181-'310785 - P0524'!F181</f>
        <v>0</v>
      </c>
      <c r="P181" s="30">
        <f>I181-'310785 - P0524'!J181</f>
        <v>0</v>
      </c>
    </row>
    <row r="182" spans="1:16" x14ac:dyDescent="0.25">
      <c r="A182">
        <v>180</v>
      </c>
      <c r="C182" t="s">
        <v>8</v>
      </c>
      <c r="D182" s="4" t="s">
        <v>174</v>
      </c>
      <c r="E182" s="12">
        <v>9.98</v>
      </c>
      <c r="F182" s="12">
        <v>9.98</v>
      </c>
      <c r="G182" s="6">
        <f t="shared" si="55"/>
        <v>0</v>
      </c>
      <c r="H182" s="7">
        <f t="shared" si="56"/>
        <v>0</v>
      </c>
      <c r="I182" s="8">
        <v>13.625326315789476</v>
      </c>
      <c r="J182" s="9">
        <f t="shared" si="57"/>
        <v>13.625326315789476</v>
      </c>
      <c r="K182" s="3">
        <f t="shared" si="58"/>
        <v>0</v>
      </c>
      <c r="L182" s="7">
        <f t="shared" si="59"/>
        <v>0</v>
      </c>
      <c r="M182" t="s">
        <v>121</v>
      </c>
      <c r="O182" s="3">
        <f>E182-'310785 - P0524'!F182</f>
        <v>0</v>
      </c>
      <c r="P182" s="30">
        <f>I182-'310785 - P0524'!J182</f>
        <v>0</v>
      </c>
    </row>
    <row r="183" spans="1:16" x14ac:dyDescent="0.25">
      <c r="A183">
        <v>181</v>
      </c>
      <c r="C183" t="s">
        <v>8</v>
      </c>
      <c r="D183" s="4" t="s">
        <v>175</v>
      </c>
      <c r="E183" s="12">
        <v>190.995</v>
      </c>
      <c r="F183" s="12">
        <v>190.995</v>
      </c>
      <c r="G183" s="6">
        <f t="shared" si="55"/>
        <v>0</v>
      </c>
      <c r="H183" s="7">
        <f t="shared" si="56"/>
        <v>0</v>
      </c>
      <c r="I183" s="8">
        <v>251</v>
      </c>
      <c r="J183" s="9">
        <f t="shared" si="57"/>
        <v>251</v>
      </c>
      <c r="K183" s="3">
        <f t="shared" si="58"/>
        <v>0</v>
      </c>
      <c r="L183" s="7">
        <f t="shared" si="59"/>
        <v>0</v>
      </c>
      <c r="M183" t="s">
        <v>121</v>
      </c>
      <c r="O183" s="3">
        <f>E183-'310785 - P0524'!F183</f>
        <v>0</v>
      </c>
      <c r="P183" s="30">
        <f>I183-'310785 - P0524'!J183</f>
        <v>0</v>
      </c>
    </row>
    <row r="184" spans="1:16" x14ac:dyDescent="0.25">
      <c r="A184">
        <v>182</v>
      </c>
      <c r="C184" t="s">
        <v>8</v>
      </c>
      <c r="D184" s="4" t="s">
        <v>176</v>
      </c>
      <c r="E184" s="12">
        <v>14.01</v>
      </c>
      <c r="F184" s="12">
        <v>14.01</v>
      </c>
      <c r="G184" s="6">
        <f t="shared" si="55"/>
        <v>0</v>
      </c>
      <c r="H184" s="7">
        <f t="shared" si="56"/>
        <v>0</v>
      </c>
      <c r="I184" s="8">
        <v>19.616308543063266</v>
      </c>
      <c r="J184" s="9">
        <f t="shared" si="57"/>
        <v>19.616308543063266</v>
      </c>
      <c r="K184" s="3">
        <f t="shared" si="58"/>
        <v>0</v>
      </c>
      <c r="L184" s="7">
        <f t="shared" si="59"/>
        <v>0</v>
      </c>
      <c r="M184" t="s">
        <v>121</v>
      </c>
      <c r="O184" s="3">
        <f>E184-'310785 - P0524'!F184</f>
        <v>0</v>
      </c>
      <c r="P184" s="30">
        <f>I184-'310785 - P0524'!J184</f>
        <v>0</v>
      </c>
    </row>
    <row r="185" spans="1:16" x14ac:dyDescent="0.25">
      <c r="A185">
        <v>183</v>
      </c>
      <c r="C185" t="s">
        <v>8</v>
      </c>
      <c r="D185" s="4" t="s">
        <v>177</v>
      </c>
      <c r="E185" s="12">
        <v>33.25</v>
      </c>
      <c r="F185" s="12">
        <v>33.25</v>
      </c>
      <c r="G185" s="6">
        <f t="shared" si="55"/>
        <v>0</v>
      </c>
      <c r="H185" s="7">
        <f t="shared" si="56"/>
        <v>0</v>
      </c>
      <c r="I185" s="8">
        <v>49.869393819571762</v>
      </c>
      <c r="J185" s="9">
        <f t="shared" si="57"/>
        <v>49.869393819571762</v>
      </c>
      <c r="K185" s="3">
        <f t="shared" si="58"/>
        <v>0</v>
      </c>
      <c r="L185" s="7">
        <f t="shared" si="59"/>
        <v>0</v>
      </c>
      <c r="M185" t="s">
        <v>121</v>
      </c>
      <c r="O185" s="3">
        <f>E185-'310785 - P0524'!F185</f>
        <v>0</v>
      </c>
      <c r="P185" s="30">
        <f>I185-'310785 - P0524'!J185</f>
        <v>0</v>
      </c>
    </row>
    <row r="186" spans="1:16" x14ac:dyDescent="0.25">
      <c r="A186">
        <v>184</v>
      </c>
      <c r="C186" t="s">
        <v>8</v>
      </c>
      <c r="D186" s="4" t="s">
        <v>178</v>
      </c>
      <c r="E186" s="12">
        <v>44.04</v>
      </c>
      <c r="F186" s="12">
        <v>44.04</v>
      </c>
      <c r="G186" s="6">
        <f t="shared" si="55"/>
        <v>0</v>
      </c>
      <c r="H186" s="7">
        <f t="shared" si="56"/>
        <v>0</v>
      </c>
      <c r="I186" s="8">
        <v>61.644476622337386</v>
      </c>
      <c r="J186" s="9">
        <f t="shared" si="57"/>
        <v>61.644476622337386</v>
      </c>
      <c r="K186" s="3">
        <f t="shared" si="58"/>
        <v>0</v>
      </c>
      <c r="L186" s="7">
        <f t="shared" si="59"/>
        <v>0</v>
      </c>
      <c r="M186" t="s">
        <v>121</v>
      </c>
      <c r="O186" s="3">
        <f>E186-'310785 - P0524'!F186</f>
        <v>0</v>
      </c>
      <c r="P186" s="30">
        <f>I186-'310785 - P0524'!J186</f>
        <v>0</v>
      </c>
    </row>
    <row r="187" spans="1:16" x14ac:dyDescent="0.25">
      <c r="A187">
        <v>185</v>
      </c>
      <c r="C187" t="s">
        <v>8</v>
      </c>
      <c r="D187" s="4" t="s">
        <v>179</v>
      </c>
      <c r="E187" s="12">
        <v>144.85</v>
      </c>
      <c r="F187" s="12">
        <v>144.85</v>
      </c>
      <c r="G187" s="6">
        <f t="shared" si="55"/>
        <v>0</v>
      </c>
      <c r="H187" s="7">
        <f t="shared" si="56"/>
        <v>0</v>
      </c>
      <c r="I187" s="8">
        <v>241.42</v>
      </c>
      <c r="J187" s="9">
        <f t="shared" si="57"/>
        <v>241.42</v>
      </c>
      <c r="K187" s="3">
        <f t="shared" si="58"/>
        <v>0</v>
      </c>
      <c r="L187" s="7">
        <f t="shared" si="59"/>
        <v>0</v>
      </c>
      <c r="M187" t="s">
        <v>121</v>
      </c>
      <c r="O187" s="3">
        <f>E187-'310785 - P0524'!F187</f>
        <v>0</v>
      </c>
      <c r="P187" s="30">
        <f>I187-'310785 - P0524'!J187</f>
        <v>0</v>
      </c>
    </row>
    <row r="188" spans="1:16" x14ac:dyDescent="0.25">
      <c r="A188">
        <v>186</v>
      </c>
      <c r="C188" t="s">
        <v>8</v>
      </c>
      <c r="D188" s="4" t="s">
        <v>180</v>
      </c>
      <c r="E188" s="11">
        <v>21.42</v>
      </c>
      <c r="F188" s="11">
        <v>21.42</v>
      </c>
      <c r="G188" s="6">
        <f t="shared" si="55"/>
        <v>0</v>
      </c>
      <c r="H188" s="7">
        <f t="shared" si="56"/>
        <v>0</v>
      </c>
      <c r="I188" s="8">
        <v>36.651079812206568</v>
      </c>
      <c r="J188" s="9">
        <f t="shared" si="57"/>
        <v>36.651079812206568</v>
      </c>
      <c r="K188" s="3">
        <f t="shared" si="58"/>
        <v>0</v>
      </c>
      <c r="L188" s="7">
        <f t="shared" si="59"/>
        <v>0</v>
      </c>
      <c r="M188" t="s">
        <v>150</v>
      </c>
      <c r="O188" s="3">
        <f>E188-'310785 - P0524'!F188</f>
        <v>0</v>
      </c>
      <c r="P188" s="30">
        <f>I188-'310785 - P0524'!J188</f>
        <v>0</v>
      </c>
    </row>
    <row r="189" spans="1:16" x14ac:dyDescent="0.25">
      <c r="A189">
        <v>187</v>
      </c>
      <c r="C189" t="s">
        <v>8</v>
      </c>
      <c r="D189" s="4" t="s">
        <v>181</v>
      </c>
      <c r="E189" s="11">
        <v>32.67</v>
      </c>
      <c r="F189" s="11">
        <v>32.67</v>
      </c>
      <c r="G189" s="6">
        <f t="shared" si="55"/>
        <v>0</v>
      </c>
      <c r="H189" s="7">
        <f t="shared" si="56"/>
        <v>0</v>
      </c>
      <c r="I189" s="8">
        <v>45.558072000000003</v>
      </c>
      <c r="J189" s="9">
        <f t="shared" si="57"/>
        <v>45.558072000000003</v>
      </c>
      <c r="K189" s="3">
        <f t="shared" si="58"/>
        <v>0</v>
      </c>
      <c r="L189" s="7">
        <f t="shared" si="59"/>
        <v>0</v>
      </c>
      <c r="M189" t="s">
        <v>150</v>
      </c>
      <c r="O189" s="3">
        <f>E189-'310785 - P0524'!F189</f>
        <v>0</v>
      </c>
      <c r="P189" s="30">
        <f>I189-'310785 - P0524'!J189</f>
        <v>0</v>
      </c>
    </row>
    <row r="190" spans="1:16" x14ac:dyDescent="0.25">
      <c r="A190">
        <v>188</v>
      </c>
      <c r="C190" t="s">
        <v>8</v>
      </c>
      <c r="D190" s="4" t="s">
        <v>182</v>
      </c>
      <c r="E190" s="11">
        <v>43</v>
      </c>
      <c r="F190" s="11">
        <v>43</v>
      </c>
      <c r="G190" s="13">
        <f t="shared" si="55"/>
        <v>0</v>
      </c>
      <c r="H190" s="7">
        <f t="shared" si="56"/>
        <v>0</v>
      </c>
      <c r="I190" s="8">
        <v>91.806916426512956</v>
      </c>
      <c r="J190" s="9">
        <f t="shared" si="57"/>
        <v>91.806916426512956</v>
      </c>
      <c r="K190" s="3">
        <f t="shared" si="58"/>
        <v>0</v>
      </c>
      <c r="L190" s="7">
        <f t="shared" si="59"/>
        <v>0</v>
      </c>
      <c r="M190" t="s">
        <v>150</v>
      </c>
      <c r="O190" s="3">
        <f>E190-'310785 - P0524'!F190</f>
        <v>0</v>
      </c>
      <c r="P190" s="30">
        <f>I190-'310785 - P0524'!J190</f>
        <v>0</v>
      </c>
    </row>
    <row r="191" spans="1:16" x14ac:dyDescent="0.25">
      <c r="A191">
        <v>189</v>
      </c>
      <c r="C191" t="s">
        <v>8</v>
      </c>
      <c r="D191" s="4" t="s">
        <v>183</v>
      </c>
      <c r="E191" s="11">
        <v>4.24</v>
      </c>
      <c r="F191" s="11">
        <v>4.24</v>
      </c>
      <c r="G191" s="6">
        <f t="shared" si="55"/>
        <v>0</v>
      </c>
      <c r="H191" s="7">
        <f t="shared" si="56"/>
        <v>0</v>
      </c>
      <c r="I191" s="8">
        <v>7.5095819935691317</v>
      </c>
      <c r="J191" s="9">
        <f t="shared" si="57"/>
        <v>7.5095819935691317</v>
      </c>
      <c r="K191" s="3">
        <f t="shared" si="58"/>
        <v>0</v>
      </c>
      <c r="L191" s="7">
        <f t="shared" si="59"/>
        <v>0</v>
      </c>
      <c r="M191" t="s">
        <v>150</v>
      </c>
      <c r="O191" s="3">
        <f>E191-'310785 - P0524'!F191</f>
        <v>0</v>
      </c>
      <c r="P191" s="30">
        <f>I191-'310785 - P0524'!J191</f>
        <v>0</v>
      </c>
    </row>
    <row r="192" spans="1:16" x14ac:dyDescent="0.25">
      <c r="A192">
        <v>190</v>
      </c>
      <c r="D192" s="2" t="s">
        <v>184</v>
      </c>
      <c r="H192" s="10">
        <f>AVERAGE(H167:H191)</f>
        <v>-1.5095571968188315E-2</v>
      </c>
      <c r="I192"/>
    </row>
    <row r="193" spans="1:16" x14ac:dyDescent="0.25">
      <c r="A193">
        <v>191</v>
      </c>
      <c r="D193" s="2" t="s">
        <v>185</v>
      </c>
      <c r="I193"/>
    </row>
    <row r="194" spans="1:16" x14ac:dyDescent="0.25">
      <c r="A194">
        <v>192</v>
      </c>
      <c r="C194" t="s">
        <v>8</v>
      </c>
      <c r="D194" s="4" t="s">
        <v>186</v>
      </c>
      <c r="E194" s="12">
        <v>1.79</v>
      </c>
      <c r="F194" s="12">
        <v>1.79</v>
      </c>
      <c r="G194" s="6">
        <f t="shared" ref="G194:G241" si="60">+F194-E194</f>
        <v>0</v>
      </c>
      <c r="H194" s="7">
        <f t="shared" ref="H194:H241" si="61">(F194-E194)/ABS(E194)</f>
        <v>0</v>
      </c>
      <c r="I194" s="8">
        <v>2.3437962240000001</v>
      </c>
      <c r="J194" s="9">
        <f t="shared" ref="J194:J241" si="62">(I194*H194)+I194</f>
        <v>2.3437962240000001</v>
      </c>
      <c r="K194" s="3">
        <f t="shared" ref="K194:K241" si="63">J194-I194</f>
        <v>0</v>
      </c>
      <c r="L194" s="7">
        <f t="shared" ref="L194:L241" si="64">(J194-I194)/ABS(I194)</f>
        <v>0</v>
      </c>
      <c r="M194" t="s">
        <v>187</v>
      </c>
      <c r="O194" s="3">
        <f>E194-'310785 - P0524'!F194</f>
        <v>0</v>
      </c>
      <c r="P194" s="30">
        <f>I194-'310785 - P0524'!J194</f>
        <v>0</v>
      </c>
    </row>
    <row r="195" spans="1:16" x14ac:dyDescent="0.25">
      <c r="A195">
        <v>193</v>
      </c>
      <c r="C195" t="s">
        <v>8</v>
      </c>
      <c r="D195" s="4" t="s">
        <v>188</v>
      </c>
      <c r="E195" s="12">
        <v>0.46</v>
      </c>
      <c r="F195" s="12">
        <v>0.46</v>
      </c>
      <c r="G195" s="6">
        <f t="shared" si="60"/>
        <v>0</v>
      </c>
      <c r="H195" s="7">
        <f t="shared" si="61"/>
        <v>0</v>
      </c>
      <c r="I195" s="8">
        <v>0.70471188480000002</v>
      </c>
      <c r="J195" s="9">
        <f t="shared" si="62"/>
        <v>0.70471188480000002</v>
      </c>
      <c r="K195" s="3">
        <f t="shared" si="63"/>
        <v>0</v>
      </c>
      <c r="L195" s="7">
        <f t="shared" si="64"/>
        <v>0</v>
      </c>
      <c r="M195" t="s">
        <v>187</v>
      </c>
      <c r="O195" s="3">
        <f>E195-'310785 - P0524'!F195</f>
        <v>0</v>
      </c>
      <c r="P195" s="30">
        <f>I195-'310785 - P0524'!J195</f>
        <v>0</v>
      </c>
    </row>
    <row r="196" spans="1:16" x14ac:dyDescent="0.25">
      <c r="A196">
        <v>194</v>
      </c>
      <c r="C196" t="s">
        <v>8</v>
      </c>
      <c r="D196" s="4" t="s">
        <v>462</v>
      </c>
      <c r="E196" s="12">
        <v>0.6</v>
      </c>
      <c r="F196" s="12">
        <v>0.6</v>
      </c>
      <c r="G196" s="6">
        <f t="shared" si="60"/>
        <v>0</v>
      </c>
      <c r="H196" s="7">
        <f t="shared" si="61"/>
        <v>0</v>
      </c>
      <c r="I196" s="8">
        <v>1.04</v>
      </c>
      <c r="J196" s="9">
        <f t="shared" si="62"/>
        <v>1.04</v>
      </c>
      <c r="K196" s="3">
        <f t="shared" si="63"/>
        <v>0</v>
      </c>
      <c r="L196" s="7">
        <f t="shared" si="64"/>
        <v>0</v>
      </c>
      <c r="M196" t="s">
        <v>187</v>
      </c>
      <c r="O196" s="3">
        <f>E196-'310785 - P0524'!F196</f>
        <v>0</v>
      </c>
      <c r="P196" s="30">
        <f>I196-'310785 - P0524'!J196</f>
        <v>0</v>
      </c>
    </row>
    <row r="197" spans="1:16" x14ac:dyDescent="0.25">
      <c r="A197">
        <v>195</v>
      </c>
      <c r="C197" t="s">
        <v>8</v>
      </c>
      <c r="D197" s="4" t="s">
        <v>189</v>
      </c>
      <c r="E197" s="12">
        <v>17.88</v>
      </c>
      <c r="F197" s="12">
        <v>17.88</v>
      </c>
      <c r="G197" s="6">
        <f t="shared" si="60"/>
        <v>0</v>
      </c>
      <c r="H197" s="7">
        <f t="shared" si="61"/>
        <v>0</v>
      </c>
      <c r="I197" s="8">
        <v>35.219578060799989</v>
      </c>
      <c r="J197" s="9">
        <f t="shared" si="62"/>
        <v>35.219578060799989</v>
      </c>
      <c r="K197" s="3">
        <f t="shared" si="63"/>
        <v>0</v>
      </c>
      <c r="L197" s="7">
        <f t="shared" si="64"/>
        <v>0</v>
      </c>
      <c r="M197" t="s">
        <v>187</v>
      </c>
      <c r="O197" s="3">
        <f>E197-'310785 - P0524'!F197</f>
        <v>0</v>
      </c>
      <c r="P197" s="30">
        <f>I197-'310785 - P0524'!J197</f>
        <v>0</v>
      </c>
    </row>
    <row r="198" spans="1:16" x14ac:dyDescent="0.25">
      <c r="A198">
        <v>196</v>
      </c>
      <c r="C198" t="s">
        <v>8</v>
      </c>
      <c r="D198" s="4" t="s">
        <v>190</v>
      </c>
      <c r="E198" s="12">
        <v>36.299999999999997</v>
      </c>
      <c r="F198" s="12">
        <v>36.299999999999997</v>
      </c>
      <c r="G198" s="6">
        <f t="shared" si="60"/>
        <v>0</v>
      </c>
      <c r="H198" s="7">
        <f t="shared" si="61"/>
        <v>0</v>
      </c>
      <c r="I198" s="8">
        <v>82.49</v>
      </c>
      <c r="J198" s="9">
        <f t="shared" si="62"/>
        <v>82.49</v>
      </c>
      <c r="K198" s="3">
        <f t="shared" si="63"/>
        <v>0</v>
      </c>
      <c r="L198" s="7">
        <f t="shared" si="64"/>
        <v>0</v>
      </c>
      <c r="M198" t="s">
        <v>187</v>
      </c>
      <c r="O198" s="3">
        <f>E198-'310785 - P0524'!F198</f>
        <v>0</v>
      </c>
      <c r="P198" s="30">
        <f>I198-'310785 - P0524'!J198</f>
        <v>0</v>
      </c>
    </row>
    <row r="199" spans="1:16" x14ac:dyDescent="0.25">
      <c r="A199">
        <v>197</v>
      </c>
      <c r="C199" t="s">
        <v>8</v>
      </c>
      <c r="D199" s="4" t="s">
        <v>487</v>
      </c>
      <c r="E199" s="12">
        <v>5.18</v>
      </c>
      <c r="F199" s="12">
        <v>5.18</v>
      </c>
      <c r="G199" s="6">
        <f t="shared" si="60"/>
        <v>0</v>
      </c>
      <c r="H199" s="7">
        <f t="shared" si="61"/>
        <v>0</v>
      </c>
      <c r="I199" s="8">
        <v>7.13</v>
      </c>
      <c r="J199" s="9">
        <f t="shared" si="62"/>
        <v>7.13</v>
      </c>
      <c r="K199" s="3">
        <f t="shared" si="63"/>
        <v>0</v>
      </c>
      <c r="L199" s="7">
        <f t="shared" si="64"/>
        <v>0</v>
      </c>
      <c r="M199" t="s">
        <v>187</v>
      </c>
      <c r="O199" s="3">
        <f>E199-'310785 - P0524'!F199</f>
        <v>0</v>
      </c>
      <c r="P199" s="30">
        <f>I199-'310785 - P0524'!J199</f>
        <v>0</v>
      </c>
    </row>
    <row r="200" spans="1:16" x14ac:dyDescent="0.25">
      <c r="A200">
        <v>198</v>
      </c>
      <c r="C200" t="s">
        <v>8</v>
      </c>
      <c r="D200" s="4" t="s">
        <v>191</v>
      </c>
      <c r="E200" s="12">
        <v>8.2200000000000006</v>
      </c>
      <c r="F200" s="12">
        <v>8.2200000000000006</v>
      </c>
      <c r="G200" s="6">
        <f t="shared" si="60"/>
        <v>0</v>
      </c>
      <c r="H200" s="7">
        <f t="shared" si="61"/>
        <v>0</v>
      </c>
      <c r="I200" s="8">
        <v>18.68</v>
      </c>
      <c r="J200" s="9">
        <f t="shared" si="62"/>
        <v>18.68</v>
      </c>
      <c r="K200" s="3">
        <f t="shared" si="63"/>
        <v>0</v>
      </c>
      <c r="L200" s="7">
        <f t="shared" si="64"/>
        <v>0</v>
      </c>
      <c r="M200" t="s">
        <v>187</v>
      </c>
      <c r="O200" s="3">
        <f>E200-'310785 - P0524'!F200</f>
        <v>0</v>
      </c>
      <c r="P200" s="30">
        <f>I200-'310785 - P0524'!J200</f>
        <v>0</v>
      </c>
    </row>
    <row r="201" spans="1:16" x14ac:dyDescent="0.25">
      <c r="A201">
        <v>199</v>
      </c>
      <c r="C201" t="s">
        <v>8</v>
      </c>
      <c r="D201" s="4" t="s">
        <v>192</v>
      </c>
      <c r="E201" s="12">
        <v>137.77000000000001</v>
      </c>
      <c r="F201" s="12">
        <v>137.77000000000001</v>
      </c>
      <c r="G201" s="6">
        <f t="shared" si="60"/>
        <v>0</v>
      </c>
      <c r="H201" s="7">
        <f t="shared" si="61"/>
        <v>0</v>
      </c>
      <c r="I201" s="8">
        <v>207.19</v>
      </c>
      <c r="J201" s="9">
        <f t="shared" si="62"/>
        <v>207.19</v>
      </c>
      <c r="K201" s="3">
        <f t="shared" si="63"/>
        <v>0</v>
      </c>
      <c r="L201" s="7">
        <f t="shared" si="64"/>
        <v>0</v>
      </c>
      <c r="M201" t="s">
        <v>187</v>
      </c>
      <c r="O201" s="3">
        <f>E201-'310785 - P0524'!F201</f>
        <v>0</v>
      </c>
      <c r="P201" s="30">
        <f>I201-'310785 - P0524'!J201</f>
        <v>0</v>
      </c>
    </row>
    <row r="202" spans="1:16" x14ac:dyDescent="0.25">
      <c r="A202">
        <v>200</v>
      </c>
      <c r="C202" t="s">
        <v>8</v>
      </c>
      <c r="D202" s="4" t="s">
        <v>193</v>
      </c>
      <c r="E202" s="12">
        <v>123.36</v>
      </c>
      <c r="F202" s="12">
        <v>123.36</v>
      </c>
      <c r="G202" s="6">
        <f t="shared" si="60"/>
        <v>0</v>
      </c>
      <c r="H202" s="7">
        <f t="shared" si="61"/>
        <v>0</v>
      </c>
      <c r="I202" s="8">
        <v>168.12183306239999</v>
      </c>
      <c r="J202" s="9">
        <f t="shared" si="62"/>
        <v>168.12183306239999</v>
      </c>
      <c r="K202" s="3">
        <f t="shared" si="63"/>
        <v>0</v>
      </c>
      <c r="L202" s="7">
        <f t="shared" si="64"/>
        <v>0</v>
      </c>
      <c r="M202" t="s">
        <v>187</v>
      </c>
      <c r="O202" s="3">
        <f>E202-'310785 - P0524'!F202</f>
        <v>0</v>
      </c>
      <c r="P202" s="30">
        <f>I202-'310785 - P0524'!J202</f>
        <v>0</v>
      </c>
    </row>
    <row r="203" spans="1:16" x14ac:dyDescent="0.25">
      <c r="A203">
        <v>201</v>
      </c>
      <c r="C203" t="s">
        <v>8</v>
      </c>
      <c r="D203" s="4" t="s">
        <v>194</v>
      </c>
      <c r="E203" s="12">
        <v>36.909999999999997</v>
      </c>
      <c r="F203" s="12">
        <v>36.909999999999997</v>
      </c>
      <c r="G203" s="6">
        <f t="shared" si="60"/>
        <v>0</v>
      </c>
      <c r="H203" s="7">
        <f t="shared" si="61"/>
        <v>0</v>
      </c>
      <c r="I203" s="8">
        <v>77.662452940799994</v>
      </c>
      <c r="J203" s="9">
        <f t="shared" si="62"/>
        <v>77.662452940799994</v>
      </c>
      <c r="K203" s="3">
        <f t="shared" si="63"/>
        <v>0</v>
      </c>
      <c r="L203" s="7">
        <f t="shared" si="64"/>
        <v>0</v>
      </c>
      <c r="M203" t="s">
        <v>187</v>
      </c>
      <c r="O203" s="3">
        <f>E203-'310785 - P0524'!F203</f>
        <v>0</v>
      </c>
      <c r="P203" s="30">
        <f>I203-'310785 - P0524'!J203</f>
        <v>0</v>
      </c>
    </row>
    <row r="204" spans="1:16" x14ac:dyDescent="0.25">
      <c r="A204">
        <v>202</v>
      </c>
      <c r="C204" t="s">
        <v>8</v>
      </c>
      <c r="D204" s="4" t="s">
        <v>195</v>
      </c>
      <c r="E204" s="12">
        <v>25.49</v>
      </c>
      <c r="F204" s="12">
        <v>25.49</v>
      </c>
      <c r="G204" s="6">
        <f>+F204-E204</f>
        <v>0</v>
      </c>
      <c r="H204" s="7">
        <f>(F204-E204)/ABS(E204)</f>
        <v>0</v>
      </c>
      <c r="I204" s="8">
        <v>39.21</v>
      </c>
      <c r="J204" s="9">
        <f>(I204*H204)+I204</f>
        <v>39.21</v>
      </c>
      <c r="K204" s="3">
        <f>J204-I204</f>
        <v>0</v>
      </c>
      <c r="L204" s="7">
        <f>(J204-I204)/ABS(I204)</f>
        <v>0</v>
      </c>
      <c r="M204" t="s">
        <v>187</v>
      </c>
      <c r="O204" s="3">
        <f>E204-'310785 - P0524'!F204</f>
        <v>0</v>
      </c>
      <c r="P204" s="30">
        <f>I204-'310785 - P0524'!J204</f>
        <v>0</v>
      </c>
    </row>
    <row r="205" spans="1:16" x14ac:dyDescent="0.25">
      <c r="A205">
        <v>203</v>
      </c>
      <c r="C205" t="s">
        <v>8</v>
      </c>
      <c r="D205" s="4" t="s">
        <v>196</v>
      </c>
      <c r="E205" s="12">
        <v>5.72</v>
      </c>
      <c r="F205" s="12">
        <v>5.72</v>
      </c>
      <c r="G205" s="6">
        <f t="shared" si="60"/>
        <v>0</v>
      </c>
      <c r="H205" s="7">
        <f t="shared" si="61"/>
        <v>0</v>
      </c>
      <c r="I205" s="8">
        <v>8.6487367680000027</v>
      </c>
      <c r="J205" s="9">
        <f t="shared" si="62"/>
        <v>8.6487367680000027</v>
      </c>
      <c r="K205" s="3">
        <f t="shared" si="63"/>
        <v>0</v>
      </c>
      <c r="L205" s="7">
        <f t="shared" si="64"/>
        <v>0</v>
      </c>
      <c r="M205" t="s">
        <v>187</v>
      </c>
      <c r="O205" s="3">
        <f>E205-'310785 - P0524'!F205</f>
        <v>0</v>
      </c>
      <c r="P205" s="30">
        <f>I205-'310785 - P0524'!J205</f>
        <v>0</v>
      </c>
    </row>
    <row r="206" spans="1:16" x14ac:dyDescent="0.25">
      <c r="A206">
        <v>204</v>
      </c>
      <c r="C206" t="s">
        <v>8</v>
      </c>
      <c r="D206" s="4" t="s">
        <v>197</v>
      </c>
      <c r="E206" s="12">
        <v>21.44</v>
      </c>
      <c r="F206" s="12">
        <v>21.44</v>
      </c>
      <c r="G206" s="6">
        <f t="shared" si="60"/>
        <v>0</v>
      </c>
      <c r="H206" s="7">
        <f t="shared" si="61"/>
        <v>0</v>
      </c>
      <c r="I206" s="8">
        <v>57.90134784</v>
      </c>
      <c r="J206" s="9">
        <f t="shared" si="62"/>
        <v>57.90134784</v>
      </c>
      <c r="K206" s="3">
        <f t="shared" si="63"/>
        <v>0</v>
      </c>
      <c r="L206" s="7">
        <f t="shared" si="64"/>
        <v>0</v>
      </c>
      <c r="M206" t="s">
        <v>187</v>
      </c>
      <c r="O206" s="3">
        <f>E206-'310785 - P0524'!F206</f>
        <v>0</v>
      </c>
      <c r="P206" s="30">
        <f>I206-'310785 - P0524'!J206</f>
        <v>0</v>
      </c>
    </row>
    <row r="207" spans="1:16" x14ac:dyDescent="0.25">
      <c r="A207">
        <v>205</v>
      </c>
      <c r="C207" t="s">
        <v>8</v>
      </c>
      <c r="D207" s="4" t="s">
        <v>198</v>
      </c>
      <c r="E207" s="12">
        <v>8.5399999999999991</v>
      </c>
      <c r="F207" s="12">
        <v>8.5399999999999991</v>
      </c>
      <c r="G207" s="6">
        <f t="shared" si="60"/>
        <v>0</v>
      </c>
      <c r="H207" s="7">
        <f t="shared" si="61"/>
        <v>0</v>
      </c>
      <c r="I207" s="8">
        <v>17.61</v>
      </c>
      <c r="J207" s="9">
        <f t="shared" si="62"/>
        <v>17.61</v>
      </c>
      <c r="K207" s="3">
        <f t="shared" si="63"/>
        <v>0</v>
      </c>
      <c r="L207" s="7">
        <f t="shared" si="64"/>
        <v>0</v>
      </c>
      <c r="M207" t="s">
        <v>187</v>
      </c>
      <c r="O207" s="3">
        <f>E207-'310785 - P0524'!F207</f>
        <v>0</v>
      </c>
      <c r="P207" s="30">
        <f>I207-'310785 - P0524'!J207</f>
        <v>0</v>
      </c>
    </row>
    <row r="208" spans="1:16" x14ac:dyDescent="0.25">
      <c r="A208">
        <v>206</v>
      </c>
      <c r="C208" t="s">
        <v>8</v>
      </c>
      <c r="D208" s="4" t="s">
        <v>199</v>
      </c>
      <c r="E208" s="12">
        <v>2.2400000000000002</v>
      </c>
      <c r="F208" s="12">
        <v>2.2400000000000002</v>
      </c>
      <c r="G208" s="6">
        <f t="shared" si="60"/>
        <v>0</v>
      </c>
      <c r="H208" s="7">
        <f t="shared" si="61"/>
        <v>0</v>
      </c>
      <c r="I208" s="8">
        <v>3.2169142539130431</v>
      </c>
      <c r="J208" s="9">
        <f t="shared" si="62"/>
        <v>3.2169142539130431</v>
      </c>
      <c r="K208" s="3">
        <f t="shared" si="63"/>
        <v>0</v>
      </c>
      <c r="L208" s="7">
        <f t="shared" si="64"/>
        <v>0</v>
      </c>
      <c r="M208" t="s">
        <v>187</v>
      </c>
      <c r="O208" s="3">
        <f>E208-'310785 - P0524'!F208</f>
        <v>0</v>
      </c>
      <c r="P208" s="30">
        <f>I208-'310785 - P0524'!J208</f>
        <v>0</v>
      </c>
    </row>
    <row r="209" spans="1:16" x14ac:dyDescent="0.25">
      <c r="A209">
        <v>207</v>
      </c>
      <c r="C209" t="s">
        <v>8</v>
      </c>
      <c r="D209" s="4" t="s">
        <v>200</v>
      </c>
      <c r="E209" s="12">
        <v>12.54</v>
      </c>
      <c r="F209" s="12">
        <v>12.54</v>
      </c>
      <c r="G209" s="6">
        <f t="shared" si="60"/>
        <v>0</v>
      </c>
      <c r="H209" s="7">
        <f t="shared" si="61"/>
        <v>0</v>
      </c>
      <c r="I209" s="8">
        <v>18.163175635862068</v>
      </c>
      <c r="J209" s="9">
        <f t="shared" si="62"/>
        <v>18.163175635862068</v>
      </c>
      <c r="K209" s="3">
        <f t="shared" si="63"/>
        <v>0</v>
      </c>
      <c r="L209" s="7">
        <f t="shared" si="64"/>
        <v>0</v>
      </c>
      <c r="M209" t="s">
        <v>187</v>
      </c>
      <c r="O209" s="3">
        <f>E209-'310785 - P0524'!F209</f>
        <v>0</v>
      </c>
      <c r="P209" s="30">
        <f>I209-'310785 - P0524'!J209</f>
        <v>0</v>
      </c>
    </row>
    <row r="210" spans="1:16" x14ac:dyDescent="0.25">
      <c r="A210">
        <v>208</v>
      </c>
      <c r="C210" t="s">
        <v>8</v>
      </c>
      <c r="D210" s="4" t="s">
        <v>201</v>
      </c>
      <c r="E210" s="12">
        <v>13.2</v>
      </c>
      <c r="F210" s="12">
        <v>13.2</v>
      </c>
      <c r="G210" s="6">
        <f t="shared" si="60"/>
        <v>0</v>
      </c>
      <c r="H210" s="7">
        <f t="shared" si="61"/>
        <v>0</v>
      </c>
      <c r="I210" s="8">
        <v>33.770000000000003</v>
      </c>
      <c r="J210" s="9">
        <f t="shared" si="62"/>
        <v>33.770000000000003</v>
      </c>
      <c r="K210" s="3">
        <f t="shared" si="63"/>
        <v>0</v>
      </c>
      <c r="L210" s="7">
        <f t="shared" si="64"/>
        <v>0</v>
      </c>
      <c r="M210" t="s">
        <v>187</v>
      </c>
      <c r="O210" s="3">
        <f>E210-'310785 - P0524'!F210</f>
        <v>0</v>
      </c>
      <c r="P210" s="30">
        <f>I210-'310785 - P0524'!J210</f>
        <v>0</v>
      </c>
    </row>
    <row r="211" spans="1:16" x14ac:dyDescent="0.25">
      <c r="A211">
        <v>209</v>
      </c>
      <c r="C211" t="s">
        <v>8</v>
      </c>
      <c r="D211" s="4" t="s">
        <v>202</v>
      </c>
      <c r="E211" s="12">
        <v>20.100000000000001</v>
      </c>
      <c r="F211" s="12">
        <v>20.100000000000001</v>
      </c>
      <c r="G211" s="6">
        <f t="shared" si="60"/>
        <v>0</v>
      </c>
      <c r="H211" s="7">
        <f t="shared" si="61"/>
        <v>0</v>
      </c>
      <c r="I211" s="8">
        <v>54.326307840000005</v>
      </c>
      <c r="J211" s="9">
        <f t="shared" si="62"/>
        <v>54.326307840000005</v>
      </c>
      <c r="K211" s="3">
        <f t="shared" si="63"/>
        <v>0</v>
      </c>
      <c r="L211" s="7">
        <f t="shared" si="64"/>
        <v>0</v>
      </c>
      <c r="M211" t="s">
        <v>187</v>
      </c>
      <c r="O211" s="3">
        <f>E211-'310785 - P0524'!F211</f>
        <v>0</v>
      </c>
      <c r="P211" s="30">
        <f>I211-'310785 - P0524'!J211</f>
        <v>0</v>
      </c>
    </row>
    <row r="212" spans="1:16" x14ac:dyDescent="0.25">
      <c r="A212">
        <v>210</v>
      </c>
      <c r="C212" t="s">
        <v>8</v>
      </c>
      <c r="D212" s="4" t="s">
        <v>203</v>
      </c>
      <c r="E212" s="12">
        <v>38.64</v>
      </c>
      <c r="F212" s="12">
        <v>38.64</v>
      </c>
      <c r="G212" s="6">
        <f t="shared" si="60"/>
        <v>0</v>
      </c>
      <c r="H212" s="7">
        <f t="shared" si="61"/>
        <v>0</v>
      </c>
      <c r="I212" s="8">
        <v>85.68</v>
      </c>
      <c r="J212" s="9">
        <f t="shared" si="62"/>
        <v>85.68</v>
      </c>
      <c r="K212" s="3">
        <f t="shared" si="63"/>
        <v>0</v>
      </c>
      <c r="L212" s="7">
        <f t="shared" si="64"/>
        <v>0</v>
      </c>
      <c r="M212" t="s">
        <v>187</v>
      </c>
      <c r="O212" s="3">
        <f>E212-'310785 - P0524'!F212</f>
        <v>0</v>
      </c>
      <c r="P212" s="30">
        <f>I212-'310785 - P0524'!J212</f>
        <v>0</v>
      </c>
    </row>
    <row r="213" spans="1:16" x14ac:dyDescent="0.25">
      <c r="A213">
        <v>211</v>
      </c>
      <c r="C213" t="s">
        <v>8</v>
      </c>
      <c r="D213" s="4" t="s">
        <v>204</v>
      </c>
      <c r="E213" s="12">
        <v>17.16</v>
      </c>
      <c r="F213" s="12">
        <v>17.16</v>
      </c>
      <c r="G213" s="6">
        <f t="shared" si="60"/>
        <v>0</v>
      </c>
      <c r="H213" s="7">
        <f t="shared" si="61"/>
        <v>0</v>
      </c>
      <c r="I213" s="8">
        <v>26.391854075214955</v>
      </c>
      <c r="J213" s="9">
        <f t="shared" si="62"/>
        <v>26.391854075214955</v>
      </c>
      <c r="K213" s="3">
        <f t="shared" si="63"/>
        <v>0</v>
      </c>
      <c r="L213" s="7">
        <f t="shared" si="64"/>
        <v>0</v>
      </c>
      <c r="M213" t="s">
        <v>187</v>
      </c>
      <c r="O213" s="3">
        <f>E213-'310785 - P0524'!F213</f>
        <v>0</v>
      </c>
      <c r="P213" s="30">
        <f>I213-'310785 - P0524'!J213</f>
        <v>0</v>
      </c>
    </row>
    <row r="214" spans="1:16" x14ac:dyDescent="0.25">
      <c r="A214">
        <v>212</v>
      </c>
      <c r="C214" t="s">
        <v>8</v>
      </c>
      <c r="D214" s="4" t="s">
        <v>205</v>
      </c>
      <c r="E214" s="12">
        <v>30.07</v>
      </c>
      <c r="F214" s="12">
        <v>30.07</v>
      </c>
      <c r="G214" s="6">
        <f t="shared" si="60"/>
        <v>0</v>
      </c>
      <c r="H214" s="7">
        <f t="shared" si="61"/>
        <v>0</v>
      </c>
      <c r="I214" s="8">
        <v>35.416393485128204</v>
      </c>
      <c r="J214" s="9">
        <f t="shared" si="62"/>
        <v>35.416393485128204</v>
      </c>
      <c r="K214" s="3">
        <f t="shared" si="63"/>
        <v>0</v>
      </c>
      <c r="L214" s="7">
        <f t="shared" si="64"/>
        <v>0</v>
      </c>
      <c r="M214" t="s">
        <v>187</v>
      </c>
      <c r="O214" s="3">
        <f>E214-'310785 - P0524'!F214</f>
        <v>0</v>
      </c>
      <c r="P214" s="30">
        <f>I214-'310785 - P0524'!J214</f>
        <v>0</v>
      </c>
    </row>
    <row r="215" spans="1:16" x14ac:dyDescent="0.25">
      <c r="A215">
        <v>213</v>
      </c>
      <c r="C215" t="s">
        <v>8</v>
      </c>
      <c r="D215" s="4" t="s">
        <v>206</v>
      </c>
      <c r="E215" s="12">
        <v>30.42</v>
      </c>
      <c r="F215" s="12">
        <v>30.42</v>
      </c>
      <c r="G215" s="6">
        <f t="shared" si="60"/>
        <v>0</v>
      </c>
      <c r="H215" s="7">
        <f t="shared" si="61"/>
        <v>0</v>
      </c>
      <c r="I215" s="8">
        <v>42.49</v>
      </c>
      <c r="J215" s="9">
        <f t="shared" si="62"/>
        <v>42.49</v>
      </c>
      <c r="K215" s="3">
        <f t="shared" si="63"/>
        <v>0</v>
      </c>
      <c r="L215" s="7">
        <f t="shared" si="64"/>
        <v>0</v>
      </c>
      <c r="M215" t="s">
        <v>187</v>
      </c>
      <c r="O215" s="3">
        <f>E215-'310785 - P0524'!F215</f>
        <v>0</v>
      </c>
      <c r="P215" s="30">
        <f>I215-'310785 - P0524'!J215</f>
        <v>0</v>
      </c>
    </row>
    <row r="216" spans="1:16" x14ac:dyDescent="0.25">
      <c r="A216">
        <v>214</v>
      </c>
      <c r="C216" t="s">
        <v>8</v>
      </c>
      <c r="D216" s="4" t="s">
        <v>207</v>
      </c>
      <c r="E216" s="12">
        <v>2.4</v>
      </c>
      <c r="F216" s="12">
        <v>2.4</v>
      </c>
      <c r="G216" s="6">
        <f t="shared" si="60"/>
        <v>0</v>
      </c>
      <c r="H216" s="7">
        <f t="shared" si="61"/>
        <v>0</v>
      </c>
      <c r="I216" s="8">
        <v>4.84</v>
      </c>
      <c r="J216" s="9">
        <f t="shared" si="62"/>
        <v>4.84</v>
      </c>
      <c r="K216" s="3">
        <f t="shared" si="63"/>
        <v>0</v>
      </c>
      <c r="L216" s="7">
        <f t="shared" si="64"/>
        <v>0</v>
      </c>
      <c r="M216" t="s">
        <v>187</v>
      </c>
      <c r="O216" s="3">
        <f>E216-'310785 - P0524'!F216</f>
        <v>0</v>
      </c>
      <c r="P216" s="30">
        <f>I216-'310785 - P0524'!J216</f>
        <v>0</v>
      </c>
    </row>
    <row r="217" spans="1:16" x14ac:dyDescent="0.25">
      <c r="A217">
        <v>215</v>
      </c>
      <c r="C217" t="s">
        <v>8</v>
      </c>
      <c r="D217" s="4" t="s">
        <v>208</v>
      </c>
      <c r="E217" s="12">
        <v>3.66</v>
      </c>
      <c r="F217" s="12">
        <v>3.66</v>
      </c>
      <c r="G217" s="6">
        <f t="shared" si="60"/>
        <v>0</v>
      </c>
      <c r="H217" s="7">
        <f t="shared" si="61"/>
        <v>0</v>
      </c>
      <c r="I217" s="8">
        <v>5.4831979136563875</v>
      </c>
      <c r="J217" s="9">
        <f t="shared" si="62"/>
        <v>5.4831979136563875</v>
      </c>
      <c r="K217" s="3">
        <f t="shared" si="63"/>
        <v>0</v>
      </c>
      <c r="L217" s="7">
        <f t="shared" si="64"/>
        <v>0</v>
      </c>
      <c r="M217" t="s">
        <v>187</v>
      </c>
      <c r="O217" s="3">
        <f>E217-'310785 - P0524'!F217</f>
        <v>0</v>
      </c>
      <c r="P217" s="30">
        <f>I217-'310785 - P0524'!J217</f>
        <v>0</v>
      </c>
    </row>
    <row r="218" spans="1:16" x14ac:dyDescent="0.25">
      <c r="A218">
        <v>216</v>
      </c>
      <c r="C218" t="s">
        <v>8</v>
      </c>
      <c r="D218" s="4" t="s">
        <v>209</v>
      </c>
      <c r="E218" s="12">
        <v>3.26</v>
      </c>
      <c r="F218" s="12">
        <v>3.26</v>
      </c>
      <c r="G218" s="13">
        <f t="shared" si="60"/>
        <v>0</v>
      </c>
      <c r="H218" s="7">
        <f t="shared" si="61"/>
        <v>0</v>
      </c>
      <c r="I218" s="8">
        <v>5.48</v>
      </c>
      <c r="J218" s="9">
        <f t="shared" si="62"/>
        <v>5.48</v>
      </c>
      <c r="K218" s="3">
        <f t="shared" si="63"/>
        <v>0</v>
      </c>
      <c r="L218" s="7">
        <f t="shared" si="64"/>
        <v>0</v>
      </c>
      <c r="M218" t="s">
        <v>187</v>
      </c>
      <c r="O218" s="3">
        <f>E218-'310785 - P0524'!F218</f>
        <v>0</v>
      </c>
      <c r="P218" s="30">
        <f>I218-'310785 - P0524'!J218</f>
        <v>0</v>
      </c>
    </row>
    <row r="219" spans="1:16" x14ac:dyDescent="0.25">
      <c r="A219">
        <v>217</v>
      </c>
      <c r="C219" t="s">
        <v>8</v>
      </c>
      <c r="D219" s="4" t="s">
        <v>210</v>
      </c>
      <c r="E219" s="12">
        <v>4.46</v>
      </c>
      <c r="F219" s="12">
        <v>4.46</v>
      </c>
      <c r="G219" s="6">
        <f t="shared" si="60"/>
        <v>0</v>
      </c>
      <c r="H219" s="7">
        <f t="shared" si="61"/>
        <v>0</v>
      </c>
      <c r="I219" s="8">
        <v>6.8717173187003597</v>
      </c>
      <c r="J219" s="9">
        <f t="shared" si="62"/>
        <v>6.8717173187003597</v>
      </c>
      <c r="K219" s="3">
        <f t="shared" si="63"/>
        <v>0</v>
      </c>
      <c r="L219" s="7">
        <f t="shared" si="64"/>
        <v>0</v>
      </c>
      <c r="M219" t="s">
        <v>187</v>
      </c>
      <c r="O219" s="3">
        <f>E219-'310785 - P0524'!F219</f>
        <v>0</v>
      </c>
      <c r="P219" s="30">
        <f>I219-'310785 - P0524'!J219</f>
        <v>0</v>
      </c>
    </row>
    <row r="220" spans="1:16" x14ac:dyDescent="0.25">
      <c r="A220">
        <v>218</v>
      </c>
      <c r="C220" t="s">
        <v>8</v>
      </c>
      <c r="D220" s="4" t="s">
        <v>211</v>
      </c>
      <c r="E220" s="12">
        <v>1.78</v>
      </c>
      <c r="F220" s="12">
        <v>1.78</v>
      </c>
      <c r="G220" s="6">
        <f t="shared" si="60"/>
        <v>0</v>
      </c>
      <c r="H220" s="7">
        <f t="shared" si="61"/>
        <v>0</v>
      </c>
      <c r="I220" s="8">
        <v>3.6982813789090896</v>
      </c>
      <c r="J220" s="9">
        <f t="shared" si="62"/>
        <v>3.6982813789090896</v>
      </c>
      <c r="K220" s="3">
        <f t="shared" si="63"/>
        <v>0</v>
      </c>
      <c r="L220" s="7">
        <f t="shared" si="64"/>
        <v>0</v>
      </c>
      <c r="M220" t="s">
        <v>187</v>
      </c>
      <c r="O220" s="3">
        <f>E220-'310785 - P0524'!F220</f>
        <v>0</v>
      </c>
      <c r="P220" s="30">
        <f>I220-'310785 - P0524'!J220</f>
        <v>0</v>
      </c>
    </row>
    <row r="221" spans="1:16" x14ac:dyDescent="0.25">
      <c r="A221">
        <v>219</v>
      </c>
      <c r="C221" t="s">
        <v>8</v>
      </c>
      <c r="D221" s="4" t="s">
        <v>212</v>
      </c>
      <c r="E221" s="12">
        <v>2.66</v>
      </c>
      <c r="F221" s="12">
        <v>2.66</v>
      </c>
      <c r="G221" s="6">
        <f t="shared" si="60"/>
        <v>0</v>
      </c>
      <c r="H221" s="7">
        <f t="shared" si="61"/>
        <v>0</v>
      </c>
      <c r="I221" s="8">
        <v>4.4491697803636372</v>
      </c>
      <c r="J221" s="9">
        <f t="shared" si="62"/>
        <v>4.4491697803636372</v>
      </c>
      <c r="K221" s="3">
        <f t="shared" si="63"/>
        <v>0</v>
      </c>
      <c r="L221" s="7">
        <f t="shared" si="64"/>
        <v>0</v>
      </c>
      <c r="M221" t="s">
        <v>187</v>
      </c>
      <c r="O221" s="3">
        <f>E221-'310785 - P0524'!F221</f>
        <v>0</v>
      </c>
      <c r="P221" s="30">
        <f>I221-'310785 - P0524'!J221</f>
        <v>0</v>
      </c>
    </row>
    <row r="222" spans="1:16" x14ac:dyDescent="0.25">
      <c r="A222">
        <v>220</v>
      </c>
      <c r="C222" t="s">
        <v>8</v>
      </c>
      <c r="D222" s="4" t="s">
        <v>213</v>
      </c>
      <c r="E222" s="12">
        <v>2.85</v>
      </c>
      <c r="F222" s="12">
        <v>2.85</v>
      </c>
      <c r="G222" s="6">
        <f t="shared" si="60"/>
        <v>0</v>
      </c>
      <c r="H222" s="7">
        <f t="shared" si="61"/>
        <v>0</v>
      </c>
      <c r="I222" s="8">
        <v>7.25</v>
      </c>
      <c r="J222" s="9">
        <f t="shared" si="62"/>
        <v>7.25</v>
      </c>
      <c r="K222" s="3">
        <f t="shared" si="63"/>
        <v>0</v>
      </c>
      <c r="L222" s="7">
        <f t="shared" si="64"/>
        <v>0</v>
      </c>
      <c r="M222" t="s">
        <v>187</v>
      </c>
      <c r="O222" s="3">
        <f>E222-'310785 - P0524'!F222</f>
        <v>0</v>
      </c>
      <c r="P222" s="30">
        <f>I222-'310785 - P0524'!J222</f>
        <v>0</v>
      </c>
    </row>
    <row r="223" spans="1:16" x14ac:dyDescent="0.25">
      <c r="A223">
        <v>221</v>
      </c>
      <c r="C223" t="s">
        <v>8</v>
      </c>
      <c r="D223" s="4" t="s">
        <v>465</v>
      </c>
      <c r="E223" s="12">
        <v>2.5099999999999998</v>
      </c>
      <c r="F223" s="12">
        <v>2.5099999999999998</v>
      </c>
      <c r="G223" s="6">
        <f t="shared" si="60"/>
        <v>0</v>
      </c>
      <c r="H223" s="7">
        <f t="shared" si="61"/>
        <v>0</v>
      </c>
      <c r="I223" s="8">
        <v>4.32</v>
      </c>
      <c r="J223" s="9">
        <f t="shared" si="62"/>
        <v>4.32</v>
      </c>
      <c r="K223" s="3">
        <f t="shared" si="63"/>
        <v>0</v>
      </c>
      <c r="L223" s="7">
        <f t="shared" si="64"/>
        <v>0</v>
      </c>
      <c r="M223" t="s">
        <v>187</v>
      </c>
      <c r="O223" s="3">
        <f>E223-'310785 - P0524'!F223</f>
        <v>0</v>
      </c>
      <c r="P223" s="30">
        <f>I223-'310785 - P0524'!J223</f>
        <v>0</v>
      </c>
    </row>
    <row r="224" spans="1:16" x14ac:dyDescent="0.25">
      <c r="A224">
        <v>222</v>
      </c>
      <c r="C224" t="s">
        <v>8</v>
      </c>
      <c r="D224" s="4" t="s">
        <v>214</v>
      </c>
      <c r="E224" s="12">
        <v>2.69</v>
      </c>
      <c r="F224" s="12">
        <v>2.69</v>
      </c>
      <c r="G224" s="6">
        <f t="shared" si="60"/>
        <v>0</v>
      </c>
      <c r="H224" s="7">
        <f t="shared" si="61"/>
        <v>0</v>
      </c>
      <c r="I224" s="8">
        <v>4.49</v>
      </c>
      <c r="J224" s="9">
        <f t="shared" si="62"/>
        <v>4.49</v>
      </c>
      <c r="K224" s="3">
        <f t="shared" si="63"/>
        <v>0</v>
      </c>
      <c r="L224" s="7">
        <f t="shared" si="64"/>
        <v>0</v>
      </c>
      <c r="M224" t="s">
        <v>187</v>
      </c>
      <c r="O224" s="3">
        <f>E224-'310785 - P0524'!F224</f>
        <v>0</v>
      </c>
      <c r="P224" s="30">
        <f>I224-'310785 - P0524'!J224</f>
        <v>0</v>
      </c>
    </row>
    <row r="225" spans="1:16" x14ac:dyDescent="0.25">
      <c r="A225">
        <v>223</v>
      </c>
      <c r="C225" t="s">
        <v>8</v>
      </c>
      <c r="D225" s="4" t="s">
        <v>215</v>
      </c>
      <c r="E225" s="12">
        <v>0.45</v>
      </c>
      <c r="F225" s="12">
        <v>0.45</v>
      </c>
      <c r="G225" s="6">
        <f t="shared" si="60"/>
        <v>0</v>
      </c>
      <c r="H225" s="7">
        <f t="shared" si="61"/>
        <v>0</v>
      </c>
      <c r="I225" s="8">
        <v>0.70471188480000002</v>
      </c>
      <c r="J225" s="9">
        <f t="shared" si="62"/>
        <v>0.70471188480000002</v>
      </c>
      <c r="K225" s="3">
        <f t="shared" si="63"/>
        <v>0</v>
      </c>
      <c r="L225" s="7">
        <f t="shared" si="64"/>
        <v>0</v>
      </c>
      <c r="M225" t="s">
        <v>187</v>
      </c>
      <c r="O225" s="3">
        <f>E225-'310785 - P0524'!F225</f>
        <v>0</v>
      </c>
      <c r="P225" s="30">
        <f>I225-'310785 - P0524'!J225</f>
        <v>0</v>
      </c>
    </row>
    <row r="226" spans="1:16" x14ac:dyDescent="0.25">
      <c r="A226">
        <v>224</v>
      </c>
      <c r="C226" t="s">
        <v>8</v>
      </c>
      <c r="D226" s="4" t="s">
        <v>216</v>
      </c>
      <c r="E226" s="12">
        <v>1.1000000000000001</v>
      </c>
      <c r="F226" s="12">
        <v>1.1000000000000001</v>
      </c>
      <c r="G226" s="6">
        <f t="shared" si="60"/>
        <v>0</v>
      </c>
      <c r="H226" s="7">
        <f t="shared" si="61"/>
        <v>0</v>
      </c>
      <c r="I226" s="8">
        <v>1.23</v>
      </c>
      <c r="J226" s="9">
        <f t="shared" si="62"/>
        <v>1.23</v>
      </c>
      <c r="K226" s="3">
        <f t="shared" si="63"/>
        <v>0</v>
      </c>
      <c r="L226" s="7">
        <f t="shared" si="64"/>
        <v>0</v>
      </c>
      <c r="M226" t="s">
        <v>187</v>
      </c>
      <c r="O226" s="3">
        <f>E226-'310785 - P0524'!F226</f>
        <v>0</v>
      </c>
      <c r="P226" s="30">
        <f>I226-'310785 - P0524'!J226</f>
        <v>0</v>
      </c>
    </row>
    <row r="227" spans="1:16" x14ac:dyDescent="0.25">
      <c r="A227">
        <v>225</v>
      </c>
      <c r="C227" t="s">
        <v>8</v>
      </c>
      <c r="D227" s="4" t="s">
        <v>217</v>
      </c>
      <c r="E227" s="12">
        <v>1.1000000000000001</v>
      </c>
      <c r="F227" s="12">
        <v>1.1000000000000001</v>
      </c>
      <c r="G227" s="6">
        <f t="shared" si="60"/>
        <v>0</v>
      </c>
      <c r="H227" s="7">
        <f t="shared" si="61"/>
        <v>0</v>
      </c>
      <c r="I227" s="8">
        <v>1.8621752470588233</v>
      </c>
      <c r="J227" s="9">
        <f t="shared" si="62"/>
        <v>1.8621752470588233</v>
      </c>
      <c r="K227" s="3">
        <f t="shared" si="63"/>
        <v>0</v>
      </c>
      <c r="L227" s="7">
        <f t="shared" si="64"/>
        <v>0</v>
      </c>
      <c r="M227" t="s">
        <v>187</v>
      </c>
      <c r="O227" s="3">
        <f>E227-'310785 - P0524'!F227</f>
        <v>0</v>
      </c>
      <c r="P227" s="30">
        <f>I227-'310785 - P0524'!J227</f>
        <v>0</v>
      </c>
    </row>
    <row r="228" spans="1:16" x14ac:dyDescent="0.25">
      <c r="A228">
        <v>226</v>
      </c>
      <c r="C228" t="s">
        <v>8</v>
      </c>
      <c r="D228" s="4" t="s">
        <v>218</v>
      </c>
      <c r="E228" s="12">
        <v>1.28</v>
      </c>
      <c r="F228" s="12">
        <v>1.28</v>
      </c>
      <c r="G228" s="6">
        <f t="shared" si="60"/>
        <v>0</v>
      </c>
      <c r="H228" s="7">
        <f t="shared" si="61"/>
        <v>0</v>
      </c>
      <c r="I228" s="8">
        <v>2.3682151048101265</v>
      </c>
      <c r="J228" s="9">
        <f t="shared" si="62"/>
        <v>2.3682151048101265</v>
      </c>
      <c r="K228" s="3">
        <f t="shared" si="63"/>
        <v>0</v>
      </c>
      <c r="L228" s="7">
        <f t="shared" si="64"/>
        <v>0</v>
      </c>
      <c r="M228" t="s">
        <v>187</v>
      </c>
      <c r="O228" s="3">
        <f>E228-'310785 - P0524'!F228</f>
        <v>0</v>
      </c>
      <c r="P228" s="30">
        <f>I228-'310785 - P0524'!J228</f>
        <v>0</v>
      </c>
    </row>
    <row r="229" spans="1:16" x14ac:dyDescent="0.25">
      <c r="A229">
        <v>227</v>
      </c>
      <c r="C229" t="s">
        <v>8</v>
      </c>
      <c r="D229" s="4" t="s">
        <v>219</v>
      </c>
      <c r="E229" s="12">
        <v>2.64</v>
      </c>
      <c r="F229" s="12">
        <v>2.64</v>
      </c>
      <c r="G229" s="6">
        <f t="shared" si="60"/>
        <v>0</v>
      </c>
      <c r="H229" s="7">
        <f t="shared" si="61"/>
        <v>0</v>
      </c>
      <c r="I229" s="8">
        <v>5.58</v>
      </c>
      <c r="J229" s="9">
        <f t="shared" si="62"/>
        <v>5.58</v>
      </c>
      <c r="K229" s="3">
        <f t="shared" si="63"/>
        <v>0</v>
      </c>
      <c r="L229" s="7">
        <f t="shared" si="64"/>
        <v>0</v>
      </c>
      <c r="M229" t="s">
        <v>187</v>
      </c>
      <c r="O229" s="3">
        <f>E229-'310785 - P0524'!F229</f>
        <v>0</v>
      </c>
      <c r="P229" s="30">
        <f>I229-'310785 - P0524'!J229</f>
        <v>0</v>
      </c>
    </row>
    <row r="230" spans="1:16" x14ac:dyDescent="0.25">
      <c r="A230">
        <v>228</v>
      </c>
      <c r="C230" t="s">
        <v>8</v>
      </c>
      <c r="D230" s="4" t="s">
        <v>220</v>
      </c>
      <c r="E230" s="12">
        <v>0.09</v>
      </c>
      <c r="F230" s="12">
        <v>0.09</v>
      </c>
      <c r="G230" s="6">
        <f t="shared" si="60"/>
        <v>0</v>
      </c>
      <c r="H230" s="7">
        <f t="shared" si="61"/>
        <v>0</v>
      </c>
      <c r="I230" s="8">
        <v>0.19219415040000001</v>
      </c>
      <c r="J230" s="9">
        <f t="shared" si="62"/>
        <v>0.19219415040000001</v>
      </c>
      <c r="K230" s="3">
        <f t="shared" si="63"/>
        <v>0</v>
      </c>
      <c r="L230" s="7">
        <f t="shared" si="64"/>
        <v>0</v>
      </c>
      <c r="M230" t="s">
        <v>187</v>
      </c>
      <c r="O230" s="3">
        <f>E230-'310785 - P0524'!F230</f>
        <v>0</v>
      </c>
      <c r="P230" s="30">
        <f>I230-'310785 - P0524'!J230</f>
        <v>0</v>
      </c>
    </row>
    <row r="231" spans="1:16" x14ac:dyDescent="0.25">
      <c r="A231">
        <v>229</v>
      </c>
      <c r="C231" t="s">
        <v>8</v>
      </c>
      <c r="D231" s="4" t="s">
        <v>221</v>
      </c>
      <c r="E231" s="12">
        <v>1.01</v>
      </c>
      <c r="F231" s="12">
        <v>1.01</v>
      </c>
      <c r="G231" s="6">
        <f t="shared" si="60"/>
        <v>0</v>
      </c>
      <c r="H231" s="7">
        <f t="shared" si="61"/>
        <v>0</v>
      </c>
      <c r="I231" s="8">
        <v>1.6874188799999998</v>
      </c>
      <c r="J231" s="9">
        <f t="shared" si="62"/>
        <v>1.6874188799999998</v>
      </c>
      <c r="K231" s="3">
        <f t="shared" si="63"/>
        <v>0</v>
      </c>
      <c r="L231" s="7">
        <f t="shared" si="64"/>
        <v>0</v>
      </c>
      <c r="M231" t="s">
        <v>187</v>
      </c>
      <c r="O231" s="3">
        <f>E231-'310785 - P0524'!F231</f>
        <v>0</v>
      </c>
      <c r="P231" s="30">
        <f>I231-'310785 - P0524'!J231</f>
        <v>0</v>
      </c>
    </row>
    <row r="232" spans="1:16" x14ac:dyDescent="0.25">
      <c r="A232">
        <v>230</v>
      </c>
      <c r="C232" t="s">
        <v>8</v>
      </c>
      <c r="D232" s="4" t="s">
        <v>222</v>
      </c>
      <c r="E232" s="12">
        <v>0.06</v>
      </c>
      <c r="F232" s="12">
        <v>0.06</v>
      </c>
      <c r="G232" s="6">
        <f t="shared" si="60"/>
        <v>0</v>
      </c>
      <c r="H232" s="7">
        <f t="shared" si="61"/>
        <v>0</v>
      </c>
      <c r="I232" s="8">
        <v>2.29</v>
      </c>
      <c r="J232" s="9">
        <f t="shared" si="62"/>
        <v>2.29</v>
      </c>
      <c r="K232" s="3">
        <f t="shared" si="63"/>
        <v>0</v>
      </c>
      <c r="L232" s="7">
        <f t="shared" si="64"/>
        <v>0</v>
      </c>
      <c r="M232" t="s">
        <v>187</v>
      </c>
      <c r="O232" s="3">
        <f>E232-'310785 - P0524'!F232</f>
        <v>0</v>
      </c>
      <c r="P232" s="30">
        <f>I232-'310785 - P0524'!J232</f>
        <v>0</v>
      </c>
    </row>
    <row r="233" spans="1:16" x14ac:dyDescent="0.25">
      <c r="A233">
        <v>231</v>
      </c>
      <c r="C233" t="s">
        <v>8</v>
      </c>
      <c r="D233" s="4" t="s">
        <v>223</v>
      </c>
      <c r="E233" s="12">
        <v>4.1399999999999997</v>
      </c>
      <c r="F233" s="12">
        <v>4.1399999999999997</v>
      </c>
      <c r="G233" s="6">
        <f t="shared" si="60"/>
        <v>0</v>
      </c>
      <c r="H233" s="7">
        <f t="shared" si="61"/>
        <v>0</v>
      </c>
      <c r="I233" s="8">
        <v>6.49</v>
      </c>
      <c r="J233" s="9">
        <f t="shared" si="62"/>
        <v>6.49</v>
      </c>
      <c r="K233" s="3">
        <f t="shared" si="63"/>
        <v>0</v>
      </c>
      <c r="L233" s="7">
        <f t="shared" si="64"/>
        <v>0</v>
      </c>
      <c r="M233" t="s">
        <v>187</v>
      </c>
      <c r="O233" s="3">
        <f>E233-'310785 - P0524'!F233</f>
        <v>0</v>
      </c>
      <c r="P233" s="30">
        <f>I233-'310785 - P0524'!J233</f>
        <v>0</v>
      </c>
    </row>
    <row r="234" spans="1:16" x14ac:dyDescent="0.25">
      <c r="A234">
        <v>232</v>
      </c>
      <c r="C234" t="s">
        <v>8</v>
      </c>
      <c r="D234" s="4" t="s">
        <v>224</v>
      </c>
      <c r="E234" s="12">
        <v>24.6</v>
      </c>
      <c r="F234" s="12">
        <v>24.6</v>
      </c>
      <c r="G234" s="6">
        <f t="shared" si="60"/>
        <v>0</v>
      </c>
      <c r="H234" s="7">
        <f t="shared" si="61"/>
        <v>0</v>
      </c>
      <c r="I234" s="8">
        <v>37.85520480000001</v>
      </c>
      <c r="J234" s="9">
        <f t="shared" si="62"/>
        <v>37.85520480000001</v>
      </c>
      <c r="K234" s="3">
        <f t="shared" si="63"/>
        <v>0</v>
      </c>
      <c r="L234" s="7">
        <f t="shared" si="64"/>
        <v>0</v>
      </c>
      <c r="M234" t="s">
        <v>187</v>
      </c>
      <c r="O234" s="3">
        <f>E234-'310785 - P0524'!F234</f>
        <v>0</v>
      </c>
      <c r="P234" s="30">
        <f>I234-'310785 - P0524'!J234</f>
        <v>0</v>
      </c>
    </row>
    <row r="235" spans="1:16" x14ac:dyDescent="0.25">
      <c r="A235">
        <v>233</v>
      </c>
      <c r="C235" t="s">
        <v>8</v>
      </c>
      <c r="D235" s="4" t="s">
        <v>225</v>
      </c>
      <c r="E235" s="12">
        <v>8.41</v>
      </c>
      <c r="F235" s="12">
        <v>8.41</v>
      </c>
      <c r="G235" s="6">
        <f t="shared" si="60"/>
        <v>0</v>
      </c>
      <c r="H235" s="7">
        <f t="shared" si="61"/>
        <v>0</v>
      </c>
      <c r="I235" s="8">
        <v>17.605379996335873</v>
      </c>
      <c r="J235" s="9">
        <f t="shared" si="62"/>
        <v>17.605379996335873</v>
      </c>
      <c r="K235" s="3">
        <f t="shared" si="63"/>
        <v>0</v>
      </c>
      <c r="L235" s="7">
        <f t="shared" si="64"/>
        <v>0</v>
      </c>
      <c r="M235" t="s">
        <v>187</v>
      </c>
      <c r="O235" s="3">
        <f>E235-'310785 - P0524'!F235</f>
        <v>0</v>
      </c>
      <c r="P235" s="30">
        <f>I235-'310785 - P0524'!J235</f>
        <v>0</v>
      </c>
    </row>
    <row r="236" spans="1:16" x14ac:dyDescent="0.25">
      <c r="A236">
        <v>234</v>
      </c>
      <c r="C236" t="s">
        <v>8</v>
      </c>
      <c r="D236" s="4" t="s">
        <v>226</v>
      </c>
      <c r="E236" s="12">
        <v>19.87</v>
      </c>
      <c r="F236" s="12">
        <v>19.87</v>
      </c>
      <c r="G236" s="6">
        <f t="shared" si="60"/>
        <v>0</v>
      </c>
      <c r="H236" s="7">
        <f t="shared" si="61"/>
        <v>0</v>
      </c>
      <c r="I236" s="8">
        <v>37.722017205436892</v>
      </c>
      <c r="J236" s="9">
        <f t="shared" si="62"/>
        <v>37.722017205436892</v>
      </c>
      <c r="K236" s="3">
        <f t="shared" si="63"/>
        <v>0</v>
      </c>
      <c r="L236" s="7">
        <f t="shared" si="64"/>
        <v>0</v>
      </c>
      <c r="M236" t="s">
        <v>187</v>
      </c>
      <c r="O236" s="3">
        <f>E236-'310785 - P0524'!F236</f>
        <v>0</v>
      </c>
      <c r="P236" s="30">
        <f>I236-'310785 - P0524'!J236</f>
        <v>0</v>
      </c>
    </row>
    <row r="237" spans="1:16" x14ac:dyDescent="0.25">
      <c r="A237">
        <v>235</v>
      </c>
      <c r="C237" t="s">
        <v>8</v>
      </c>
      <c r="D237" s="4" t="s">
        <v>227</v>
      </c>
      <c r="E237" s="12">
        <v>19.89</v>
      </c>
      <c r="F237" s="12">
        <v>19.89</v>
      </c>
      <c r="G237" s="6">
        <f t="shared" si="60"/>
        <v>0</v>
      </c>
      <c r="H237" s="7">
        <f t="shared" si="61"/>
        <v>0</v>
      </c>
      <c r="I237" s="8">
        <v>39.222494967342996</v>
      </c>
      <c r="J237" s="9">
        <f t="shared" si="62"/>
        <v>39.222494967342996</v>
      </c>
      <c r="K237" s="3">
        <f t="shared" si="63"/>
        <v>0</v>
      </c>
      <c r="L237" s="7">
        <f t="shared" si="64"/>
        <v>0</v>
      </c>
      <c r="M237" t="s">
        <v>187</v>
      </c>
      <c r="O237" s="3">
        <f>E237-'310785 - P0524'!F237</f>
        <v>0</v>
      </c>
      <c r="P237" s="30">
        <f>I237-'310785 - P0524'!J237</f>
        <v>0</v>
      </c>
    </row>
    <row r="238" spans="1:16" x14ac:dyDescent="0.25">
      <c r="A238">
        <v>236</v>
      </c>
      <c r="C238" t="s">
        <v>8</v>
      </c>
      <c r="D238" s="4" t="s">
        <v>228</v>
      </c>
      <c r="E238" s="12">
        <v>4.71</v>
      </c>
      <c r="F238" s="12">
        <v>4.71</v>
      </c>
      <c r="G238" s="6">
        <f t="shared" si="60"/>
        <v>0</v>
      </c>
      <c r="H238" s="7">
        <f t="shared" si="61"/>
        <v>0</v>
      </c>
      <c r="I238" s="8">
        <v>11.98</v>
      </c>
      <c r="J238" s="9">
        <f t="shared" si="62"/>
        <v>11.98</v>
      </c>
      <c r="K238" s="3">
        <f t="shared" si="63"/>
        <v>0</v>
      </c>
      <c r="L238" s="7">
        <f t="shared" si="64"/>
        <v>0</v>
      </c>
      <c r="M238" t="s">
        <v>187</v>
      </c>
      <c r="O238" s="3">
        <f>E238-'310785 - P0524'!F238</f>
        <v>0</v>
      </c>
      <c r="P238" s="30">
        <f>I238-'310785 - P0524'!J238</f>
        <v>0</v>
      </c>
    </row>
    <row r="239" spans="1:16" x14ac:dyDescent="0.25">
      <c r="A239">
        <v>237</v>
      </c>
      <c r="C239" t="s">
        <v>8</v>
      </c>
      <c r="D239" s="4" t="s">
        <v>229</v>
      </c>
      <c r="E239" s="12">
        <v>51.79</v>
      </c>
      <c r="F239" s="12">
        <v>51.79</v>
      </c>
      <c r="G239" s="6">
        <f t="shared" si="60"/>
        <v>0</v>
      </c>
      <c r="H239" s="7">
        <f t="shared" si="61"/>
        <v>0</v>
      </c>
      <c r="I239" s="8">
        <v>79.680000000000007</v>
      </c>
      <c r="J239" s="9">
        <f t="shared" si="62"/>
        <v>79.680000000000007</v>
      </c>
      <c r="K239" s="3">
        <f t="shared" si="63"/>
        <v>0</v>
      </c>
      <c r="L239" s="7">
        <f t="shared" si="64"/>
        <v>0</v>
      </c>
      <c r="M239" t="s">
        <v>187</v>
      </c>
      <c r="O239" s="3">
        <f>E239-'310785 - P0524'!F239</f>
        <v>0</v>
      </c>
      <c r="P239" s="30">
        <f>I239-'310785 - P0524'!J239</f>
        <v>0</v>
      </c>
    </row>
    <row r="240" spans="1:16" x14ac:dyDescent="0.25">
      <c r="A240">
        <v>238</v>
      </c>
      <c r="C240" t="s">
        <v>8</v>
      </c>
      <c r="D240" s="4" t="s">
        <v>230</v>
      </c>
      <c r="E240" s="12">
        <v>9.76</v>
      </c>
      <c r="F240" s="12">
        <v>9.76</v>
      </c>
      <c r="G240" s="6">
        <f t="shared" si="60"/>
        <v>0</v>
      </c>
      <c r="H240" s="7">
        <f t="shared" si="61"/>
        <v>0</v>
      </c>
      <c r="I240" s="8">
        <v>19.82</v>
      </c>
      <c r="J240" s="9">
        <f t="shared" si="62"/>
        <v>19.82</v>
      </c>
      <c r="K240" s="3">
        <f t="shared" si="63"/>
        <v>0</v>
      </c>
      <c r="L240" s="7">
        <f t="shared" si="64"/>
        <v>0</v>
      </c>
      <c r="M240" t="s">
        <v>187</v>
      </c>
      <c r="O240" s="3">
        <f>E240-'310785 - P0524'!F240</f>
        <v>0</v>
      </c>
      <c r="P240" s="30">
        <f>I240-'310785 - P0524'!J240</f>
        <v>0</v>
      </c>
    </row>
    <row r="241" spans="1:16" x14ac:dyDescent="0.25">
      <c r="A241">
        <v>239</v>
      </c>
      <c r="C241" t="s">
        <v>8</v>
      </c>
      <c r="D241" s="4" t="s">
        <v>231</v>
      </c>
      <c r="E241" s="12">
        <v>2.87</v>
      </c>
      <c r="F241" s="12">
        <v>2.87</v>
      </c>
      <c r="G241" s="6">
        <f t="shared" si="60"/>
        <v>0</v>
      </c>
      <c r="H241" s="7">
        <f t="shared" si="61"/>
        <v>0</v>
      </c>
      <c r="I241" s="8">
        <v>5.82</v>
      </c>
      <c r="J241" s="9">
        <f t="shared" si="62"/>
        <v>5.82</v>
      </c>
      <c r="K241" s="3">
        <f t="shared" si="63"/>
        <v>0</v>
      </c>
      <c r="L241" s="7">
        <f t="shared" si="64"/>
        <v>0</v>
      </c>
      <c r="M241" t="s">
        <v>187</v>
      </c>
      <c r="O241" s="3">
        <f>E241-'310785 - P0524'!F241</f>
        <v>0</v>
      </c>
      <c r="P241" s="30">
        <f>I241-'310785 - P0524'!J241</f>
        <v>0</v>
      </c>
    </row>
    <row r="242" spans="1:16" x14ac:dyDescent="0.25">
      <c r="A242">
        <v>240</v>
      </c>
      <c r="D242" s="2" t="s">
        <v>232</v>
      </c>
      <c r="H242" s="10">
        <f>AVERAGE(H194:H237)</f>
        <v>0</v>
      </c>
      <c r="I242"/>
    </row>
    <row r="243" spans="1:16" x14ac:dyDescent="0.25">
      <c r="A243">
        <v>241</v>
      </c>
      <c r="D243" s="2" t="s">
        <v>233</v>
      </c>
      <c r="I243"/>
      <c r="M243" t="s">
        <v>234</v>
      </c>
      <c r="O243" s="3">
        <f>E243-'310785 - P0524'!F243</f>
        <v>0</v>
      </c>
      <c r="P243" s="30">
        <f>I243-'310785 - P0524'!J243</f>
        <v>0</v>
      </c>
    </row>
    <row r="244" spans="1:16" x14ac:dyDescent="0.25">
      <c r="A244">
        <v>242</v>
      </c>
      <c r="C244" t="s">
        <v>8</v>
      </c>
      <c r="D244" s="4" t="s">
        <v>235</v>
      </c>
      <c r="E244" s="12">
        <v>19.32</v>
      </c>
      <c r="F244" s="12">
        <v>19.32</v>
      </c>
      <c r="G244" s="6">
        <f t="shared" ref="G244:G248" si="65">+F244-E244</f>
        <v>0</v>
      </c>
      <c r="H244" s="7">
        <f t="shared" ref="H244:H248" si="66">(F244-E244)/ABS(E244)</f>
        <v>0</v>
      </c>
      <c r="I244" s="8">
        <v>43.363738242210459</v>
      </c>
      <c r="J244" s="9">
        <f t="shared" ref="J244:J248" si="67">(I244*H244)+I244</f>
        <v>43.363738242210459</v>
      </c>
      <c r="K244" s="3">
        <f t="shared" ref="K244:K248" si="68">J244-I244</f>
        <v>0</v>
      </c>
      <c r="L244" s="7">
        <f t="shared" ref="L244:L248" si="69">(J244-I244)/ABS(I244)</f>
        <v>0</v>
      </c>
      <c r="M244" t="s">
        <v>234</v>
      </c>
      <c r="O244" s="3">
        <f>E244-'310785 - P0524'!F244</f>
        <v>0</v>
      </c>
      <c r="P244" s="30">
        <f>I244-'310785 - P0524'!J244</f>
        <v>0</v>
      </c>
    </row>
    <row r="245" spans="1:16" x14ac:dyDescent="0.25">
      <c r="A245">
        <v>243</v>
      </c>
      <c r="C245" t="s">
        <v>8</v>
      </c>
      <c r="D245" s="4" t="s">
        <v>236</v>
      </c>
      <c r="E245" s="12">
        <v>25.76</v>
      </c>
      <c r="F245" s="12">
        <v>25.76</v>
      </c>
      <c r="G245" s="6">
        <f t="shared" si="65"/>
        <v>0</v>
      </c>
      <c r="H245" s="7">
        <f t="shared" si="66"/>
        <v>0</v>
      </c>
      <c r="I245" s="8">
        <v>54.72</v>
      </c>
      <c r="J245" s="9">
        <f t="shared" si="67"/>
        <v>54.72</v>
      </c>
      <c r="K245" s="3">
        <f t="shared" si="68"/>
        <v>0</v>
      </c>
      <c r="L245" s="7">
        <f t="shared" si="69"/>
        <v>0</v>
      </c>
      <c r="M245" t="s">
        <v>234</v>
      </c>
      <c r="O245" s="3">
        <f>E245-'310785 - P0524'!F245</f>
        <v>0</v>
      </c>
      <c r="P245" s="30">
        <f>I245-'310785 - P0524'!J245</f>
        <v>0</v>
      </c>
    </row>
    <row r="246" spans="1:16" x14ac:dyDescent="0.25">
      <c r="A246">
        <v>244</v>
      </c>
      <c r="C246" t="s">
        <v>8</v>
      </c>
      <c r="D246" s="4" t="s">
        <v>237</v>
      </c>
      <c r="E246" s="12">
        <v>26.28</v>
      </c>
      <c r="F246" s="12">
        <v>26.28</v>
      </c>
      <c r="G246" s="6">
        <f t="shared" si="65"/>
        <v>0</v>
      </c>
      <c r="H246" s="7">
        <f t="shared" si="66"/>
        <v>0</v>
      </c>
      <c r="I246" s="8">
        <v>41.047300934300516</v>
      </c>
      <c r="J246" s="9">
        <f t="shared" si="67"/>
        <v>41.047300934300516</v>
      </c>
      <c r="K246" s="3">
        <f t="shared" si="68"/>
        <v>0</v>
      </c>
      <c r="L246" s="7">
        <f t="shared" si="69"/>
        <v>0</v>
      </c>
      <c r="M246" t="s">
        <v>234</v>
      </c>
      <c r="O246" s="3">
        <f>E246-'310785 - P0524'!F246</f>
        <v>0</v>
      </c>
      <c r="P246" s="30">
        <f>I246-'310785 - P0524'!J246</f>
        <v>0</v>
      </c>
    </row>
    <row r="247" spans="1:16" x14ac:dyDescent="0.25">
      <c r="A247">
        <v>245</v>
      </c>
      <c r="C247" t="s">
        <v>8</v>
      </c>
      <c r="D247" s="4" t="s">
        <v>238</v>
      </c>
      <c r="E247" s="12">
        <v>35.04</v>
      </c>
      <c r="F247" s="12">
        <v>35.04</v>
      </c>
      <c r="G247" s="6">
        <f t="shared" si="65"/>
        <v>0</v>
      </c>
      <c r="H247" s="7">
        <f t="shared" si="66"/>
        <v>0</v>
      </c>
      <c r="I247" s="8">
        <v>54.724364707150258</v>
      </c>
      <c r="J247" s="9">
        <f t="shared" si="67"/>
        <v>54.724364707150258</v>
      </c>
      <c r="K247" s="3">
        <f t="shared" si="68"/>
        <v>0</v>
      </c>
      <c r="L247" s="7">
        <f t="shared" si="69"/>
        <v>0</v>
      </c>
      <c r="M247" t="s">
        <v>234</v>
      </c>
      <c r="O247" s="3">
        <f>E247-'310785 - P0524'!F247</f>
        <v>0</v>
      </c>
      <c r="P247" s="30">
        <f>I247-'310785 - P0524'!J247</f>
        <v>0</v>
      </c>
    </row>
    <row r="248" spans="1:16" x14ac:dyDescent="0.25">
      <c r="A248">
        <v>246</v>
      </c>
      <c r="C248" t="s">
        <v>8</v>
      </c>
      <c r="D248" s="4" t="s">
        <v>239</v>
      </c>
      <c r="E248" s="12">
        <v>43.8</v>
      </c>
      <c r="F248" s="12">
        <v>43.8</v>
      </c>
      <c r="G248" s="6">
        <f t="shared" si="65"/>
        <v>0</v>
      </c>
      <c r="H248" s="7">
        <f t="shared" si="66"/>
        <v>0</v>
      </c>
      <c r="I248" s="8">
        <v>68.401428479999993</v>
      </c>
      <c r="J248" s="9">
        <f t="shared" si="67"/>
        <v>68.401428479999993</v>
      </c>
      <c r="K248" s="3">
        <f t="shared" si="68"/>
        <v>0</v>
      </c>
      <c r="L248" s="7">
        <f t="shared" si="69"/>
        <v>0</v>
      </c>
      <c r="M248" t="s">
        <v>234</v>
      </c>
      <c r="O248" s="3">
        <f>E248-'310785 - P0524'!F248</f>
        <v>0</v>
      </c>
      <c r="P248" s="30">
        <f>I248-'310785 - P0524'!J248</f>
        <v>0</v>
      </c>
    </row>
    <row r="249" spans="1:16" x14ac:dyDescent="0.25">
      <c r="A249">
        <v>247</v>
      </c>
      <c r="D249" s="2" t="s">
        <v>240</v>
      </c>
      <c r="H249" s="10">
        <f>AVERAGE(H244:H248)</f>
        <v>0</v>
      </c>
      <c r="I249"/>
    </row>
    <row r="250" spans="1:16" x14ac:dyDescent="0.25">
      <c r="A250">
        <v>248</v>
      </c>
      <c r="D250" s="2" t="s">
        <v>241</v>
      </c>
      <c r="I250"/>
    </row>
    <row r="251" spans="1:16" x14ac:dyDescent="0.25">
      <c r="A251">
        <v>249</v>
      </c>
      <c r="C251" t="s">
        <v>8</v>
      </c>
      <c r="D251" s="4" t="s">
        <v>242</v>
      </c>
      <c r="E251" s="12">
        <v>8.2200000000000006</v>
      </c>
      <c r="F251" s="11">
        <v>8.2200000000000006</v>
      </c>
      <c r="G251" s="6">
        <f t="shared" ref="G251:G295" si="70">+F251-E251</f>
        <v>0</v>
      </c>
      <c r="H251" s="7">
        <f t="shared" ref="H251:H295" si="71">(F251-E251)/ABS(E251)</f>
        <v>0</v>
      </c>
      <c r="I251" s="8">
        <v>28.54202272220985</v>
      </c>
      <c r="J251" s="9">
        <f t="shared" ref="J251:J295" si="72">(I251*H251)+I251</f>
        <v>28.54202272220985</v>
      </c>
      <c r="K251" s="3">
        <f t="shared" ref="K251:K295" si="73">J251-I251</f>
        <v>0</v>
      </c>
      <c r="L251" s="7">
        <f t="shared" ref="L251:L295" si="74">(J251-I251)/ABS(I251)</f>
        <v>0</v>
      </c>
      <c r="M251" t="s">
        <v>150</v>
      </c>
      <c r="O251" s="3">
        <f>E251-'310785 - P0524'!F251</f>
        <v>0</v>
      </c>
      <c r="P251" s="30">
        <f>I251-'310785 - P0524'!J251</f>
        <v>0</v>
      </c>
    </row>
    <row r="252" spans="1:16" x14ac:dyDescent="0.25">
      <c r="A252">
        <v>250</v>
      </c>
      <c r="C252" t="s">
        <v>8</v>
      </c>
      <c r="D252" s="4" t="s">
        <v>243</v>
      </c>
      <c r="E252" s="12">
        <v>7.68</v>
      </c>
      <c r="F252" s="11">
        <v>7.68</v>
      </c>
      <c r="G252" s="6">
        <f t="shared" si="70"/>
        <v>0</v>
      </c>
      <c r="H252" s="7">
        <f t="shared" si="71"/>
        <v>0</v>
      </c>
      <c r="I252" s="8">
        <v>16.421831032972253</v>
      </c>
      <c r="J252" s="9">
        <f t="shared" si="72"/>
        <v>16.421831032972253</v>
      </c>
      <c r="K252" s="3">
        <f t="shared" si="73"/>
        <v>0</v>
      </c>
      <c r="L252" s="7">
        <f t="shared" si="74"/>
        <v>0</v>
      </c>
      <c r="M252" t="s">
        <v>150</v>
      </c>
      <c r="O252" s="3">
        <f>E252-'310785 - P0524'!F252</f>
        <v>0</v>
      </c>
      <c r="P252" s="30">
        <f>I252-'310785 - P0524'!J252</f>
        <v>0</v>
      </c>
    </row>
    <row r="253" spans="1:16" x14ac:dyDescent="0.25">
      <c r="A253">
        <v>251</v>
      </c>
      <c r="C253" t="s">
        <v>8</v>
      </c>
      <c r="D253" s="4" t="s">
        <v>244</v>
      </c>
      <c r="E253" s="12">
        <v>54.2</v>
      </c>
      <c r="F253" s="12">
        <v>58.2</v>
      </c>
      <c r="G253" s="6">
        <f t="shared" si="70"/>
        <v>4</v>
      </c>
      <c r="H253" s="7">
        <f t="shared" si="71"/>
        <v>7.3800738007380073E-2</v>
      </c>
      <c r="I253" s="8">
        <v>77.863720000000001</v>
      </c>
      <c r="J253" s="9">
        <f t="shared" si="72"/>
        <v>83.610119999999995</v>
      </c>
      <c r="K253" s="3">
        <f t="shared" si="73"/>
        <v>5.7463999999999942</v>
      </c>
      <c r="L253" s="7">
        <f t="shared" si="74"/>
        <v>7.3800738007380004E-2</v>
      </c>
      <c r="M253" t="s">
        <v>150</v>
      </c>
      <c r="O253" s="3">
        <f>E253-'310785 - P0524'!F253</f>
        <v>0</v>
      </c>
      <c r="P253" s="30">
        <f>I253-'310785 - P0524'!J253</f>
        <v>0</v>
      </c>
    </row>
    <row r="254" spans="1:16" x14ac:dyDescent="0.25">
      <c r="A254">
        <v>252</v>
      </c>
      <c r="C254" t="s">
        <v>8</v>
      </c>
      <c r="D254" s="4" t="s">
        <v>245</v>
      </c>
      <c r="E254" s="12">
        <v>3.75</v>
      </c>
      <c r="F254" s="12">
        <v>3.75</v>
      </c>
      <c r="G254" s="6">
        <f t="shared" si="70"/>
        <v>0</v>
      </c>
      <c r="H254" s="7">
        <f t="shared" si="71"/>
        <v>0</v>
      </c>
      <c r="I254" s="8">
        <v>7.7840909090909092</v>
      </c>
      <c r="J254" s="9">
        <f t="shared" si="72"/>
        <v>7.7840909090909092</v>
      </c>
      <c r="K254" s="3">
        <f t="shared" si="73"/>
        <v>0</v>
      </c>
      <c r="L254" s="7">
        <f t="shared" si="74"/>
        <v>0</v>
      </c>
      <c r="M254" t="s">
        <v>150</v>
      </c>
      <c r="O254" s="3">
        <f>E254-'310785 - P0524'!F254</f>
        <v>0</v>
      </c>
      <c r="P254" s="30">
        <f>I254-'310785 - P0524'!J254</f>
        <v>0</v>
      </c>
    </row>
    <row r="255" spans="1:16" x14ac:dyDescent="0.25">
      <c r="A255">
        <v>253</v>
      </c>
      <c r="C255" t="s">
        <v>8</v>
      </c>
      <c r="D255" s="4" t="s">
        <v>246</v>
      </c>
      <c r="E255" s="12">
        <v>7.34</v>
      </c>
      <c r="F255" s="11">
        <v>7.34</v>
      </c>
      <c r="G255" s="6">
        <f t="shared" si="70"/>
        <v>0</v>
      </c>
      <c r="H255" s="7">
        <f t="shared" si="71"/>
        <v>0</v>
      </c>
      <c r="I255" s="8">
        <v>27.961904761904762</v>
      </c>
      <c r="J255" s="9">
        <f t="shared" si="72"/>
        <v>27.961904761904762</v>
      </c>
      <c r="K255" s="3">
        <f t="shared" si="73"/>
        <v>0</v>
      </c>
      <c r="L255" s="7">
        <f t="shared" si="74"/>
        <v>0</v>
      </c>
      <c r="M255" t="s">
        <v>150</v>
      </c>
      <c r="O255" s="3">
        <f>E255-'310785 - P0524'!F255</f>
        <v>0</v>
      </c>
      <c r="P255" s="30">
        <f>I255-'310785 - P0524'!J255</f>
        <v>0</v>
      </c>
    </row>
    <row r="256" spans="1:16" x14ac:dyDescent="0.25">
      <c r="A256">
        <v>254</v>
      </c>
      <c r="C256" t="s">
        <v>8</v>
      </c>
      <c r="D256" s="4" t="s">
        <v>247</v>
      </c>
      <c r="E256" s="12">
        <v>13.75</v>
      </c>
      <c r="F256" s="12">
        <v>13.75</v>
      </c>
      <c r="G256" s="6">
        <f t="shared" si="70"/>
        <v>0</v>
      </c>
      <c r="H256" s="7">
        <f t="shared" si="71"/>
        <v>0</v>
      </c>
      <c r="I256" s="8">
        <v>17.348837209302324</v>
      </c>
      <c r="J256" s="9">
        <f t="shared" si="72"/>
        <v>17.348837209302324</v>
      </c>
      <c r="K256" s="3">
        <f t="shared" si="73"/>
        <v>0</v>
      </c>
      <c r="L256" s="7">
        <f t="shared" si="74"/>
        <v>0</v>
      </c>
      <c r="M256" t="s">
        <v>150</v>
      </c>
      <c r="O256" s="3">
        <f>E256-'310785 - P0524'!F256</f>
        <v>0</v>
      </c>
      <c r="P256" s="30">
        <f>I256-'310785 - P0524'!J256</f>
        <v>0</v>
      </c>
    </row>
    <row r="257" spans="1:16" x14ac:dyDescent="0.25">
      <c r="A257">
        <v>255</v>
      </c>
      <c r="C257" t="s">
        <v>8</v>
      </c>
      <c r="D257" s="4" t="s">
        <v>248</v>
      </c>
      <c r="E257" s="12">
        <v>10.25</v>
      </c>
      <c r="F257" s="12">
        <v>10.25</v>
      </c>
      <c r="G257" s="6">
        <f t="shared" si="70"/>
        <v>0</v>
      </c>
      <c r="H257" s="7">
        <f t="shared" si="71"/>
        <v>0</v>
      </c>
      <c r="I257" s="8">
        <v>13.461538461538462</v>
      </c>
      <c r="J257" s="9">
        <f t="shared" si="72"/>
        <v>13.461538461538462</v>
      </c>
      <c r="K257" s="3">
        <f t="shared" si="73"/>
        <v>0</v>
      </c>
      <c r="L257" s="7">
        <f t="shared" si="74"/>
        <v>0</v>
      </c>
      <c r="M257" t="s">
        <v>150</v>
      </c>
      <c r="O257" s="3">
        <f>E257-'310785 - P0524'!F257</f>
        <v>0</v>
      </c>
      <c r="P257" s="30">
        <f>I257-'310785 - P0524'!J257</f>
        <v>0</v>
      </c>
    </row>
    <row r="258" spans="1:16" x14ac:dyDescent="0.25">
      <c r="A258">
        <v>256</v>
      </c>
      <c r="C258" t="s">
        <v>8</v>
      </c>
      <c r="D258" s="4" t="s">
        <v>249</v>
      </c>
      <c r="E258" s="12">
        <v>5.75</v>
      </c>
      <c r="F258" s="12">
        <v>5.75</v>
      </c>
      <c r="G258" s="6">
        <f t="shared" si="70"/>
        <v>0</v>
      </c>
      <c r="H258" s="7">
        <f t="shared" si="71"/>
        <v>0</v>
      </c>
      <c r="I258" s="8">
        <v>15.717408000000002</v>
      </c>
      <c r="J258" s="9">
        <f t="shared" si="72"/>
        <v>15.717408000000002</v>
      </c>
      <c r="K258" s="3">
        <f t="shared" si="73"/>
        <v>0</v>
      </c>
      <c r="L258" s="7">
        <f t="shared" si="74"/>
        <v>0</v>
      </c>
      <c r="M258" t="s">
        <v>187</v>
      </c>
      <c r="O258" s="3">
        <f>E258-'310785 - P0524'!F258</f>
        <v>0</v>
      </c>
      <c r="P258" s="30">
        <f>I258-'310785 - P0524'!J258</f>
        <v>0</v>
      </c>
    </row>
    <row r="259" spans="1:16" x14ac:dyDescent="0.25">
      <c r="A259">
        <v>257</v>
      </c>
      <c r="C259" t="s">
        <v>8</v>
      </c>
      <c r="D259" s="4" t="s">
        <v>250</v>
      </c>
      <c r="E259" s="12">
        <v>18.22</v>
      </c>
      <c r="F259" s="5">
        <v>18.22</v>
      </c>
      <c r="G259" s="6">
        <f t="shared" si="70"/>
        <v>0</v>
      </c>
      <c r="H259" s="7">
        <f t="shared" si="71"/>
        <v>0</v>
      </c>
      <c r="I259" s="8">
        <v>36.44</v>
      </c>
      <c r="J259" s="9">
        <f t="shared" si="72"/>
        <v>36.44</v>
      </c>
      <c r="K259" s="3">
        <f t="shared" si="73"/>
        <v>0</v>
      </c>
      <c r="L259" s="7">
        <f t="shared" si="74"/>
        <v>0</v>
      </c>
      <c r="M259" t="s">
        <v>150</v>
      </c>
      <c r="O259" s="3">
        <f>E259-'310785 - P0524'!F259</f>
        <v>0</v>
      </c>
      <c r="P259" s="30">
        <f>I259-'310785 - P0524'!J259</f>
        <v>0</v>
      </c>
    </row>
    <row r="260" spans="1:16" x14ac:dyDescent="0.25">
      <c r="A260">
        <v>258</v>
      </c>
      <c r="C260" t="s">
        <v>8</v>
      </c>
      <c r="D260" s="4" t="s">
        <v>251</v>
      </c>
      <c r="E260" s="12">
        <v>2.21</v>
      </c>
      <c r="F260" s="5">
        <v>2.21</v>
      </c>
      <c r="G260" s="6">
        <f t="shared" si="70"/>
        <v>0</v>
      </c>
      <c r="H260" s="7">
        <f t="shared" si="71"/>
        <v>0</v>
      </c>
      <c r="I260" s="8">
        <v>4.5939072847682123</v>
      </c>
      <c r="J260" s="9">
        <f t="shared" si="72"/>
        <v>4.5939072847682123</v>
      </c>
      <c r="K260" s="3">
        <f t="shared" si="73"/>
        <v>0</v>
      </c>
      <c r="L260" s="7">
        <f t="shared" si="74"/>
        <v>0</v>
      </c>
      <c r="M260" t="s">
        <v>150</v>
      </c>
      <c r="O260" s="3">
        <f>E260-'310785 - P0524'!F260</f>
        <v>0</v>
      </c>
      <c r="P260" s="30">
        <f>I260-'310785 - P0524'!J260</f>
        <v>0</v>
      </c>
    </row>
    <row r="261" spans="1:16" x14ac:dyDescent="0.25">
      <c r="A261">
        <v>259</v>
      </c>
      <c r="C261" t="s">
        <v>8</v>
      </c>
      <c r="D261" s="4" t="s">
        <v>252</v>
      </c>
      <c r="E261" s="12">
        <v>3.3</v>
      </c>
      <c r="F261" s="5">
        <v>3.3</v>
      </c>
      <c r="G261" s="6">
        <f t="shared" si="70"/>
        <v>0</v>
      </c>
      <c r="H261" s="7">
        <f t="shared" si="71"/>
        <v>0</v>
      </c>
      <c r="I261" s="8">
        <v>7.177170731707319</v>
      </c>
      <c r="J261" s="9">
        <f t="shared" si="72"/>
        <v>7.177170731707319</v>
      </c>
      <c r="K261" s="3">
        <f t="shared" si="73"/>
        <v>0</v>
      </c>
      <c r="L261" s="7">
        <f t="shared" si="74"/>
        <v>0</v>
      </c>
      <c r="M261" t="s">
        <v>150</v>
      </c>
      <c r="O261" s="3">
        <f>E261-'310785 - P0524'!F261</f>
        <v>0</v>
      </c>
      <c r="P261" s="30">
        <f>I261-'310785 - P0524'!J261</f>
        <v>0</v>
      </c>
    </row>
    <row r="262" spans="1:16" x14ac:dyDescent="0.25">
      <c r="A262">
        <v>260</v>
      </c>
      <c r="C262" t="s">
        <v>8</v>
      </c>
      <c r="D262" s="4" t="s">
        <v>253</v>
      </c>
      <c r="E262" s="12">
        <v>123.23</v>
      </c>
      <c r="F262" s="12">
        <v>123.23</v>
      </c>
      <c r="G262" s="6">
        <f t="shared" si="70"/>
        <v>0</v>
      </c>
      <c r="H262" s="7">
        <f t="shared" si="71"/>
        <v>0</v>
      </c>
      <c r="I262" s="8">
        <v>262.95999999999998</v>
      </c>
      <c r="J262" s="9">
        <f t="shared" si="72"/>
        <v>262.95999999999998</v>
      </c>
      <c r="K262" s="3">
        <f t="shared" si="73"/>
        <v>0</v>
      </c>
      <c r="L262" s="7">
        <f t="shared" si="74"/>
        <v>0</v>
      </c>
      <c r="M262" t="s">
        <v>150</v>
      </c>
      <c r="O262" s="3">
        <f>E262-'310785 - P0524'!F262</f>
        <v>0</v>
      </c>
      <c r="P262" s="30">
        <f>I262-'310785 - P0524'!J262</f>
        <v>0</v>
      </c>
    </row>
    <row r="263" spans="1:16" x14ac:dyDescent="0.25">
      <c r="A263">
        <v>261</v>
      </c>
      <c r="C263" t="s">
        <v>8</v>
      </c>
      <c r="D263" s="4" t="s">
        <v>254</v>
      </c>
      <c r="E263" s="12">
        <v>121.84</v>
      </c>
      <c r="F263" s="12">
        <v>121.84</v>
      </c>
      <c r="G263" s="6">
        <f t="shared" si="70"/>
        <v>0</v>
      </c>
      <c r="H263" s="7">
        <f t="shared" si="71"/>
        <v>0</v>
      </c>
      <c r="I263" s="8">
        <v>219.99</v>
      </c>
      <c r="J263" s="9">
        <f t="shared" si="72"/>
        <v>219.99</v>
      </c>
      <c r="K263" s="3">
        <f t="shared" si="73"/>
        <v>0</v>
      </c>
      <c r="L263" s="7">
        <f t="shared" si="74"/>
        <v>0</v>
      </c>
      <c r="M263" t="s">
        <v>150</v>
      </c>
      <c r="O263" s="3">
        <f>E263-'310785 - P0524'!F263</f>
        <v>0</v>
      </c>
      <c r="P263" s="30">
        <f>I263-'310785 - P0524'!J263</f>
        <v>0</v>
      </c>
    </row>
    <row r="264" spans="1:16" x14ac:dyDescent="0.25">
      <c r="A264">
        <v>262</v>
      </c>
      <c r="C264" t="s">
        <v>8</v>
      </c>
      <c r="D264" s="4" t="s">
        <v>255</v>
      </c>
      <c r="E264" s="5">
        <v>10.8</v>
      </c>
      <c r="F264" s="5">
        <v>10.8</v>
      </c>
      <c r="G264" s="6">
        <f t="shared" si="70"/>
        <v>0</v>
      </c>
      <c r="H264" s="7">
        <f t="shared" si="71"/>
        <v>0</v>
      </c>
      <c r="I264" s="8">
        <v>23.043154761904759</v>
      </c>
      <c r="J264" s="9">
        <f t="shared" si="72"/>
        <v>23.043154761904759</v>
      </c>
      <c r="K264" s="3">
        <f t="shared" si="73"/>
        <v>0</v>
      </c>
      <c r="L264" s="7">
        <f t="shared" si="74"/>
        <v>0</v>
      </c>
      <c r="M264" s="7" t="s">
        <v>150</v>
      </c>
      <c r="O264" s="3">
        <f>E264-'310785 - P0524'!F264</f>
        <v>0</v>
      </c>
      <c r="P264" s="30">
        <f>I264-'310785 - P0524'!J264</f>
        <v>0</v>
      </c>
    </row>
    <row r="265" spans="1:16" x14ac:dyDescent="0.25">
      <c r="A265">
        <v>263</v>
      </c>
      <c r="C265" t="s">
        <v>8</v>
      </c>
      <c r="D265" s="4" t="s">
        <v>256</v>
      </c>
      <c r="E265" s="5">
        <v>12.96</v>
      </c>
      <c r="F265" s="5">
        <v>12.96</v>
      </c>
      <c r="G265" s="6">
        <f t="shared" si="70"/>
        <v>0</v>
      </c>
      <c r="H265" s="7">
        <f t="shared" si="71"/>
        <v>0</v>
      </c>
      <c r="I265" s="8">
        <v>30.49</v>
      </c>
      <c r="J265" s="9">
        <f t="shared" si="72"/>
        <v>30.49</v>
      </c>
      <c r="K265" s="3">
        <f t="shared" si="73"/>
        <v>0</v>
      </c>
      <c r="L265" s="7">
        <f t="shared" si="74"/>
        <v>0</v>
      </c>
      <c r="M265" s="7" t="s">
        <v>150</v>
      </c>
      <c r="O265" s="3">
        <f>E265-'310785 - P0524'!F265</f>
        <v>0</v>
      </c>
      <c r="P265" s="30">
        <f>I265-'310785 - P0524'!J265</f>
        <v>0</v>
      </c>
    </row>
    <row r="266" spans="1:16" x14ac:dyDescent="0.25">
      <c r="A266">
        <v>264</v>
      </c>
      <c r="C266" t="s">
        <v>8</v>
      </c>
      <c r="D266" s="4" t="s">
        <v>257</v>
      </c>
      <c r="E266" s="5">
        <v>10.8</v>
      </c>
      <c r="F266" s="5">
        <v>8.35</v>
      </c>
      <c r="G266" s="6">
        <f t="shared" si="70"/>
        <v>-2.4500000000000011</v>
      </c>
      <c r="H266" s="7">
        <f t="shared" si="71"/>
        <v>-0.22685185185185194</v>
      </c>
      <c r="I266" s="8">
        <v>23.043154761904759</v>
      </c>
      <c r="J266" s="9">
        <f t="shared" si="72"/>
        <v>17.815772431657845</v>
      </c>
      <c r="K266" s="3">
        <f t="shared" si="73"/>
        <v>-5.2273823302469147</v>
      </c>
      <c r="L266" s="7">
        <f t="shared" si="74"/>
        <v>-0.22685185185185192</v>
      </c>
      <c r="M266" t="s">
        <v>150</v>
      </c>
      <c r="O266" s="3">
        <f>E266-'310785 - P0524'!F266</f>
        <v>0</v>
      </c>
      <c r="P266" s="30">
        <f>I266-'310785 - P0524'!J266</f>
        <v>0</v>
      </c>
    </row>
    <row r="267" spans="1:16" x14ac:dyDescent="0.25">
      <c r="A267">
        <v>265</v>
      </c>
      <c r="C267" t="s">
        <v>8</v>
      </c>
      <c r="D267" s="4" t="s">
        <v>258</v>
      </c>
      <c r="E267" s="5">
        <v>3.44</v>
      </c>
      <c r="F267" s="5">
        <v>3.44</v>
      </c>
      <c r="G267" s="6">
        <f t="shared" si="70"/>
        <v>0</v>
      </c>
      <c r="H267" s="7">
        <f t="shared" si="71"/>
        <v>0</v>
      </c>
      <c r="I267" s="8">
        <v>6.5289583333333336</v>
      </c>
      <c r="J267" s="9">
        <f t="shared" si="72"/>
        <v>6.5289583333333336</v>
      </c>
      <c r="K267" s="3">
        <f t="shared" si="73"/>
        <v>0</v>
      </c>
      <c r="L267" s="7">
        <f t="shared" si="74"/>
        <v>0</v>
      </c>
      <c r="M267" t="s">
        <v>150</v>
      </c>
      <c r="O267" s="3">
        <f>E267-'310785 - P0524'!F267</f>
        <v>0</v>
      </c>
      <c r="P267" s="30">
        <f>I267-'310785 - P0524'!J267</f>
        <v>0</v>
      </c>
    </row>
    <row r="268" spans="1:16" x14ac:dyDescent="0.25">
      <c r="A268">
        <v>266</v>
      </c>
      <c r="C268" t="s">
        <v>8</v>
      </c>
      <c r="D268" s="4" t="s">
        <v>259</v>
      </c>
      <c r="E268" s="5">
        <v>2.64</v>
      </c>
      <c r="F268" s="5">
        <v>2.64</v>
      </c>
      <c r="G268" s="6">
        <f t="shared" si="70"/>
        <v>0</v>
      </c>
      <c r="H268" s="7">
        <f t="shared" si="71"/>
        <v>0</v>
      </c>
      <c r="I268" s="8">
        <v>5.9648076923076916</v>
      </c>
      <c r="J268" s="9">
        <f t="shared" si="72"/>
        <v>5.9648076923076916</v>
      </c>
      <c r="K268" s="3">
        <f t="shared" si="73"/>
        <v>0</v>
      </c>
      <c r="L268" s="7">
        <f t="shared" si="74"/>
        <v>0</v>
      </c>
      <c r="M268" t="s">
        <v>150</v>
      </c>
      <c r="O268" s="3">
        <f>E268-'310785 - P0524'!F268</f>
        <v>0</v>
      </c>
      <c r="P268" s="30">
        <f>I268-'310785 - P0524'!J268</f>
        <v>0</v>
      </c>
    </row>
    <row r="269" spans="1:16" x14ac:dyDescent="0.25">
      <c r="A269">
        <v>267</v>
      </c>
      <c r="C269" t="s">
        <v>8</v>
      </c>
      <c r="D269" s="4" t="s">
        <v>260</v>
      </c>
      <c r="E269" s="5">
        <v>2.64</v>
      </c>
      <c r="F269" s="5">
        <v>2.64</v>
      </c>
      <c r="G269" s="6">
        <f t="shared" si="70"/>
        <v>0</v>
      </c>
      <c r="H269" s="7">
        <f t="shared" si="71"/>
        <v>0</v>
      </c>
      <c r="I269" s="8">
        <v>4.9814285714285704</v>
      </c>
      <c r="J269" s="9">
        <f t="shared" si="72"/>
        <v>4.9814285714285704</v>
      </c>
      <c r="K269" s="3">
        <f t="shared" si="73"/>
        <v>0</v>
      </c>
      <c r="L269" s="7">
        <f t="shared" si="74"/>
        <v>0</v>
      </c>
      <c r="M269" t="s">
        <v>150</v>
      </c>
      <c r="O269" s="3">
        <f>E269-'310785 - P0524'!F269</f>
        <v>0</v>
      </c>
      <c r="P269" s="30">
        <f>I269-'310785 - P0524'!J269</f>
        <v>0</v>
      </c>
    </row>
    <row r="270" spans="1:16" x14ac:dyDescent="0.25">
      <c r="A270">
        <v>268</v>
      </c>
      <c r="C270" t="s">
        <v>8</v>
      </c>
      <c r="D270" s="4" t="s">
        <v>261</v>
      </c>
      <c r="E270" s="5">
        <v>3.6</v>
      </c>
      <c r="F270" s="5">
        <v>1.98</v>
      </c>
      <c r="G270" s="6">
        <f t="shared" si="70"/>
        <v>-1.62</v>
      </c>
      <c r="H270" s="7">
        <f t="shared" si="71"/>
        <v>-0.45</v>
      </c>
      <c r="I270" s="8">
        <v>6.3735069444444443</v>
      </c>
      <c r="J270" s="9">
        <f t="shared" si="72"/>
        <v>3.5054288194444445</v>
      </c>
      <c r="K270" s="3">
        <f t="shared" si="73"/>
        <v>-2.8680781249999998</v>
      </c>
      <c r="L270" s="7">
        <f t="shared" si="74"/>
        <v>-0.44999999999999996</v>
      </c>
      <c r="M270" t="s">
        <v>150</v>
      </c>
      <c r="O270" s="3">
        <f>E270-'310785 - P0524'!F270</f>
        <v>0</v>
      </c>
      <c r="P270" s="30">
        <f>I270-'310785 - P0524'!J270</f>
        <v>0</v>
      </c>
    </row>
    <row r="271" spans="1:16" x14ac:dyDescent="0.25">
      <c r="A271">
        <v>269</v>
      </c>
      <c r="C271" t="s">
        <v>8</v>
      </c>
      <c r="D271" s="4" t="s">
        <v>262</v>
      </c>
      <c r="E271" s="5">
        <v>3.2</v>
      </c>
      <c r="F271" s="5">
        <v>3.2</v>
      </c>
      <c r="G271" s="6">
        <f t="shared" si="70"/>
        <v>0</v>
      </c>
      <c r="H271" s="7">
        <f t="shared" si="71"/>
        <v>0</v>
      </c>
      <c r="I271" s="8">
        <v>9.5772187500000001</v>
      </c>
      <c r="J271" s="9">
        <f t="shared" si="72"/>
        <v>9.5772187500000001</v>
      </c>
      <c r="K271" s="3">
        <f t="shared" si="73"/>
        <v>0</v>
      </c>
      <c r="L271" s="7">
        <f t="shared" si="74"/>
        <v>0</v>
      </c>
      <c r="M271" t="s">
        <v>150</v>
      </c>
      <c r="O271" s="3">
        <f>E271-'310785 - P0524'!F271</f>
        <v>0</v>
      </c>
      <c r="P271" s="30">
        <f>I271-'310785 - P0524'!J271</f>
        <v>0</v>
      </c>
    </row>
    <row r="272" spans="1:16" x14ac:dyDescent="0.25">
      <c r="A272">
        <v>270</v>
      </c>
      <c r="C272" t="s">
        <v>8</v>
      </c>
      <c r="D272" s="4" t="s">
        <v>263</v>
      </c>
      <c r="E272" s="5">
        <v>3.2</v>
      </c>
      <c r="F272" s="5">
        <v>2.56</v>
      </c>
      <c r="G272" s="6">
        <f t="shared" si="70"/>
        <v>-0.64000000000000012</v>
      </c>
      <c r="H272" s="7">
        <f t="shared" si="71"/>
        <v>-0.20000000000000004</v>
      </c>
      <c r="I272" s="8">
        <v>6.3735069444444443</v>
      </c>
      <c r="J272" s="9">
        <f t="shared" si="72"/>
        <v>5.0988055555555549</v>
      </c>
      <c r="K272" s="3">
        <f t="shared" si="73"/>
        <v>-1.2747013888888894</v>
      </c>
      <c r="L272" s="7">
        <f t="shared" si="74"/>
        <v>-0.20000000000000009</v>
      </c>
      <c r="M272" t="s">
        <v>150</v>
      </c>
      <c r="O272" s="3">
        <f>E272-'310785 - P0524'!F272</f>
        <v>0</v>
      </c>
      <c r="P272" s="30">
        <f>I272-'310785 - P0524'!J272</f>
        <v>0</v>
      </c>
    </row>
    <row r="273" spans="1:16" x14ac:dyDescent="0.25">
      <c r="A273">
        <v>271</v>
      </c>
      <c r="C273" t="s">
        <v>8</v>
      </c>
      <c r="D273" s="4" t="s">
        <v>264</v>
      </c>
      <c r="E273" s="12">
        <v>34.130000000000003</v>
      </c>
      <c r="F273" s="11">
        <v>34.130000000000003</v>
      </c>
      <c r="G273" s="6">
        <f t="shared" si="70"/>
        <v>0</v>
      </c>
      <c r="H273" s="7">
        <f t="shared" si="71"/>
        <v>0</v>
      </c>
      <c r="I273" s="8">
        <v>83.99904491032467</v>
      </c>
      <c r="J273" s="9">
        <f t="shared" si="72"/>
        <v>83.99904491032467</v>
      </c>
      <c r="K273" s="3">
        <f t="shared" si="73"/>
        <v>0</v>
      </c>
      <c r="L273" s="7">
        <f t="shared" si="74"/>
        <v>0</v>
      </c>
      <c r="M273" t="s">
        <v>150</v>
      </c>
      <c r="O273" s="3">
        <f>E273-'310785 - P0524'!F273</f>
        <v>0</v>
      </c>
      <c r="P273" s="30">
        <f>I273-'310785 - P0524'!J273</f>
        <v>0</v>
      </c>
    </row>
    <row r="274" spans="1:16" x14ac:dyDescent="0.25">
      <c r="A274">
        <v>272</v>
      </c>
      <c r="C274" t="s">
        <v>8</v>
      </c>
      <c r="D274" s="4" t="s">
        <v>265</v>
      </c>
      <c r="E274" s="12">
        <v>40.14</v>
      </c>
      <c r="F274" s="11">
        <v>40.14</v>
      </c>
      <c r="G274" s="6">
        <f t="shared" si="70"/>
        <v>0</v>
      </c>
      <c r="H274" s="7">
        <f t="shared" si="71"/>
        <v>0</v>
      </c>
      <c r="I274" s="8">
        <v>100.73811614890289</v>
      </c>
      <c r="J274" s="9">
        <f t="shared" si="72"/>
        <v>100.73811614890289</v>
      </c>
      <c r="K274" s="3">
        <f t="shared" si="73"/>
        <v>0</v>
      </c>
      <c r="L274" s="7">
        <f t="shared" si="74"/>
        <v>0</v>
      </c>
      <c r="M274" t="s">
        <v>150</v>
      </c>
      <c r="O274" s="3">
        <f>E274-'310785 - P0524'!F274</f>
        <v>0</v>
      </c>
      <c r="P274" s="30">
        <f>I274-'310785 - P0524'!J274</f>
        <v>0</v>
      </c>
    </row>
    <row r="275" spans="1:16" x14ac:dyDescent="0.25">
      <c r="A275">
        <v>273</v>
      </c>
      <c r="C275" t="s">
        <v>8</v>
      </c>
      <c r="D275" s="4" t="s">
        <v>266</v>
      </c>
      <c r="E275" s="12">
        <v>0.71</v>
      </c>
      <c r="F275" s="11">
        <v>0.71</v>
      </c>
      <c r="G275" s="6">
        <f t="shared" si="70"/>
        <v>0</v>
      </c>
      <c r="H275" s="7">
        <f t="shared" si="71"/>
        <v>0</v>
      </c>
      <c r="I275" s="8">
        <v>1.3974603174603173</v>
      </c>
      <c r="J275" s="9">
        <f t="shared" si="72"/>
        <v>1.3974603174603173</v>
      </c>
      <c r="K275" s="3">
        <f t="shared" si="73"/>
        <v>0</v>
      </c>
      <c r="L275" s="7">
        <f t="shared" si="74"/>
        <v>0</v>
      </c>
      <c r="M275" t="s">
        <v>150</v>
      </c>
      <c r="O275" s="3">
        <f>E275-'310785 - P0524'!F275</f>
        <v>0</v>
      </c>
      <c r="P275" s="30">
        <f>I275-'310785 - P0524'!J275</f>
        <v>0</v>
      </c>
    </row>
    <row r="276" spans="1:16" x14ac:dyDescent="0.25">
      <c r="A276">
        <v>274</v>
      </c>
      <c r="C276" t="s">
        <v>8</v>
      </c>
      <c r="D276" s="4" t="s">
        <v>267</v>
      </c>
      <c r="E276" s="12">
        <v>15.02</v>
      </c>
      <c r="F276" s="11">
        <v>15.02</v>
      </c>
      <c r="G276" s="6">
        <f t="shared" si="70"/>
        <v>0</v>
      </c>
      <c r="H276" s="7">
        <f t="shared" si="71"/>
        <v>0</v>
      </c>
      <c r="I276" s="8">
        <v>39.554925957158105</v>
      </c>
      <c r="J276" s="9">
        <f t="shared" si="72"/>
        <v>39.554925957158105</v>
      </c>
      <c r="K276" s="3">
        <f t="shared" si="73"/>
        <v>0</v>
      </c>
      <c r="L276" s="7">
        <f t="shared" si="74"/>
        <v>0</v>
      </c>
      <c r="M276" t="s">
        <v>150</v>
      </c>
      <c r="O276" s="3">
        <f>E276-'310785 - P0524'!F276</f>
        <v>0</v>
      </c>
      <c r="P276" s="30">
        <f>I276-'310785 - P0524'!J276</f>
        <v>0</v>
      </c>
    </row>
    <row r="277" spans="1:16" x14ac:dyDescent="0.25">
      <c r="A277">
        <v>275</v>
      </c>
      <c r="C277" t="s">
        <v>8</v>
      </c>
      <c r="D277" s="4" t="s">
        <v>268</v>
      </c>
      <c r="E277" s="12">
        <v>12.5</v>
      </c>
      <c r="F277" s="11">
        <v>12.5</v>
      </c>
      <c r="G277" s="6">
        <f t="shared" si="70"/>
        <v>0</v>
      </c>
      <c r="H277" s="7">
        <f t="shared" si="71"/>
        <v>0</v>
      </c>
      <c r="I277" s="8">
        <v>21.214819136522753</v>
      </c>
      <c r="J277" s="9">
        <f t="shared" si="72"/>
        <v>21.214819136522753</v>
      </c>
      <c r="K277" s="3">
        <f t="shared" si="73"/>
        <v>0</v>
      </c>
      <c r="L277" s="7">
        <f t="shared" si="74"/>
        <v>0</v>
      </c>
      <c r="M277" t="s">
        <v>187</v>
      </c>
      <c r="O277" s="3">
        <f>E277-'310785 - P0524'!F277</f>
        <v>0</v>
      </c>
      <c r="P277" s="30">
        <f>I277-'310785 - P0524'!J277</f>
        <v>0</v>
      </c>
    </row>
    <row r="278" spans="1:16" x14ac:dyDescent="0.25">
      <c r="A278">
        <v>276</v>
      </c>
      <c r="C278" t="s">
        <v>8</v>
      </c>
      <c r="D278" s="4" t="s">
        <v>269</v>
      </c>
      <c r="E278" s="12">
        <v>12</v>
      </c>
      <c r="F278" s="12">
        <v>12</v>
      </c>
      <c r="G278" s="6">
        <f>+F278-E278</f>
        <v>0</v>
      </c>
      <c r="H278" s="7">
        <f>(F278-E278)/ABS(E278)</f>
        <v>0</v>
      </c>
      <c r="I278" s="8">
        <v>18.47</v>
      </c>
      <c r="J278" s="9">
        <f>(I278*H278)+I278</f>
        <v>18.47</v>
      </c>
      <c r="K278" s="3">
        <f>J278-I278</f>
        <v>0</v>
      </c>
      <c r="L278" s="7">
        <f>(J278-I278)/ABS(I278)</f>
        <v>0</v>
      </c>
      <c r="M278" t="s">
        <v>187</v>
      </c>
      <c r="O278" s="3">
        <f>E278-'310785 - P0524'!F278</f>
        <v>0</v>
      </c>
      <c r="P278" s="30">
        <f>I278-'310785 - P0524'!J278</f>
        <v>0</v>
      </c>
    </row>
    <row r="279" spans="1:16" x14ac:dyDescent="0.25">
      <c r="A279">
        <v>277</v>
      </c>
      <c r="C279" t="s">
        <v>8</v>
      </c>
      <c r="D279" s="4" t="s">
        <v>270</v>
      </c>
      <c r="E279" s="12">
        <v>8.9499999999999993</v>
      </c>
      <c r="F279" s="11">
        <v>8.9499999999999993</v>
      </c>
      <c r="G279" s="6">
        <f t="shared" si="70"/>
        <v>0</v>
      </c>
      <c r="H279" s="7">
        <f t="shared" si="71"/>
        <v>0</v>
      </c>
      <c r="I279" s="8">
        <v>29.456687862360731</v>
      </c>
      <c r="J279" s="9">
        <f t="shared" si="72"/>
        <v>29.456687862360731</v>
      </c>
      <c r="K279" s="3">
        <f t="shared" si="73"/>
        <v>0</v>
      </c>
      <c r="L279" s="7">
        <f t="shared" si="74"/>
        <v>0</v>
      </c>
      <c r="M279" t="s">
        <v>187</v>
      </c>
      <c r="O279" s="3">
        <f>E279-'310785 - P0524'!F279</f>
        <v>0</v>
      </c>
      <c r="P279" s="30">
        <f>I279-'310785 - P0524'!J279</f>
        <v>0</v>
      </c>
    </row>
    <row r="280" spans="1:16" x14ac:dyDescent="0.25">
      <c r="A280">
        <v>278</v>
      </c>
      <c r="C280" t="s">
        <v>8</v>
      </c>
      <c r="D280" s="4" t="s">
        <v>271</v>
      </c>
      <c r="E280" s="16">
        <v>46.13</v>
      </c>
      <c r="F280" s="12">
        <v>46.13</v>
      </c>
      <c r="G280" s="6">
        <f t="shared" si="70"/>
        <v>0</v>
      </c>
      <c r="H280" s="7">
        <f t="shared" si="71"/>
        <v>0</v>
      </c>
      <c r="I280" s="8">
        <v>71.680000000000007</v>
      </c>
      <c r="J280" s="9">
        <f t="shared" si="72"/>
        <v>71.680000000000007</v>
      </c>
      <c r="K280" s="3">
        <f t="shared" si="73"/>
        <v>0</v>
      </c>
      <c r="L280" s="7">
        <f t="shared" si="74"/>
        <v>0</v>
      </c>
      <c r="M280" t="s">
        <v>187</v>
      </c>
      <c r="O280" s="3">
        <f>E280-'310785 - P0524'!F280</f>
        <v>0</v>
      </c>
      <c r="P280" s="30">
        <f>I280-'310785 - P0524'!J280</f>
        <v>0</v>
      </c>
    </row>
    <row r="281" spans="1:16" x14ac:dyDescent="0.25">
      <c r="A281">
        <v>279</v>
      </c>
      <c r="C281" t="s">
        <v>8</v>
      </c>
      <c r="D281" s="4" t="s">
        <v>272</v>
      </c>
      <c r="E281" s="5">
        <v>5.85</v>
      </c>
      <c r="F281" s="5">
        <v>5.85</v>
      </c>
      <c r="G281" s="6">
        <f t="shared" si="70"/>
        <v>0</v>
      </c>
      <c r="H281" s="7">
        <f t="shared" si="71"/>
        <v>0</v>
      </c>
      <c r="I281" s="8">
        <v>6.9</v>
      </c>
      <c r="J281" s="9">
        <f t="shared" si="72"/>
        <v>6.9</v>
      </c>
      <c r="K281" s="3">
        <f t="shared" si="73"/>
        <v>0</v>
      </c>
      <c r="L281" s="7">
        <f t="shared" si="74"/>
        <v>0</v>
      </c>
      <c r="M281" t="s">
        <v>150</v>
      </c>
      <c r="O281" s="3">
        <f>E281-'310785 - P0524'!F281</f>
        <v>0</v>
      </c>
      <c r="P281" s="30">
        <f>I281-'310785 - P0524'!J281</f>
        <v>0</v>
      </c>
    </row>
    <row r="282" spans="1:16" x14ac:dyDescent="0.25">
      <c r="A282">
        <v>280</v>
      </c>
      <c r="C282" t="s">
        <v>8</v>
      </c>
      <c r="D282" s="4" t="s">
        <v>273</v>
      </c>
      <c r="E282" s="5">
        <v>6.93</v>
      </c>
      <c r="F282" s="5">
        <v>6.93</v>
      </c>
      <c r="G282" s="6">
        <f t="shared" si="70"/>
        <v>0</v>
      </c>
      <c r="H282" s="7">
        <f t="shared" si="71"/>
        <v>0</v>
      </c>
      <c r="I282" s="8">
        <v>13.99</v>
      </c>
      <c r="J282" s="9">
        <f t="shared" si="72"/>
        <v>13.99</v>
      </c>
      <c r="K282" s="3">
        <f t="shared" si="73"/>
        <v>0</v>
      </c>
      <c r="L282" s="7">
        <f t="shared" si="74"/>
        <v>0</v>
      </c>
      <c r="M282" t="s">
        <v>150</v>
      </c>
      <c r="O282" s="3">
        <f>E282-'310785 - P0524'!F282</f>
        <v>0</v>
      </c>
      <c r="P282" s="30">
        <f>I282-'310785 - P0524'!J282</f>
        <v>0</v>
      </c>
    </row>
    <row r="283" spans="1:16" x14ac:dyDescent="0.25">
      <c r="A283">
        <v>281</v>
      </c>
      <c r="C283" t="s">
        <v>8</v>
      </c>
      <c r="D283" s="4" t="s">
        <v>274</v>
      </c>
      <c r="E283" s="5">
        <v>6.93</v>
      </c>
      <c r="F283" s="5">
        <v>6.93</v>
      </c>
      <c r="G283" s="6">
        <f t="shared" si="70"/>
        <v>0</v>
      </c>
      <c r="H283" s="7">
        <f t="shared" si="71"/>
        <v>0</v>
      </c>
      <c r="I283" s="8">
        <v>7.9</v>
      </c>
      <c r="J283" s="9">
        <f t="shared" si="72"/>
        <v>7.9</v>
      </c>
      <c r="K283" s="3">
        <f t="shared" si="73"/>
        <v>0</v>
      </c>
      <c r="L283" s="7">
        <f t="shared" si="74"/>
        <v>0</v>
      </c>
      <c r="M283" t="s">
        <v>150</v>
      </c>
      <c r="O283" s="3">
        <f>E283-'310785 - P0524'!F283</f>
        <v>0</v>
      </c>
      <c r="P283" s="30">
        <f>I283-'310785 - P0524'!J283</f>
        <v>0</v>
      </c>
    </row>
    <row r="284" spans="1:16" x14ac:dyDescent="0.25">
      <c r="A284">
        <v>282</v>
      </c>
      <c r="C284" t="s">
        <v>8</v>
      </c>
      <c r="D284" s="4" t="s">
        <v>275</v>
      </c>
      <c r="E284" s="12">
        <v>2.56</v>
      </c>
      <c r="F284" s="11">
        <v>2.56</v>
      </c>
      <c r="G284" s="6">
        <f t="shared" si="70"/>
        <v>0</v>
      </c>
      <c r="H284" s="7">
        <f t="shared" si="71"/>
        <v>0</v>
      </c>
      <c r="I284" s="8">
        <v>8.0228714375055841</v>
      </c>
      <c r="J284" s="9">
        <f t="shared" si="72"/>
        <v>8.0228714375055841</v>
      </c>
      <c r="K284" s="3">
        <f t="shared" si="73"/>
        <v>0</v>
      </c>
      <c r="L284" s="7">
        <f t="shared" si="74"/>
        <v>0</v>
      </c>
      <c r="M284" t="s">
        <v>150</v>
      </c>
      <c r="O284" s="3">
        <f>E284-'310785 - P0524'!F284</f>
        <v>0</v>
      </c>
      <c r="P284" s="30">
        <f>I284-'310785 - P0524'!J284</f>
        <v>0</v>
      </c>
    </row>
    <row r="285" spans="1:16" x14ac:dyDescent="0.25">
      <c r="A285">
        <v>283</v>
      </c>
      <c r="C285" t="s">
        <v>8</v>
      </c>
      <c r="D285" s="4" t="s">
        <v>276</v>
      </c>
      <c r="E285" s="12">
        <v>3.71</v>
      </c>
      <c r="F285" s="11">
        <v>3.71</v>
      </c>
      <c r="G285" s="6">
        <f t="shared" si="70"/>
        <v>0</v>
      </c>
      <c r="H285" s="7">
        <f t="shared" si="71"/>
        <v>0</v>
      </c>
      <c r="I285" s="8">
        <v>9.2527255216693405</v>
      </c>
      <c r="J285" s="9">
        <f t="shared" si="72"/>
        <v>9.2527255216693405</v>
      </c>
      <c r="K285" s="3">
        <f t="shared" si="73"/>
        <v>0</v>
      </c>
      <c r="L285" s="7">
        <f t="shared" si="74"/>
        <v>0</v>
      </c>
      <c r="M285" t="s">
        <v>150</v>
      </c>
      <c r="O285" s="3">
        <f>E285-'310785 - P0524'!F285</f>
        <v>0</v>
      </c>
      <c r="P285" s="30">
        <f>I285-'310785 - P0524'!J285</f>
        <v>0</v>
      </c>
    </row>
    <row r="286" spans="1:16" x14ac:dyDescent="0.25">
      <c r="A286">
        <v>284</v>
      </c>
      <c r="C286" t="s">
        <v>277</v>
      </c>
      <c r="D286" s="4" t="s">
        <v>278</v>
      </c>
      <c r="E286" s="11">
        <v>85.35</v>
      </c>
      <c r="F286" s="11">
        <v>85.35</v>
      </c>
      <c r="G286" s="6">
        <f t="shared" si="70"/>
        <v>0</v>
      </c>
      <c r="H286" s="7">
        <f t="shared" si="71"/>
        <v>0</v>
      </c>
      <c r="I286" s="8">
        <v>129.08106565176024</v>
      </c>
      <c r="J286" s="9">
        <f t="shared" si="72"/>
        <v>129.08106565176024</v>
      </c>
      <c r="K286" s="3">
        <f t="shared" si="73"/>
        <v>0</v>
      </c>
      <c r="L286" s="7">
        <f t="shared" si="74"/>
        <v>0</v>
      </c>
      <c r="M286" t="s">
        <v>150</v>
      </c>
      <c r="O286" s="3">
        <f>E286-'310785 - P0524'!F286</f>
        <v>0</v>
      </c>
      <c r="P286" s="30">
        <f>I286-'310785 - P0524'!J286</f>
        <v>0</v>
      </c>
    </row>
    <row r="287" spans="1:16" x14ac:dyDescent="0.25">
      <c r="A287">
        <v>285</v>
      </c>
      <c r="C287" t="s">
        <v>8</v>
      </c>
      <c r="D287" s="4" t="s">
        <v>279</v>
      </c>
      <c r="E287" s="12">
        <v>3.47</v>
      </c>
      <c r="F287" s="12">
        <v>3.47</v>
      </c>
      <c r="G287" s="6">
        <f t="shared" si="70"/>
        <v>0</v>
      </c>
      <c r="H287" s="7">
        <f t="shared" si="71"/>
        <v>0</v>
      </c>
      <c r="I287" s="8">
        <v>9.272871621621622</v>
      </c>
      <c r="J287" s="9">
        <f t="shared" si="72"/>
        <v>9.272871621621622</v>
      </c>
      <c r="K287" s="3">
        <f t="shared" si="73"/>
        <v>0</v>
      </c>
      <c r="L287" s="7">
        <f t="shared" si="74"/>
        <v>0</v>
      </c>
      <c r="M287" t="s">
        <v>150</v>
      </c>
      <c r="O287" s="3">
        <f>E287-'310785 - P0524'!F287</f>
        <v>0</v>
      </c>
      <c r="P287" s="30">
        <f>I287-'310785 - P0524'!J287</f>
        <v>0</v>
      </c>
    </row>
    <row r="288" spans="1:16" x14ac:dyDescent="0.25">
      <c r="A288">
        <v>286</v>
      </c>
      <c r="C288" t="s">
        <v>8</v>
      </c>
      <c r="D288" s="4" t="s">
        <v>280</v>
      </c>
      <c r="E288" s="12">
        <v>3.03</v>
      </c>
      <c r="F288" s="12">
        <v>3.03</v>
      </c>
      <c r="G288" s="6">
        <f t="shared" si="70"/>
        <v>0</v>
      </c>
      <c r="H288" s="7">
        <f t="shared" si="71"/>
        <v>0</v>
      </c>
      <c r="I288" s="8">
        <v>6.4226640926640925</v>
      </c>
      <c r="J288" s="9">
        <f t="shared" si="72"/>
        <v>6.4226640926640925</v>
      </c>
      <c r="K288" s="3">
        <f t="shared" si="73"/>
        <v>0</v>
      </c>
      <c r="L288" s="7">
        <f t="shared" si="74"/>
        <v>0</v>
      </c>
      <c r="M288" t="s">
        <v>150</v>
      </c>
      <c r="O288" s="3">
        <f>E288-'310785 - P0524'!F288</f>
        <v>0</v>
      </c>
      <c r="P288" s="30">
        <f>I288-'310785 - P0524'!J288</f>
        <v>0</v>
      </c>
    </row>
    <row r="289" spans="1:16" x14ac:dyDescent="0.25">
      <c r="A289">
        <v>287</v>
      </c>
      <c r="C289" t="s">
        <v>8</v>
      </c>
      <c r="D289" s="4" t="s">
        <v>281</v>
      </c>
      <c r="E289" s="12">
        <v>12.95</v>
      </c>
      <c r="F289" s="12">
        <v>12.95</v>
      </c>
      <c r="G289" s="6">
        <f t="shared" si="70"/>
        <v>0</v>
      </c>
      <c r="H289" s="7">
        <f t="shared" si="71"/>
        <v>0</v>
      </c>
      <c r="I289" s="8">
        <v>25.9</v>
      </c>
      <c r="J289" s="9">
        <f t="shared" si="72"/>
        <v>25.9</v>
      </c>
      <c r="K289" s="3">
        <f t="shared" si="73"/>
        <v>0</v>
      </c>
      <c r="L289" s="7">
        <f t="shared" si="74"/>
        <v>0</v>
      </c>
      <c r="M289" t="s">
        <v>150</v>
      </c>
      <c r="O289" s="3">
        <f>E289-'310785 - P0524'!F289</f>
        <v>0</v>
      </c>
      <c r="P289" s="30">
        <f>I289-'310785 - P0524'!J289</f>
        <v>0</v>
      </c>
    </row>
    <row r="290" spans="1:16" x14ac:dyDescent="0.25">
      <c r="A290">
        <v>288</v>
      </c>
      <c r="C290" t="s">
        <v>8</v>
      </c>
      <c r="D290" s="4" t="s">
        <v>282</v>
      </c>
      <c r="E290" s="12">
        <v>9.27</v>
      </c>
      <c r="F290" s="12">
        <v>9.27</v>
      </c>
      <c r="G290" s="6">
        <f t="shared" si="70"/>
        <v>0</v>
      </c>
      <c r="H290" s="7">
        <f t="shared" si="71"/>
        <v>0</v>
      </c>
      <c r="I290" s="8">
        <v>18.54</v>
      </c>
      <c r="J290" s="9">
        <f t="shared" si="72"/>
        <v>18.54</v>
      </c>
      <c r="K290" s="3">
        <f t="shared" si="73"/>
        <v>0</v>
      </c>
      <c r="L290" s="7">
        <f t="shared" si="74"/>
        <v>0</v>
      </c>
      <c r="M290" t="s">
        <v>150</v>
      </c>
      <c r="O290" s="3">
        <f>E290-'310785 - P0524'!F290</f>
        <v>0</v>
      </c>
      <c r="P290" s="30">
        <f>I290-'310785 - P0524'!J290</f>
        <v>0</v>
      </c>
    </row>
    <row r="291" spans="1:16" x14ac:dyDescent="0.25">
      <c r="A291">
        <v>289</v>
      </c>
      <c r="C291" t="s">
        <v>8</v>
      </c>
      <c r="D291" s="4" t="s">
        <v>283</v>
      </c>
      <c r="E291" s="12">
        <v>4.38</v>
      </c>
      <c r="F291" s="12">
        <v>4.38</v>
      </c>
      <c r="G291" s="6">
        <f t="shared" si="70"/>
        <v>0</v>
      </c>
      <c r="H291" s="7">
        <f t="shared" si="71"/>
        <v>0</v>
      </c>
      <c r="I291" s="8">
        <v>19.878299999999999</v>
      </c>
      <c r="J291" s="9">
        <f t="shared" si="72"/>
        <v>19.878299999999999</v>
      </c>
      <c r="K291" s="3">
        <f t="shared" si="73"/>
        <v>0</v>
      </c>
      <c r="L291" s="7">
        <f t="shared" si="74"/>
        <v>0</v>
      </c>
      <c r="M291" t="s">
        <v>150</v>
      </c>
      <c r="O291" s="3">
        <f>E291-'310785 - P0524'!F291</f>
        <v>0</v>
      </c>
      <c r="P291" s="30">
        <f>I291-'310785 - P0524'!J291</f>
        <v>0</v>
      </c>
    </row>
    <row r="292" spans="1:16" x14ac:dyDescent="0.25">
      <c r="A292">
        <v>290</v>
      </c>
      <c r="C292" t="s">
        <v>8</v>
      </c>
      <c r="D292" s="4" t="s">
        <v>284</v>
      </c>
      <c r="E292" s="12">
        <v>7.78</v>
      </c>
      <c r="F292" s="12">
        <v>7.78</v>
      </c>
      <c r="G292" s="6">
        <f t="shared" si="70"/>
        <v>0</v>
      </c>
      <c r="H292" s="7">
        <f t="shared" si="71"/>
        <v>0</v>
      </c>
      <c r="I292" s="8">
        <v>20.218751857355123</v>
      </c>
      <c r="J292" s="9">
        <f t="shared" si="72"/>
        <v>20.218751857355123</v>
      </c>
      <c r="K292" s="3">
        <f t="shared" si="73"/>
        <v>0</v>
      </c>
      <c r="L292" s="7">
        <f t="shared" si="74"/>
        <v>0</v>
      </c>
      <c r="M292" t="s">
        <v>150</v>
      </c>
      <c r="O292" s="3">
        <f>E292-'310785 - P0524'!F292</f>
        <v>0</v>
      </c>
      <c r="P292" s="30">
        <f>I292-'310785 - P0524'!J292</f>
        <v>0</v>
      </c>
    </row>
    <row r="293" spans="1:16" x14ac:dyDescent="0.25">
      <c r="A293">
        <v>291</v>
      </c>
      <c r="C293" t="s">
        <v>8</v>
      </c>
      <c r="D293" s="4" t="s">
        <v>285</v>
      </c>
      <c r="E293" s="12">
        <v>0.98</v>
      </c>
      <c r="F293" s="12">
        <v>0.98</v>
      </c>
      <c r="G293" s="6">
        <f t="shared" si="70"/>
        <v>0</v>
      </c>
      <c r="H293" s="7">
        <f t="shared" si="71"/>
        <v>0</v>
      </c>
      <c r="I293" s="8">
        <v>2.0746808510638299</v>
      </c>
      <c r="J293" s="9">
        <f t="shared" si="72"/>
        <v>2.0746808510638299</v>
      </c>
      <c r="K293" s="3">
        <f t="shared" si="73"/>
        <v>0</v>
      </c>
      <c r="L293" s="7">
        <f t="shared" si="74"/>
        <v>0</v>
      </c>
      <c r="M293" t="s">
        <v>150</v>
      </c>
      <c r="O293" s="3">
        <f>E293-'310785 - P0524'!F293</f>
        <v>0</v>
      </c>
      <c r="P293" s="30">
        <f>I293-'310785 - P0524'!J293</f>
        <v>0</v>
      </c>
    </row>
    <row r="294" spans="1:16" x14ac:dyDescent="0.25">
      <c r="A294">
        <v>292</v>
      </c>
      <c r="C294" t="s">
        <v>8</v>
      </c>
      <c r="D294" s="4" t="s">
        <v>286</v>
      </c>
      <c r="E294" s="12">
        <v>0.56999999999999995</v>
      </c>
      <c r="F294" s="12">
        <v>0.56999999999999995</v>
      </c>
      <c r="G294" s="6">
        <f t="shared" si="70"/>
        <v>0</v>
      </c>
      <c r="H294" s="7">
        <f t="shared" si="71"/>
        <v>0</v>
      </c>
      <c r="I294" s="8">
        <v>1.29</v>
      </c>
      <c r="J294" s="9">
        <f t="shared" si="72"/>
        <v>1.29</v>
      </c>
      <c r="K294" s="3">
        <f t="shared" si="73"/>
        <v>0</v>
      </c>
      <c r="L294" s="7">
        <f t="shared" si="74"/>
        <v>0</v>
      </c>
      <c r="M294" t="s">
        <v>150</v>
      </c>
      <c r="O294" s="3">
        <f>E294-'310785 - P0524'!F294</f>
        <v>0</v>
      </c>
      <c r="P294" s="30">
        <f>I294-'310785 - P0524'!J294</f>
        <v>0</v>
      </c>
    </row>
    <row r="295" spans="1:16" x14ac:dyDescent="0.25">
      <c r="A295">
        <v>293</v>
      </c>
      <c r="C295" t="s">
        <v>8</v>
      </c>
      <c r="D295" s="4" t="s">
        <v>287</v>
      </c>
      <c r="E295" s="12">
        <v>3.2</v>
      </c>
      <c r="F295" s="12">
        <v>3.2</v>
      </c>
      <c r="G295" s="6">
        <f t="shared" si="70"/>
        <v>0</v>
      </c>
      <c r="H295" s="7">
        <f t="shared" si="71"/>
        <v>0</v>
      </c>
      <c r="I295" s="8">
        <v>9.2899999999999991</v>
      </c>
      <c r="J295" s="9">
        <f t="shared" si="72"/>
        <v>9.2899999999999991</v>
      </c>
      <c r="K295" s="3">
        <f t="shared" si="73"/>
        <v>0</v>
      </c>
      <c r="L295" s="7">
        <f t="shared" si="74"/>
        <v>0</v>
      </c>
      <c r="M295" t="s">
        <v>150</v>
      </c>
      <c r="O295" s="3">
        <f>E295-'310785 - P0524'!F295</f>
        <v>0</v>
      </c>
      <c r="P295" s="30">
        <f>I295-'310785 - P0524'!J295</f>
        <v>0</v>
      </c>
    </row>
    <row r="296" spans="1:16" x14ac:dyDescent="0.25">
      <c r="A296">
        <v>294</v>
      </c>
      <c r="D296" s="2" t="s">
        <v>288</v>
      </c>
      <c r="H296" s="10">
        <f>AVERAGE(H251:H290)</f>
        <v>-2.0076277846111799E-2</v>
      </c>
      <c r="I296"/>
    </row>
    <row r="297" spans="1:16" x14ac:dyDescent="0.25">
      <c r="A297">
        <v>295</v>
      </c>
      <c r="D297" s="2" t="s">
        <v>289</v>
      </c>
      <c r="I297"/>
      <c r="M297" t="s">
        <v>187</v>
      </c>
    </row>
    <row r="298" spans="1:16" x14ac:dyDescent="0.25">
      <c r="A298">
        <v>296</v>
      </c>
      <c r="B298" t="s">
        <v>468</v>
      </c>
      <c r="C298" t="s">
        <v>291</v>
      </c>
      <c r="D298" s="4" t="s">
        <v>292</v>
      </c>
      <c r="E298" s="12">
        <v>83.45</v>
      </c>
      <c r="F298" s="12">
        <v>83.45</v>
      </c>
      <c r="G298" s="6">
        <f t="shared" ref="G298:G331" si="75">+F298-E298</f>
        <v>0</v>
      </c>
      <c r="H298" s="7">
        <f t="shared" ref="H298:H331" si="76">(F298-E298)/ABS(E298)</f>
        <v>0</v>
      </c>
      <c r="I298" s="8">
        <v>116.82130707692306</v>
      </c>
      <c r="J298" s="9">
        <f t="shared" ref="J298:J331" si="77">(I298*H298)+I298</f>
        <v>116.82130707692306</v>
      </c>
      <c r="K298" s="3">
        <f t="shared" ref="K298:K331" si="78">J298-I298</f>
        <v>0</v>
      </c>
      <c r="L298" s="7">
        <f t="shared" ref="L298:L331" si="79">(J298-I298)/ABS(I298)</f>
        <v>0</v>
      </c>
      <c r="M298" t="s">
        <v>187</v>
      </c>
      <c r="O298" s="3">
        <f>E298-'310785 - P0524'!F298</f>
        <v>0</v>
      </c>
      <c r="P298" s="30">
        <f>I298-'310785 - P0524'!J298</f>
        <v>0</v>
      </c>
    </row>
    <row r="299" spans="1:16" x14ac:dyDescent="0.25">
      <c r="A299">
        <v>297</v>
      </c>
      <c r="B299" t="s">
        <v>471</v>
      </c>
      <c r="C299" t="s">
        <v>291</v>
      </c>
      <c r="D299" s="4" t="s">
        <v>293</v>
      </c>
      <c r="E299" s="12">
        <v>17.16</v>
      </c>
      <c r="F299" s="12">
        <v>17.16</v>
      </c>
      <c r="G299" s="6">
        <f t="shared" si="75"/>
        <v>0</v>
      </c>
      <c r="H299" s="7">
        <f t="shared" si="76"/>
        <v>0</v>
      </c>
      <c r="I299" s="8">
        <v>23.58</v>
      </c>
      <c r="J299" s="9">
        <f t="shared" si="77"/>
        <v>23.58</v>
      </c>
      <c r="K299" s="3">
        <f t="shared" si="78"/>
        <v>0</v>
      </c>
      <c r="L299" s="7">
        <f t="shared" si="79"/>
        <v>0</v>
      </c>
      <c r="M299" t="s">
        <v>187</v>
      </c>
      <c r="O299" s="3">
        <f>E299-'310785 - P0524'!F299</f>
        <v>0</v>
      </c>
      <c r="P299" s="30">
        <f>I299-'310785 - P0524'!J299</f>
        <v>0</v>
      </c>
    </row>
    <row r="300" spans="1:16" x14ac:dyDescent="0.25">
      <c r="A300">
        <v>298</v>
      </c>
      <c r="B300" t="s">
        <v>468</v>
      </c>
      <c r="C300" t="s">
        <v>291</v>
      </c>
      <c r="D300" s="4" t="s">
        <v>295</v>
      </c>
      <c r="E300" s="12">
        <v>20.45</v>
      </c>
      <c r="F300" s="12">
        <v>20.45</v>
      </c>
      <c r="G300" s="6">
        <f t="shared" si="75"/>
        <v>0</v>
      </c>
      <c r="H300" s="7">
        <f t="shared" si="76"/>
        <v>0</v>
      </c>
      <c r="I300" s="8">
        <v>28.117117241379304</v>
      </c>
      <c r="J300" s="9">
        <f t="shared" si="77"/>
        <v>28.117117241379304</v>
      </c>
      <c r="K300" s="3">
        <f t="shared" si="78"/>
        <v>0</v>
      </c>
      <c r="L300" s="7">
        <f t="shared" si="79"/>
        <v>0</v>
      </c>
      <c r="M300" t="s">
        <v>187</v>
      </c>
      <c r="O300" s="3">
        <f>E300-'310785 - P0524'!F300</f>
        <v>0</v>
      </c>
      <c r="P300" s="30">
        <f>I300-'310785 - P0524'!J300</f>
        <v>0</v>
      </c>
    </row>
    <row r="301" spans="1:16" x14ac:dyDescent="0.25">
      <c r="A301">
        <v>299</v>
      </c>
      <c r="B301" t="s">
        <v>471</v>
      </c>
      <c r="C301" t="s">
        <v>291</v>
      </c>
      <c r="D301" s="4" t="s">
        <v>296</v>
      </c>
      <c r="E301" s="12">
        <v>35.15</v>
      </c>
      <c r="F301" s="12">
        <v>35.15</v>
      </c>
      <c r="G301" s="6">
        <f t="shared" si="75"/>
        <v>0</v>
      </c>
      <c r="H301" s="7">
        <f t="shared" si="76"/>
        <v>0</v>
      </c>
      <c r="I301" s="8">
        <v>48.263872071910107</v>
      </c>
      <c r="J301" s="9">
        <f t="shared" si="77"/>
        <v>48.263872071910107</v>
      </c>
      <c r="K301" s="3">
        <f t="shared" si="78"/>
        <v>0</v>
      </c>
      <c r="L301" s="7">
        <f t="shared" si="79"/>
        <v>0</v>
      </c>
      <c r="M301" t="s">
        <v>187</v>
      </c>
      <c r="O301" s="3">
        <f>E301-'310785 - P0524'!F301</f>
        <v>0</v>
      </c>
      <c r="P301" s="30">
        <f>I301-'310785 - P0524'!J301</f>
        <v>0</v>
      </c>
    </row>
    <row r="302" spans="1:16" x14ac:dyDescent="0.25">
      <c r="A302">
        <v>300</v>
      </c>
      <c r="B302" t="s">
        <v>472</v>
      </c>
      <c r="C302" t="s">
        <v>291</v>
      </c>
      <c r="D302" s="4" t="s">
        <v>297</v>
      </c>
      <c r="E302" s="12">
        <v>7.16</v>
      </c>
      <c r="F302" s="12">
        <v>7.16</v>
      </c>
      <c r="G302" s="6">
        <f t="shared" si="75"/>
        <v>0</v>
      </c>
      <c r="H302" s="7">
        <f t="shared" si="76"/>
        <v>0</v>
      </c>
      <c r="I302" s="8">
        <v>9.85</v>
      </c>
      <c r="J302" s="9">
        <f t="shared" si="77"/>
        <v>9.85</v>
      </c>
      <c r="K302" s="3">
        <f t="shared" si="78"/>
        <v>0</v>
      </c>
      <c r="L302" s="7">
        <f t="shared" si="79"/>
        <v>0</v>
      </c>
      <c r="M302" t="s">
        <v>187</v>
      </c>
      <c r="O302" s="3">
        <f>E302-'310785 - P0524'!F302</f>
        <v>0</v>
      </c>
      <c r="P302" s="30">
        <f>I302-'310785 - P0524'!J302</f>
        <v>0</v>
      </c>
    </row>
    <row r="303" spans="1:16" x14ac:dyDescent="0.25">
      <c r="A303">
        <v>301</v>
      </c>
      <c r="B303" t="s">
        <v>486</v>
      </c>
      <c r="C303" t="s">
        <v>291</v>
      </c>
      <c r="D303" s="4" t="s">
        <v>298</v>
      </c>
      <c r="E303" s="12">
        <v>0.49</v>
      </c>
      <c r="F303" s="12">
        <v>0.49</v>
      </c>
      <c r="G303" s="6">
        <f t="shared" si="75"/>
        <v>0</v>
      </c>
      <c r="H303" s="7">
        <f t="shared" si="76"/>
        <v>0</v>
      </c>
      <c r="I303" s="8">
        <v>0.69</v>
      </c>
      <c r="J303" s="9">
        <f t="shared" si="77"/>
        <v>0.69</v>
      </c>
      <c r="K303" s="3">
        <f t="shared" si="78"/>
        <v>0</v>
      </c>
      <c r="L303" s="7">
        <f t="shared" si="79"/>
        <v>0</v>
      </c>
      <c r="M303" t="s">
        <v>187</v>
      </c>
      <c r="O303" s="3">
        <f>E303-'310785 - P0524'!F303</f>
        <v>0</v>
      </c>
      <c r="P303" s="30">
        <f>I303-'310785 - P0524'!J303</f>
        <v>0</v>
      </c>
    </row>
    <row r="304" spans="1:16" x14ac:dyDescent="0.25">
      <c r="A304">
        <v>302</v>
      </c>
      <c r="B304" t="s">
        <v>471</v>
      </c>
      <c r="C304" t="s">
        <v>291</v>
      </c>
      <c r="D304" s="4" t="s">
        <v>299</v>
      </c>
      <c r="E304" s="12">
        <v>21.81</v>
      </c>
      <c r="F304" s="12">
        <v>21.81</v>
      </c>
      <c r="G304" s="6">
        <f t="shared" si="75"/>
        <v>0</v>
      </c>
      <c r="H304" s="7">
        <f t="shared" si="76"/>
        <v>0</v>
      </c>
      <c r="I304" s="8">
        <v>29.968966617429842</v>
      </c>
      <c r="J304" s="9">
        <f t="shared" si="77"/>
        <v>29.968966617429842</v>
      </c>
      <c r="K304" s="3">
        <f t="shared" si="78"/>
        <v>0</v>
      </c>
      <c r="L304" s="7">
        <f t="shared" si="79"/>
        <v>0</v>
      </c>
      <c r="M304" t="s">
        <v>187</v>
      </c>
      <c r="O304" s="3">
        <f>E304-'310785 - P0524'!F304</f>
        <v>0</v>
      </c>
      <c r="P304" s="30">
        <f>I304-'310785 - P0524'!J304</f>
        <v>0</v>
      </c>
    </row>
    <row r="305" spans="1:16" x14ac:dyDescent="0.25">
      <c r="A305">
        <v>303</v>
      </c>
      <c r="B305" s="28" t="s">
        <v>471</v>
      </c>
      <c r="C305" t="s">
        <v>291</v>
      </c>
      <c r="D305" s="4" t="s">
        <v>300</v>
      </c>
      <c r="E305" s="12">
        <v>2.2000000000000002</v>
      </c>
      <c r="F305" s="12">
        <v>2.2000000000000002</v>
      </c>
      <c r="G305" s="6">
        <f t="shared" si="75"/>
        <v>0</v>
      </c>
      <c r="H305" s="7">
        <f t="shared" si="76"/>
        <v>0</v>
      </c>
      <c r="I305" s="8">
        <v>3.0480105109489042</v>
      </c>
      <c r="J305" s="9">
        <f t="shared" si="77"/>
        <v>3.0480105109489042</v>
      </c>
      <c r="K305" s="3">
        <f t="shared" si="78"/>
        <v>0</v>
      </c>
      <c r="L305" s="7">
        <f t="shared" si="79"/>
        <v>0</v>
      </c>
      <c r="M305" t="s">
        <v>187</v>
      </c>
      <c r="O305" s="3">
        <f>E305-'310785 - P0524'!F305</f>
        <v>0</v>
      </c>
      <c r="P305" s="30">
        <f>I305-'310785 - P0524'!J305</f>
        <v>0</v>
      </c>
    </row>
    <row r="306" spans="1:16" x14ac:dyDescent="0.25">
      <c r="A306">
        <v>304</v>
      </c>
      <c r="B306" t="s">
        <v>471</v>
      </c>
      <c r="C306" t="s">
        <v>291</v>
      </c>
      <c r="D306" s="4" t="s">
        <v>301</v>
      </c>
      <c r="E306" s="12">
        <v>2.73</v>
      </c>
      <c r="F306" s="12">
        <v>2.73</v>
      </c>
      <c r="G306" s="6">
        <f t="shared" si="75"/>
        <v>0</v>
      </c>
      <c r="H306" s="7">
        <f t="shared" si="76"/>
        <v>0</v>
      </c>
      <c r="I306" s="8">
        <v>3.751827692307693</v>
      </c>
      <c r="J306" s="9">
        <f t="shared" si="77"/>
        <v>3.751827692307693</v>
      </c>
      <c r="K306" s="3">
        <f t="shared" si="78"/>
        <v>0</v>
      </c>
      <c r="L306" s="7">
        <f t="shared" si="79"/>
        <v>0</v>
      </c>
      <c r="M306" t="s">
        <v>187</v>
      </c>
      <c r="O306" s="3">
        <f>E306-'310785 - P0524'!F306</f>
        <v>0</v>
      </c>
      <c r="P306" s="30">
        <f>I306-'310785 - P0524'!J306</f>
        <v>0</v>
      </c>
    </row>
    <row r="307" spans="1:16" x14ac:dyDescent="0.25">
      <c r="A307">
        <v>305</v>
      </c>
      <c r="B307" t="s">
        <v>469</v>
      </c>
      <c r="C307" t="s">
        <v>291</v>
      </c>
      <c r="D307" s="4" t="s">
        <v>302</v>
      </c>
      <c r="E307" s="12">
        <v>0.9</v>
      </c>
      <c r="F307" s="12">
        <v>0.9</v>
      </c>
      <c r="G307" s="6">
        <f t="shared" si="75"/>
        <v>0</v>
      </c>
      <c r="H307" s="7">
        <f t="shared" si="76"/>
        <v>0</v>
      </c>
      <c r="I307" s="8">
        <v>1.7875199999999998</v>
      </c>
      <c r="J307" s="9">
        <f t="shared" si="77"/>
        <v>1.7875199999999998</v>
      </c>
      <c r="K307" s="3">
        <f t="shared" si="78"/>
        <v>0</v>
      </c>
      <c r="L307" s="7">
        <f t="shared" si="79"/>
        <v>0</v>
      </c>
      <c r="M307" t="s">
        <v>187</v>
      </c>
      <c r="O307" s="3">
        <f>E307-'310785 - P0524'!F307</f>
        <v>0</v>
      </c>
      <c r="P307" s="30">
        <f>I307-'310785 - P0524'!J307</f>
        <v>0</v>
      </c>
    </row>
    <row r="308" spans="1:16" x14ac:dyDescent="0.25">
      <c r="A308">
        <v>306</v>
      </c>
      <c r="B308" t="s">
        <v>303</v>
      </c>
      <c r="C308" t="s">
        <v>291</v>
      </c>
      <c r="D308" s="4" t="s">
        <v>304</v>
      </c>
      <c r="E308" s="12">
        <v>66.48</v>
      </c>
      <c r="F308" s="12">
        <v>66.48</v>
      </c>
      <c r="G308" s="6">
        <f t="shared" si="75"/>
        <v>0</v>
      </c>
      <c r="H308" s="7">
        <f t="shared" si="76"/>
        <v>0</v>
      </c>
      <c r="I308" s="8">
        <v>91.32</v>
      </c>
      <c r="J308" s="9">
        <f t="shared" si="77"/>
        <v>91.32</v>
      </c>
      <c r="K308" s="3">
        <f t="shared" si="78"/>
        <v>0</v>
      </c>
      <c r="L308" s="7">
        <f t="shared" si="79"/>
        <v>0</v>
      </c>
      <c r="M308" t="s">
        <v>187</v>
      </c>
      <c r="O308" s="3">
        <f>E308-'310785 - P0524'!F308</f>
        <v>0</v>
      </c>
      <c r="P308" s="30">
        <f>I308-'310785 - P0524'!J308</f>
        <v>0</v>
      </c>
    </row>
    <row r="309" spans="1:16" x14ac:dyDescent="0.25">
      <c r="A309">
        <v>307</v>
      </c>
      <c r="B309" t="s">
        <v>305</v>
      </c>
      <c r="C309" t="s">
        <v>291</v>
      </c>
      <c r="D309" s="4" t="s">
        <v>306</v>
      </c>
      <c r="E309" s="12">
        <v>26.81</v>
      </c>
      <c r="F309" s="12">
        <v>26.81</v>
      </c>
      <c r="G309" s="13">
        <f t="shared" si="75"/>
        <v>0</v>
      </c>
      <c r="H309" s="7">
        <f t="shared" si="76"/>
        <v>0</v>
      </c>
      <c r="I309" s="8">
        <v>41.25</v>
      </c>
      <c r="J309" s="9">
        <f t="shared" si="77"/>
        <v>41.25</v>
      </c>
      <c r="K309" s="3">
        <f t="shared" si="78"/>
        <v>0</v>
      </c>
      <c r="L309" s="7">
        <f t="shared" si="79"/>
        <v>0</v>
      </c>
      <c r="M309" t="s">
        <v>187</v>
      </c>
      <c r="O309" s="3">
        <f>E309-'310785 - P0524'!F309</f>
        <v>0</v>
      </c>
      <c r="P309" s="30">
        <f>I309-'310785 - P0524'!J309</f>
        <v>0</v>
      </c>
    </row>
    <row r="310" spans="1:16" x14ac:dyDescent="0.25">
      <c r="A310">
        <v>308</v>
      </c>
      <c r="B310" t="s">
        <v>303</v>
      </c>
      <c r="C310" t="s">
        <v>291</v>
      </c>
      <c r="D310" s="4" t="s">
        <v>307</v>
      </c>
      <c r="E310" s="12">
        <v>38.020000000000003</v>
      </c>
      <c r="F310" s="12">
        <v>38.020000000000003</v>
      </c>
      <c r="G310" s="6">
        <f t="shared" si="75"/>
        <v>0</v>
      </c>
      <c r="H310" s="7">
        <f t="shared" si="76"/>
        <v>0</v>
      </c>
      <c r="I310" s="8">
        <v>52.23</v>
      </c>
      <c r="J310" s="9">
        <f t="shared" si="77"/>
        <v>52.23</v>
      </c>
      <c r="K310" s="3">
        <f t="shared" si="78"/>
        <v>0</v>
      </c>
      <c r="L310" s="7">
        <f t="shared" si="79"/>
        <v>0</v>
      </c>
      <c r="M310" t="s">
        <v>187</v>
      </c>
      <c r="O310" s="3">
        <f>E310-'310785 - P0524'!F310</f>
        <v>0</v>
      </c>
      <c r="P310" s="30">
        <f>I310-'310785 - P0524'!J310</f>
        <v>0</v>
      </c>
    </row>
    <row r="311" spans="1:16" x14ac:dyDescent="0.25">
      <c r="A311">
        <v>309</v>
      </c>
      <c r="B311" t="s">
        <v>303</v>
      </c>
      <c r="C311" t="s">
        <v>291</v>
      </c>
      <c r="D311" s="4" t="s">
        <v>308</v>
      </c>
      <c r="E311" s="12">
        <v>95.36</v>
      </c>
      <c r="F311" s="12">
        <v>95.36</v>
      </c>
      <c r="G311" s="6">
        <f t="shared" si="75"/>
        <v>0</v>
      </c>
      <c r="H311" s="7">
        <f t="shared" si="76"/>
        <v>0</v>
      </c>
      <c r="I311" s="8">
        <v>130.96011922503726</v>
      </c>
      <c r="J311" s="9">
        <f t="shared" si="77"/>
        <v>130.96011922503726</v>
      </c>
      <c r="K311" s="3">
        <f t="shared" si="78"/>
        <v>0</v>
      </c>
      <c r="L311" s="7">
        <f t="shared" si="79"/>
        <v>0</v>
      </c>
      <c r="M311" t="s">
        <v>187</v>
      </c>
      <c r="O311" s="3">
        <f>E311-'310785 - P0524'!F311</f>
        <v>0</v>
      </c>
      <c r="P311" s="30">
        <f>I311-'310785 - P0524'!J311</f>
        <v>0</v>
      </c>
    </row>
    <row r="312" spans="1:16" x14ac:dyDescent="0.25">
      <c r="A312">
        <v>310</v>
      </c>
      <c r="B312" t="s">
        <v>303</v>
      </c>
      <c r="C312" t="s">
        <v>291</v>
      </c>
      <c r="D312" s="4" t="s">
        <v>309</v>
      </c>
      <c r="E312" s="12">
        <v>15.89</v>
      </c>
      <c r="F312" s="12">
        <v>15.89</v>
      </c>
      <c r="G312" s="6">
        <f t="shared" si="75"/>
        <v>0</v>
      </c>
      <c r="H312" s="7">
        <f t="shared" si="76"/>
        <v>0</v>
      </c>
      <c r="I312" s="8">
        <v>21.821258516129031</v>
      </c>
      <c r="J312" s="9">
        <f t="shared" si="77"/>
        <v>21.821258516129031</v>
      </c>
      <c r="K312" s="3">
        <f t="shared" si="78"/>
        <v>0</v>
      </c>
      <c r="L312" s="7">
        <f t="shared" si="79"/>
        <v>0</v>
      </c>
      <c r="M312" t="s">
        <v>187</v>
      </c>
      <c r="O312" s="3">
        <f>E312-'310785 - P0524'!F312</f>
        <v>0</v>
      </c>
      <c r="P312" s="30">
        <f>I312-'310785 - P0524'!J312</f>
        <v>0</v>
      </c>
    </row>
    <row r="313" spans="1:16" x14ac:dyDescent="0.25">
      <c r="A313">
        <v>311</v>
      </c>
      <c r="B313" t="s">
        <v>303</v>
      </c>
      <c r="C313" t="s">
        <v>291</v>
      </c>
      <c r="D313" s="4" t="s">
        <v>310</v>
      </c>
      <c r="E313" s="12">
        <v>8.59</v>
      </c>
      <c r="F313" s="12">
        <v>8.59</v>
      </c>
      <c r="G313" s="6">
        <f t="shared" si="75"/>
        <v>0</v>
      </c>
      <c r="H313" s="7">
        <f t="shared" si="76"/>
        <v>0</v>
      </c>
      <c r="I313" s="8">
        <v>11.8</v>
      </c>
      <c r="J313" s="9">
        <f t="shared" si="77"/>
        <v>11.8</v>
      </c>
      <c r="K313" s="3">
        <f t="shared" si="78"/>
        <v>0</v>
      </c>
      <c r="L313" s="7">
        <f t="shared" si="79"/>
        <v>0</v>
      </c>
      <c r="M313" t="s">
        <v>187</v>
      </c>
      <c r="O313" s="3">
        <f>E313-'310785 - P0524'!F313</f>
        <v>0</v>
      </c>
      <c r="P313" s="30">
        <f>I313-'310785 - P0524'!J313</f>
        <v>0</v>
      </c>
    </row>
    <row r="314" spans="1:16" x14ac:dyDescent="0.25">
      <c r="A314">
        <v>312</v>
      </c>
      <c r="B314" t="s">
        <v>319</v>
      </c>
      <c r="C314" t="s">
        <v>291</v>
      </c>
      <c r="D314" s="4" t="s">
        <v>311</v>
      </c>
      <c r="E314" s="12">
        <v>11.51</v>
      </c>
      <c r="F314" s="12">
        <v>11.51</v>
      </c>
      <c r="G314" s="6">
        <f t="shared" si="75"/>
        <v>0</v>
      </c>
      <c r="H314" s="7">
        <f t="shared" si="76"/>
        <v>0</v>
      </c>
      <c r="I314" s="8">
        <v>21.72</v>
      </c>
      <c r="J314" s="9">
        <f t="shared" si="77"/>
        <v>21.72</v>
      </c>
      <c r="K314" s="3">
        <f t="shared" si="78"/>
        <v>0</v>
      </c>
      <c r="L314" s="7">
        <f t="shared" si="79"/>
        <v>0</v>
      </c>
      <c r="M314" t="s">
        <v>187</v>
      </c>
      <c r="O314" s="3">
        <f>E314-'310785 - P0524'!F314</f>
        <v>0</v>
      </c>
      <c r="P314" s="30">
        <f>I314-'310785 - P0524'!J314</f>
        <v>0</v>
      </c>
    </row>
    <row r="315" spans="1:16" x14ac:dyDescent="0.25">
      <c r="A315">
        <v>313</v>
      </c>
      <c r="B315" t="s">
        <v>303</v>
      </c>
      <c r="C315" t="s">
        <v>291</v>
      </c>
      <c r="D315" s="4" t="s">
        <v>312</v>
      </c>
      <c r="E315" s="12">
        <v>175</v>
      </c>
      <c r="F315" s="12">
        <v>175</v>
      </c>
      <c r="G315" s="6">
        <f t="shared" si="75"/>
        <v>0</v>
      </c>
      <c r="H315" s="7">
        <f t="shared" si="76"/>
        <v>0</v>
      </c>
      <c r="I315" s="8">
        <v>284.09826122118881</v>
      </c>
      <c r="J315" s="9">
        <f t="shared" si="77"/>
        <v>284.09826122118881</v>
      </c>
      <c r="K315" s="3">
        <f t="shared" si="78"/>
        <v>0</v>
      </c>
      <c r="L315" s="7">
        <f t="shared" si="79"/>
        <v>0</v>
      </c>
      <c r="M315" t="s">
        <v>187</v>
      </c>
      <c r="O315" s="3">
        <f>E315-'310785 - P0524'!F315</f>
        <v>0</v>
      </c>
      <c r="P315" s="30">
        <f>I315-'310785 - P0524'!J315</f>
        <v>0</v>
      </c>
    </row>
    <row r="316" spans="1:16" x14ac:dyDescent="0.25">
      <c r="A316">
        <v>314</v>
      </c>
      <c r="B316" t="s">
        <v>470</v>
      </c>
      <c r="C316" t="s">
        <v>291</v>
      </c>
      <c r="D316" s="4" t="s">
        <v>313</v>
      </c>
      <c r="E316" s="12">
        <v>175</v>
      </c>
      <c r="F316" s="12">
        <v>175</v>
      </c>
      <c r="G316" s="6">
        <f t="shared" si="75"/>
        <v>0</v>
      </c>
      <c r="H316" s="7">
        <f t="shared" si="76"/>
        <v>0</v>
      </c>
      <c r="I316" s="8">
        <v>284.09826122118881</v>
      </c>
      <c r="J316" s="9">
        <f t="shared" si="77"/>
        <v>284.09826122118881</v>
      </c>
      <c r="K316" s="3">
        <f t="shared" si="78"/>
        <v>0</v>
      </c>
      <c r="L316" s="7">
        <f t="shared" si="79"/>
        <v>0</v>
      </c>
      <c r="M316" t="s">
        <v>187</v>
      </c>
      <c r="O316" s="3">
        <f>E316-'310785 - P0524'!F316</f>
        <v>0</v>
      </c>
      <c r="P316" s="30">
        <f>I316-'310785 - P0524'!J316</f>
        <v>0</v>
      </c>
    </row>
    <row r="317" spans="1:16" x14ac:dyDescent="0.25">
      <c r="A317">
        <v>315</v>
      </c>
      <c r="B317" t="s">
        <v>303</v>
      </c>
      <c r="C317" t="s">
        <v>291</v>
      </c>
      <c r="D317" s="4" t="s">
        <v>314</v>
      </c>
      <c r="E317" s="12">
        <v>20.73</v>
      </c>
      <c r="F317" s="12">
        <v>20.73</v>
      </c>
      <c r="G317" s="6">
        <f t="shared" si="75"/>
        <v>0</v>
      </c>
      <c r="H317" s="7">
        <f t="shared" si="76"/>
        <v>0</v>
      </c>
      <c r="I317" s="8">
        <v>33.65</v>
      </c>
      <c r="J317" s="9">
        <f t="shared" si="77"/>
        <v>33.65</v>
      </c>
      <c r="K317" s="3">
        <f t="shared" si="78"/>
        <v>0</v>
      </c>
      <c r="L317" s="7">
        <f t="shared" si="79"/>
        <v>0</v>
      </c>
      <c r="M317" t="s">
        <v>187</v>
      </c>
      <c r="O317" s="3">
        <f>E317-'310785 - P0524'!F317</f>
        <v>0</v>
      </c>
      <c r="P317" s="30">
        <f>I317-'310785 - P0524'!J317</f>
        <v>0</v>
      </c>
    </row>
    <row r="318" spans="1:16" x14ac:dyDescent="0.25">
      <c r="A318">
        <v>316</v>
      </c>
      <c r="B318" t="s">
        <v>470</v>
      </c>
      <c r="C318" t="s">
        <v>291</v>
      </c>
      <c r="D318" s="4" t="s">
        <v>315</v>
      </c>
      <c r="E318" s="12">
        <v>11.34</v>
      </c>
      <c r="F318" s="12">
        <v>11.34</v>
      </c>
      <c r="G318" s="6">
        <f t="shared" si="75"/>
        <v>0</v>
      </c>
      <c r="H318" s="7">
        <f t="shared" si="76"/>
        <v>0</v>
      </c>
      <c r="I318" s="8">
        <v>17.673479758926415</v>
      </c>
      <c r="J318" s="9">
        <f t="shared" si="77"/>
        <v>17.673479758926415</v>
      </c>
      <c r="K318" s="3">
        <f t="shared" si="78"/>
        <v>0</v>
      </c>
      <c r="L318" s="7">
        <f t="shared" si="79"/>
        <v>0</v>
      </c>
      <c r="M318" t="s">
        <v>187</v>
      </c>
      <c r="O318" s="3">
        <f>E318-'310785 - P0524'!F318</f>
        <v>0</v>
      </c>
      <c r="P318" s="30">
        <f>I318-'310785 - P0524'!J318</f>
        <v>0</v>
      </c>
    </row>
    <row r="319" spans="1:16" x14ac:dyDescent="0.25">
      <c r="A319">
        <v>317</v>
      </c>
      <c r="B319" t="s">
        <v>473</v>
      </c>
      <c r="C319" t="s">
        <v>291</v>
      </c>
      <c r="D319" s="4" t="s">
        <v>316</v>
      </c>
      <c r="E319" s="12">
        <v>36.4</v>
      </c>
      <c r="F319" s="12">
        <v>36.4</v>
      </c>
      <c r="G319" s="6">
        <f t="shared" si="75"/>
        <v>0</v>
      </c>
      <c r="H319" s="7">
        <f t="shared" si="76"/>
        <v>0</v>
      </c>
      <c r="I319" s="8">
        <v>56</v>
      </c>
      <c r="J319" s="9">
        <f t="shared" si="77"/>
        <v>56</v>
      </c>
      <c r="K319" s="3">
        <f t="shared" si="78"/>
        <v>0</v>
      </c>
      <c r="L319" s="7">
        <f t="shared" si="79"/>
        <v>0</v>
      </c>
      <c r="M319" t="s">
        <v>187</v>
      </c>
      <c r="O319" s="3">
        <f>E319-'310785 - P0524'!F319</f>
        <v>0</v>
      </c>
      <c r="P319" s="30">
        <f>I319-'310785 - P0524'!J319</f>
        <v>0</v>
      </c>
    </row>
    <row r="320" spans="1:16" x14ac:dyDescent="0.25">
      <c r="A320">
        <v>318</v>
      </c>
      <c r="B320" t="s">
        <v>470</v>
      </c>
      <c r="C320" t="s">
        <v>291</v>
      </c>
      <c r="D320" s="4" t="s">
        <v>317</v>
      </c>
      <c r="E320" s="12">
        <v>32.81</v>
      </c>
      <c r="F320" s="12">
        <v>32.81</v>
      </c>
      <c r="G320" s="6">
        <f t="shared" si="75"/>
        <v>0</v>
      </c>
      <c r="H320" s="7">
        <f t="shared" si="76"/>
        <v>0</v>
      </c>
      <c r="I320" s="8">
        <v>85.12</v>
      </c>
      <c r="J320" s="9">
        <f t="shared" si="77"/>
        <v>85.12</v>
      </c>
      <c r="K320" s="3">
        <f t="shared" si="78"/>
        <v>0</v>
      </c>
      <c r="L320" s="7">
        <f t="shared" si="79"/>
        <v>0</v>
      </c>
      <c r="M320" t="s">
        <v>187</v>
      </c>
      <c r="O320" s="3">
        <f>E320-'310785 - P0524'!F320</f>
        <v>0</v>
      </c>
      <c r="P320" s="30">
        <f>I320-'310785 - P0524'!J320</f>
        <v>0</v>
      </c>
    </row>
    <row r="321" spans="1:16" x14ac:dyDescent="0.25">
      <c r="A321">
        <v>319</v>
      </c>
      <c r="B321" t="s">
        <v>473</v>
      </c>
      <c r="C321" t="s">
        <v>291</v>
      </c>
      <c r="D321" s="4" t="s">
        <v>318</v>
      </c>
      <c r="E321" s="12">
        <v>21.15</v>
      </c>
      <c r="F321" s="12">
        <v>21.15</v>
      </c>
      <c r="G321" s="6">
        <f t="shared" si="75"/>
        <v>0</v>
      </c>
      <c r="H321" s="7">
        <f t="shared" si="76"/>
        <v>0</v>
      </c>
      <c r="I321" s="8">
        <v>32.590000000000003</v>
      </c>
      <c r="J321" s="9">
        <f t="shared" si="77"/>
        <v>32.590000000000003</v>
      </c>
      <c r="K321" s="3">
        <f t="shared" si="78"/>
        <v>0</v>
      </c>
      <c r="L321" s="7">
        <f t="shared" si="79"/>
        <v>0</v>
      </c>
      <c r="M321" t="s">
        <v>187</v>
      </c>
      <c r="O321" s="3">
        <f>E321-'310785 - P0524'!F321</f>
        <v>0</v>
      </c>
      <c r="P321" s="30">
        <f>I321-'310785 - P0524'!J321</f>
        <v>0</v>
      </c>
    </row>
    <row r="322" spans="1:16" x14ac:dyDescent="0.25">
      <c r="A322">
        <v>320</v>
      </c>
      <c r="B322" t="s">
        <v>319</v>
      </c>
      <c r="C322" t="s">
        <v>291</v>
      </c>
      <c r="D322" s="4" t="s">
        <v>320</v>
      </c>
      <c r="E322" s="12">
        <v>1.34</v>
      </c>
      <c r="F322" s="12">
        <v>1.34</v>
      </c>
      <c r="G322" s="6">
        <f t="shared" si="75"/>
        <v>0</v>
      </c>
      <c r="H322" s="7">
        <f t="shared" si="76"/>
        <v>0</v>
      </c>
      <c r="I322" s="8">
        <v>2.5299999999999998</v>
      </c>
      <c r="J322" s="9">
        <f t="shared" si="77"/>
        <v>2.5299999999999998</v>
      </c>
      <c r="K322" s="3">
        <f t="shared" si="78"/>
        <v>0</v>
      </c>
      <c r="L322" s="7">
        <f t="shared" si="79"/>
        <v>0</v>
      </c>
      <c r="M322" t="s">
        <v>187</v>
      </c>
      <c r="O322" s="3">
        <f>E322-'310785 - P0524'!F322</f>
        <v>0</v>
      </c>
      <c r="P322" s="30">
        <f>I322-'310785 - P0524'!J322</f>
        <v>0</v>
      </c>
    </row>
    <row r="323" spans="1:16" x14ac:dyDescent="0.25">
      <c r="A323">
        <v>321</v>
      </c>
      <c r="B323" t="s">
        <v>473</v>
      </c>
      <c r="C323" t="s">
        <v>291</v>
      </c>
      <c r="D323" s="4" t="s">
        <v>321</v>
      </c>
      <c r="E323" s="12">
        <v>1.7</v>
      </c>
      <c r="F323" s="12">
        <v>1.7</v>
      </c>
      <c r="G323" s="6">
        <f t="shared" si="75"/>
        <v>0</v>
      </c>
      <c r="H323" s="7">
        <f t="shared" si="76"/>
        <v>0</v>
      </c>
      <c r="I323" s="8">
        <v>2.62</v>
      </c>
      <c r="J323" s="9">
        <f t="shared" si="77"/>
        <v>2.62</v>
      </c>
      <c r="K323" s="3">
        <f t="shared" si="78"/>
        <v>0</v>
      </c>
      <c r="L323" s="7">
        <f t="shared" si="79"/>
        <v>0</v>
      </c>
      <c r="M323" t="s">
        <v>187</v>
      </c>
      <c r="O323" s="3">
        <f>E323-'310785 - P0524'!F323</f>
        <v>0</v>
      </c>
      <c r="P323" s="30">
        <f>I323-'310785 - P0524'!J323</f>
        <v>0</v>
      </c>
    </row>
    <row r="324" spans="1:16" x14ac:dyDescent="0.25">
      <c r="A324">
        <v>322</v>
      </c>
      <c r="B324" t="s">
        <v>474</v>
      </c>
      <c r="C324" t="s">
        <v>291</v>
      </c>
      <c r="D324" s="4" t="s">
        <v>323</v>
      </c>
      <c r="E324" s="16">
        <v>35.229999999999997</v>
      </c>
      <c r="F324" s="12">
        <v>35.229999999999997</v>
      </c>
      <c r="G324" s="6">
        <f t="shared" si="75"/>
        <v>0</v>
      </c>
      <c r="H324" s="7">
        <f t="shared" si="76"/>
        <v>0</v>
      </c>
      <c r="I324" s="8">
        <v>54.21</v>
      </c>
      <c r="J324" s="9">
        <f t="shared" si="77"/>
        <v>54.21</v>
      </c>
      <c r="K324" s="3">
        <f t="shared" si="78"/>
        <v>0</v>
      </c>
      <c r="L324" s="7">
        <f t="shared" si="79"/>
        <v>0</v>
      </c>
      <c r="M324" t="s">
        <v>187</v>
      </c>
      <c r="O324" s="3">
        <f>E324-'310785 - P0524'!F324</f>
        <v>0</v>
      </c>
      <c r="P324" s="30">
        <f>I324-'310785 - P0524'!J324</f>
        <v>0</v>
      </c>
    </row>
    <row r="325" spans="1:16" x14ac:dyDescent="0.25">
      <c r="A325">
        <v>323</v>
      </c>
      <c r="B325" t="s">
        <v>474</v>
      </c>
      <c r="C325" t="s">
        <v>291</v>
      </c>
      <c r="D325" s="4" t="s">
        <v>324</v>
      </c>
      <c r="E325" s="16">
        <v>19.350000000000001</v>
      </c>
      <c r="F325" s="12">
        <v>19.350000000000001</v>
      </c>
      <c r="G325" s="6">
        <f t="shared" si="75"/>
        <v>0</v>
      </c>
      <c r="H325" s="7">
        <f t="shared" si="76"/>
        <v>0</v>
      </c>
      <c r="I325" s="8">
        <v>34.01</v>
      </c>
      <c r="J325" s="9">
        <f t="shared" si="77"/>
        <v>34.01</v>
      </c>
      <c r="K325" s="3">
        <f t="shared" si="78"/>
        <v>0</v>
      </c>
      <c r="L325" s="7">
        <f t="shared" si="79"/>
        <v>0</v>
      </c>
      <c r="M325" t="s">
        <v>187</v>
      </c>
      <c r="O325" s="3">
        <f>E325-'310785 - P0524'!F325</f>
        <v>0</v>
      </c>
      <c r="P325" s="30">
        <f>I325-'310785 - P0524'!J325</f>
        <v>0</v>
      </c>
    </row>
    <row r="326" spans="1:16" x14ac:dyDescent="0.25">
      <c r="A326">
        <v>324</v>
      </c>
      <c r="B326" t="s">
        <v>474</v>
      </c>
      <c r="C326" t="s">
        <v>291</v>
      </c>
      <c r="D326" s="4" t="s">
        <v>325</v>
      </c>
      <c r="E326" s="16">
        <v>13.97</v>
      </c>
      <c r="F326" s="12">
        <v>13.97</v>
      </c>
      <c r="G326" s="6">
        <f t="shared" si="75"/>
        <v>0</v>
      </c>
      <c r="H326" s="7">
        <f t="shared" si="76"/>
        <v>0</v>
      </c>
      <c r="I326" s="8">
        <v>21.5</v>
      </c>
      <c r="J326" s="9">
        <f t="shared" si="77"/>
        <v>21.5</v>
      </c>
      <c r="K326" s="3">
        <f t="shared" si="78"/>
        <v>0</v>
      </c>
      <c r="L326" s="7">
        <f t="shared" si="79"/>
        <v>0</v>
      </c>
      <c r="M326" t="s">
        <v>187</v>
      </c>
      <c r="O326" s="3">
        <f>E326-'310785 - P0524'!F326</f>
        <v>0</v>
      </c>
      <c r="P326" s="30">
        <f>I326-'310785 - P0524'!J326</f>
        <v>0</v>
      </c>
    </row>
    <row r="327" spans="1:16" x14ac:dyDescent="0.25">
      <c r="A327">
        <v>325</v>
      </c>
      <c r="B327" t="s">
        <v>474</v>
      </c>
      <c r="C327" t="s">
        <v>291</v>
      </c>
      <c r="D327" s="4" t="s">
        <v>326</v>
      </c>
      <c r="E327" s="16">
        <v>4.5599999999999996</v>
      </c>
      <c r="F327" s="12">
        <v>4.5599999999999996</v>
      </c>
      <c r="G327" s="6">
        <f t="shared" si="75"/>
        <v>0</v>
      </c>
      <c r="H327" s="7">
        <f t="shared" si="76"/>
        <v>0</v>
      </c>
      <c r="I327" s="8">
        <v>9.14</v>
      </c>
      <c r="J327" s="9">
        <f t="shared" si="77"/>
        <v>9.14</v>
      </c>
      <c r="K327" s="3">
        <f t="shared" si="78"/>
        <v>0</v>
      </c>
      <c r="L327" s="7">
        <f t="shared" si="79"/>
        <v>0</v>
      </c>
      <c r="M327" t="s">
        <v>187</v>
      </c>
      <c r="O327" s="3">
        <f>E327-'310785 - P0524'!F327</f>
        <v>0</v>
      </c>
      <c r="P327" s="30">
        <f>I327-'310785 - P0524'!J327</f>
        <v>0</v>
      </c>
    </row>
    <row r="328" spans="1:16" x14ac:dyDescent="0.25">
      <c r="A328">
        <v>326</v>
      </c>
      <c r="B328" t="s">
        <v>475</v>
      </c>
      <c r="C328" t="s">
        <v>291</v>
      </c>
      <c r="D328" s="4" t="s">
        <v>327</v>
      </c>
      <c r="E328" s="16">
        <v>3.49</v>
      </c>
      <c r="F328" s="12">
        <v>3.49</v>
      </c>
      <c r="G328" s="6">
        <f t="shared" si="75"/>
        <v>0</v>
      </c>
      <c r="H328" s="7">
        <f t="shared" si="76"/>
        <v>0</v>
      </c>
      <c r="I328" s="8">
        <v>6.59</v>
      </c>
      <c r="J328" s="9">
        <f t="shared" si="77"/>
        <v>6.59</v>
      </c>
      <c r="K328" s="3">
        <f t="shared" si="78"/>
        <v>0</v>
      </c>
      <c r="L328" s="7">
        <f t="shared" si="79"/>
        <v>0</v>
      </c>
      <c r="M328" t="s">
        <v>187</v>
      </c>
      <c r="O328" s="3">
        <f>E328-'310785 - P0524'!F328</f>
        <v>0</v>
      </c>
      <c r="P328" s="30">
        <f>I328-'310785 - P0524'!J328</f>
        <v>0</v>
      </c>
    </row>
    <row r="329" spans="1:16" x14ac:dyDescent="0.25">
      <c r="A329">
        <v>327</v>
      </c>
      <c r="B329" t="s">
        <v>474</v>
      </c>
      <c r="C329" t="s">
        <v>291</v>
      </c>
      <c r="D329" s="4" t="s">
        <v>328</v>
      </c>
      <c r="E329" s="16">
        <v>5.68</v>
      </c>
      <c r="F329" s="12">
        <v>5.68</v>
      </c>
      <c r="G329" s="6">
        <f t="shared" si="75"/>
        <v>0</v>
      </c>
      <c r="H329" s="7">
        <f t="shared" si="76"/>
        <v>0</v>
      </c>
      <c r="I329" s="8">
        <v>8.77</v>
      </c>
      <c r="J329" s="9">
        <f t="shared" si="77"/>
        <v>8.77</v>
      </c>
      <c r="K329" s="3">
        <f t="shared" si="78"/>
        <v>0</v>
      </c>
      <c r="L329" s="7">
        <f t="shared" si="79"/>
        <v>0</v>
      </c>
      <c r="M329" t="s">
        <v>187</v>
      </c>
      <c r="O329" s="3">
        <f>E329-'310785 - P0524'!F329</f>
        <v>0</v>
      </c>
      <c r="P329" s="30">
        <f>I329-'310785 - P0524'!J329</f>
        <v>0</v>
      </c>
    </row>
    <row r="330" spans="1:16" x14ac:dyDescent="0.25">
      <c r="A330">
        <v>328</v>
      </c>
      <c r="B330" t="s">
        <v>473</v>
      </c>
      <c r="C330" t="s">
        <v>291</v>
      </c>
      <c r="D330" s="4" t="s">
        <v>329</v>
      </c>
      <c r="E330" s="16">
        <v>5.22</v>
      </c>
      <c r="F330" s="12">
        <v>5.22</v>
      </c>
      <c r="G330" s="6">
        <f t="shared" si="75"/>
        <v>0</v>
      </c>
      <c r="H330" s="7">
        <f t="shared" si="76"/>
        <v>0</v>
      </c>
      <c r="I330" s="8">
        <v>8.0399999999999991</v>
      </c>
      <c r="J330" s="9">
        <f t="shared" si="77"/>
        <v>8.0399999999999991</v>
      </c>
      <c r="K330" s="3">
        <f t="shared" si="78"/>
        <v>0</v>
      </c>
      <c r="L330" s="7">
        <f t="shared" si="79"/>
        <v>0</v>
      </c>
      <c r="M330" t="s">
        <v>187</v>
      </c>
      <c r="O330" s="3">
        <f>E330-'310785 - P0524'!F330</f>
        <v>0</v>
      </c>
      <c r="P330" s="30">
        <f>I330-'310785 - P0524'!J330</f>
        <v>0</v>
      </c>
    </row>
    <row r="331" spans="1:16" x14ac:dyDescent="0.25">
      <c r="A331">
        <v>329</v>
      </c>
      <c r="B331" t="s">
        <v>474</v>
      </c>
      <c r="C331" t="s">
        <v>291</v>
      </c>
      <c r="D331" s="4" t="s">
        <v>330</v>
      </c>
      <c r="E331" s="16">
        <v>34.32</v>
      </c>
      <c r="F331" s="12">
        <v>34.32</v>
      </c>
      <c r="G331" s="6">
        <f t="shared" si="75"/>
        <v>0</v>
      </c>
      <c r="H331" s="7">
        <f t="shared" si="76"/>
        <v>0</v>
      </c>
      <c r="I331" s="8">
        <v>52.8</v>
      </c>
      <c r="J331" s="9">
        <f t="shared" si="77"/>
        <v>52.8</v>
      </c>
      <c r="K331" s="3">
        <f t="shared" si="78"/>
        <v>0</v>
      </c>
      <c r="L331" s="7">
        <f t="shared" si="79"/>
        <v>0</v>
      </c>
      <c r="M331" t="s">
        <v>187</v>
      </c>
      <c r="O331" s="3">
        <f>E331-'310785 - P0524'!F331</f>
        <v>0</v>
      </c>
      <c r="P331" s="30">
        <f>I331-'310785 - P0524'!J331</f>
        <v>0</v>
      </c>
    </row>
    <row r="332" spans="1:16" x14ac:dyDescent="0.25">
      <c r="A332">
        <v>330</v>
      </c>
      <c r="B332" t="s">
        <v>474</v>
      </c>
      <c r="C332" t="s">
        <v>291</v>
      </c>
      <c r="D332" s="4" t="s">
        <v>331</v>
      </c>
      <c r="E332" s="16">
        <v>2.96</v>
      </c>
      <c r="F332" s="12">
        <v>2.96</v>
      </c>
      <c r="G332" s="6">
        <f>+F332-E332</f>
        <v>0</v>
      </c>
      <c r="H332" s="7">
        <f>(F332-E332)/ABS(E332)</f>
        <v>0</v>
      </c>
      <c r="I332" s="8">
        <v>4.5599999999999996</v>
      </c>
      <c r="J332" s="9">
        <f>(I332*H332)+I332</f>
        <v>4.5599999999999996</v>
      </c>
      <c r="K332" s="3">
        <f>J332-I332</f>
        <v>0</v>
      </c>
      <c r="L332" s="7">
        <f>(J332-I332)/ABS(I332)</f>
        <v>0</v>
      </c>
      <c r="M332" t="s">
        <v>187</v>
      </c>
      <c r="O332" s="3">
        <f>E332-'310785 - P0524'!F332</f>
        <v>0</v>
      </c>
      <c r="P332" s="30">
        <f>I332-'310785 - P0524'!J332</f>
        <v>0</v>
      </c>
    </row>
    <row r="333" spans="1:16" x14ac:dyDescent="0.25">
      <c r="A333">
        <v>331</v>
      </c>
      <c r="B333" t="s">
        <v>473</v>
      </c>
      <c r="C333" t="s">
        <v>291</v>
      </c>
      <c r="D333" s="4" t="s">
        <v>332</v>
      </c>
      <c r="E333" s="12">
        <v>197</v>
      </c>
      <c r="F333" s="12">
        <v>197</v>
      </c>
      <c r="G333" s="6">
        <f t="shared" ref="G333:G345" si="80">+F333-E333</f>
        <v>0</v>
      </c>
      <c r="H333" s="7">
        <f t="shared" ref="H333:H345" si="81">(F333-E333)/ABS(E333)</f>
        <v>0</v>
      </c>
      <c r="I333" s="8">
        <v>303.08</v>
      </c>
      <c r="J333" s="9">
        <f t="shared" ref="J333:J345" si="82">(I333*H333)+I333</f>
        <v>303.08</v>
      </c>
      <c r="K333" s="3">
        <f t="shared" ref="K333:K345" si="83">J333-I333</f>
        <v>0</v>
      </c>
      <c r="L333" s="7">
        <f t="shared" ref="L333:L345" si="84">(J333-I333)/ABS(I333)</f>
        <v>0</v>
      </c>
      <c r="M333" t="s">
        <v>187</v>
      </c>
      <c r="O333" s="3">
        <f>E333-'310785 - P0524'!F333</f>
        <v>0</v>
      </c>
      <c r="P333" s="30">
        <f>I333-'310785 - P0524'!J333</f>
        <v>0</v>
      </c>
    </row>
    <row r="334" spans="1:16" x14ac:dyDescent="0.25">
      <c r="A334">
        <v>332</v>
      </c>
      <c r="B334" t="s">
        <v>319</v>
      </c>
      <c r="C334" t="s">
        <v>291</v>
      </c>
      <c r="D334" s="4" t="s">
        <v>333</v>
      </c>
      <c r="E334" s="12">
        <v>83</v>
      </c>
      <c r="F334" s="12">
        <v>83</v>
      </c>
      <c r="G334" s="6">
        <f t="shared" si="80"/>
        <v>0</v>
      </c>
      <c r="H334" s="7">
        <f t="shared" si="81"/>
        <v>0</v>
      </c>
      <c r="I334" s="8">
        <v>100.7</v>
      </c>
      <c r="J334" s="9">
        <f t="shared" si="82"/>
        <v>100.7</v>
      </c>
      <c r="K334" s="3">
        <f t="shared" si="83"/>
        <v>0</v>
      </c>
      <c r="L334" s="7">
        <f t="shared" si="84"/>
        <v>0</v>
      </c>
      <c r="M334" t="s">
        <v>187</v>
      </c>
      <c r="O334" s="3">
        <f>E334-'310785 - P0524'!F334</f>
        <v>0</v>
      </c>
      <c r="P334" s="30">
        <f>I334-'310785 - P0524'!J334</f>
        <v>0</v>
      </c>
    </row>
    <row r="335" spans="1:16" x14ac:dyDescent="0.25">
      <c r="A335">
        <v>333</v>
      </c>
      <c r="B335" t="s">
        <v>305</v>
      </c>
      <c r="C335" t="s">
        <v>291</v>
      </c>
      <c r="D335" s="4" t="s">
        <v>334</v>
      </c>
      <c r="E335" s="12">
        <v>10</v>
      </c>
      <c r="F335" s="12">
        <v>10</v>
      </c>
      <c r="G335" s="6">
        <f t="shared" si="80"/>
        <v>0</v>
      </c>
      <c r="H335" s="7">
        <f t="shared" si="81"/>
        <v>0</v>
      </c>
      <c r="I335" s="8">
        <v>15.39</v>
      </c>
      <c r="J335" s="9">
        <f t="shared" si="82"/>
        <v>15.39</v>
      </c>
      <c r="K335" s="3">
        <f t="shared" si="83"/>
        <v>0</v>
      </c>
      <c r="L335" s="7">
        <f t="shared" si="84"/>
        <v>0</v>
      </c>
      <c r="M335" t="s">
        <v>187</v>
      </c>
      <c r="O335" s="3">
        <f>E335-'310785 - P0524'!F335</f>
        <v>0</v>
      </c>
      <c r="P335" s="30">
        <f>I335-'310785 - P0524'!J335</f>
        <v>0</v>
      </c>
    </row>
    <row r="336" spans="1:16" x14ac:dyDescent="0.25">
      <c r="A336">
        <v>334</v>
      </c>
      <c r="B336" t="s">
        <v>476</v>
      </c>
      <c r="C336" t="s">
        <v>291</v>
      </c>
      <c r="D336" s="4" t="s">
        <v>335</v>
      </c>
      <c r="E336" s="12">
        <v>2.5099999999999998</v>
      </c>
      <c r="F336" s="12">
        <v>2.5099999999999998</v>
      </c>
      <c r="G336" s="6">
        <f t="shared" si="80"/>
        <v>0</v>
      </c>
      <c r="H336" s="7">
        <f t="shared" si="81"/>
        <v>0</v>
      </c>
      <c r="I336" s="8">
        <v>5.14</v>
      </c>
      <c r="J336" s="9">
        <f t="shared" si="82"/>
        <v>5.14</v>
      </c>
      <c r="K336" s="3">
        <f t="shared" si="83"/>
        <v>0</v>
      </c>
      <c r="L336" s="7">
        <f t="shared" si="84"/>
        <v>0</v>
      </c>
      <c r="M336" t="s">
        <v>187</v>
      </c>
      <c r="O336" s="3">
        <f>E336-'310785 - P0524'!F336</f>
        <v>0</v>
      </c>
      <c r="P336" s="30">
        <f>I336-'310785 - P0524'!J336</f>
        <v>0</v>
      </c>
    </row>
    <row r="337" spans="1:16" x14ac:dyDescent="0.25">
      <c r="A337">
        <v>335</v>
      </c>
      <c r="B337" t="s">
        <v>477</v>
      </c>
      <c r="C337" t="s">
        <v>291</v>
      </c>
      <c r="D337" s="4" t="s">
        <v>336</v>
      </c>
      <c r="E337" s="12">
        <v>5.44</v>
      </c>
      <c r="F337" s="12">
        <v>5.44</v>
      </c>
      <c r="G337" s="6">
        <f t="shared" si="80"/>
        <v>0</v>
      </c>
      <c r="H337" s="7">
        <f t="shared" si="81"/>
        <v>0</v>
      </c>
      <c r="I337" s="8">
        <v>9.49</v>
      </c>
      <c r="J337" s="9">
        <f t="shared" si="82"/>
        <v>9.49</v>
      </c>
      <c r="K337" s="3">
        <f t="shared" si="83"/>
        <v>0</v>
      </c>
      <c r="L337" s="7">
        <f t="shared" si="84"/>
        <v>0</v>
      </c>
      <c r="M337" t="s">
        <v>187</v>
      </c>
      <c r="O337" s="3">
        <f>E337-'310785 - P0524'!F337</f>
        <v>0</v>
      </c>
      <c r="P337" s="30">
        <f>I337-'310785 - P0524'!J337</f>
        <v>0</v>
      </c>
    </row>
    <row r="338" spans="1:16" x14ac:dyDescent="0.25">
      <c r="A338">
        <v>336</v>
      </c>
      <c r="B338" t="s">
        <v>463</v>
      </c>
      <c r="C338" t="s">
        <v>291</v>
      </c>
      <c r="D338" s="4" t="s">
        <v>337</v>
      </c>
      <c r="E338" s="12">
        <v>115.32</v>
      </c>
      <c r="F338" s="12">
        <v>115.32</v>
      </c>
      <c r="G338" s="6">
        <f t="shared" si="80"/>
        <v>0</v>
      </c>
      <c r="H338" s="7">
        <f t="shared" si="81"/>
        <v>0</v>
      </c>
      <c r="I338" s="8">
        <v>177.42</v>
      </c>
      <c r="J338" s="9">
        <f t="shared" si="82"/>
        <v>177.42</v>
      </c>
      <c r="K338" s="3">
        <f t="shared" si="83"/>
        <v>0</v>
      </c>
      <c r="L338" s="7">
        <f t="shared" si="84"/>
        <v>0</v>
      </c>
      <c r="M338" t="s">
        <v>187</v>
      </c>
      <c r="O338" s="3">
        <f>E338-'310785 - P0524'!F338</f>
        <v>0</v>
      </c>
      <c r="P338" s="30">
        <f>I338-'310785 - P0524'!J338</f>
        <v>0</v>
      </c>
    </row>
    <row r="339" spans="1:16" x14ac:dyDescent="0.25">
      <c r="A339">
        <v>337</v>
      </c>
      <c r="B339" t="s">
        <v>463</v>
      </c>
      <c r="C339" t="s">
        <v>291</v>
      </c>
      <c r="D339" s="4" t="s">
        <v>338</v>
      </c>
      <c r="E339" s="12">
        <v>0.89</v>
      </c>
      <c r="F339" s="12">
        <v>0.89</v>
      </c>
      <c r="G339" s="6">
        <f t="shared" si="80"/>
        <v>0</v>
      </c>
      <c r="H339" s="7">
        <f t="shared" si="81"/>
        <v>0</v>
      </c>
      <c r="I339" s="8">
        <v>1.37</v>
      </c>
      <c r="J339" s="9">
        <f t="shared" si="82"/>
        <v>1.37</v>
      </c>
      <c r="K339" s="3">
        <f t="shared" si="83"/>
        <v>0</v>
      </c>
      <c r="L339" s="7">
        <f t="shared" si="84"/>
        <v>0</v>
      </c>
      <c r="M339" t="s">
        <v>187</v>
      </c>
      <c r="O339" s="3">
        <f>E339-'310785 - P0524'!F339</f>
        <v>0</v>
      </c>
      <c r="P339" s="30">
        <f>I339-'310785 - P0524'!J339</f>
        <v>0</v>
      </c>
    </row>
    <row r="340" spans="1:16" x14ac:dyDescent="0.25">
      <c r="A340">
        <v>338</v>
      </c>
      <c r="B340" t="s">
        <v>463</v>
      </c>
      <c r="C340" t="s">
        <v>291</v>
      </c>
      <c r="D340" s="4" t="s">
        <v>339</v>
      </c>
      <c r="E340" s="12">
        <v>33.590000000000003</v>
      </c>
      <c r="F340" s="12">
        <v>33.590000000000003</v>
      </c>
      <c r="G340" s="6">
        <f t="shared" si="80"/>
        <v>0</v>
      </c>
      <c r="H340" s="7">
        <f t="shared" si="81"/>
        <v>0</v>
      </c>
      <c r="I340" s="8">
        <v>51.68</v>
      </c>
      <c r="J340" s="9">
        <f t="shared" si="82"/>
        <v>51.68</v>
      </c>
      <c r="K340" s="3">
        <f t="shared" si="83"/>
        <v>0</v>
      </c>
      <c r="L340" s="7">
        <f t="shared" si="84"/>
        <v>0</v>
      </c>
      <c r="M340" t="s">
        <v>187</v>
      </c>
      <c r="O340" s="3">
        <f>E340-'310785 - P0524'!F340</f>
        <v>0</v>
      </c>
      <c r="P340" s="30">
        <f>I340-'310785 - P0524'!J340</f>
        <v>0</v>
      </c>
    </row>
    <row r="341" spans="1:16" x14ac:dyDescent="0.25">
      <c r="A341">
        <v>339</v>
      </c>
      <c r="B341" t="s">
        <v>463</v>
      </c>
      <c r="C341" t="s">
        <v>291</v>
      </c>
      <c r="D341" s="4" t="s">
        <v>464</v>
      </c>
      <c r="E341" s="12">
        <v>14.78</v>
      </c>
      <c r="F341" s="12">
        <v>14.78</v>
      </c>
      <c r="G341" s="6">
        <f t="shared" si="80"/>
        <v>0</v>
      </c>
      <c r="H341" s="7">
        <f t="shared" si="81"/>
        <v>0</v>
      </c>
      <c r="I341" s="8">
        <v>22.74</v>
      </c>
      <c r="J341" s="9">
        <f t="shared" si="82"/>
        <v>22.74</v>
      </c>
      <c r="K341" s="3">
        <f t="shared" si="83"/>
        <v>0</v>
      </c>
      <c r="L341" s="7">
        <f t="shared" si="84"/>
        <v>0</v>
      </c>
      <c r="M341" t="s">
        <v>187</v>
      </c>
      <c r="O341" s="3">
        <f>E341-'310785 - P0524'!F341</f>
        <v>0</v>
      </c>
      <c r="P341" s="30">
        <f>I341-'310785 - P0524'!J341</f>
        <v>0</v>
      </c>
    </row>
    <row r="342" spans="1:16" x14ac:dyDescent="0.25">
      <c r="A342">
        <v>340</v>
      </c>
      <c r="B342" t="s">
        <v>463</v>
      </c>
      <c r="C342" t="s">
        <v>291</v>
      </c>
      <c r="D342" s="4" t="s">
        <v>466</v>
      </c>
      <c r="E342" s="12">
        <v>2.21</v>
      </c>
      <c r="F342" s="12">
        <v>2.21</v>
      </c>
      <c r="G342" s="6">
        <f t="shared" si="80"/>
        <v>0</v>
      </c>
      <c r="H342" s="7">
        <f t="shared" si="81"/>
        <v>0</v>
      </c>
      <c r="I342" s="8">
        <v>3.8</v>
      </c>
      <c r="J342" s="9">
        <f t="shared" si="82"/>
        <v>3.8</v>
      </c>
      <c r="K342" s="3">
        <f t="shared" si="83"/>
        <v>0</v>
      </c>
      <c r="L342" s="7">
        <f t="shared" si="84"/>
        <v>0</v>
      </c>
      <c r="M342" t="s">
        <v>187</v>
      </c>
      <c r="O342" s="3">
        <f>E342-'310785 - P0524'!F342</f>
        <v>0</v>
      </c>
      <c r="P342" s="30">
        <f>I342-'310785 - P0524'!J342</f>
        <v>0</v>
      </c>
    </row>
    <row r="343" spans="1:16" x14ac:dyDescent="0.25">
      <c r="A343">
        <v>341</v>
      </c>
      <c r="B343" t="s">
        <v>463</v>
      </c>
      <c r="C343" t="s">
        <v>291</v>
      </c>
      <c r="D343" s="4" t="s">
        <v>467</v>
      </c>
      <c r="E343" s="12">
        <v>30.62</v>
      </c>
      <c r="F343" s="12">
        <v>30.62</v>
      </c>
      <c r="G343" s="6">
        <f t="shared" si="80"/>
        <v>0</v>
      </c>
      <c r="H343" s="7">
        <f t="shared" si="81"/>
        <v>0</v>
      </c>
      <c r="I343" s="8">
        <v>52.76</v>
      </c>
      <c r="J343" s="9">
        <f t="shared" si="82"/>
        <v>52.76</v>
      </c>
      <c r="K343" s="3">
        <f t="shared" si="83"/>
        <v>0</v>
      </c>
      <c r="L343" s="7">
        <f t="shared" si="84"/>
        <v>0</v>
      </c>
      <c r="M343" t="s">
        <v>187</v>
      </c>
      <c r="O343" s="3">
        <f>E343-'310785 - P0524'!F343</f>
        <v>0</v>
      </c>
      <c r="P343" s="30">
        <f>I343-'310785 - P0524'!J343</f>
        <v>0</v>
      </c>
    </row>
    <row r="344" spans="1:16" x14ac:dyDescent="0.25">
      <c r="A344">
        <v>342</v>
      </c>
      <c r="B344" t="s">
        <v>485</v>
      </c>
      <c r="C344" t="s">
        <v>291</v>
      </c>
      <c r="D344" s="4" t="s">
        <v>488</v>
      </c>
      <c r="E344" s="12">
        <v>147</v>
      </c>
      <c r="F344" s="12">
        <v>147</v>
      </c>
      <c r="G344" s="6">
        <f t="shared" si="80"/>
        <v>0</v>
      </c>
      <c r="H344" s="7">
        <f t="shared" si="81"/>
        <v>0</v>
      </c>
      <c r="I344" s="8">
        <v>226.16</v>
      </c>
      <c r="J344" s="9">
        <f t="shared" si="82"/>
        <v>226.16</v>
      </c>
      <c r="K344" s="3">
        <f t="shared" si="83"/>
        <v>0</v>
      </c>
      <c r="L344" s="7">
        <f t="shared" si="84"/>
        <v>0</v>
      </c>
      <c r="M344" t="s">
        <v>187</v>
      </c>
      <c r="O344" s="3">
        <f>E344-'310785 - P0524'!F344</f>
        <v>0</v>
      </c>
      <c r="P344" s="30">
        <f>I344-'310785 - P0524'!J344</f>
        <v>0</v>
      </c>
    </row>
    <row r="345" spans="1:16" x14ac:dyDescent="0.25">
      <c r="A345">
        <v>343</v>
      </c>
      <c r="B345" t="s">
        <v>290</v>
      </c>
      <c r="C345" t="s">
        <v>291</v>
      </c>
      <c r="D345" s="4" t="s">
        <v>489</v>
      </c>
      <c r="E345" s="12">
        <v>66.349999999999994</v>
      </c>
      <c r="F345" s="12">
        <v>66.349999999999994</v>
      </c>
      <c r="G345" s="6">
        <f t="shared" si="80"/>
        <v>0</v>
      </c>
      <c r="H345" s="7">
        <f t="shared" si="81"/>
        <v>0</v>
      </c>
      <c r="I345" s="8">
        <v>102.08</v>
      </c>
      <c r="J345" s="9">
        <f t="shared" si="82"/>
        <v>102.08</v>
      </c>
      <c r="K345" s="3">
        <f t="shared" si="83"/>
        <v>0</v>
      </c>
      <c r="L345" s="7">
        <f t="shared" si="84"/>
        <v>0</v>
      </c>
      <c r="M345" t="s">
        <v>187</v>
      </c>
      <c r="O345" s="3">
        <f>E345-'310785 - P0524'!F345</f>
        <v>0</v>
      </c>
      <c r="P345" s="30">
        <f>I345-'310785 - P0524'!J345</f>
        <v>0</v>
      </c>
    </row>
    <row r="346" spans="1:16" x14ac:dyDescent="0.25">
      <c r="A346">
        <v>344</v>
      </c>
      <c r="D346" s="2" t="s">
        <v>340</v>
      </c>
      <c r="H346" s="10">
        <f>AVERAGE(H298:H343)</f>
        <v>0</v>
      </c>
      <c r="I346"/>
    </row>
    <row r="347" spans="1:16" x14ac:dyDescent="0.25">
      <c r="A347">
        <v>345</v>
      </c>
      <c r="D347" s="2" t="s">
        <v>341</v>
      </c>
      <c r="I347"/>
      <c r="M347" t="s">
        <v>7</v>
      </c>
    </row>
    <row r="348" spans="1:16" x14ac:dyDescent="0.25">
      <c r="A348">
        <v>346</v>
      </c>
      <c r="D348" s="2" t="s">
        <v>342</v>
      </c>
      <c r="I348"/>
      <c r="O348" s="3">
        <f>E348-'310785 - P0524'!F348</f>
        <v>0</v>
      </c>
      <c r="P348" s="30">
        <f>I348-'310785 - P0524'!J348</f>
        <v>0</v>
      </c>
    </row>
    <row r="349" spans="1:16" x14ac:dyDescent="0.25">
      <c r="A349">
        <v>347</v>
      </c>
      <c r="B349" t="s">
        <v>470</v>
      </c>
      <c r="C349" s="28" t="s">
        <v>454</v>
      </c>
      <c r="D349" s="4" t="s">
        <v>497</v>
      </c>
      <c r="E349" s="11">
        <v>1450</v>
      </c>
      <c r="F349" s="11"/>
      <c r="G349" s="6">
        <f t="shared" ref="G349:G356" si="85">+F349-E349</f>
        <v>-1450</v>
      </c>
      <c r="H349" s="7">
        <f t="shared" ref="H349:H356" si="86">(F349-E349)/ABS(E349)</f>
        <v>-1</v>
      </c>
      <c r="I349" s="8">
        <v>118.24570098910753</v>
      </c>
      <c r="J349" s="8">
        <f t="shared" ref="J349:J356" si="87">(I349*H349)+I349</f>
        <v>0</v>
      </c>
      <c r="K349" s="3">
        <f t="shared" ref="K349:K356" si="88">J349-I349</f>
        <v>-118.24570098910753</v>
      </c>
      <c r="L349" s="7">
        <f t="shared" ref="L349:L356" si="89">(J349-I349)/ABS(I349)</f>
        <v>-1</v>
      </c>
      <c r="M349" t="s">
        <v>7</v>
      </c>
      <c r="O349" s="3">
        <f>E349-'310785 - P0524'!F349</f>
        <v>0</v>
      </c>
      <c r="P349" s="30">
        <f>I349-'310785 - P0524'!J349</f>
        <v>0</v>
      </c>
    </row>
    <row r="350" spans="1:16" x14ac:dyDescent="0.25">
      <c r="A350">
        <v>348</v>
      </c>
      <c r="B350" t="s">
        <v>290</v>
      </c>
      <c r="C350" s="28" t="s">
        <v>344</v>
      </c>
      <c r="D350" s="4" t="s">
        <v>345</v>
      </c>
      <c r="E350" s="11">
        <v>4.93</v>
      </c>
      <c r="F350" s="11"/>
      <c r="G350" s="6">
        <f t="shared" si="85"/>
        <v>-4.93</v>
      </c>
      <c r="H350" s="7">
        <f t="shared" si="86"/>
        <v>-1</v>
      </c>
      <c r="I350" s="8">
        <v>10.18301417057406</v>
      </c>
      <c r="J350" s="8">
        <f t="shared" si="87"/>
        <v>0</v>
      </c>
      <c r="K350" s="3">
        <f t="shared" si="88"/>
        <v>-10.18301417057406</v>
      </c>
      <c r="L350" s="7">
        <f t="shared" si="89"/>
        <v>-1</v>
      </c>
      <c r="M350" t="s">
        <v>7</v>
      </c>
      <c r="O350" s="3">
        <f>E350-'310785 - P0524'!F350</f>
        <v>0</v>
      </c>
      <c r="P350" s="30">
        <f>I350-'310785 - P0524'!J350</f>
        <v>0</v>
      </c>
    </row>
    <row r="351" spans="1:16" x14ac:dyDescent="0.25">
      <c r="A351">
        <v>349</v>
      </c>
      <c r="B351" t="s">
        <v>463</v>
      </c>
      <c r="C351" s="28" t="s">
        <v>344</v>
      </c>
      <c r="D351" s="4" t="s">
        <v>346</v>
      </c>
      <c r="E351" s="11">
        <v>6.5</v>
      </c>
      <c r="F351" s="11"/>
      <c r="G351" s="6">
        <f t="shared" si="85"/>
        <v>-6.5</v>
      </c>
      <c r="H351" s="7">
        <f t="shared" si="86"/>
        <v>-1</v>
      </c>
      <c r="I351" s="8">
        <v>11.46</v>
      </c>
      <c r="J351" s="8">
        <f t="shared" si="87"/>
        <v>0</v>
      </c>
      <c r="K351" s="3">
        <f t="shared" si="88"/>
        <v>-11.46</v>
      </c>
      <c r="L351" s="7">
        <f t="shared" si="89"/>
        <v>-1</v>
      </c>
      <c r="M351" t="s">
        <v>7</v>
      </c>
      <c r="O351" s="3">
        <f>E351-'310785 - P0524'!F351</f>
        <v>0</v>
      </c>
      <c r="P351" s="30">
        <f>I351-'310785 - P0524'!J351</f>
        <v>0</v>
      </c>
    </row>
    <row r="352" spans="1:16" x14ac:dyDescent="0.25">
      <c r="A352">
        <v>350</v>
      </c>
      <c r="B352" t="s">
        <v>463</v>
      </c>
      <c r="C352" s="28" t="s">
        <v>347</v>
      </c>
      <c r="D352" s="4" t="s">
        <v>348</v>
      </c>
      <c r="E352" s="11">
        <v>4.7699999999999996</v>
      </c>
      <c r="F352" s="11"/>
      <c r="G352" s="6">
        <f t="shared" si="85"/>
        <v>-4.7699999999999996</v>
      </c>
      <c r="H352" s="7">
        <f t="shared" si="86"/>
        <v>-1</v>
      </c>
      <c r="I352" s="8">
        <v>6.82</v>
      </c>
      <c r="J352" s="8">
        <f t="shared" si="87"/>
        <v>0</v>
      </c>
      <c r="K352" s="3">
        <f t="shared" si="88"/>
        <v>-6.82</v>
      </c>
      <c r="L352" s="7">
        <f t="shared" si="89"/>
        <v>-1</v>
      </c>
      <c r="M352" t="s">
        <v>7</v>
      </c>
      <c r="O352" s="3">
        <f>E352-'310785 - P0524'!F352</f>
        <v>0</v>
      </c>
      <c r="P352" s="30">
        <f>I352-'310785 - P0524'!J352</f>
        <v>0</v>
      </c>
    </row>
    <row r="353" spans="1:16" x14ac:dyDescent="0.25">
      <c r="A353">
        <v>351</v>
      </c>
      <c r="B353" t="s">
        <v>463</v>
      </c>
      <c r="C353" s="28" t="s">
        <v>347</v>
      </c>
      <c r="D353" s="4" t="s">
        <v>349</v>
      </c>
      <c r="E353" s="11">
        <v>104</v>
      </c>
      <c r="F353" s="11"/>
      <c r="G353" s="6">
        <f t="shared" si="85"/>
        <v>-104</v>
      </c>
      <c r="H353" s="7">
        <f t="shared" si="86"/>
        <v>-1</v>
      </c>
      <c r="I353" s="8">
        <v>159.78</v>
      </c>
      <c r="J353" s="8">
        <f t="shared" si="87"/>
        <v>0</v>
      </c>
      <c r="K353" s="3">
        <f t="shared" si="88"/>
        <v>-159.78</v>
      </c>
      <c r="L353" s="7">
        <f t="shared" si="89"/>
        <v>-1</v>
      </c>
      <c r="M353" t="s">
        <v>7</v>
      </c>
      <c r="O353" s="3">
        <f>E353-'310785 - P0524'!F353</f>
        <v>0</v>
      </c>
      <c r="P353" s="30">
        <f>I353-'310785 - P0524'!J353</f>
        <v>0</v>
      </c>
    </row>
    <row r="354" spans="1:16" x14ac:dyDescent="0.25">
      <c r="A354">
        <v>352</v>
      </c>
      <c r="B354" t="s">
        <v>445</v>
      </c>
      <c r="C354" s="28" t="s">
        <v>343</v>
      </c>
      <c r="D354" s="4" t="s">
        <v>446</v>
      </c>
      <c r="E354" s="11">
        <v>49.89</v>
      </c>
      <c r="F354" s="11"/>
      <c r="G354" s="6">
        <f t="shared" si="85"/>
        <v>-49.89</v>
      </c>
      <c r="H354" s="7">
        <f t="shared" si="86"/>
        <v>-1</v>
      </c>
      <c r="I354" s="8">
        <v>66.30376269809021</v>
      </c>
      <c r="J354" s="8">
        <f t="shared" si="87"/>
        <v>0</v>
      </c>
      <c r="K354" s="3">
        <f t="shared" si="88"/>
        <v>-66.30376269809021</v>
      </c>
      <c r="L354" s="7">
        <f t="shared" si="89"/>
        <v>-1</v>
      </c>
      <c r="M354" t="s">
        <v>7</v>
      </c>
      <c r="O354" s="3">
        <f>E354-'310785 - P0524'!F354</f>
        <v>0</v>
      </c>
      <c r="P354" s="30">
        <f>I354-'310785 - P0524'!J354</f>
        <v>0</v>
      </c>
    </row>
    <row r="355" spans="1:16" x14ac:dyDescent="0.25">
      <c r="A355">
        <v>353</v>
      </c>
      <c r="B355" t="s">
        <v>303</v>
      </c>
      <c r="C355" s="28" t="s">
        <v>343</v>
      </c>
      <c r="D355" s="4" t="s">
        <v>350</v>
      </c>
      <c r="E355" s="11">
        <v>28.21</v>
      </c>
      <c r="F355" s="11"/>
      <c r="G355" s="6">
        <f t="shared" si="85"/>
        <v>-28.21</v>
      </c>
      <c r="H355" s="7">
        <f t="shared" si="86"/>
        <v>-1</v>
      </c>
      <c r="I355" s="8">
        <v>60.400819101768519</v>
      </c>
      <c r="J355" s="8">
        <f t="shared" si="87"/>
        <v>0</v>
      </c>
      <c r="K355" s="3">
        <f t="shared" si="88"/>
        <v>-60.400819101768519</v>
      </c>
      <c r="L355" s="7">
        <f t="shared" si="89"/>
        <v>-1</v>
      </c>
      <c r="M355" t="s">
        <v>7</v>
      </c>
      <c r="O355" s="3">
        <f>E355-'310785 - P0524'!F355</f>
        <v>0</v>
      </c>
      <c r="P355" s="30">
        <f>I355-'310785 - P0524'!J355</f>
        <v>0</v>
      </c>
    </row>
    <row r="356" spans="1:16" x14ac:dyDescent="0.25">
      <c r="A356">
        <v>354</v>
      </c>
      <c r="B356" t="s">
        <v>303</v>
      </c>
      <c r="C356" s="28" t="s">
        <v>351</v>
      </c>
      <c r="D356" s="4" t="s">
        <v>352</v>
      </c>
      <c r="E356" s="11">
        <v>20.36</v>
      </c>
      <c r="F356" s="11"/>
      <c r="G356" s="6">
        <f t="shared" si="85"/>
        <v>-20.36</v>
      </c>
      <c r="H356" s="7">
        <f t="shared" si="86"/>
        <v>-1</v>
      </c>
      <c r="I356" s="8">
        <v>33.75</v>
      </c>
      <c r="J356" s="8">
        <f t="shared" si="87"/>
        <v>0</v>
      </c>
      <c r="K356" s="3">
        <f t="shared" si="88"/>
        <v>-33.75</v>
      </c>
      <c r="L356" s="7">
        <f t="shared" si="89"/>
        <v>-1</v>
      </c>
      <c r="M356" t="s">
        <v>7</v>
      </c>
      <c r="O356" s="3">
        <f>E356-'310785 - P0524'!F356</f>
        <v>0</v>
      </c>
      <c r="P356" s="30">
        <f>I356-'310785 - P0524'!J356</f>
        <v>0</v>
      </c>
    </row>
    <row r="357" spans="1:16" x14ac:dyDescent="0.25">
      <c r="A357">
        <v>355</v>
      </c>
      <c r="C357" s="28"/>
      <c r="D357" s="2" t="s">
        <v>353</v>
      </c>
      <c r="I357"/>
    </row>
    <row r="358" spans="1:16" x14ac:dyDescent="0.25">
      <c r="A358">
        <v>356</v>
      </c>
      <c r="B358" t="s">
        <v>294</v>
      </c>
      <c r="C358" s="28" t="s">
        <v>354</v>
      </c>
      <c r="D358" s="4" t="s">
        <v>355</v>
      </c>
      <c r="E358" s="12">
        <v>5.98</v>
      </c>
      <c r="F358" s="12">
        <v>5.98</v>
      </c>
      <c r="G358" s="6">
        <f>+F358-E358</f>
        <v>0</v>
      </c>
      <c r="H358" s="7">
        <f>(F358-E358)/ABS(E358)</f>
        <v>0</v>
      </c>
      <c r="I358" s="12">
        <v>10.64931506849315</v>
      </c>
      <c r="J358" s="12">
        <f>(I358*H358)+I358</f>
        <v>10.64931506849315</v>
      </c>
      <c r="K358" s="3">
        <f>J358-I358</f>
        <v>0</v>
      </c>
      <c r="L358" s="7">
        <f>(J358-I358)/ABS(I358)</f>
        <v>0</v>
      </c>
      <c r="M358" t="s">
        <v>150</v>
      </c>
      <c r="O358" s="3">
        <f>E358-'310785 - P0524'!F358</f>
        <v>0</v>
      </c>
      <c r="P358" s="30">
        <f>I358-'310785 - P0524'!J358</f>
        <v>0</v>
      </c>
    </row>
    <row r="359" spans="1:16" x14ac:dyDescent="0.25">
      <c r="A359">
        <v>357</v>
      </c>
      <c r="C359" s="28"/>
      <c r="D359" s="2" t="s">
        <v>356</v>
      </c>
      <c r="I359"/>
    </row>
    <row r="360" spans="1:16" x14ac:dyDescent="0.25">
      <c r="A360">
        <v>358</v>
      </c>
      <c r="B360" t="s">
        <v>502</v>
      </c>
      <c r="C360" s="28" t="s">
        <v>454</v>
      </c>
      <c r="D360" s="4" t="s">
        <v>503</v>
      </c>
      <c r="E360" s="11">
        <v>1517</v>
      </c>
      <c r="F360" s="11"/>
      <c r="G360" s="13">
        <f t="shared" ref="G360:G394" si="90">+F360-E360</f>
        <v>-1517</v>
      </c>
      <c r="H360" s="7">
        <f t="shared" ref="H360:H394" si="91">(F360-E360)/ABS(E360)</f>
        <v>-1</v>
      </c>
      <c r="I360" s="8">
        <v>83.5202093596059</v>
      </c>
      <c r="J360" s="8">
        <f t="shared" ref="J360:J394" si="92">(I360*H360)+I360</f>
        <v>0</v>
      </c>
      <c r="K360" s="3">
        <f t="shared" ref="K360:K394" si="93">J360-I360</f>
        <v>-83.5202093596059</v>
      </c>
      <c r="L360" s="7">
        <f t="shared" ref="L360:L394" si="94">(J360-I360)/ABS(I360)</f>
        <v>-1</v>
      </c>
      <c r="M360" t="s">
        <v>7</v>
      </c>
      <c r="O360" s="3">
        <f>E360-'310785 - P0524'!F360</f>
        <v>0</v>
      </c>
      <c r="P360" s="30">
        <f>I360-'310785 - P0524'!J360</f>
        <v>0</v>
      </c>
    </row>
    <row r="361" spans="1:16" x14ac:dyDescent="0.25">
      <c r="A361">
        <v>359</v>
      </c>
      <c r="B361" t="s">
        <v>290</v>
      </c>
      <c r="C361" s="28" t="s">
        <v>454</v>
      </c>
      <c r="D361" s="4" t="s">
        <v>498</v>
      </c>
      <c r="E361" s="11">
        <v>1710</v>
      </c>
      <c r="F361" s="11"/>
      <c r="G361" s="13">
        <f t="shared" si="90"/>
        <v>-1710</v>
      </c>
      <c r="H361" s="7">
        <f t="shared" si="91"/>
        <v>-1</v>
      </c>
      <c r="I361" s="8">
        <v>41.429553882394785</v>
      </c>
      <c r="J361" s="8">
        <f t="shared" si="92"/>
        <v>0</v>
      </c>
      <c r="K361" s="3">
        <f t="shared" si="93"/>
        <v>-41.429553882394785</v>
      </c>
      <c r="L361" s="7">
        <f t="shared" si="94"/>
        <v>-1</v>
      </c>
      <c r="M361" t="s">
        <v>7</v>
      </c>
      <c r="O361" s="3">
        <f>E361-'310785 - P0524'!F361</f>
        <v>0</v>
      </c>
      <c r="P361" s="30">
        <f>I361-'310785 - P0524'!J361</f>
        <v>0</v>
      </c>
    </row>
    <row r="362" spans="1:16" x14ac:dyDescent="0.25">
      <c r="A362">
        <v>360</v>
      </c>
      <c r="B362" t="s">
        <v>290</v>
      </c>
      <c r="C362" s="28" t="s">
        <v>454</v>
      </c>
      <c r="D362" s="4" t="s">
        <v>495</v>
      </c>
      <c r="E362" s="11">
        <v>76.16</v>
      </c>
      <c r="F362" s="11"/>
      <c r="G362" s="13">
        <f t="shared" si="90"/>
        <v>-76.16</v>
      </c>
      <c r="H362" s="7">
        <f t="shared" si="91"/>
        <v>-1</v>
      </c>
      <c r="I362" s="8">
        <v>118.41812494751909</v>
      </c>
      <c r="J362" s="8">
        <f t="shared" si="92"/>
        <v>0</v>
      </c>
      <c r="K362" s="3">
        <f t="shared" si="93"/>
        <v>-118.41812494751909</v>
      </c>
      <c r="L362" s="7">
        <f t="shared" si="94"/>
        <v>-1</v>
      </c>
      <c r="M362" t="s">
        <v>7</v>
      </c>
      <c r="O362" s="3">
        <f>E362-'310785 - P0524'!F362</f>
        <v>0</v>
      </c>
      <c r="P362" s="30">
        <f>I362-'310785 - P0524'!J362</f>
        <v>0</v>
      </c>
    </row>
    <row r="363" spans="1:16" x14ac:dyDescent="0.25">
      <c r="A363">
        <v>361</v>
      </c>
      <c r="B363" t="s">
        <v>290</v>
      </c>
      <c r="C363" s="28" t="s">
        <v>454</v>
      </c>
      <c r="D363" s="4" t="s">
        <v>496</v>
      </c>
      <c r="E363" s="11">
        <v>1860</v>
      </c>
      <c r="F363" s="11"/>
      <c r="G363" s="13">
        <f t="shared" si="90"/>
        <v>-1860</v>
      </c>
      <c r="H363" s="7">
        <f t="shared" si="91"/>
        <v>-1</v>
      </c>
      <c r="I363" s="8">
        <v>249.52645395508233</v>
      </c>
      <c r="J363" s="8">
        <f t="shared" si="92"/>
        <v>0</v>
      </c>
      <c r="K363" s="3">
        <f t="shared" si="93"/>
        <v>-249.52645395508233</v>
      </c>
      <c r="L363" s="7">
        <f t="shared" si="94"/>
        <v>-1</v>
      </c>
      <c r="M363" t="s">
        <v>7</v>
      </c>
      <c r="O363" s="3">
        <f>E363-'310785 - P0524'!F363</f>
        <v>0</v>
      </c>
      <c r="P363" s="30">
        <f>I363-'310785 - P0524'!J363</f>
        <v>0</v>
      </c>
    </row>
    <row r="364" spans="1:16" x14ac:dyDescent="0.25">
      <c r="A364">
        <v>362</v>
      </c>
      <c r="B364" t="s">
        <v>483</v>
      </c>
      <c r="C364" s="28" t="s">
        <v>351</v>
      </c>
      <c r="D364" s="4" t="s">
        <v>357</v>
      </c>
      <c r="E364" s="11">
        <v>2709</v>
      </c>
      <c r="F364" s="11"/>
      <c r="G364" s="13">
        <f t="shared" si="90"/>
        <v>-2709</v>
      </c>
      <c r="H364" s="7">
        <f t="shared" si="91"/>
        <v>-1</v>
      </c>
      <c r="I364" s="8">
        <v>5.1687034714890512</v>
      </c>
      <c r="J364" s="8">
        <f t="shared" si="92"/>
        <v>0</v>
      </c>
      <c r="K364" s="3">
        <f t="shared" si="93"/>
        <v>-5.1687034714890512</v>
      </c>
      <c r="L364" s="7">
        <f t="shared" si="94"/>
        <v>-1</v>
      </c>
      <c r="M364" t="s">
        <v>7</v>
      </c>
      <c r="O364" s="3">
        <f>E364-'310785 - P0524'!F364</f>
        <v>0</v>
      </c>
      <c r="P364" s="30">
        <f>I364-'310785 - P0524'!J364</f>
        <v>0</v>
      </c>
    </row>
    <row r="365" spans="1:16" x14ac:dyDescent="0.25">
      <c r="A365">
        <v>363</v>
      </c>
      <c r="B365" t="s">
        <v>484</v>
      </c>
      <c r="C365" s="28" t="s">
        <v>351</v>
      </c>
      <c r="D365" s="4" t="s">
        <v>358</v>
      </c>
      <c r="E365" s="11">
        <v>2709</v>
      </c>
      <c r="F365" s="11"/>
      <c r="G365" s="13">
        <f t="shared" si="90"/>
        <v>-2709</v>
      </c>
      <c r="H365" s="7">
        <f t="shared" si="91"/>
        <v>-1</v>
      </c>
      <c r="I365" s="8">
        <v>8.0702736339232413</v>
      </c>
      <c r="J365" s="8">
        <f t="shared" si="92"/>
        <v>0</v>
      </c>
      <c r="K365" s="3">
        <f t="shared" si="93"/>
        <v>-8.0702736339232413</v>
      </c>
      <c r="L365" s="7">
        <f t="shared" si="94"/>
        <v>-1</v>
      </c>
      <c r="M365" t="s">
        <v>7</v>
      </c>
      <c r="O365" s="3">
        <f>E365-'310785 - P0524'!F365</f>
        <v>0</v>
      </c>
      <c r="P365" s="30">
        <f>I365-'310785 - P0524'!J365</f>
        <v>0</v>
      </c>
    </row>
    <row r="366" spans="1:16" x14ac:dyDescent="0.25">
      <c r="A366">
        <v>364</v>
      </c>
      <c r="B366" t="s">
        <v>290</v>
      </c>
      <c r="C366" s="28" t="s">
        <v>351</v>
      </c>
      <c r="D366" s="4" t="s">
        <v>359</v>
      </c>
      <c r="E366" s="11">
        <v>2709</v>
      </c>
      <c r="F366" s="11"/>
      <c r="G366" s="13">
        <f t="shared" si="90"/>
        <v>-2709</v>
      </c>
      <c r="H366" s="7">
        <f t="shared" si="91"/>
        <v>-1</v>
      </c>
      <c r="I366" s="8">
        <v>11.040593760943526</v>
      </c>
      <c r="J366" s="8">
        <f t="shared" si="92"/>
        <v>0</v>
      </c>
      <c r="K366" s="3">
        <f t="shared" si="93"/>
        <v>-11.040593760943526</v>
      </c>
      <c r="L366" s="7">
        <f t="shared" si="94"/>
        <v>-1</v>
      </c>
      <c r="M366" t="s">
        <v>7</v>
      </c>
      <c r="O366" s="3">
        <f>E366-'310785 - P0524'!F366</f>
        <v>0</v>
      </c>
      <c r="P366" s="30">
        <f>I366-'310785 - P0524'!J366</f>
        <v>0</v>
      </c>
    </row>
    <row r="367" spans="1:16" x14ac:dyDescent="0.25">
      <c r="A367">
        <v>365</v>
      </c>
      <c r="B367" t="s">
        <v>476</v>
      </c>
      <c r="C367" s="28" t="s">
        <v>351</v>
      </c>
      <c r="D367" s="4" t="s">
        <v>360</v>
      </c>
      <c r="E367" s="11">
        <v>3148</v>
      </c>
      <c r="F367" s="11"/>
      <c r="G367" s="13">
        <f t="shared" si="90"/>
        <v>-3148</v>
      </c>
      <c r="H367" s="7">
        <f t="shared" si="91"/>
        <v>-1</v>
      </c>
      <c r="I367" s="8">
        <v>14.3</v>
      </c>
      <c r="J367" s="8">
        <f t="shared" si="92"/>
        <v>0</v>
      </c>
      <c r="K367" s="3">
        <f t="shared" si="93"/>
        <v>-14.3</v>
      </c>
      <c r="L367" s="7">
        <f t="shared" si="94"/>
        <v>-1</v>
      </c>
      <c r="M367" t="s">
        <v>7</v>
      </c>
      <c r="O367" s="3">
        <f>E367-'310785 - P0524'!F367</f>
        <v>0</v>
      </c>
      <c r="P367" s="30">
        <f>I367-'310785 - P0524'!J367</f>
        <v>0</v>
      </c>
    </row>
    <row r="368" spans="1:16" x14ac:dyDescent="0.25">
      <c r="A368">
        <v>366</v>
      </c>
      <c r="B368" t="s">
        <v>478</v>
      </c>
      <c r="C368" s="28" t="s">
        <v>351</v>
      </c>
      <c r="D368" s="4" t="s">
        <v>361</v>
      </c>
      <c r="E368" s="11">
        <v>3065</v>
      </c>
      <c r="F368" s="11"/>
      <c r="G368" s="13">
        <f t="shared" si="90"/>
        <v>-3065</v>
      </c>
      <c r="H368" s="7">
        <f t="shared" si="91"/>
        <v>-1</v>
      </c>
      <c r="I368" s="8">
        <v>19.904756025519848</v>
      </c>
      <c r="J368" s="8">
        <f t="shared" si="92"/>
        <v>0</v>
      </c>
      <c r="K368" s="3">
        <f t="shared" si="93"/>
        <v>-19.904756025519848</v>
      </c>
      <c r="L368" s="7">
        <f t="shared" si="94"/>
        <v>-1</v>
      </c>
      <c r="M368" t="s">
        <v>7</v>
      </c>
      <c r="O368" s="3">
        <f>E368-'310785 - P0524'!F368</f>
        <v>0</v>
      </c>
      <c r="P368" s="30">
        <f>I368-'310785 - P0524'!J368</f>
        <v>0</v>
      </c>
    </row>
    <row r="369" spans="1:16" x14ac:dyDescent="0.25">
      <c r="A369">
        <v>367</v>
      </c>
      <c r="B369" t="s">
        <v>445</v>
      </c>
      <c r="C369" s="28" t="s">
        <v>351</v>
      </c>
      <c r="D369" s="4" t="s">
        <v>362</v>
      </c>
      <c r="E369" s="11">
        <v>3065</v>
      </c>
      <c r="F369" s="11"/>
      <c r="G369" s="13">
        <f t="shared" si="90"/>
        <v>-3065</v>
      </c>
      <c r="H369" s="7">
        <f t="shared" si="91"/>
        <v>-1</v>
      </c>
      <c r="I369" s="8">
        <v>23.00692071335494</v>
      </c>
      <c r="J369" s="8">
        <f t="shared" si="92"/>
        <v>0</v>
      </c>
      <c r="K369" s="3">
        <f t="shared" si="93"/>
        <v>-23.00692071335494</v>
      </c>
      <c r="L369" s="7">
        <f t="shared" si="94"/>
        <v>-1</v>
      </c>
      <c r="M369" t="s">
        <v>7</v>
      </c>
      <c r="O369" s="3">
        <f>E369-'310785 - P0524'!F369</f>
        <v>0</v>
      </c>
      <c r="P369" s="30">
        <f>I369-'310785 - P0524'!J369</f>
        <v>0</v>
      </c>
    </row>
    <row r="370" spans="1:16" x14ac:dyDescent="0.25">
      <c r="A370">
        <v>368</v>
      </c>
      <c r="B370" t="s">
        <v>478</v>
      </c>
      <c r="C370" s="28" t="s">
        <v>351</v>
      </c>
      <c r="D370" s="4" t="s">
        <v>363</v>
      </c>
      <c r="E370" s="11">
        <v>3135</v>
      </c>
      <c r="F370" s="11"/>
      <c r="G370" s="13">
        <f t="shared" si="90"/>
        <v>-3135</v>
      </c>
      <c r="H370" s="7">
        <f t="shared" si="91"/>
        <v>-1</v>
      </c>
      <c r="I370" s="8">
        <v>26.876311326468805</v>
      </c>
      <c r="J370" s="8">
        <f t="shared" si="92"/>
        <v>0</v>
      </c>
      <c r="K370" s="3">
        <f t="shared" si="93"/>
        <v>-26.876311326468805</v>
      </c>
      <c r="L370" s="7">
        <f t="shared" si="94"/>
        <v>-1</v>
      </c>
      <c r="M370" t="s">
        <v>7</v>
      </c>
      <c r="O370" s="3">
        <f>E370-'310785 - P0524'!F370</f>
        <v>0</v>
      </c>
      <c r="P370" s="30">
        <f>I370-'310785 - P0524'!J370</f>
        <v>0</v>
      </c>
    </row>
    <row r="371" spans="1:16" x14ac:dyDescent="0.25">
      <c r="A371">
        <v>369</v>
      </c>
      <c r="B371" t="s">
        <v>481</v>
      </c>
      <c r="C371" s="28" t="s">
        <v>351</v>
      </c>
      <c r="D371" s="4" t="s">
        <v>364</v>
      </c>
      <c r="E371" s="11">
        <v>2931</v>
      </c>
      <c r="F371" s="11"/>
      <c r="G371" s="13">
        <f t="shared" si="90"/>
        <v>-2931</v>
      </c>
      <c r="H371" s="7">
        <f t="shared" si="91"/>
        <v>-1</v>
      </c>
      <c r="I371" s="8">
        <v>5.5842827924987404</v>
      </c>
      <c r="J371" s="8">
        <f t="shared" si="92"/>
        <v>0</v>
      </c>
      <c r="K371" s="3">
        <f t="shared" si="93"/>
        <v>-5.5842827924987404</v>
      </c>
      <c r="L371" s="7">
        <f t="shared" si="94"/>
        <v>-1</v>
      </c>
      <c r="M371" t="s">
        <v>7</v>
      </c>
      <c r="O371" s="3">
        <f>E371-'310785 - P0524'!F371</f>
        <v>0</v>
      </c>
      <c r="P371" s="30">
        <f>I371-'310785 - P0524'!J371</f>
        <v>0</v>
      </c>
    </row>
    <row r="372" spans="1:16" x14ac:dyDescent="0.25">
      <c r="A372">
        <v>370</v>
      </c>
      <c r="B372" t="s">
        <v>479</v>
      </c>
      <c r="C372" t="s">
        <v>365</v>
      </c>
      <c r="D372" s="4" t="s">
        <v>366</v>
      </c>
      <c r="E372" s="11">
        <v>3205</v>
      </c>
      <c r="F372" s="11"/>
      <c r="G372" s="13">
        <f t="shared" si="90"/>
        <v>-3205</v>
      </c>
      <c r="H372" s="7">
        <f t="shared" si="91"/>
        <v>-1</v>
      </c>
      <c r="I372" s="8">
        <v>12.576720322698609</v>
      </c>
      <c r="J372" s="8">
        <f t="shared" si="92"/>
        <v>0</v>
      </c>
      <c r="K372" s="3">
        <f t="shared" si="93"/>
        <v>-12.576720322698609</v>
      </c>
      <c r="L372" s="7">
        <f t="shared" si="94"/>
        <v>-1</v>
      </c>
      <c r="M372" t="s">
        <v>7</v>
      </c>
      <c r="O372" s="3">
        <f>E372-'310785 - P0524'!F372</f>
        <v>0</v>
      </c>
      <c r="P372" s="30">
        <f>I372-'310785 - P0524'!J372</f>
        <v>0</v>
      </c>
    </row>
    <row r="373" spans="1:16" x14ac:dyDescent="0.25">
      <c r="A373">
        <v>371</v>
      </c>
      <c r="B373" t="s">
        <v>470</v>
      </c>
      <c r="C373" t="s">
        <v>365</v>
      </c>
      <c r="D373" s="4" t="s">
        <v>367</v>
      </c>
      <c r="E373" s="11">
        <v>2952</v>
      </c>
      <c r="F373" s="11"/>
      <c r="G373" s="13">
        <f t="shared" si="90"/>
        <v>-2952</v>
      </c>
      <c r="H373" s="7">
        <f t="shared" si="91"/>
        <v>-1</v>
      </c>
      <c r="I373" s="8">
        <v>24.324911704207679</v>
      </c>
      <c r="J373" s="8">
        <f t="shared" si="92"/>
        <v>0</v>
      </c>
      <c r="K373" s="3">
        <f t="shared" si="93"/>
        <v>-24.324911704207679</v>
      </c>
      <c r="L373" s="7">
        <f t="shared" si="94"/>
        <v>-1</v>
      </c>
      <c r="M373" t="s">
        <v>7</v>
      </c>
      <c r="O373" s="3">
        <f>E373-'310785 - P0524'!F373</f>
        <v>0</v>
      </c>
      <c r="P373" s="30">
        <f>I373-'310785 - P0524'!J373</f>
        <v>0</v>
      </c>
    </row>
    <row r="374" spans="1:16" x14ac:dyDescent="0.25">
      <c r="A374">
        <v>372</v>
      </c>
      <c r="B374" t="s">
        <v>303</v>
      </c>
      <c r="C374" t="s">
        <v>365</v>
      </c>
      <c r="D374" s="4" t="s">
        <v>368</v>
      </c>
      <c r="E374" s="11">
        <v>2702</v>
      </c>
      <c r="F374" s="11"/>
      <c r="G374" s="13">
        <f t="shared" si="90"/>
        <v>-2702</v>
      </c>
      <c r="H374" s="7">
        <f t="shared" si="91"/>
        <v>-1</v>
      </c>
      <c r="I374" s="8">
        <v>40.51093209547124</v>
      </c>
      <c r="J374" s="8">
        <f>(I374*H374)+I374</f>
        <v>0</v>
      </c>
      <c r="K374" s="3">
        <f t="shared" si="93"/>
        <v>-40.51093209547124</v>
      </c>
      <c r="L374" s="7">
        <f t="shared" si="94"/>
        <v>-1</v>
      </c>
      <c r="M374" t="s">
        <v>7</v>
      </c>
      <c r="O374" s="3">
        <f>E374-'310785 - P0524'!F374</f>
        <v>0</v>
      </c>
      <c r="P374" s="30">
        <f>I374-'310785 - P0524'!J374</f>
        <v>0</v>
      </c>
    </row>
    <row r="375" spans="1:16" x14ac:dyDescent="0.25">
      <c r="A375">
        <v>373</v>
      </c>
      <c r="B375" t="s">
        <v>290</v>
      </c>
      <c r="C375" t="s">
        <v>365</v>
      </c>
      <c r="D375" s="4" t="s">
        <v>369</v>
      </c>
      <c r="E375" s="11">
        <v>2702</v>
      </c>
      <c r="F375" s="11"/>
      <c r="G375" s="13">
        <f t="shared" si="90"/>
        <v>-2702</v>
      </c>
      <c r="H375" s="7">
        <f t="shared" si="91"/>
        <v>-1</v>
      </c>
      <c r="I375" s="8">
        <v>50.641879791355422</v>
      </c>
      <c r="J375" s="8">
        <f t="shared" si="92"/>
        <v>0</v>
      </c>
      <c r="K375" s="3">
        <f t="shared" si="93"/>
        <v>-50.641879791355422</v>
      </c>
      <c r="L375" s="7">
        <f t="shared" si="94"/>
        <v>-1</v>
      </c>
      <c r="M375" t="s">
        <v>7</v>
      </c>
      <c r="O375" s="3">
        <f>E375-'310785 - P0524'!F375</f>
        <v>0</v>
      </c>
      <c r="P375" s="30">
        <f>I375-'310785 - P0524'!J375</f>
        <v>0</v>
      </c>
    </row>
    <row r="376" spans="1:16" x14ac:dyDescent="0.25">
      <c r="A376">
        <v>374</v>
      </c>
      <c r="B376" t="s">
        <v>470</v>
      </c>
      <c r="C376" t="s">
        <v>365</v>
      </c>
      <c r="D376" s="4" t="s">
        <v>370</v>
      </c>
      <c r="E376" s="11">
        <v>2702</v>
      </c>
      <c r="F376" s="11"/>
      <c r="G376" s="13">
        <f t="shared" si="90"/>
        <v>-2702</v>
      </c>
      <c r="H376" s="7">
        <f t="shared" si="91"/>
        <v>-1</v>
      </c>
      <c r="I376" s="8">
        <v>60.769079441442358</v>
      </c>
      <c r="J376" s="8">
        <f t="shared" si="92"/>
        <v>0</v>
      </c>
      <c r="K376" s="3">
        <f t="shared" si="93"/>
        <v>-60.769079441442358</v>
      </c>
      <c r="L376" s="7">
        <f t="shared" si="94"/>
        <v>-1</v>
      </c>
      <c r="M376" t="s">
        <v>7</v>
      </c>
      <c r="O376" s="3">
        <f>E376-'310785 - P0524'!F376</f>
        <v>0</v>
      </c>
      <c r="P376" s="30">
        <f>I376-'310785 - P0524'!J376</f>
        <v>0</v>
      </c>
    </row>
    <row r="377" spans="1:16" x14ac:dyDescent="0.25">
      <c r="A377">
        <v>375</v>
      </c>
      <c r="B377" t="s">
        <v>479</v>
      </c>
      <c r="C377" t="s">
        <v>365</v>
      </c>
      <c r="D377" s="4" t="s">
        <v>371</v>
      </c>
      <c r="E377" s="11">
        <v>3868</v>
      </c>
      <c r="F377" s="11"/>
      <c r="G377" s="13">
        <f t="shared" si="90"/>
        <v>-3868</v>
      </c>
      <c r="H377" s="7">
        <f t="shared" si="91"/>
        <v>-1</v>
      </c>
      <c r="I377" s="8">
        <v>63.401973632327376</v>
      </c>
      <c r="J377" s="8">
        <f t="shared" si="92"/>
        <v>0</v>
      </c>
      <c r="K377" s="3">
        <f t="shared" si="93"/>
        <v>-63.401973632327376</v>
      </c>
      <c r="L377" s="7">
        <f t="shared" si="94"/>
        <v>-1</v>
      </c>
      <c r="M377" t="s">
        <v>7</v>
      </c>
      <c r="O377" s="3">
        <f>E377-'310785 - P0524'!F377</f>
        <v>0</v>
      </c>
      <c r="P377" s="30">
        <f>I377-'310785 - P0524'!J377</f>
        <v>0</v>
      </c>
    </row>
    <row r="378" spans="1:16" x14ac:dyDescent="0.25">
      <c r="A378">
        <v>376</v>
      </c>
      <c r="B378" t="s">
        <v>479</v>
      </c>
      <c r="C378" t="s">
        <v>365</v>
      </c>
      <c r="D378" s="4" t="s">
        <v>372</v>
      </c>
      <c r="E378" s="11">
        <v>3928</v>
      </c>
      <c r="F378" s="11"/>
      <c r="G378" s="13">
        <f t="shared" si="90"/>
        <v>-3928</v>
      </c>
      <c r="H378" s="7">
        <f t="shared" si="91"/>
        <v>-1</v>
      </c>
      <c r="I378" s="8">
        <v>80.721941958125299</v>
      </c>
      <c r="J378" s="8">
        <f t="shared" si="92"/>
        <v>0</v>
      </c>
      <c r="K378" s="3">
        <f t="shared" si="93"/>
        <v>-80.721941958125299</v>
      </c>
      <c r="L378" s="7">
        <f t="shared" si="94"/>
        <v>-1</v>
      </c>
      <c r="M378" t="s">
        <v>7</v>
      </c>
      <c r="O378" s="3">
        <f>E378-'310785 - P0524'!F378</f>
        <v>0</v>
      </c>
      <c r="P378" s="30">
        <f>I378-'310785 - P0524'!J378</f>
        <v>0</v>
      </c>
    </row>
    <row r="379" spans="1:16" x14ac:dyDescent="0.25">
      <c r="A379">
        <v>377</v>
      </c>
      <c r="B379" t="s">
        <v>473</v>
      </c>
      <c r="C379" t="s">
        <v>365</v>
      </c>
      <c r="D379" s="4" t="s">
        <v>373</v>
      </c>
      <c r="E379" s="11">
        <v>3928</v>
      </c>
      <c r="F379" s="11"/>
      <c r="G379" s="13">
        <f t="shared" si="90"/>
        <v>-3928</v>
      </c>
      <c r="H379" s="7">
        <f t="shared" si="91"/>
        <v>-1</v>
      </c>
      <c r="I379" s="8">
        <v>100.90409723646053</v>
      </c>
      <c r="J379" s="8">
        <f t="shared" si="92"/>
        <v>0</v>
      </c>
      <c r="K379" s="3">
        <f t="shared" si="93"/>
        <v>-100.90409723646053</v>
      </c>
      <c r="L379" s="7">
        <f t="shared" si="94"/>
        <v>-1</v>
      </c>
      <c r="M379" t="s">
        <v>7</v>
      </c>
      <c r="O379" s="3">
        <f>E379-'310785 - P0524'!F379</f>
        <v>0</v>
      </c>
      <c r="P379" s="30">
        <f>I379-'310785 - P0524'!J379</f>
        <v>0</v>
      </c>
    </row>
    <row r="380" spans="1:16" x14ac:dyDescent="0.25">
      <c r="A380">
        <v>378</v>
      </c>
      <c r="B380" t="s">
        <v>470</v>
      </c>
      <c r="C380" t="s">
        <v>365</v>
      </c>
      <c r="D380" s="4" t="s">
        <v>374</v>
      </c>
      <c r="E380" s="11">
        <v>3928</v>
      </c>
      <c r="F380" s="11"/>
      <c r="G380" s="13">
        <f t="shared" si="90"/>
        <v>-3928</v>
      </c>
      <c r="H380" s="7">
        <f t="shared" si="91"/>
        <v>-1</v>
      </c>
      <c r="I380" s="8">
        <v>121.08871182445142</v>
      </c>
      <c r="J380" s="8">
        <f t="shared" si="92"/>
        <v>0</v>
      </c>
      <c r="K380" s="3">
        <f t="shared" si="93"/>
        <v>-121.08871182445142</v>
      </c>
      <c r="L380" s="7">
        <f t="shared" si="94"/>
        <v>-1</v>
      </c>
      <c r="M380" t="s">
        <v>7</v>
      </c>
      <c r="O380" s="3">
        <f>E380-'310785 - P0524'!F380</f>
        <v>0</v>
      </c>
      <c r="P380" s="30">
        <f>I380-'310785 - P0524'!J380</f>
        <v>0</v>
      </c>
    </row>
    <row r="381" spans="1:16" x14ac:dyDescent="0.25">
      <c r="A381">
        <v>379</v>
      </c>
      <c r="B381" t="s">
        <v>470</v>
      </c>
      <c r="C381" t="s">
        <v>365</v>
      </c>
      <c r="D381" s="4" t="s">
        <v>375</v>
      </c>
      <c r="E381" s="11">
        <v>3700</v>
      </c>
      <c r="F381" s="11"/>
      <c r="G381" s="13">
        <f t="shared" si="90"/>
        <v>-3700</v>
      </c>
      <c r="H381" s="7">
        <f t="shared" si="91"/>
        <v>-1</v>
      </c>
      <c r="I381" s="8">
        <v>119.12776534176258</v>
      </c>
      <c r="J381" s="8">
        <f t="shared" si="92"/>
        <v>0</v>
      </c>
      <c r="K381" s="3">
        <f t="shared" si="93"/>
        <v>-119.12776534176258</v>
      </c>
      <c r="L381" s="7">
        <f t="shared" si="94"/>
        <v>-1</v>
      </c>
      <c r="M381" t="s">
        <v>7</v>
      </c>
      <c r="O381" s="3">
        <f>E381-'310785 - P0524'!F381</f>
        <v>0</v>
      </c>
      <c r="P381" s="30">
        <f>I381-'310785 - P0524'!J381</f>
        <v>0</v>
      </c>
    </row>
    <row r="382" spans="1:16" x14ac:dyDescent="0.25">
      <c r="A382">
        <v>380</v>
      </c>
      <c r="B382" t="s">
        <v>290</v>
      </c>
      <c r="C382" t="s">
        <v>365</v>
      </c>
      <c r="D382" s="4" t="s">
        <v>376</v>
      </c>
      <c r="E382" s="11">
        <v>3700</v>
      </c>
      <c r="F382" s="11"/>
      <c r="G382" s="13">
        <f t="shared" si="90"/>
        <v>-3700</v>
      </c>
      <c r="H382" s="7">
        <f t="shared" si="91"/>
        <v>-1</v>
      </c>
      <c r="I382" s="8">
        <v>208.45869530604656</v>
      </c>
      <c r="J382" s="8">
        <f t="shared" si="92"/>
        <v>0</v>
      </c>
      <c r="K382" s="3">
        <f t="shared" si="93"/>
        <v>-208.45869530604656</v>
      </c>
      <c r="L382" s="7">
        <f t="shared" si="94"/>
        <v>-1</v>
      </c>
      <c r="M382" t="s">
        <v>7</v>
      </c>
      <c r="O382" s="3">
        <f>E382-'310785 - P0524'!F382</f>
        <v>0</v>
      </c>
      <c r="P382" s="30">
        <f>I382-'310785 - P0524'!J382</f>
        <v>0</v>
      </c>
    </row>
    <row r="383" spans="1:16" x14ac:dyDescent="0.25">
      <c r="A383">
        <v>381</v>
      </c>
      <c r="B383" t="s">
        <v>303</v>
      </c>
      <c r="C383" t="s">
        <v>365</v>
      </c>
      <c r="D383" s="4" t="s">
        <v>377</v>
      </c>
      <c r="E383" s="11">
        <v>5269</v>
      </c>
      <c r="F383" s="11"/>
      <c r="G383" s="13">
        <f t="shared" si="90"/>
        <v>-5269</v>
      </c>
      <c r="H383" s="7">
        <f t="shared" si="91"/>
        <v>-1</v>
      </c>
      <c r="I383" s="8">
        <v>195.32781627941307</v>
      </c>
      <c r="J383" s="8">
        <f t="shared" si="92"/>
        <v>0</v>
      </c>
      <c r="K383" s="3">
        <f t="shared" si="93"/>
        <v>-195.32781627941307</v>
      </c>
      <c r="L383" s="7">
        <f t="shared" si="94"/>
        <v>-1</v>
      </c>
      <c r="M383" t="s">
        <v>7</v>
      </c>
      <c r="O383" s="3">
        <f>E383-'310785 - P0524'!F383</f>
        <v>0</v>
      </c>
      <c r="P383" s="30">
        <f>I383-'310785 - P0524'!J383</f>
        <v>0</v>
      </c>
    </row>
    <row r="384" spans="1:16" x14ac:dyDescent="0.25">
      <c r="A384">
        <v>382</v>
      </c>
      <c r="B384" t="s">
        <v>303</v>
      </c>
      <c r="C384" t="s">
        <v>365</v>
      </c>
      <c r="D384" s="4" t="s">
        <v>378</v>
      </c>
      <c r="E384" s="11">
        <v>5395</v>
      </c>
      <c r="F384" s="11"/>
      <c r="G384" s="13">
        <f t="shared" si="90"/>
        <v>-5395</v>
      </c>
      <c r="H384" s="7">
        <f t="shared" si="91"/>
        <v>-1</v>
      </c>
      <c r="I384" s="8">
        <v>519.78770475648537</v>
      </c>
      <c r="J384" s="8">
        <f t="shared" si="92"/>
        <v>0</v>
      </c>
      <c r="K384" s="3">
        <f t="shared" si="93"/>
        <v>-519.78770475648537</v>
      </c>
      <c r="L384" s="7">
        <f t="shared" si="94"/>
        <v>-1</v>
      </c>
      <c r="M384" t="s">
        <v>7</v>
      </c>
      <c r="O384" s="3">
        <f>E384-'310785 - P0524'!F384</f>
        <v>0</v>
      </c>
      <c r="P384" s="30">
        <f>I384-'310785 - P0524'!J384</f>
        <v>0</v>
      </c>
    </row>
    <row r="385" spans="1:16" x14ac:dyDescent="0.25">
      <c r="A385">
        <v>383</v>
      </c>
      <c r="B385" t="s">
        <v>290</v>
      </c>
      <c r="C385" t="s">
        <v>365</v>
      </c>
      <c r="D385" s="4" t="s">
        <v>379</v>
      </c>
      <c r="E385" s="11">
        <v>5200</v>
      </c>
      <c r="F385" s="11"/>
      <c r="G385" s="13">
        <f t="shared" si="90"/>
        <v>-5200</v>
      </c>
      <c r="H385" s="7">
        <f t="shared" si="91"/>
        <v>-1</v>
      </c>
      <c r="I385" s="8">
        <v>341.80468131321027</v>
      </c>
      <c r="J385" s="8">
        <f t="shared" si="92"/>
        <v>0</v>
      </c>
      <c r="K385" s="3">
        <f t="shared" si="93"/>
        <v>-341.80468131321027</v>
      </c>
      <c r="L385" s="7">
        <f t="shared" si="94"/>
        <v>-1</v>
      </c>
      <c r="M385" t="s">
        <v>7</v>
      </c>
      <c r="O385" s="3">
        <f>E385-'310785 - P0524'!F385</f>
        <v>0</v>
      </c>
      <c r="P385" s="30">
        <f>I385-'310785 - P0524'!J385</f>
        <v>0</v>
      </c>
    </row>
    <row r="386" spans="1:16" x14ac:dyDescent="0.25">
      <c r="A386">
        <v>384</v>
      </c>
      <c r="B386" t="s">
        <v>485</v>
      </c>
      <c r="C386" t="s">
        <v>343</v>
      </c>
      <c r="D386" s="4" t="s">
        <v>380</v>
      </c>
      <c r="E386" s="12">
        <v>9.0500000000000007</v>
      </c>
      <c r="F386" s="12">
        <v>9.0500000000000007</v>
      </c>
      <c r="G386" s="13">
        <f t="shared" si="90"/>
        <v>0</v>
      </c>
      <c r="H386" s="7">
        <f t="shared" si="91"/>
        <v>0</v>
      </c>
      <c r="I386" s="8">
        <v>9.4511903255813987</v>
      </c>
      <c r="J386" s="9">
        <f t="shared" si="92"/>
        <v>9.4511903255813987</v>
      </c>
      <c r="K386" s="3">
        <f t="shared" si="93"/>
        <v>0</v>
      </c>
      <c r="L386" s="7">
        <f t="shared" si="94"/>
        <v>0</v>
      </c>
      <c r="M386" t="s">
        <v>121</v>
      </c>
      <c r="O386" s="3">
        <f>E386-'310785 - P0524'!F386</f>
        <v>0</v>
      </c>
      <c r="P386" s="30">
        <f>I386-'310785 - P0524'!J386</f>
        <v>0</v>
      </c>
    </row>
    <row r="387" spans="1:16" x14ac:dyDescent="0.25">
      <c r="A387">
        <v>385</v>
      </c>
      <c r="B387" t="s">
        <v>290</v>
      </c>
      <c r="C387" t="s">
        <v>343</v>
      </c>
      <c r="D387" s="4" t="s">
        <v>381</v>
      </c>
      <c r="E387" s="12">
        <v>17.38</v>
      </c>
      <c r="F387" s="12">
        <v>17.38</v>
      </c>
      <c r="G387" s="13">
        <f t="shared" si="90"/>
        <v>0</v>
      </c>
      <c r="H387" s="7">
        <f t="shared" si="91"/>
        <v>0</v>
      </c>
      <c r="I387" s="8">
        <v>18.138687748031494</v>
      </c>
      <c r="J387" s="9">
        <f t="shared" si="92"/>
        <v>18.138687748031494</v>
      </c>
      <c r="K387" s="3">
        <f t="shared" si="93"/>
        <v>0</v>
      </c>
      <c r="L387" s="7">
        <f t="shared" si="94"/>
        <v>0</v>
      </c>
      <c r="M387" t="s">
        <v>121</v>
      </c>
      <c r="O387" s="3">
        <f>E387-'310785 - P0524'!F387</f>
        <v>0</v>
      </c>
      <c r="P387" s="30">
        <f>I387-'310785 - P0524'!J387</f>
        <v>0</v>
      </c>
    </row>
    <row r="388" spans="1:16" x14ac:dyDescent="0.25">
      <c r="A388">
        <v>386</v>
      </c>
      <c r="B388" t="s">
        <v>481</v>
      </c>
      <c r="C388" s="28" t="s">
        <v>382</v>
      </c>
      <c r="D388" s="4" t="s">
        <v>383</v>
      </c>
      <c r="E388" s="14">
        <v>112.02</v>
      </c>
      <c r="F388" s="14">
        <v>112.02</v>
      </c>
      <c r="G388" s="6">
        <f t="shared" si="90"/>
        <v>0</v>
      </c>
      <c r="H388" s="7">
        <f t="shared" si="91"/>
        <v>0</v>
      </c>
      <c r="I388" s="8">
        <v>334.74445542845763</v>
      </c>
      <c r="J388" s="9">
        <f t="shared" si="92"/>
        <v>334.74445542845763</v>
      </c>
      <c r="K388" s="3">
        <f t="shared" si="93"/>
        <v>0</v>
      </c>
      <c r="L388" s="7">
        <f t="shared" si="94"/>
        <v>0</v>
      </c>
      <c r="M388" t="s">
        <v>121</v>
      </c>
      <c r="O388" s="3">
        <f>E388-'310785 - P0524'!F388</f>
        <v>0</v>
      </c>
      <c r="P388" s="30">
        <f>I388-'310785 - P0524'!J388</f>
        <v>0</v>
      </c>
    </row>
    <row r="389" spans="1:16" x14ac:dyDescent="0.25">
      <c r="A389">
        <v>387</v>
      </c>
      <c r="B389" t="s">
        <v>482</v>
      </c>
      <c r="C389" s="28" t="s">
        <v>343</v>
      </c>
      <c r="D389" s="4" t="s">
        <v>384</v>
      </c>
      <c r="E389" s="11">
        <v>35.4</v>
      </c>
      <c r="F389" s="11"/>
      <c r="G389" s="6">
        <f t="shared" si="90"/>
        <v>-35.4</v>
      </c>
      <c r="H389" s="7">
        <f t="shared" si="91"/>
        <v>-1</v>
      </c>
      <c r="I389" s="8">
        <v>53.73333333333332</v>
      </c>
      <c r="J389" s="8">
        <f t="shared" si="92"/>
        <v>0</v>
      </c>
      <c r="K389" s="3">
        <f t="shared" si="93"/>
        <v>-53.73333333333332</v>
      </c>
      <c r="L389" s="7">
        <f t="shared" si="94"/>
        <v>-1</v>
      </c>
      <c r="M389" t="s">
        <v>150</v>
      </c>
      <c r="O389" s="3">
        <f>E389-'310785 - P0524'!F389</f>
        <v>0</v>
      </c>
      <c r="P389" s="30">
        <f>I389-'310785 - P0524'!J389</f>
        <v>0</v>
      </c>
    </row>
    <row r="390" spans="1:16" x14ac:dyDescent="0.25">
      <c r="A390">
        <v>388</v>
      </c>
      <c r="B390" t="s">
        <v>476</v>
      </c>
      <c r="C390" s="28" t="s">
        <v>385</v>
      </c>
      <c r="D390" s="4" t="s">
        <v>386</v>
      </c>
      <c r="E390" s="11">
        <v>70.2</v>
      </c>
      <c r="F390" s="11"/>
      <c r="G390" s="6">
        <f t="shared" si="90"/>
        <v>-70.2</v>
      </c>
      <c r="H390" s="7">
        <f t="shared" si="91"/>
        <v>-1</v>
      </c>
      <c r="I390" s="8">
        <v>114.84819573542534</v>
      </c>
      <c r="J390" s="8">
        <f t="shared" si="92"/>
        <v>0</v>
      </c>
      <c r="K390" s="3">
        <f t="shared" si="93"/>
        <v>-114.84819573542534</v>
      </c>
      <c r="L390" s="7">
        <f t="shared" si="94"/>
        <v>-1</v>
      </c>
      <c r="M390" t="s">
        <v>150</v>
      </c>
      <c r="O390" s="3">
        <f>E390-'310785 - P0524'!F390</f>
        <v>0</v>
      </c>
      <c r="P390" s="30">
        <f>I390-'310785 - P0524'!J390</f>
        <v>0</v>
      </c>
    </row>
    <row r="391" spans="1:16" x14ac:dyDescent="0.25">
      <c r="A391">
        <v>389</v>
      </c>
      <c r="B391" t="s">
        <v>445</v>
      </c>
      <c r="C391" s="28" t="s">
        <v>351</v>
      </c>
      <c r="D391" s="4" t="s">
        <v>500</v>
      </c>
      <c r="E391" s="11">
        <v>208</v>
      </c>
      <c r="F391" s="11"/>
      <c r="G391" s="6">
        <f t="shared" si="90"/>
        <v>-208</v>
      </c>
      <c r="H391" s="7">
        <f t="shared" si="91"/>
        <v>-1</v>
      </c>
      <c r="I391" s="8">
        <v>297.15636363636361</v>
      </c>
      <c r="J391" s="8">
        <f t="shared" si="92"/>
        <v>0</v>
      </c>
      <c r="K391" s="3">
        <f t="shared" si="93"/>
        <v>-297.15636363636361</v>
      </c>
      <c r="L391" s="7">
        <f t="shared" si="94"/>
        <v>-1</v>
      </c>
      <c r="M391" t="s">
        <v>150</v>
      </c>
      <c r="O391" s="3">
        <f>E391-'310785 - P0524'!F391</f>
        <v>0</v>
      </c>
      <c r="P391" s="30">
        <f>I391-'310785 - P0524'!J391</f>
        <v>0</v>
      </c>
    </row>
    <row r="392" spans="1:16" x14ac:dyDescent="0.25">
      <c r="A392">
        <v>390</v>
      </c>
      <c r="B392" t="s">
        <v>387</v>
      </c>
      <c r="C392" s="28" t="s">
        <v>351</v>
      </c>
      <c r="D392" s="4" t="s">
        <v>388</v>
      </c>
      <c r="E392" s="12">
        <v>13.11</v>
      </c>
      <c r="F392" s="12">
        <v>13.11</v>
      </c>
      <c r="G392" s="6">
        <f t="shared" si="90"/>
        <v>0</v>
      </c>
      <c r="H392" s="7">
        <f t="shared" si="91"/>
        <v>0</v>
      </c>
      <c r="I392" s="8">
        <v>15.06</v>
      </c>
      <c r="J392" s="9">
        <f t="shared" si="92"/>
        <v>15.06</v>
      </c>
      <c r="K392" s="3">
        <f t="shared" si="93"/>
        <v>0</v>
      </c>
      <c r="L392" s="7">
        <f t="shared" si="94"/>
        <v>0</v>
      </c>
      <c r="M392" t="s">
        <v>150</v>
      </c>
      <c r="O392" s="3">
        <f>E392-'310785 - P0524'!F392</f>
        <v>0</v>
      </c>
      <c r="P392" s="30">
        <f>I392-'310785 - P0524'!J392</f>
        <v>0</v>
      </c>
    </row>
    <row r="393" spans="1:16" x14ac:dyDescent="0.25">
      <c r="A393">
        <v>391</v>
      </c>
      <c r="B393" t="s">
        <v>387</v>
      </c>
      <c r="C393" s="28" t="s">
        <v>351</v>
      </c>
      <c r="D393" s="4" t="s">
        <v>389</v>
      </c>
      <c r="E393" s="12">
        <v>27.99</v>
      </c>
      <c r="F393" s="12">
        <v>27.99</v>
      </c>
      <c r="G393" s="6">
        <f t="shared" si="90"/>
        <v>0</v>
      </c>
      <c r="H393" s="7">
        <f t="shared" si="91"/>
        <v>0</v>
      </c>
      <c r="I393" s="8">
        <v>32.15</v>
      </c>
      <c r="J393" s="9">
        <f t="shared" si="92"/>
        <v>32.15</v>
      </c>
      <c r="K393" s="3">
        <f t="shared" si="93"/>
        <v>0</v>
      </c>
      <c r="L393" s="7">
        <f t="shared" si="94"/>
        <v>0</v>
      </c>
      <c r="M393" t="s">
        <v>150</v>
      </c>
      <c r="O393" s="3">
        <f>E393-'310785 - P0524'!F393</f>
        <v>0</v>
      </c>
      <c r="P393" s="30">
        <f>I393-'310785 - P0524'!J393</f>
        <v>0</v>
      </c>
    </row>
    <row r="394" spans="1:16" x14ac:dyDescent="0.25">
      <c r="A394">
        <v>392</v>
      </c>
      <c r="B394" t="s">
        <v>387</v>
      </c>
      <c r="C394" s="28" t="s">
        <v>351</v>
      </c>
      <c r="D394" s="4" t="s">
        <v>390</v>
      </c>
      <c r="E394" s="12">
        <v>24.27</v>
      </c>
      <c r="F394" s="12">
        <v>24.27</v>
      </c>
      <c r="G394" s="6">
        <f t="shared" si="90"/>
        <v>0</v>
      </c>
      <c r="H394" s="7">
        <f t="shared" si="91"/>
        <v>0</v>
      </c>
      <c r="I394" s="8">
        <v>27.88</v>
      </c>
      <c r="J394" s="9">
        <f t="shared" si="92"/>
        <v>27.88</v>
      </c>
      <c r="K394" s="3">
        <f t="shared" si="93"/>
        <v>0</v>
      </c>
      <c r="L394" s="7">
        <f t="shared" si="94"/>
        <v>0</v>
      </c>
      <c r="M394" t="s">
        <v>150</v>
      </c>
      <c r="O394" s="3">
        <f>E394-'310785 - P0524'!F394</f>
        <v>0</v>
      </c>
      <c r="P394" s="30">
        <f>I394-'310785 - P0524'!J394</f>
        <v>0</v>
      </c>
    </row>
    <row r="395" spans="1:16" x14ac:dyDescent="0.25">
      <c r="A395">
        <v>393</v>
      </c>
      <c r="C395" s="28"/>
      <c r="D395" s="2" t="s">
        <v>391</v>
      </c>
      <c r="M395" t="s">
        <v>150</v>
      </c>
    </row>
    <row r="396" spans="1:16" x14ac:dyDescent="0.25">
      <c r="A396">
        <v>394</v>
      </c>
      <c r="B396" t="s">
        <v>322</v>
      </c>
      <c r="C396" s="28" t="s">
        <v>354</v>
      </c>
      <c r="D396" s="4" t="s">
        <v>392</v>
      </c>
      <c r="E396" s="12">
        <v>3.7791000000000001</v>
      </c>
      <c r="F396" s="12">
        <v>3.7791000000000001</v>
      </c>
      <c r="G396" s="6">
        <f t="shared" ref="G396:G413" si="95">+F396-E396</f>
        <v>0</v>
      </c>
      <c r="H396" s="7">
        <f t="shared" ref="H396:H413" si="96">(F396-E396)/ABS(E396)</f>
        <v>0</v>
      </c>
      <c r="I396" s="8">
        <v>7.5582000000000003</v>
      </c>
      <c r="J396" s="9">
        <f t="shared" ref="J396:J413" si="97">(I396*H396)+I396</f>
        <v>7.5582000000000003</v>
      </c>
      <c r="K396" s="3">
        <f t="shared" ref="K396:K413" si="98">J396-I396</f>
        <v>0</v>
      </c>
      <c r="L396" s="7">
        <f t="shared" ref="L396:L413" si="99">(J396-I396)/ABS(I396)</f>
        <v>0</v>
      </c>
      <c r="M396" t="s">
        <v>150</v>
      </c>
      <c r="O396" s="3">
        <f>E396-'310785 - P0524'!F396</f>
        <v>0</v>
      </c>
      <c r="P396" s="30">
        <f>I396-'310785 - P0524'!J396</f>
        <v>0</v>
      </c>
    </row>
    <row r="397" spans="1:16" x14ac:dyDescent="0.25">
      <c r="A397">
        <v>395</v>
      </c>
      <c r="B397" t="s">
        <v>476</v>
      </c>
      <c r="C397" s="28" t="s">
        <v>354</v>
      </c>
      <c r="D397" s="4" t="s">
        <v>393</v>
      </c>
      <c r="E397" s="12">
        <v>1.81</v>
      </c>
      <c r="F397" s="12">
        <v>1.81</v>
      </c>
      <c r="G397" s="6">
        <f t="shared" si="95"/>
        <v>0</v>
      </c>
      <c r="H397" s="7">
        <f t="shared" si="96"/>
        <v>0</v>
      </c>
      <c r="I397" s="8">
        <v>3.62</v>
      </c>
      <c r="J397" s="9">
        <f t="shared" si="97"/>
        <v>3.62</v>
      </c>
      <c r="K397" s="3">
        <f t="shared" si="98"/>
        <v>0</v>
      </c>
      <c r="L397" s="7">
        <f t="shared" si="99"/>
        <v>0</v>
      </c>
      <c r="M397" t="s">
        <v>150</v>
      </c>
      <c r="O397" s="3">
        <f>E397-'310785 - P0524'!F397</f>
        <v>0</v>
      </c>
      <c r="P397" s="30">
        <f>I397-'310785 - P0524'!J397</f>
        <v>0</v>
      </c>
    </row>
    <row r="398" spans="1:16" x14ac:dyDescent="0.25">
      <c r="A398">
        <v>396</v>
      </c>
      <c r="B398" t="s">
        <v>480</v>
      </c>
      <c r="C398" s="28" t="s">
        <v>354</v>
      </c>
      <c r="D398" s="4" t="s">
        <v>394</v>
      </c>
      <c r="E398" s="12">
        <v>3.01</v>
      </c>
      <c r="F398" s="12">
        <v>3.01</v>
      </c>
      <c r="G398" s="6">
        <f t="shared" si="95"/>
        <v>0</v>
      </c>
      <c r="H398" s="7">
        <f t="shared" si="96"/>
        <v>0</v>
      </c>
      <c r="I398" s="8">
        <v>6.02</v>
      </c>
      <c r="J398" s="9">
        <f t="shared" si="97"/>
        <v>6.02</v>
      </c>
      <c r="K398" s="3">
        <f t="shared" si="98"/>
        <v>0</v>
      </c>
      <c r="L398" s="7">
        <f t="shared" si="99"/>
        <v>0</v>
      </c>
      <c r="M398" t="s">
        <v>150</v>
      </c>
      <c r="O398" s="3">
        <f>E398-'310785 - P0524'!F398</f>
        <v>0</v>
      </c>
      <c r="P398" s="30">
        <f>I398-'310785 - P0524'!J398</f>
        <v>0</v>
      </c>
    </row>
    <row r="399" spans="1:16" x14ac:dyDescent="0.25">
      <c r="A399">
        <v>397</v>
      </c>
      <c r="B399" t="s">
        <v>470</v>
      </c>
      <c r="C399" s="28" t="s">
        <v>354</v>
      </c>
      <c r="D399" s="4" t="s">
        <v>395</v>
      </c>
      <c r="E399" s="12">
        <v>27.08</v>
      </c>
      <c r="F399" s="12">
        <v>27.08</v>
      </c>
      <c r="G399" s="6">
        <f t="shared" si="95"/>
        <v>0</v>
      </c>
      <c r="H399" s="7">
        <f t="shared" si="96"/>
        <v>0</v>
      </c>
      <c r="I399" s="8">
        <v>54.16</v>
      </c>
      <c r="J399" s="9">
        <f t="shared" si="97"/>
        <v>54.16</v>
      </c>
      <c r="K399" s="3">
        <f t="shared" si="98"/>
        <v>0</v>
      </c>
      <c r="L399" s="7">
        <f t="shared" si="99"/>
        <v>0</v>
      </c>
      <c r="M399" t="s">
        <v>150</v>
      </c>
      <c r="O399" s="3">
        <f>E399-'310785 - P0524'!F399</f>
        <v>0</v>
      </c>
      <c r="P399" s="30">
        <f>I399-'310785 - P0524'!J399</f>
        <v>0</v>
      </c>
    </row>
    <row r="400" spans="1:16" x14ac:dyDescent="0.25">
      <c r="A400">
        <v>398</v>
      </c>
      <c r="B400" t="s">
        <v>303</v>
      </c>
      <c r="C400" s="28" t="s">
        <v>354</v>
      </c>
      <c r="D400" s="4" t="s">
        <v>396</v>
      </c>
      <c r="E400" s="12">
        <v>18.07</v>
      </c>
      <c r="F400" s="12">
        <v>18.07</v>
      </c>
      <c r="G400" s="6">
        <f t="shared" si="95"/>
        <v>0</v>
      </c>
      <c r="H400" s="7">
        <f t="shared" si="96"/>
        <v>0</v>
      </c>
      <c r="I400" s="8">
        <v>32.273257621040045</v>
      </c>
      <c r="J400" s="9">
        <f t="shared" si="97"/>
        <v>32.273257621040045</v>
      </c>
      <c r="K400" s="3">
        <f t="shared" si="98"/>
        <v>0</v>
      </c>
      <c r="L400" s="7">
        <f t="shared" si="99"/>
        <v>0</v>
      </c>
      <c r="M400" t="s">
        <v>150</v>
      </c>
      <c r="O400" s="3">
        <f>E400-'310785 - P0524'!F400</f>
        <v>0</v>
      </c>
      <c r="P400" s="30">
        <f>I400-'310785 - P0524'!J400</f>
        <v>0</v>
      </c>
    </row>
    <row r="401" spans="1:16" x14ac:dyDescent="0.25">
      <c r="A401">
        <v>399</v>
      </c>
      <c r="B401" t="s">
        <v>303</v>
      </c>
      <c r="C401" s="28" t="s">
        <v>354</v>
      </c>
      <c r="D401" s="4" t="s">
        <v>397</v>
      </c>
      <c r="E401" s="12">
        <v>11.92</v>
      </c>
      <c r="F401" s="12">
        <v>11.92</v>
      </c>
      <c r="G401" s="6">
        <f t="shared" si="95"/>
        <v>0</v>
      </c>
      <c r="H401" s="7">
        <f t="shared" si="96"/>
        <v>0</v>
      </c>
      <c r="I401" s="8">
        <v>23.863213242453746</v>
      </c>
      <c r="J401" s="9">
        <f t="shared" si="97"/>
        <v>23.863213242453746</v>
      </c>
      <c r="K401" s="3">
        <f t="shared" si="98"/>
        <v>0</v>
      </c>
      <c r="L401" s="7">
        <f t="shared" si="99"/>
        <v>0</v>
      </c>
      <c r="M401" t="s">
        <v>150</v>
      </c>
      <c r="O401" s="3">
        <f>E401-'310785 - P0524'!F401</f>
        <v>0</v>
      </c>
      <c r="P401" s="30">
        <f>I401-'310785 - P0524'!J401</f>
        <v>0</v>
      </c>
    </row>
    <row r="402" spans="1:16" x14ac:dyDescent="0.25">
      <c r="A402">
        <v>400</v>
      </c>
      <c r="B402" t="s">
        <v>303</v>
      </c>
      <c r="C402" s="28" t="s">
        <v>354</v>
      </c>
      <c r="D402" s="4" t="s">
        <v>398</v>
      </c>
      <c r="E402" s="12">
        <v>12.97</v>
      </c>
      <c r="F402" s="12">
        <v>12.97</v>
      </c>
      <c r="G402" s="6">
        <f t="shared" si="95"/>
        <v>0</v>
      </c>
      <c r="H402" s="7">
        <f t="shared" si="96"/>
        <v>0</v>
      </c>
      <c r="I402" s="8">
        <v>25.96322291853178</v>
      </c>
      <c r="J402" s="9">
        <f t="shared" si="97"/>
        <v>25.96322291853178</v>
      </c>
      <c r="K402" s="3">
        <f t="shared" si="98"/>
        <v>0</v>
      </c>
      <c r="L402" s="7">
        <f t="shared" si="99"/>
        <v>0</v>
      </c>
      <c r="M402" t="s">
        <v>150</v>
      </c>
      <c r="O402" s="3">
        <f>E402-'310785 - P0524'!F402</f>
        <v>0</v>
      </c>
      <c r="P402" s="30">
        <f>I402-'310785 - P0524'!J402</f>
        <v>0</v>
      </c>
    </row>
    <row r="403" spans="1:16" x14ac:dyDescent="0.25">
      <c r="A403">
        <v>401</v>
      </c>
      <c r="B403" t="s">
        <v>475</v>
      </c>
      <c r="C403" s="28" t="s">
        <v>354</v>
      </c>
      <c r="D403" s="4" t="s">
        <v>399</v>
      </c>
      <c r="E403" s="12">
        <v>51.3</v>
      </c>
      <c r="F403" s="12">
        <v>51.3</v>
      </c>
      <c r="G403" s="6">
        <f t="shared" si="95"/>
        <v>0</v>
      </c>
      <c r="H403" s="7">
        <f t="shared" si="96"/>
        <v>0</v>
      </c>
      <c r="I403" s="8">
        <v>102.6</v>
      </c>
      <c r="J403" s="9">
        <f t="shared" si="97"/>
        <v>102.6</v>
      </c>
      <c r="K403" s="3">
        <f t="shared" si="98"/>
        <v>0</v>
      </c>
      <c r="L403" s="7">
        <f t="shared" si="99"/>
        <v>0</v>
      </c>
      <c r="M403" t="s">
        <v>150</v>
      </c>
      <c r="O403" s="3">
        <f>E403-'310785 - P0524'!F403</f>
        <v>0</v>
      </c>
      <c r="P403" s="30">
        <f>I403-'310785 - P0524'!J403</f>
        <v>0</v>
      </c>
    </row>
    <row r="404" spans="1:16" x14ac:dyDescent="0.25">
      <c r="A404">
        <v>402</v>
      </c>
      <c r="B404" t="s">
        <v>479</v>
      </c>
      <c r="C404" s="28" t="s">
        <v>354</v>
      </c>
      <c r="D404" s="4" t="s">
        <v>400</v>
      </c>
      <c r="E404" s="12">
        <v>21.37</v>
      </c>
      <c r="F404" s="12">
        <v>21.37</v>
      </c>
      <c r="G404" s="6">
        <f t="shared" si="95"/>
        <v>0</v>
      </c>
      <c r="H404" s="7">
        <f t="shared" si="96"/>
        <v>0</v>
      </c>
      <c r="I404" s="8">
        <v>42.74</v>
      </c>
      <c r="J404" s="9">
        <f t="shared" si="97"/>
        <v>42.74</v>
      </c>
      <c r="K404" s="3">
        <f t="shared" si="98"/>
        <v>0</v>
      </c>
      <c r="L404" s="7">
        <f t="shared" si="99"/>
        <v>0</v>
      </c>
      <c r="M404" t="s">
        <v>150</v>
      </c>
      <c r="O404" s="3">
        <f>E404-'310785 - P0524'!F404</f>
        <v>0</v>
      </c>
      <c r="P404" s="30">
        <f>I404-'310785 - P0524'!J404</f>
        <v>0</v>
      </c>
    </row>
    <row r="405" spans="1:16" x14ac:dyDescent="0.25">
      <c r="A405">
        <v>403</v>
      </c>
      <c r="B405" t="s">
        <v>476</v>
      </c>
      <c r="C405" s="28" t="s">
        <v>354</v>
      </c>
      <c r="D405" s="4" t="s">
        <v>401</v>
      </c>
      <c r="E405" s="12">
        <v>37.51</v>
      </c>
      <c r="F405" s="12">
        <v>37.51</v>
      </c>
      <c r="G405" s="6">
        <f t="shared" si="95"/>
        <v>0</v>
      </c>
      <c r="H405" s="7">
        <f t="shared" si="96"/>
        <v>0</v>
      </c>
      <c r="I405" s="8">
        <v>75.02</v>
      </c>
      <c r="J405" s="9">
        <f t="shared" si="97"/>
        <v>75.02</v>
      </c>
      <c r="K405" s="3">
        <f t="shared" si="98"/>
        <v>0</v>
      </c>
      <c r="L405" s="7">
        <f t="shared" si="99"/>
        <v>0</v>
      </c>
      <c r="M405" t="s">
        <v>150</v>
      </c>
      <c r="O405" s="3">
        <f>E405-'310785 - P0524'!F405</f>
        <v>0</v>
      </c>
      <c r="P405" s="30">
        <f>I405-'310785 - P0524'!J405</f>
        <v>0</v>
      </c>
    </row>
    <row r="406" spans="1:16" x14ac:dyDescent="0.25">
      <c r="A406">
        <v>404</v>
      </c>
      <c r="B406" t="s">
        <v>476</v>
      </c>
      <c r="C406" s="28" t="s">
        <v>354</v>
      </c>
      <c r="D406" s="4" t="s">
        <v>402</v>
      </c>
      <c r="E406" s="12">
        <v>1.79</v>
      </c>
      <c r="F406" s="12">
        <v>1.79</v>
      </c>
      <c r="G406" s="6">
        <f t="shared" si="95"/>
        <v>0</v>
      </c>
      <c r="H406" s="7">
        <f t="shared" si="96"/>
        <v>0</v>
      </c>
      <c r="I406" s="8">
        <v>4</v>
      </c>
      <c r="J406" s="9">
        <f t="shared" si="97"/>
        <v>4</v>
      </c>
      <c r="K406" s="3">
        <f t="shared" si="98"/>
        <v>0</v>
      </c>
      <c r="L406" s="7">
        <f t="shared" si="99"/>
        <v>0</v>
      </c>
      <c r="M406" t="s">
        <v>150</v>
      </c>
      <c r="O406" s="3">
        <f>E406-'310785 - P0524'!F406</f>
        <v>0</v>
      </c>
      <c r="P406" s="30">
        <f>I406-'310785 - P0524'!J406</f>
        <v>0</v>
      </c>
    </row>
    <row r="407" spans="1:16" x14ac:dyDescent="0.25">
      <c r="A407">
        <v>405</v>
      </c>
      <c r="B407" t="s">
        <v>476</v>
      </c>
      <c r="C407" s="28" t="s">
        <v>354</v>
      </c>
      <c r="D407" s="4" t="s">
        <v>403</v>
      </c>
      <c r="E407" s="12">
        <v>2.4700000000000002</v>
      </c>
      <c r="F407" s="12">
        <v>2.4700000000000002</v>
      </c>
      <c r="G407" s="6">
        <f t="shared" si="95"/>
        <v>0</v>
      </c>
      <c r="H407" s="7">
        <f t="shared" si="96"/>
        <v>0</v>
      </c>
      <c r="I407" s="8">
        <v>5</v>
      </c>
      <c r="J407" s="9">
        <f t="shared" si="97"/>
        <v>5</v>
      </c>
      <c r="K407" s="3">
        <f t="shared" si="98"/>
        <v>0</v>
      </c>
      <c r="L407" s="7">
        <f t="shared" si="99"/>
        <v>0</v>
      </c>
      <c r="M407" t="s">
        <v>150</v>
      </c>
      <c r="O407" s="3">
        <f>E407-'310785 - P0524'!F407</f>
        <v>0</v>
      </c>
      <c r="P407" s="30">
        <f>I407-'310785 - P0524'!J407</f>
        <v>0</v>
      </c>
    </row>
    <row r="408" spans="1:16" x14ac:dyDescent="0.25">
      <c r="A408">
        <v>406</v>
      </c>
      <c r="B408" t="s">
        <v>474</v>
      </c>
      <c r="C408" s="28" t="s">
        <v>354</v>
      </c>
      <c r="D408" s="4" t="s">
        <v>404</v>
      </c>
      <c r="E408" s="12">
        <v>6.48</v>
      </c>
      <c r="F408" s="12">
        <v>6.48</v>
      </c>
      <c r="G408" s="6">
        <f t="shared" si="95"/>
        <v>0</v>
      </c>
      <c r="H408" s="7">
        <f t="shared" si="96"/>
        <v>0</v>
      </c>
      <c r="I408" s="8">
        <v>12.96</v>
      </c>
      <c r="J408" s="9">
        <f t="shared" si="97"/>
        <v>12.96</v>
      </c>
      <c r="K408" s="3">
        <f t="shared" si="98"/>
        <v>0</v>
      </c>
      <c r="L408" s="7">
        <f t="shared" si="99"/>
        <v>0</v>
      </c>
      <c r="M408" t="s">
        <v>150</v>
      </c>
      <c r="O408" s="3">
        <f>E408-'310785 - P0524'!F408</f>
        <v>0</v>
      </c>
      <c r="P408" s="30">
        <f>I408-'310785 - P0524'!J408</f>
        <v>0</v>
      </c>
    </row>
    <row r="409" spans="1:16" x14ac:dyDescent="0.25">
      <c r="A409">
        <v>407</v>
      </c>
      <c r="B409" t="s">
        <v>474</v>
      </c>
      <c r="C409" s="28" t="s">
        <v>354</v>
      </c>
      <c r="D409" s="4" t="s">
        <v>405</v>
      </c>
      <c r="E409" s="12">
        <v>10.78</v>
      </c>
      <c r="F409" s="12">
        <v>10.78</v>
      </c>
      <c r="G409" s="6">
        <f t="shared" si="95"/>
        <v>0</v>
      </c>
      <c r="H409" s="7">
        <f t="shared" si="96"/>
        <v>0</v>
      </c>
      <c r="I409" s="8">
        <v>21.56</v>
      </c>
      <c r="J409" s="9">
        <f t="shared" si="97"/>
        <v>21.56</v>
      </c>
      <c r="K409" s="3">
        <f t="shared" si="98"/>
        <v>0</v>
      </c>
      <c r="L409" s="7">
        <f t="shared" si="99"/>
        <v>0</v>
      </c>
      <c r="M409" t="s">
        <v>150</v>
      </c>
      <c r="O409" s="3">
        <f>E409-'310785 - P0524'!F409</f>
        <v>0</v>
      </c>
      <c r="P409" s="30">
        <f>I409-'310785 - P0524'!J409</f>
        <v>0</v>
      </c>
    </row>
    <row r="410" spans="1:16" x14ac:dyDescent="0.25">
      <c r="A410">
        <v>408</v>
      </c>
      <c r="B410" t="s">
        <v>474</v>
      </c>
      <c r="C410" s="28" t="s">
        <v>354</v>
      </c>
      <c r="D410" s="4" t="s">
        <v>406</v>
      </c>
      <c r="E410" s="12">
        <v>13.22</v>
      </c>
      <c r="F410" s="12">
        <v>13.22</v>
      </c>
      <c r="G410" s="6">
        <f t="shared" si="95"/>
        <v>0</v>
      </c>
      <c r="H410" s="7">
        <f t="shared" si="96"/>
        <v>0</v>
      </c>
      <c r="I410" s="8">
        <v>26.44</v>
      </c>
      <c r="J410" s="9">
        <f t="shared" si="97"/>
        <v>26.44</v>
      </c>
      <c r="K410" s="3">
        <f t="shared" si="98"/>
        <v>0</v>
      </c>
      <c r="L410" s="7">
        <f t="shared" si="99"/>
        <v>0</v>
      </c>
      <c r="M410" t="s">
        <v>150</v>
      </c>
      <c r="O410" s="3">
        <f>E410-'310785 - P0524'!F410</f>
        <v>0</v>
      </c>
      <c r="P410" s="30">
        <f>I410-'310785 - P0524'!J410</f>
        <v>0</v>
      </c>
    </row>
    <row r="411" spans="1:16" x14ac:dyDescent="0.25">
      <c r="A411">
        <v>409</v>
      </c>
      <c r="B411" t="s">
        <v>476</v>
      </c>
      <c r="C411" s="28" t="s">
        <v>354</v>
      </c>
      <c r="D411" s="4" t="s">
        <v>407</v>
      </c>
      <c r="E411" s="12">
        <v>14.72</v>
      </c>
      <c r="F411" s="12">
        <v>14.72</v>
      </c>
      <c r="G411" s="6">
        <f t="shared" si="95"/>
        <v>0</v>
      </c>
      <c r="H411" s="7">
        <f t="shared" si="96"/>
        <v>0</v>
      </c>
      <c r="I411" s="8">
        <v>29.44</v>
      </c>
      <c r="J411" s="9">
        <f t="shared" si="97"/>
        <v>29.44</v>
      </c>
      <c r="K411" s="3">
        <f t="shared" si="98"/>
        <v>0</v>
      </c>
      <c r="L411" s="7">
        <f t="shared" si="99"/>
        <v>0</v>
      </c>
      <c r="M411" t="s">
        <v>150</v>
      </c>
      <c r="O411" s="3">
        <f>E411-'310785 - P0524'!F411</f>
        <v>0</v>
      </c>
      <c r="P411" s="30">
        <f>I411-'310785 - P0524'!J411</f>
        <v>0</v>
      </c>
    </row>
    <row r="412" spans="1:16" x14ac:dyDescent="0.25">
      <c r="A412">
        <v>410</v>
      </c>
      <c r="B412" t="s">
        <v>476</v>
      </c>
      <c r="C412" s="28" t="s">
        <v>354</v>
      </c>
      <c r="D412" s="4" t="s">
        <v>408</v>
      </c>
      <c r="E412" s="12">
        <v>3.74</v>
      </c>
      <c r="F412" s="12">
        <v>3.74</v>
      </c>
      <c r="G412" s="6">
        <f t="shared" si="95"/>
        <v>0</v>
      </c>
      <c r="H412" s="7">
        <f t="shared" si="96"/>
        <v>0</v>
      </c>
      <c r="I412" s="8">
        <v>7.48</v>
      </c>
      <c r="J412" s="9">
        <f t="shared" si="97"/>
        <v>7.48</v>
      </c>
      <c r="K412" s="3">
        <f t="shared" si="98"/>
        <v>0</v>
      </c>
      <c r="L412" s="7">
        <f t="shared" si="99"/>
        <v>0</v>
      </c>
      <c r="M412" t="s">
        <v>150</v>
      </c>
      <c r="O412" s="3">
        <f>E412-'310785 - P0524'!F412</f>
        <v>0</v>
      </c>
      <c r="P412" s="30">
        <f>I412-'310785 - P0524'!J412</f>
        <v>0</v>
      </c>
    </row>
    <row r="413" spans="1:16" x14ac:dyDescent="0.25">
      <c r="A413">
        <v>411</v>
      </c>
      <c r="B413" t="s">
        <v>476</v>
      </c>
      <c r="C413" s="28" t="s">
        <v>354</v>
      </c>
      <c r="D413" s="4" t="s">
        <v>409</v>
      </c>
      <c r="E413" s="12">
        <v>5.12</v>
      </c>
      <c r="F413" s="12">
        <v>5.12</v>
      </c>
      <c r="G413" s="6">
        <f t="shared" si="95"/>
        <v>0</v>
      </c>
      <c r="H413" s="7">
        <f t="shared" si="96"/>
        <v>0</v>
      </c>
      <c r="I413" s="8">
        <v>10.24</v>
      </c>
      <c r="J413" s="9">
        <f t="shared" si="97"/>
        <v>10.24</v>
      </c>
      <c r="K413" s="3">
        <f t="shared" si="98"/>
        <v>0</v>
      </c>
      <c r="L413" s="7">
        <f t="shared" si="99"/>
        <v>0</v>
      </c>
      <c r="M413" t="s">
        <v>150</v>
      </c>
      <c r="O413" s="3">
        <f>E413-'310785 - P0524'!F413</f>
        <v>0</v>
      </c>
      <c r="P413" s="30">
        <f>I413-'310785 - P0524'!J413</f>
        <v>0</v>
      </c>
    </row>
    <row r="414" spans="1:16" x14ac:dyDescent="0.25">
      <c r="A414">
        <v>412</v>
      </c>
      <c r="D414" s="2" t="s">
        <v>410</v>
      </c>
      <c r="H414" s="10">
        <f>AVERAGE(H349:H410)</f>
        <v>-0.6271186440677966</v>
      </c>
    </row>
    <row r="415" spans="1:16" x14ac:dyDescent="0.25">
      <c r="D415" s="2" t="s">
        <v>411</v>
      </c>
    </row>
    <row r="416" spans="1:16" x14ac:dyDescent="0.25">
      <c r="D416" s="17" t="s">
        <v>412</v>
      </c>
      <c r="E416" s="5">
        <v>555</v>
      </c>
      <c r="F416" s="5">
        <v>495</v>
      </c>
      <c r="G416" s="6">
        <f t="shared" ref="G416:G425" si="100">+F416-E416</f>
        <v>-60</v>
      </c>
      <c r="H416" s="7">
        <f t="shared" ref="H416:H425" si="101">(F416-E416)/ABS(E416)</f>
        <v>-0.10810810810810811</v>
      </c>
      <c r="J416" s="3"/>
      <c r="K416" s="3"/>
      <c r="L416" s="7"/>
    </row>
    <row r="417" spans="1:16" x14ac:dyDescent="0.25">
      <c r="D417" s="17" t="s">
        <v>413</v>
      </c>
      <c r="E417" s="5">
        <v>545</v>
      </c>
      <c r="F417" s="5">
        <v>485</v>
      </c>
      <c r="G417" s="6">
        <f t="shared" si="100"/>
        <v>-60</v>
      </c>
      <c r="H417" s="7">
        <f t="shared" si="101"/>
        <v>-0.11009174311926606</v>
      </c>
      <c r="J417" s="3"/>
      <c r="K417" s="3"/>
      <c r="L417" s="7"/>
    </row>
    <row r="418" spans="1:16" x14ac:dyDescent="0.25">
      <c r="D418" s="17" t="s">
        <v>414</v>
      </c>
      <c r="E418" s="5">
        <v>863</v>
      </c>
      <c r="F418" s="5">
        <v>818</v>
      </c>
      <c r="G418" s="6">
        <f t="shared" si="100"/>
        <v>-45</v>
      </c>
      <c r="H418" s="7">
        <f t="shared" si="101"/>
        <v>-5.2143684820393978E-2</v>
      </c>
      <c r="J418" s="3"/>
      <c r="K418" s="3"/>
      <c r="L418" s="7"/>
    </row>
    <row r="419" spans="1:16" x14ac:dyDescent="0.25">
      <c r="D419" s="4" t="s">
        <v>415</v>
      </c>
      <c r="E419" s="5">
        <v>664</v>
      </c>
      <c r="F419" s="5">
        <v>654</v>
      </c>
      <c r="G419" s="6">
        <f t="shared" si="100"/>
        <v>-10</v>
      </c>
      <c r="H419" s="7">
        <f t="shared" si="101"/>
        <v>-1.5060240963855422E-2</v>
      </c>
      <c r="J419" s="3"/>
      <c r="K419" s="3"/>
      <c r="L419" s="7"/>
    </row>
    <row r="420" spans="1:16" x14ac:dyDescent="0.25">
      <c r="D420" s="4" t="s">
        <v>416</v>
      </c>
      <c r="E420" s="5">
        <v>619</v>
      </c>
      <c r="F420" s="5">
        <v>604</v>
      </c>
      <c r="G420" s="6">
        <f t="shared" si="100"/>
        <v>-15</v>
      </c>
      <c r="H420" s="7">
        <f t="shared" si="101"/>
        <v>-2.4232633279483037E-2</v>
      </c>
      <c r="J420" s="3"/>
      <c r="K420" s="3"/>
      <c r="L420" s="7"/>
    </row>
    <row r="421" spans="1:16" x14ac:dyDescent="0.25">
      <c r="D421" s="4" t="s">
        <v>417</v>
      </c>
      <c r="E421" s="5">
        <v>1510</v>
      </c>
      <c r="F421" s="5">
        <v>1485</v>
      </c>
      <c r="G421" s="6">
        <f t="shared" si="100"/>
        <v>-25</v>
      </c>
      <c r="H421" s="7">
        <f t="shared" si="101"/>
        <v>-1.6556291390728478E-2</v>
      </c>
      <c r="J421" s="3"/>
      <c r="K421" s="3"/>
      <c r="L421" s="7"/>
    </row>
    <row r="422" spans="1:16" x14ac:dyDescent="0.25">
      <c r="D422" s="4" t="s">
        <v>418</v>
      </c>
      <c r="E422" s="5">
        <v>1500</v>
      </c>
      <c r="F422" s="5">
        <v>1460</v>
      </c>
      <c r="G422" s="6">
        <f t="shared" si="100"/>
        <v>-40</v>
      </c>
      <c r="H422" s="7">
        <f t="shared" si="101"/>
        <v>-2.6666666666666668E-2</v>
      </c>
      <c r="J422" s="3"/>
      <c r="K422" s="3"/>
      <c r="L422" s="7"/>
    </row>
    <row r="423" spans="1:16" x14ac:dyDescent="0.25">
      <c r="D423" s="4" t="s">
        <v>419</v>
      </c>
      <c r="E423" s="5">
        <v>834</v>
      </c>
      <c r="F423" s="5">
        <v>799</v>
      </c>
      <c r="G423" s="6">
        <f t="shared" si="100"/>
        <v>-35</v>
      </c>
      <c r="H423" s="7">
        <f t="shared" si="101"/>
        <v>-4.1966426858513192E-2</v>
      </c>
      <c r="J423" s="3"/>
      <c r="K423" s="3"/>
      <c r="L423" s="7"/>
    </row>
    <row r="424" spans="1:16" x14ac:dyDescent="0.25">
      <c r="D424" s="4" t="s">
        <v>420</v>
      </c>
      <c r="E424" s="5">
        <v>749</v>
      </c>
      <c r="F424" s="5">
        <v>709</v>
      </c>
      <c r="G424" s="6">
        <f t="shared" si="100"/>
        <v>-40</v>
      </c>
      <c r="H424" s="7">
        <f t="shared" si="101"/>
        <v>-5.3404539385847799E-2</v>
      </c>
      <c r="J424" s="3"/>
      <c r="K424" s="3"/>
      <c r="L424" s="7"/>
    </row>
    <row r="425" spans="1:16" x14ac:dyDescent="0.25">
      <c r="D425" s="4" t="s">
        <v>421</v>
      </c>
      <c r="E425" s="5">
        <v>1007</v>
      </c>
      <c r="F425" s="5">
        <v>972</v>
      </c>
      <c r="G425" s="6">
        <f t="shared" si="100"/>
        <v>-35</v>
      </c>
      <c r="H425" s="7">
        <f t="shared" si="101"/>
        <v>-3.4756703078450843E-2</v>
      </c>
      <c r="J425" s="3"/>
      <c r="K425" s="3"/>
      <c r="L425" s="7"/>
    </row>
    <row r="426" spans="1:16" s="3" customFormat="1" x14ac:dyDescent="0.25">
      <c r="A426"/>
      <c r="B426"/>
      <c r="C426"/>
      <c r="D426" s="2" t="s">
        <v>422</v>
      </c>
      <c r="H426" s="10">
        <f>AVERAGE(H416:H425)</f>
        <v>-4.8298703767131364E-2</v>
      </c>
      <c r="J426"/>
      <c r="K426"/>
      <c r="L426"/>
      <c r="M426"/>
      <c r="N426"/>
      <c r="P426" s="30"/>
    </row>
  </sheetData>
  <autoFilter ref="A1:M426" xr:uid="{00000000-0009-0000-0000-000001000000}"/>
  <pageMargins left="0.7" right="0.7" top="0.75" bottom="0.75" header="0.3" footer="0.3"/>
  <pageSetup orientation="portrait" horizontalDpi="1200" verticalDpi="12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0CC5-382F-466D-833B-BF63EDBE58AC}">
  <dimension ref="A1:P426"/>
  <sheetViews>
    <sheetView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4" bestFit="1" customWidth="1"/>
    <col min="2" max="2" width="14.85546875" customWidth="1"/>
    <col min="3" max="3" width="9" customWidth="1"/>
    <col min="4" max="4" width="76.7109375" customWidth="1"/>
    <col min="5" max="5" width="28.42578125" style="3" customWidth="1"/>
    <col min="6" max="6" width="29.5703125" style="3" customWidth="1"/>
    <col min="7" max="7" width="8.28515625" style="3" customWidth="1"/>
    <col min="8" max="8" width="7.7109375" style="3" customWidth="1"/>
    <col min="9" max="9" width="28.42578125" style="3" customWidth="1"/>
    <col min="10" max="10" width="29.5703125" customWidth="1"/>
    <col min="16" max="16" width="9.140625" style="30"/>
  </cols>
  <sheetData>
    <row r="1" spans="1:16" x14ac:dyDescent="0.25">
      <c r="E1" s="1" t="s">
        <v>0</v>
      </c>
      <c r="F1" s="1" t="s">
        <v>0</v>
      </c>
      <c r="G1" s="1"/>
      <c r="H1" s="1"/>
      <c r="I1" s="1" t="s">
        <v>1</v>
      </c>
      <c r="J1" s="1" t="s">
        <v>1</v>
      </c>
      <c r="M1" t="s">
        <v>2</v>
      </c>
    </row>
    <row r="2" spans="1:16" x14ac:dyDescent="0.25">
      <c r="B2" t="s">
        <v>3</v>
      </c>
      <c r="C2" t="s">
        <v>4</v>
      </c>
      <c r="D2" t="s">
        <v>5</v>
      </c>
      <c r="E2" s="1" t="s">
        <v>517</v>
      </c>
      <c r="F2" s="1" t="s">
        <v>519</v>
      </c>
      <c r="G2" s="1"/>
      <c r="H2" s="1"/>
      <c r="I2" s="1" t="s">
        <v>517</v>
      </c>
      <c r="J2" s="1" t="s">
        <v>519</v>
      </c>
    </row>
    <row r="3" spans="1:16" x14ac:dyDescent="0.25">
      <c r="A3">
        <v>1</v>
      </c>
      <c r="D3" s="2" t="s">
        <v>6</v>
      </c>
      <c r="M3" t="s">
        <v>7</v>
      </c>
    </row>
    <row r="4" spans="1:16" x14ac:dyDescent="0.25">
      <c r="A4">
        <v>2</v>
      </c>
      <c r="C4" t="s">
        <v>8</v>
      </c>
      <c r="D4" s="4" t="s">
        <v>9</v>
      </c>
      <c r="E4" s="5">
        <v>751</v>
      </c>
      <c r="F4" s="5">
        <v>681</v>
      </c>
      <c r="G4" s="6">
        <f t="shared" ref="G4:G23" si="0">+F4-E4</f>
        <v>-70</v>
      </c>
      <c r="H4" s="7">
        <f t="shared" ref="H4:H23" si="1">(F4-E4)/ABS(E4)</f>
        <v>-9.3209054593874838E-2</v>
      </c>
      <c r="I4" s="8">
        <v>905.89918887601391</v>
      </c>
      <c r="J4" s="9">
        <f t="shared" ref="J4:J23" si="2">(I4*H4)+I4</f>
        <v>821.46118192352264</v>
      </c>
      <c r="K4" s="3">
        <f t="shared" ref="K4:K23" si="3">J4-I4</f>
        <v>-84.438006952491264</v>
      </c>
      <c r="L4" s="7">
        <f t="shared" ref="L4:L23" si="4">(J4-I4)/ABS(I4)</f>
        <v>-9.3209054593874782E-2</v>
      </c>
      <c r="M4" t="s">
        <v>7</v>
      </c>
      <c r="O4" s="3">
        <f>E4-'305245 - P0424'!F4</f>
        <v>0</v>
      </c>
      <c r="P4" s="30">
        <f>I4-'305245 - P0424'!J4</f>
        <v>0</v>
      </c>
    </row>
    <row r="5" spans="1:16" x14ac:dyDescent="0.25">
      <c r="A5">
        <v>3</v>
      </c>
      <c r="D5" s="4" t="s">
        <v>10</v>
      </c>
      <c r="E5" s="8">
        <f>E4</f>
        <v>751</v>
      </c>
      <c r="F5" s="8">
        <f>F4</f>
        <v>681</v>
      </c>
      <c r="G5" s="6">
        <f t="shared" si="0"/>
        <v>-70</v>
      </c>
      <c r="H5" s="7">
        <f t="shared" si="1"/>
        <v>-9.3209054593874838E-2</v>
      </c>
      <c r="I5" s="8">
        <v>905.89918887601391</v>
      </c>
      <c r="J5" s="9">
        <f t="shared" si="2"/>
        <v>821.46118192352264</v>
      </c>
      <c r="K5" s="3">
        <f t="shared" si="3"/>
        <v>-84.438006952491264</v>
      </c>
      <c r="L5" s="7">
        <f t="shared" si="4"/>
        <v>-9.3209054593874782E-2</v>
      </c>
      <c r="M5" t="s">
        <v>7</v>
      </c>
      <c r="O5" s="3">
        <f>E5-'305245 - P0424'!F5</f>
        <v>0</v>
      </c>
      <c r="P5" s="30">
        <f>I5-'305245 - P0424'!J5</f>
        <v>0</v>
      </c>
    </row>
    <row r="6" spans="1:16" x14ac:dyDescent="0.25">
      <c r="A6">
        <v>4</v>
      </c>
      <c r="D6" s="4" t="s">
        <v>11</v>
      </c>
      <c r="E6" s="8">
        <f>E4</f>
        <v>751</v>
      </c>
      <c r="F6" s="8">
        <f>F4</f>
        <v>681</v>
      </c>
      <c r="G6" s="6">
        <f t="shared" si="0"/>
        <v>-70</v>
      </c>
      <c r="H6" s="7">
        <f t="shared" si="1"/>
        <v>-9.3209054593874838E-2</v>
      </c>
      <c r="I6" s="8">
        <v>905.89918887601391</v>
      </c>
      <c r="J6" s="9">
        <f t="shared" si="2"/>
        <v>821.46118192352264</v>
      </c>
      <c r="K6" s="3">
        <f t="shared" si="3"/>
        <v>-84.438006952491264</v>
      </c>
      <c r="L6" s="7">
        <f t="shared" si="4"/>
        <v>-9.3209054593874782E-2</v>
      </c>
      <c r="M6" t="s">
        <v>7</v>
      </c>
      <c r="O6" s="3">
        <f>E6-'305245 - P0424'!F6</f>
        <v>0</v>
      </c>
      <c r="P6" s="30">
        <f>I6-'305245 - P0424'!J6</f>
        <v>0</v>
      </c>
    </row>
    <row r="7" spans="1:16" x14ac:dyDescent="0.25">
      <c r="A7">
        <v>5</v>
      </c>
      <c r="C7" t="s">
        <v>8</v>
      </c>
      <c r="D7" s="4" t="s">
        <v>12</v>
      </c>
      <c r="E7" s="5">
        <v>756</v>
      </c>
      <c r="F7" s="5">
        <v>706</v>
      </c>
      <c r="G7" s="6">
        <f t="shared" si="0"/>
        <v>-50</v>
      </c>
      <c r="H7" s="7">
        <f t="shared" si="1"/>
        <v>-6.6137566137566134E-2</v>
      </c>
      <c r="I7" s="8">
        <v>975.87623762376222</v>
      </c>
      <c r="J7" s="9">
        <f t="shared" si="2"/>
        <v>911.33415841584144</v>
      </c>
      <c r="K7" s="3">
        <f t="shared" si="3"/>
        <v>-64.542079207920779</v>
      </c>
      <c r="L7" s="7">
        <f t="shared" si="4"/>
        <v>-6.6137566137566134E-2</v>
      </c>
      <c r="M7" t="s">
        <v>7</v>
      </c>
      <c r="N7" s="27"/>
      <c r="O7" s="3">
        <f>E7-'305245 - P0424'!F7</f>
        <v>0</v>
      </c>
      <c r="P7" s="30">
        <f>I7-'305245 - P0424'!J7</f>
        <v>0</v>
      </c>
    </row>
    <row r="8" spans="1:16" x14ac:dyDescent="0.25">
      <c r="A8">
        <v>6</v>
      </c>
      <c r="D8" s="4" t="s">
        <v>13</v>
      </c>
      <c r="E8" s="8">
        <f>E7</f>
        <v>756</v>
      </c>
      <c r="F8" s="8">
        <f>F7</f>
        <v>706</v>
      </c>
      <c r="G8" s="6">
        <f t="shared" si="0"/>
        <v>-50</v>
      </c>
      <c r="H8" s="7">
        <f t="shared" si="1"/>
        <v>-6.6137566137566134E-2</v>
      </c>
      <c r="I8" s="8">
        <v>975.87623762376222</v>
      </c>
      <c r="J8" s="9">
        <f t="shared" si="2"/>
        <v>911.33415841584144</v>
      </c>
      <c r="K8" s="3">
        <f t="shared" si="3"/>
        <v>-64.542079207920779</v>
      </c>
      <c r="L8" s="7">
        <f t="shared" si="4"/>
        <v>-6.6137566137566134E-2</v>
      </c>
      <c r="M8" t="s">
        <v>7</v>
      </c>
      <c r="N8" s="27"/>
      <c r="O8" s="3">
        <f>E8-'305245 - P0424'!F8</f>
        <v>0</v>
      </c>
      <c r="P8" s="30">
        <f>I8-'305245 - P0424'!J8</f>
        <v>0</v>
      </c>
    </row>
    <row r="9" spans="1:16" x14ac:dyDescent="0.25">
      <c r="A9">
        <v>7</v>
      </c>
      <c r="D9" s="4" t="s">
        <v>14</v>
      </c>
      <c r="E9" s="8">
        <f>E7</f>
        <v>756</v>
      </c>
      <c r="F9" s="8">
        <f>F7</f>
        <v>706</v>
      </c>
      <c r="G9" s="6">
        <f t="shared" si="0"/>
        <v>-50</v>
      </c>
      <c r="H9" s="7">
        <f t="shared" si="1"/>
        <v>-6.6137566137566134E-2</v>
      </c>
      <c r="I9" s="8">
        <v>975.87623762376222</v>
      </c>
      <c r="J9" s="9">
        <f t="shared" si="2"/>
        <v>911.33415841584144</v>
      </c>
      <c r="K9" s="3">
        <f t="shared" si="3"/>
        <v>-64.542079207920779</v>
      </c>
      <c r="L9" s="7">
        <f t="shared" si="4"/>
        <v>-6.6137566137566134E-2</v>
      </c>
      <c r="M9" t="s">
        <v>7</v>
      </c>
      <c r="N9" s="27"/>
      <c r="O9" s="3">
        <f>E9-'305245 - P0424'!F9</f>
        <v>0</v>
      </c>
      <c r="P9" s="30">
        <f>I9-'305245 - P0424'!J9</f>
        <v>0</v>
      </c>
    </row>
    <row r="10" spans="1:16" x14ac:dyDescent="0.25">
      <c r="A10">
        <v>8</v>
      </c>
      <c r="C10" t="s">
        <v>8</v>
      </c>
      <c r="D10" s="4" t="s">
        <v>15</v>
      </c>
      <c r="E10" s="5">
        <v>940</v>
      </c>
      <c r="F10" s="5">
        <v>889</v>
      </c>
      <c r="G10" s="6">
        <f t="shared" si="0"/>
        <v>-51</v>
      </c>
      <c r="H10" s="7">
        <f t="shared" si="1"/>
        <v>-5.4255319148936172E-2</v>
      </c>
      <c r="I10" s="8">
        <v>1248.4136437466163</v>
      </c>
      <c r="J10" s="9">
        <f t="shared" si="2"/>
        <v>1180.6805630752574</v>
      </c>
      <c r="K10" s="3">
        <f t="shared" si="3"/>
        <v>-67.733080671358948</v>
      </c>
      <c r="L10" s="7">
        <f t="shared" si="4"/>
        <v>-5.4255319148936151E-2</v>
      </c>
      <c r="M10" t="s">
        <v>7</v>
      </c>
      <c r="N10" s="27"/>
      <c r="O10" s="3">
        <f>E10-'305245 - P0424'!F10</f>
        <v>0</v>
      </c>
      <c r="P10" s="30">
        <f>I10-'305245 - P0424'!J10</f>
        <v>0</v>
      </c>
    </row>
    <row r="11" spans="1:16" x14ac:dyDescent="0.25">
      <c r="A11">
        <v>9</v>
      </c>
      <c r="D11" s="4" t="s">
        <v>16</v>
      </c>
      <c r="E11" s="8">
        <f>E10</f>
        <v>940</v>
      </c>
      <c r="F11" s="8">
        <f>F10</f>
        <v>889</v>
      </c>
      <c r="G11" s="6">
        <f t="shared" si="0"/>
        <v>-51</v>
      </c>
      <c r="H11" s="7">
        <f t="shared" si="1"/>
        <v>-5.4255319148936172E-2</v>
      </c>
      <c r="I11" s="8">
        <v>1248.4136437466163</v>
      </c>
      <c r="J11" s="9">
        <f t="shared" si="2"/>
        <v>1180.6805630752574</v>
      </c>
      <c r="K11" s="3">
        <f t="shared" si="3"/>
        <v>-67.733080671358948</v>
      </c>
      <c r="L11" s="7">
        <f t="shared" si="4"/>
        <v>-5.4255319148936151E-2</v>
      </c>
      <c r="M11" t="s">
        <v>7</v>
      </c>
      <c r="N11" s="27"/>
      <c r="O11" s="3">
        <f>E11-'305245 - P0424'!F11</f>
        <v>0</v>
      </c>
      <c r="P11" s="30">
        <f>I11-'305245 - P0424'!J11</f>
        <v>0</v>
      </c>
    </row>
    <row r="12" spans="1:16" x14ac:dyDescent="0.25">
      <c r="A12">
        <v>10</v>
      </c>
      <c r="C12" t="s">
        <v>8</v>
      </c>
      <c r="D12" s="4" t="s">
        <v>17</v>
      </c>
      <c r="E12" s="5">
        <v>866</v>
      </c>
      <c r="F12" s="5">
        <v>832</v>
      </c>
      <c r="G12" s="6">
        <f t="shared" si="0"/>
        <v>-34</v>
      </c>
      <c r="H12" s="7">
        <f t="shared" si="1"/>
        <v>-3.9260969976905313E-2</v>
      </c>
      <c r="I12" s="8">
        <v>1033.0075839653307</v>
      </c>
      <c r="J12" s="9">
        <f t="shared" si="2"/>
        <v>992.45070422535241</v>
      </c>
      <c r="K12" s="3">
        <f t="shared" si="3"/>
        <v>-40.556879739978285</v>
      </c>
      <c r="L12" s="7">
        <f t="shared" si="4"/>
        <v>-3.9260969976905258E-2</v>
      </c>
      <c r="M12" t="s">
        <v>7</v>
      </c>
      <c r="N12" s="27"/>
      <c r="O12" s="3">
        <f>E12-'305245 - P0424'!F12</f>
        <v>0</v>
      </c>
      <c r="P12" s="30">
        <f>I12-'305245 - P0424'!J12</f>
        <v>0</v>
      </c>
    </row>
    <row r="13" spans="1:16" x14ac:dyDescent="0.25">
      <c r="A13">
        <v>11</v>
      </c>
      <c r="D13" s="4" t="s">
        <v>18</v>
      </c>
      <c r="E13" s="8">
        <f>E12</f>
        <v>866</v>
      </c>
      <c r="F13" s="8">
        <f>F12</f>
        <v>832</v>
      </c>
      <c r="G13" s="6">
        <f t="shared" si="0"/>
        <v>-34</v>
      </c>
      <c r="H13" s="7">
        <f t="shared" si="1"/>
        <v>-3.9260969976905313E-2</v>
      </c>
      <c r="I13" s="8">
        <v>1033.0075839653307</v>
      </c>
      <c r="J13" s="9">
        <f t="shared" si="2"/>
        <v>992.45070422535241</v>
      </c>
      <c r="K13" s="3">
        <f t="shared" si="3"/>
        <v>-40.556879739978285</v>
      </c>
      <c r="L13" s="7">
        <f t="shared" si="4"/>
        <v>-3.9260969976905258E-2</v>
      </c>
      <c r="M13" t="s">
        <v>7</v>
      </c>
      <c r="N13" s="27"/>
      <c r="O13" s="3">
        <f>E13-'305245 - P0424'!F13</f>
        <v>0</v>
      </c>
      <c r="P13" s="30">
        <f>I13-'305245 - P0424'!J13</f>
        <v>0</v>
      </c>
    </row>
    <row r="14" spans="1:16" x14ac:dyDescent="0.25">
      <c r="A14">
        <v>12</v>
      </c>
      <c r="D14" s="4" t="s">
        <v>19</v>
      </c>
      <c r="E14" s="5">
        <v>866</v>
      </c>
      <c r="F14" s="5">
        <v>811</v>
      </c>
      <c r="G14" s="6">
        <f t="shared" si="0"/>
        <v>-55</v>
      </c>
      <c r="H14" s="7">
        <f t="shared" si="1"/>
        <v>-6.3510392609699776E-2</v>
      </c>
      <c r="I14" s="8">
        <v>1113.1793149764942</v>
      </c>
      <c r="J14" s="9">
        <f t="shared" si="2"/>
        <v>1042.4808596373405</v>
      </c>
      <c r="K14" s="3">
        <f t="shared" si="3"/>
        <v>-70.698455339153725</v>
      </c>
      <c r="L14" s="7">
        <f t="shared" si="4"/>
        <v>-6.3510392609699706E-2</v>
      </c>
      <c r="M14" t="s">
        <v>7</v>
      </c>
      <c r="N14" s="27"/>
      <c r="O14" s="3">
        <f>E14-'305245 - P0424'!F14</f>
        <v>0</v>
      </c>
      <c r="P14" s="30">
        <f>I14-'305245 - P0424'!J14</f>
        <v>0</v>
      </c>
    </row>
    <row r="15" spans="1:16" x14ac:dyDescent="0.25">
      <c r="A15">
        <v>13</v>
      </c>
      <c r="D15" s="4" t="s">
        <v>20</v>
      </c>
      <c r="E15" s="8">
        <f>E14</f>
        <v>866</v>
      </c>
      <c r="F15" s="8">
        <f>F14</f>
        <v>811</v>
      </c>
      <c r="G15" s="6">
        <f t="shared" si="0"/>
        <v>-55</v>
      </c>
      <c r="H15" s="7">
        <f t="shared" si="1"/>
        <v>-6.3510392609699776E-2</v>
      </c>
      <c r="I15" s="8">
        <v>1113.1793149764942</v>
      </c>
      <c r="J15" s="9">
        <f t="shared" si="2"/>
        <v>1042.4808596373405</v>
      </c>
      <c r="K15" s="3">
        <f t="shared" si="3"/>
        <v>-70.698455339153725</v>
      </c>
      <c r="L15" s="7">
        <f t="shared" si="4"/>
        <v>-6.3510392609699706E-2</v>
      </c>
      <c r="M15" t="s">
        <v>7</v>
      </c>
      <c r="N15" s="27"/>
      <c r="O15" s="3">
        <f>E15-'305245 - P0424'!F15</f>
        <v>0</v>
      </c>
      <c r="P15" s="30">
        <f>I15-'305245 - P0424'!J15</f>
        <v>0</v>
      </c>
    </row>
    <row r="16" spans="1:16" x14ac:dyDescent="0.25">
      <c r="A16">
        <v>14</v>
      </c>
      <c r="C16" t="s">
        <v>8</v>
      </c>
      <c r="D16" s="4" t="s">
        <v>21</v>
      </c>
      <c r="E16" s="5">
        <v>835</v>
      </c>
      <c r="F16" s="5">
        <v>796</v>
      </c>
      <c r="G16" s="6">
        <f t="shared" si="0"/>
        <v>-39</v>
      </c>
      <c r="H16" s="7">
        <f t="shared" si="1"/>
        <v>-4.6706586826347304E-2</v>
      </c>
      <c r="I16" s="8">
        <v>1176.1827956989248</v>
      </c>
      <c r="J16" s="9">
        <f t="shared" si="2"/>
        <v>1121.247311827957</v>
      </c>
      <c r="K16" s="3">
        <f t="shared" si="3"/>
        <v>-54.935483870967801</v>
      </c>
      <c r="L16" s="7">
        <f t="shared" si="4"/>
        <v>-4.6706586826347353E-2</v>
      </c>
      <c r="M16" t="s">
        <v>7</v>
      </c>
      <c r="N16" s="27"/>
      <c r="O16" s="3">
        <f>E16-'305245 - P0424'!F16</f>
        <v>0</v>
      </c>
      <c r="P16" s="30">
        <f>I16-'305245 - P0424'!J16</f>
        <v>0</v>
      </c>
    </row>
    <row r="17" spans="1:16" x14ac:dyDescent="0.25">
      <c r="A17">
        <v>15</v>
      </c>
      <c r="D17" s="4" t="s">
        <v>22</v>
      </c>
      <c r="E17" s="8">
        <f>E16</f>
        <v>835</v>
      </c>
      <c r="F17" s="8">
        <f>F16</f>
        <v>796</v>
      </c>
      <c r="G17" s="6">
        <f t="shared" si="0"/>
        <v>-39</v>
      </c>
      <c r="H17" s="7">
        <f t="shared" si="1"/>
        <v>-4.6706586826347304E-2</v>
      </c>
      <c r="I17" s="8">
        <v>1176.1827956989248</v>
      </c>
      <c r="J17" s="9">
        <f t="shared" si="2"/>
        <v>1121.247311827957</v>
      </c>
      <c r="K17" s="3">
        <f t="shared" si="3"/>
        <v>-54.935483870967801</v>
      </c>
      <c r="L17" s="7">
        <f t="shared" si="4"/>
        <v>-4.6706586826347353E-2</v>
      </c>
      <c r="M17" t="s">
        <v>7</v>
      </c>
      <c r="N17" s="27"/>
      <c r="O17" s="3">
        <f>E17-'305245 - P0424'!F17</f>
        <v>0</v>
      </c>
      <c r="P17" s="30">
        <f>I17-'305245 - P0424'!J17</f>
        <v>0</v>
      </c>
    </row>
    <row r="18" spans="1:16" x14ac:dyDescent="0.25">
      <c r="A18">
        <v>16</v>
      </c>
      <c r="C18" t="s">
        <v>8</v>
      </c>
      <c r="D18" s="4" t="s">
        <v>23</v>
      </c>
      <c r="E18" s="5">
        <v>1177</v>
      </c>
      <c r="F18" s="5">
        <v>1129</v>
      </c>
      <c r="G18" s="6">
        <f t="shared" si="0"/>
        <v>-48</v>
      </c>
      <c r="H18" s="7">
        <f t="shared" si="1"/>
        <v>-4.0781648258283773E-2</v>
      </c>
      <c r="I18" s="8">
        <v>1635.7568565400838</v>
      </c>
      <c r="J18" s="9">
        <f t="shared" si="2"/>
        <v>1569.0479957805901</v>
      </c>
      <c r="K18" s="3">
        <f t="shared" si="3"/>
        <v>-66.708860759493746</v>
      </c>
      <c r="L18" s="7">
        <f t="shared" si="4"/>
        <v>-4.0781648258283829E-2</v>
      </c>
      <c r="M18" t="s">
        <v>7</v>
      </c>
      <c r="N18" s="27"/>
      <c r="O18" s="3">
        <f>E18-'305245 - P0424'!F18</f>
        <v>0</v>
      </c>
      <c r="P18" s="30">
        <f>I18-'305245 - P0424'!J18</f>
        <v>0</v>
      </c>
    </row>
    <row r="19" spans="1:16" x14ac:dyDescent="0.25">
      <c r="A19">
        <v>17</v>
      </c>
      <c r="D19" s="4" t="s">
        <v>24</v>
      </c>
      <c r="E19" s="8">
        <f>E18</f>
        <v>1177</v>
      </c>
      <c r="F19" s="8">
        <f>F18</f>
        <v>1129</v>
      </c>
      <c r="G19" s="6">
        <f t="shared" si="0"/>
        <v>-48</v>
      </c>
      <c r="H19" s="7">
        <f t="shared" si="1"/>
        <v>-4.0781648258283773E-2</v>
      </c>
      <c r="I19" s="8">
        <v>1635.7568565400838</v>
      </c>
      <c r="J19" s="9">
        <f t="shared" si="2"/>
        <v>1569.0479957805901</v>
      </c>
      <c r="K19" s="3">
        <f t="shared" si="3"/>
        <v>-66.708860759493746</v>
      </c>
      <c r="L19" s="7">
        <f t="shared" si="4"/>
        <v>-4.0781648258283829E-2</v>
      </c>
      <c r="M19" t="s">
        <v>7</v>
      </c>
      <c r="N19" s="27"/>
      <c r="O19" s="3">
        <f>E19-'305245 - P0424'!F19</f>
        <v>0</v>
      </c>
      <c r="P19" s="30">
        <f>I19-'305245 - P0424'!J19</f>
        <v>0</v>
      </c>
    </row>
    <row r="20" spans="1:16" x14ac:dyDescent="0.25">
      <c r="A20">
        <v>18</v>
      </c>
      <c r="C20" t="s">
        <v>8</v>
      </c>
      <c r="D20" s="4" t="s">
        <v>25</v>
      </c>
      <c r="E20" s="5">
        <v>54.56</v>
      </c>
      <c r="F20" s="5">
        <v>52.08</v>
      </c>
      <c r="G20" s="6">
        <f t="shared" si="0"/>
        <v>-2.480000000000004</v>
      </c>
      <c r="H20" s="7">
        <f t="shared" si="1"/>
        <v>-4.5454545454545525E-2</v>
      </c>
      <c r="I20" s="8">
        <v>2740.1630655551353</v>
      </c>
      <c r="J20" s="9">
        <f t="shared" si="2"/>
        <v>2615.6101989389927</v>
      </c>
      <c r="K20" s="3">
        <f t="shared" si="3"/>
        <v>-124.55286661614264</v>
      </c>
      <c r="L20" s="7">
        <f t="shared" si="4"/>
        <v>-4.5454545454545497E-2</v>
      </c>
      <c r="M20" t="s">
        <v>7</v>
      </c>
      <c r="N20" s="27"/>
      <c r="O20" s="3">
        <f>E20-'305245 - P0424'!F20</f>
        <v>0</v>
      </c>
      <c r="P20" s="30">
        <f>I20-'305245 - P0424'!J20</f>
        <v>0</v>
      </c>
    </row>
    <row r="21" spans="1:16" x14ac:dyDescent="0.25">
      <c r="A21">
        <v>19</v>
      </c>
      <c r="C21" t="s">
        <v>8</v>
      </c>
      <c r="D21" s="4" t="s">
        <v>26</v>
      </c>
      <c r="E21" s="5">
        <v>15.33</v>
      </c>
      <c r="F21" s="5">
        <v>15.6</v>
      </c>
      <c r="G21" s="6">
        <f t="shared" si="0"/>
        <v>0.26999999999999957</v>
      </c>
      <c r="H21" s="7">
        <f t="shared" si="1"/>
        <v>1.7612524461839502E-2</v>
      </c>
      <c r="I21" s="8">
        <v>34.808415460805989</v>
      </c>
      <c r="J21" s="9">
        <f t="shared" si="2"/>
        <v>35.421479529587309</v>
      </c>
      <c r="K21" s="3">
        <f t="shared" si="3"/>
        <v>0.6130640687813198</v>
      </c>
      <c r="L21" s="7">
        <f t="shared" si="4"/>
        <v>1.7612524461839561E-2</v>
      </c>
      <c r="M21" t="s">
        <v>7</v>
      </c>
      <c r="O21" s="3">
        <f>E21-'305245 - P0424'!F21</f>
        <v>0</v>
      </c>
      <c r="P21" s="30">
        <f>I21-'305245 - P0424'!J21</f>
        <v>0</v>
      </c>
    </row>
    <row r="22" spans="1:16" x14ac:dyDescent="0.25">
      <c r="A22">
        <v>20</v>
      </c>
      <c r="C22" t="s">
        <v>8</v>
      </c>
      <c r="D22" s="4" t="s">
        <v>27</v>
      </c>
      <c r="E22" s="5">
        <v>1410</v>
      </c>
      <c r="F22" s="5">
        <v>1430</v>
      </c>
      <c r="G22" s="6">
        <f t="shared" si="0"/>
        <v>20</v>
      </c>
      <c r="H22" s="7">
        <f t="shared" si="1"/>
        <v>1.4184397163120567E-2</v>
      </c>
      <c r="I22" s="8">
        <v>2013.3638443935931</v>
      </c>
      <c r="J22" s="9">
        <f t="shared" si="2"/>
        <v>2041.9221967963392</v>
      </c>
      <c r="K22" s="3">
        <f t="shared" si="3"/>
        <v>28.558352402746095</v>
      </c>
      <c r="L22" s="7">
        <f t="shared" si="4"/>
        <v>1.4184397163120614E-2</v>
      </c>
      <c r="M22" t="s">
        <v>7</v>
      </c>
      <c r="N22" s="27"/>
      <c r="O22" s="3">
        <f>E22-'305245 - P0424'!F22</f>
        <v>0</v>
      </c>
      <c r="P22" s="30">
        <f>I22-'305245 - P0424'!J22</f>
        <v>0</v>
      </c>
    </row>
    <row r="23" spans="1:16" x14ac:dyDescent="0.25">
      <c r="A23">
        <v>21</v>
      </c>
      <c r="D23" s="4" t="s">
        <v>28</v>
      </c>
      <c r="E23" s="8">
        <f>E22</f>
        <v>1410</v>
      </c>
      <c r="F23" s="8">
        <f>F22</f>
        <v>1430</v>
      </c>
      <c r="G23" s="6">
        <f t="shared" si="0"/>
        <v>20</v>
      </c>
      <c r="H23" s="7">
        <f t="shared" si="1"/>
        <v>1.4184397163120567E-2</v>
      </c>
      <c r="I23" s="8">
        <v>2013.3638443935931</v>
      </c>
      <c r="J23" s="9">
        <f t="shared" si="2"/>
        <v>2041.9221967963392</v>
      </c>
      <c r="K23" s="3">
        <f t="shared" si="3"/>
        <v>28.558352402746095</v>
      </c>
      <c r="L23" s="7">
        <f t="shared" si="4"/>
        <v>1.4184397163120614E-2</v>
      </c>
      <c r="M23" t="s">
        <v>7</v>
      </c>
      <c r="N23" s="27"/>
      <c r="O23" s="3">
        <f>E23-'305245 - P0424'!F23</f>
        <v>0</v>
      </c>
      <c r="P23" s="30">
        <f>I23-'305245 - P0424'!J23</f>
        <v>0</v>
      </c>
    </row>
    <row r="24" spans="1:16" x14ac:dyDescent="0.25">
      <c r="A24">
        <v>22</v>
      </c>
      <c r="D24" s="2" t="s">
        <v>29</v>
      </c>
      <c r="H24" s="10">
        <f>AVERAGE(H4:H23)</f>
        <v>-4.832714612505664E-2</v>
      </c>
      <c r="L24" s="10">
        <f>AVERAGE(L4:L23)</f>
        <v>-4.8327146125056591E-2</v>
      </c>
    </row>
    <row r="25" spans="1:16" x14ac:dyDescent="0.25">
      <c r="A25">
        <v>23</v>
      </c>
      <c r="D25" s="2" t="s">
        <v>30</v>
      </c>
      <c r="M25" t="s">
        <v>7</v>
      </c>
    </row>
    <row r="26" spans="1:16" x14ac:dyDescent="0.25">
      <c r="A26">
        <v>24</v>
      </c>
      <c r="D26" s="4" t="s">
        <v>31</v>
      </c>
      <c r="E26" s="5">
        <v>551</v>
      </c>
      <c r="F26" s="5">
        <v>561</v>
      </c>
      <c r="G26" s="6">
        <f t="shared" ref="G26:G31" si="5">+F26-E26</f>
        <v>10</v>
      </c>
      <c r="H26" s="7">
        <f t="shared" ref="H26:H31" si="6">(F26-E26)/ABS(E26)</f>
        <v>1.8148820326678767E-2</v>
      </c>
      <c r="I26" s="8">
        <v>817.50002540263176</v>
      </c>
      <c r="J26" s="9">
        <f t="shared" ref="J26:J31" si="7">(I26*H26)+I26</f>
        <v>832.33668648071944</v>
      </c>
      <c r="K26" s="3">
        <f t="shared" ref="K26:K31" si="8">J26-I26</f>
        <v>14.836661078087673</v>
      </c>
      <c r="L26" s="7">
        <f t="shared" ref="L26:L31" si="9">(J26-I26)/ABS(I26)</f>
        <v>1.8148820326678743E-2</v>
      </c>
      <c r="M26" t="s">
        <v>7</v>
      </c>
      <c r="O26" s="3">
        <f>E26-'305245 - P0424'!F26</f>
        <v>0</v>
      </c>
      <c r="P26" s="30">
        <f>I26-'305245 - P0424'!J26</f>
        <v>96.438297007569986</v>
      </c>
    </row>
    <row r="27" spans="1:16" x14ac:dyDescent="0.25">
      <c r="A27">
        <v>25</v>
      </c>
      <c r="D27" s="4" t="s">
        <v>32</v>
      </c>
      <c r="E27" s="5">
        <v>616</v>
      </c>
      <c r="F27" s="5">
        <v>616</v>
      </c>
      <c r="G27" s="6">
        <f t="shared" si="5"/>
        <v>0</v>
      </c>
      <c r="H27" s="7">
        <f t="shared" si="6"/>
        <v>0</v>
      </c>
      <c r="I27" s="8">
        <v>812.63514033064212</v>
      </c>
      <c r="J27" s="9">
        <f t="shared" si="7"/>
        <v>812.63514033064212</v>
      </c>
      <c r="K27" s="3">
        <f t="shared" si="8"/>
        <v>0</v>
      </c>
      <c r="L27" s="7">
        <f t="shared" si="9"/>
        <v>0</v>
      </c>
      <c r="M27" t="s">
        <v>7</v>
      </c>
      <c r="O27" s="3">
        <f>E27-'305245 - P0424'!F27</f>
        <v>0</v>
      </c>
      <c r="P27" s="30">
        <f>I27-'305245 - P0424'!J27</f>
        <v>72.556708958093054</v>
      </c>
    </row>
    <row r="28" spans="1:16" x14ac:dyDescent="0.25">
      <c r="A28">
        <v>26</v>
      </c>
      <c r="D28" s="4" t="s">
        <v>33</v>
      </c>
      <c r="E28" s="5">
        <v>616</v>
      </c>
      <c r="F28" s="5">
        <v>616</v>
      </c>
      <c r="G28" s="6">
        <f t="shared" si="5"/>
        <v>0</v>
      </c>
      <c r="H28" s="7">
        <f t="shared" si="6"/>
        <v>0</v>
      </c>
      <c r="I28" s="8">
        <v>763.20184544405993</v>
      </c>
      <c r="J28" s="9">
        <f t="shared" si="7"/>
        <v>763.20184544405993</v>
      </c>
      <c r="K28" s="3">
        <f t="shared" si="8"/>
        <v>0</v>
      </c>
      <c r="L28" s="7">
        <f t="shared" si="9"/>
        <v>0</v>
      </c>
      <c r="M28" t="s">
        <v>7</v>
      </c>
      <c r="O28" s="3">
        <f>E28-'305245 - P0424'!F28</f>
        <v>0</v>
      </c>
      <c r="P28" s="30">
        <f>I28-'305245 - P0424'!J28</f>
        <v>68.143021914648216</v>
      </c>
    </row>
    <row r="29" spans="1:16" x14ac:dyDescent="0.25">
      <c r="A29">
        <v>27</v>
      </c>
      <c r="D29" s="4" t="s">
        <v>34</v>
      </c>
      <c r="E29" s="5">
        <v>486</v>
      </c>
      <c r="F29" s="5">
        <v>491</v>
      </c>
      <c r="G29" s="6">
        <f t="shared" si="5"/>
        <v>5</v>
      </c>
      <c r="H29" s="7">
        <f t="shared" si="6"/>
        <v>1.0288065843621399E-2</v>
      </c>
      <c r="I29" s="8">
        <v>624.7489612188366</v>
      </c>
      <c r="J29" s="9">
        <f t="shared" si="7"/>
        <v>631.17641966759004</v>
      </c>
      <c r="K29" s="3">
        <f t="shared" si="8"/>
        <v>6.4274584487534412</v>
      </c>
      <c r="L29" s="7">
        <f t="shared" si="9"/>
        <v>1.0288065843621364E-2</v>
      </c>
      <c r="M29" t="s">
        <v>7</v>
      </c>
      <c r="O29" s="3">
        <f>E29-'305245 - P0424'!F29</f>
        <v>0</v>
      </c>
      <c r="P29" s="30">
        <f>I29-'305245 - P0424'!J29</f>
        <v>38.564750692520761</v>
      </c>
    </row>
    <row r="30" spans="1:16" x14ac:dyDescent="0.25">
      <c r="A30">
        <v>28</v>
      </c>
      <c r="D30" s="4" t="s">
        <v>35</v>
      </c>
      <c r="E30" s="5">
        <v>606</v>
      </c>
      <c r="F30" s="5">
        <v>621</v>
      </c>
      <c r="G30" s="6">
        <f t="shared" si="5"/>
        <v>15</v>
      </c>
      <c r="H30" s="7">
        <f t="shared" si="6"/>
        <v>2.4752475247524754E-2</v>
      </c>
      <c r="I30" s="8">
        <v>766.89958670978535</v>
      </c>
      <c r="J30" s="9">
        <f t="shared" si="7"/>
        <v>785.88224974715627</v>
      </c>
      <c r="K30" s="3">
        <f t="shared" si="8"/>
        <v>18.982663037370912</v>
      </c>
      <c r="L30" s="7">
        <f t="shared" si="9"/>
        <v>2.4752475247524736E-2</v>
      </c>
      <c r="M30" t="s">
        <v>7</v>
      </c>
      <c r="O30" s="3">
        <f>E30-'305245 - P0424'!F30</f>
        <v>0</v>
      </c>
      <c r="P30" s="30">
        <f>I30-'305245 - P0424'!J30</f>
        <v>50.620434766322433</v>
      </c>
    </row>
    <row r="31" spans="1:16" x14ac:dyDescent="0.25">
      <c r="A31">
        <v>29</v>
      </c>
      <c r="D31" s="4" t="s">
        <v>36</v>
      </c>
      <c r="E31" s="5">
        <v>606</v>
      </c>
      <c r="F31" s="5">
        <v>621</v>
      </c>
      <c r="G31" s="6">
        <f t="shared" si="5"/>
        <v>15</v>
      </c>
      <c r="H31" s="7">
        <f t="shared" si="6"/>
        <v>2.4752475247524754E-2</v>
      </c>
      <c r="I31" s="8">
        <v>724.48511031477483</v>
      </c>
      <c r="J31" s="9">
        <f t="shared" si="7"/>
        <v>742.4179100750415</v>
      </c>
      <c r="K31" s="3">
        <f t="shared" si="8"/>
        <v>17.932799760266676</v>
      </c>
      <c r="L31" s="7">
        <f t="shared" si="9"/>
        <v>2.4752475247524712E-2</v>
      </c>
      <c r="M31" t="s">
        <v>7</v>
      </c>
      <c r="O31" s="3">
        <f>E31-'305245 - P0424'!F31</f>
        <v>0</v>
      </c>
      <c r="P31" s="30">
        <f>I31-'305245 - P0424'!J31</f>
        <v>47.820799360711248</v>
      </c>
    </row>
    <row r="32" spans="1:16" x14ac:dyDescent="0.25">
      <c r="A32">
        <v>30</v>
      </c>
      <c r="D32" s="2" t="s">
        <v>37</v>
      </c>
      <c r="H32" s="10">
        <f>AVERAGE(H26:H31)</f>
        <v>1.2990306110891614E-2</v>
      </c>
      <c r="L32" s="10">
        <f>AVERAGE(L26:L31)</f>
        <v>1.2990306110891595E-2</v>
      </c>
    </row>
    <row r="33" spans="1:16" x14ac:dyDescent="0.25">
      <c r="A33">
        <v>31</v>
      </c>
      <c r="D33" s="2" t="s">
        <v>38</v>
      </c>
      <c r="M33" t="s">
        <v>7</v>
      </c>
    </row>
    <row r="34" spans="1:16" x14ac:dyDescent="0.25">
      <c r="A34">
        <v>32</v>
      </c>
      <c r="D34" s="4" t="s">
        <v>39</v>
      </c>
      <c r="E34" s="5">
        <v>655</v>
      </c>
      <c r="F34" s="5">
        <v>675</v>
      </c>
      <c r="G34" s="6">
        <f t="shared" ref="G34:G62" si="10">+F34-E34</f>
        <v>20</v>
      </c>
      <c r="H34" s="7">
        <f t="shared" ref="H34:H62" si="11">(F34-E34)/ABS(E34)</f>
        <v>3.0534351145038167E-2</v>
      </c>
      <c r="I34" s="8">
        <v>744.78017241379291</v>
      </c>
      <c r="J34" s="9">
        <f t="shared" ref="J34:J62" si="12">(I34*H34)+I34</f>
        <v>767.52155172413768</v>
      </c>
      <c r="K34" s="3">
        <f t="shared" ref="K34:K62" si="13">J34-I34</f>
        <v>22.741379310344769</v>
      </c>
      <c r="L34" s="7">
        <f t="shared" ref="L34:L62" si="14">(J34-I34)/ABS(I34)</f>
        <v>3.0534351145038097E-2</v>
      </c>
      <c r="M34" t="s">
        <v>7</v>
      </c>
      <c r="O34" s="3">
        <f>E34-'305245 - P0424'!F34</f>
        <v>0</v>
      </c>
      <c r="P34" s="30">
        <f>I34-'305245 - P0424'!J34</f>
        <v>0</v>
      </c>
    </row>
    <row r="35" spans="1:16" x14ac:dyDescent="0.25">
      <c r="A35">
        <v>33</v>
      </c>
      <c r="D35" s="4" t="s">
        <v>40</v>
      </c>
      <c r="E35" s="8">
        <v>655</v>
      </c>
      <c r="F35" s="8">
        <f>F34</f>
        <v>675</v>
      </c>
      <c r="G35" s="6">
        <f t="shared" si="10"/>
        <v>20</v>
      </c>
      <c r="H35" s="7">
        <f t="shared" si="11"/>
        <v>3.0534351145038167E-2</v>
      </c>
      <c r="I35" s="8">
        <v>744.78017241379314</v>
      </c>
      <c r="J35" s="9">
        <f t="shared" si="12"/>
        <v>767.52155172413802</v>
      </c>
      <c r="K35" s="3">
        <f t="shared" si="13"/>
        <v>22.741379310344882</v>
      </c>
      <c r="L35" s="7">
        <f t="shared" si="14"/>
        <v>3.053435114503824E-2</v>
      </c>
      <c r="M35" t="s">
        <v>7</v>
      </c>
      <c r="O35" s="3">
        <f>E35-'305245 - P0424'!F35</f>
        <v>0</v>
      </c>
      <c r="P35" s="30">
        <f>I35-'305245 - P0424'!J35</f>
        <v>0</v>
      </c>
    </row>
    <row r="36" spans="1:16" x14ac:dyDescent="0.25">
      <c r="A36">
        <v>34</v>
      </c>
      <c r="D36" s="4" t="s">
        <v>41</v>
      </c>
      <c r="E36" s="8">
        <v>655</v>
      </c>
      <c r="F36" s="8">
        <f>F34</f>
        <v>675</v>
      </c>
      <c r="G36" s="6">
        <f t="shared" si="10"/>
        <v>20</v>
      </c>
      <c r="H36" s="7">
        <f t="shared" si="11"/>
        <v>3.0534351145038167E-2</v>
      </c>
      <c r="I36" s="8">
        <v>744.78017241379314</v>
      </c>
      <c r="J36" s="9">
        <f t="shared" si="12"/>
        <v>767.52155172413802</v>
      </c>
      <c r="K36" s="3">
        <f t="shared" si="13"/>
        <v>22.741379310344882</v>
      </c>
      <c r="L36" s="7">
        <f t="shared" si="14"/>
        <v>3.053435114503824E-2</v>
      </c>
      <c r="M36" t="s">
        <v>7</v>
      </c>
      <c r="O36" s="3">
        <f>E36-'305245 - P0424'!F36</f>
        <v>0</v>
      </c>
      <c r="P36" s="30">
        <f>I36-'305245 - P0424'!J36</f>
        <v>0</v>
      </c>
    </row>
    <row r="37" spans="1:16" x14ac:dyDescent="0.25">
      <c r="A37">
        <v>35</v>
      </c>
      <c r="D37" s="4" t="s">
        <v>42</v>
      </c>
      <c r="E37" s="8">
        <v>655</v>
      </c>
      <c r="F37" s="8">
        <f>F34</f>
        <v>675</v>
      </c>
      <c r="G37" s="6">
        <f t="shared" si="10"/>
        <v>20</v>
      </c>
      <c r="H37" s="7">
        <f t="shared" si="11"/>
        <v>3.0534351145038167E-2</v>
      </c>
      <c r="I37" s="8">
        <v>744.78017241379314</v>
      </c>
      <c r="J37" s="9">
        <f t="shared" si="12"/>
        <v>767.52155172413802</v>
      </c>
      <c r="K37" s="3">
        <f t="shared" si="13"/>
        <v>22.741379310344882</v>
      </c>
      <c r="L37" s="7">
        <f t="shared" si="14"/>
        <v>3.053435114503824E-2</v>
      </c>
      <c r="M37" t="s">
        <v>7</v>
      </c>
      <c r="O37" s="3">
        <f>E37-'305245 - P0424'!F37</f>
        <v>0</v>
      </c>
      <c r="P37" s="30">
        <f>I37-'305245 - P0424'!J37</f>
        <v>0</v>
      </c>
    </row>
    <row r="38" spans="1:16" x14ac:dyDescent="0.25">
      <c r="A38">
        <v>36</v>
      </c>
      <c r="D38" s="4" t="s">
        <v>43</v>
      </c>
      <c r="E38" s="8">
        <v>655</v>
      </c>
      <c r="F38" s="8">
        <f>F34</f>
        <v>675</v>
      </c>
      <c r="G38" s="6">
        <f t="shared" si="10"/>
        <v>20</v>
      </c>
      <c r="H38" s="7">
        <f t="shared" si="11"/>
        <v>3.0534351145038167E-2</v>
      </c>
      <c r="I38" s="8">
        <v>744.78017241379314</v>
      </c>
      <c r="J38" s="9">
        <f t="shared" si="12"/>
        <v>767.52155172413802</v>
      </c>
      <c r="K38" s="3">
        <f t="shared" si="13"/>
        <v>22.741379310344882</v>
      </c>
      <c r="L38" s="7">
        <f t="shared" si="14"/>
        <v>3.053435114503824E-2</v>
      </c>
      <c r="M38" t="s">
        <v>7</v>
      </c>
      <c r="O38" s="3">
        <f>E38-'305245 - P0424'!F38</f>
        <v>0</v>
      </c>
      <c r="P38" s="30">
        <f>I38-'305245 - P0424'!J38</f>
        <v>0</v>
      </c>
    </row>
    <row r="39" spans="1:16" x14ac:dyDescent="0.25">
      <c r="A39">
        <v>37</v>
      </c>
      <c r="D39" s="4" t="s">
        <v>44</v>
      </c>
      <c r="E39" s="8">
        <v>655</v>
      </c>
      <c r="F39" s="8">
        <f>F34</f>
        <v>675</v>
      </c>
      <c r="G39" s="6">
        <f t="shared" si="10"/>
        <v>20</v>
      </c>
      <c r="H39" s="7">
        <f t="shared" si="11"/>
        <v>3.0534351145038167E-2</v>
      </c>
      <c r="I39" s="8">
        <v>744.78017241379314</v>
      </c>
      <c r="J39" s="9">
        <f t="shared" si="12"/>
        <v>767.52155172413802</v>
      </c>
      <c r="K39" s="3">
        <f t="shared" si="13"/>
        <v>22.741379310344882</v>
      </c>
      <c r="L39" s="7">
        <f t="shared" si="14"/>
        <v>3.053435114503824E-2</v>
      </c>
      <c r="M39" t="s">
        <v>7</v>
      </c>
      <c r="O39" s="3">
        <f>E39-'305245 - P0424'!F39</f>
        <v>0</v>
      </c>
      <c r="P39" s="30">
        <f>I39-'305245 - P0424'!J39</f>
        <v>0</v>
      </c>
    </row>
    <row r="40" spans="1:16" x14ac:dyDescent="0.25">
      <c r="A40">
        <v>38</v>
      </c>
      <c r="D40" s="4" t="s">
        <v>45</v>
      </c>
      <c r="E40" s="8">
        <v>655</v>
      </c>
      <c r="F40" s="8">
        <f>F34</f>
        <v>675</v>
      </c>
      <c r="G40" s="6">
        <f t="shared" si="10"/>
        <v>20</v>
      </c>
      <c r="H40" s="7">
        <f t="shared" si="11"/>
        <v>3.0534351145038167E-2</v>
      </c>
      <c r="I40" s="8">
        <v>744.78017241379314</v>
      </c>
      <c r="J40" s="9">
        <f t="shared" si="12"/>
        <v>767.52155172413802</v>
      </c>
      <c r="K40" s="3">
        <f t="shared" si="13"/>
        <v>22.741379310344882</v>
      </c>
      <c r="L40" s="7">
        <f t="shared" si="14"/>
        <v>3.053435114503824E-2</v>
      </c>
      <c r="M40" t="s">
        <v>7</v>
      </c>
      <c r="O40" s="3">
        <f>E40-'305245 - P0424'!F40</f>
        <v>0</v>
      </c>
      <c r="P40" s="30">
        <f>I40-'305245 - P0424'!J40</f>
        <v>0</v>
      </c>
    </row>
    <row r="41" spans="1:16" x14ac:dyDescent="0.25">
      <c r="A41">
        <v>39</v>
      </c>
      <c r="D41" s="4" t="s">
        <v>46</v>
      </c>
      <c r="E41" s="8">
        <v>655</v>
      </c>
      <c r="F41" s="8">
        <f>F35</f>
        <v>675</v>
      </c>
      <c r="G41" s="6">
        <f t="shared" si="10"/>
        <v>20</v>
      </c>
      <c r="H41" s="7">
        <f t="shared" si="11"/>
        <v>3.0534351145038167E-2</v>
      </c>
      <c r="I41" s="8">
        <v>744.78017241379314</v>
      </c>
      <c r="J41" s="9">
        <f t="shared" si="12"/>
        <v>767.52155172413802</v>
      </c>
      <c r="K41" s="3">
        <f t="shared" si="13"/>
        <v>22.741379310344882</v>
      </c>
      <c r="L41" s="7">
        <f t="shared" si="14"/>
        <v>3.053435114503824E-2</v>
      </c>
      <c r="M41" t="s">
        <v>7</v>
      </c>
      <c r="O41" s="3">
        <f>E41-'305245 - P0424'!F41</f>
        <v>0</v>
      </c>
      <c r="P41" s="30">
        <f>I41-'305245 - P0424'!J41</f>
        <v>0</v>
      </c>
    </row>
    <row r="42" spans="1:16" x14ac:dyDescent="0.25">
      <c r="A42">
        <v>40</v>
      </c>
      <c r="D42" s="4" t="s">
        <v>47</v>
      </c>
      <c r="E42" s="5">
        <v>615</v>
      </c>
      <c r="F42" s="5">
        <v>625</v>
      </c>
      <c r="G42" s="6">
        <f t="shared" si="10"/>
        <v>10</v>
      </c>
      <c r="H42" s="7">
        <f t="shared" si="11"/>
        <v>1.6260162601626018E-2</v>
      </c>
      <c r="I42" s="8">
        <v>701.33653846153868</v>
      </c>
      <c r="J42" s="9">
        <f t="shared" si="12"/>
        <v>712.74038461538487</v>
      </c>
      <c r="K42" s="3">
        <f t="shared" si="13"/>
        <v>11.403846153846189</v>
      </c>
      <c r="L42" s="7">
        <f t="shared" si="14"/>
        <v>1.626016260162606E-2</v>
      </c>
      <c r="M42" t="s">
        <v>7</v>
      </c>
      <c r="O42" s="3">
        <f>E42-'305245 - P0424'!F42</f>
        <v>0</v>
      </c>
      <c r="P42" s="30">
        <f>I42-'305245 - P0424'!J42</f>
        <v>0</v>
      </c>
    </row>
    <row r="43" spans="1:16" x14ac:dyDescent="0.25">
      <c r="A43">
        <v>41</v>
      </c>
      <c r="D43" s="4" t="s">
        <v>48</v>
      </c>
      <c r="E43" s="8">
        <v>615</v>
      </c>
      <c r="F43" s="8">
        <f>F42</f>
        <v>625</v>
      </c>
      <c r="G43" s="6">
        <f t="shared" si="10"/>
        <v>10</v>
      </c>
      <c r="H43" s="7">
        <f t="shared" si="11"/>
        <v>1.6260162601626018E-2</v>
      </c>
      <c r="I43" s="8">
        <v>701.33653846153868</v>
      </c>
      <c r="J43" s="9">
        <f t="shared" si="12"/>
        <v>712.74038461538487</v>
      </c>
      <c r="K43" s="3">
        <f t="shared" si="13"/>
        <v>11.403846153846189</v>
      </c>
      <c r="L43" s="7">
        <f t="shared" si="14"/>
        <v>1.626016260162606E-2</v>
      </c>
      <c r="M43" t="s">
        <v>7</v>
      </c>
      <c r="O43" s="3">
        <f>E43-'305245 - P0424'!F43</f>
        <v>0</v>
      </c>
      <c r="P43" s="30">
        <f>I43-'305245 - P0424'!J43</f>
        <v>0</v>
      </c>
    </row>
    <row r="44" spans="1:16" x14ac:dyDescent="0.25">
      <c r="A44">
        <v>42</v>
      </c>
      <c r="D44" s="4" t="s">
        <v>49</v>
      </c>
      <c r="E44" s="8">
        <v>615</v>
      </c>
      <c r="F44" s="8">
        <f>F42</f>
        <v>625</v>
      </c>
      <c r="G44" s="6">
        <f t="shared" si="10"/>
        <v>10</v>
      </c>
      <c r="H44" s="7">
        <f t="shared" si="11"/>
        <v>1.6260162601626018E-2</v>
      </c>
      <c r="I44" s="8">
        <v>701.33653846153868</v>
      </c>
      <c r="J44" s="9">
        <f t="shared" si="12"/>
        <v>712.74038461538487</v>
      </c>
      <c r="K44" s="3">
        <f t="shared" si="13"/>
        <v>11.403846153846189</v>
      </c>
      <c r="L44" s="7">
        <f t="shared" si="14"/>
        <v>1.626016260162606E-2</v>
      </c>
      <c r="M44" t="s">
        <v>7</v>
      </c>
      <c r="O44" s="3">
        <f>E44-'305245 - P0424'!F44</f>
        <v>0</v>
      </c>
      <c r="P44" s="30">
        <f>I44-'305245 - P0424'!J44</f>
        <v>0</v>
      </c>
    </row>
    <row r="45" spans="1:16" x14ac:dyDescent="0.25">
      <c r="A45">
        <v>43</v>
      </c>
      <c r="D45" s="4" t="s">
        <v>50</v>
      </c>
      <c r="E45" s="8">
        <v>615</v>
      </c>
      <c r="F45" s="8">
        <f>F42</f>
        <v>625</v>
      </c>
      <c r="G45" s="6">
        <f t="shared" si="10"/>
        <v>10</v>
      </c>
      <c r="H45" s="7">
        <f t="shared" si="11"/>
        <v>1.6260162601626018E-2</v>
      </c>
      <c r="I45" s="8">
        <v>701.33653846153868</v>
      </c>
      <c r="J45" s="9">
        <f t="shared" si="12"/>
        <v>712.74038461538487</v>
      </c>
      <c r="K45" s="3">
        <f t="shared" si="13"/>
        <v>11.403846153846189</v>
      </c>
      <c r="L45" s="7">
        <f t="shared" si="14"/>
        <v>1.626016260162606E-2</v>
      </c>
      <c r="M45" t="s">
        <v>7</v>
      </c>
      <c r="O45" s="3">
        <f>E45-'305245 - P0424'!F45</f>
        <v>0</v>
      </c>
      <c r="P45" s="30">
        <f>I45-'305245 - P0424'!J45</f>
        <v>0</v>
      </c>
    </row>
    <row r="46" spans="1:16" x14ac:dyDescent="0.25">
      <c r="A46">
        <v>44</v>
      </c>
      <c r="D46" s="4" t="s">
        <v>51</v>
      </c>
      <c r="E46" s="8">
        <v>615</v>
      </c>
      <c r="F46" s="8">
        <f>F42</f>
        <v>625</v>
      </c>
      <c r="G46" s="6">
        <f t="shared" si="10"/>
        <v>10</v>
      </c>
      <c r="H46" s="7">
        <f t="shared" si="11"/>
        <v>1.6260162601626018E-2</v>
      </c>
      <c r="I46" s="8">
        <v>701.33653846153868</v>
      </c>
      <c r="J46" s="9">
        <f t="shared" si="12"/>
        <v>712.74038461538487</v>
      </c>
      <c r="K46" s="3">
        <f t="shared" si="13"/>
        <v>11.403846153846189</v>
      </c>
      <c r="L46" s="7">
        <f t="shared" si="14"/>
        <v>1.626016260162606E-2</v>
      </c>
      <c r="M46" t="s">
        <v>7</v>
      </c>
      <c r="O46" s="3">
        <f>E46-'305245 - P0424'!F46</f>
        <v>0</v>
      </c>
      <c r="P46" s="30">
        <f>I46-'305245 - P0424'!J46</f>
        <v>0</v>
      </c>
    </row>
    <row r="47" spans="1:16" x14ac:dyDescent="0.25">
      <c r="A47">
        <v>45</v>
      </c>
      <c r="D47" s="4" t="s">
        <v>52</v>
      </c>
      <c r="E47" s="8">
        <v>615</v>
      </c>
      <c r="F47" s="8">
        <f>F42</f>
        <v>625</v>
      </c>
      <c r="G47" s="6">
        <f t="shared" si="10"/>
        <v>10</v>
      </c>
      <c r="H47" s="7">
        <f t="shared" si="11"/>
        <v>1.6260162601626018E-2</v>
      </c>
      <c r="I47" s="8">
        <v>701.33653846153868</v>
      </c>
      <c r="J47" s="9">
        <f t="shared" si="12"/>
        <v>712.74038461538487</v>
      </c>
      <c r="K47" s="3">
        <f t="shared" si="13"/>
        <v>11.403846153846189</v>
      </c>
      <c r="L47" s="7">
        <f t="shared" si="14"/>
        <v>1.626016260162606E-2</v>
      </c>
      <c r="M47" t="s">
        <v>7</v>
      </c>
      <c r="O47" s="3">
        <f>E47-'305245 - P0424'!F47</f>
        <v>0</v>
      </c>
      <c r="P47" s="30">
        <f>I47-'305245 - P0424'!J47</f>
        <v>0</v>
      </c>
    </row>
    <row r="48" spans="1:16" x14ac:dyDescent="0.25">
      <c r="A48">
        <v>46</v>
      </c>
      <c r="D48" s="4" t="s">
        <v>53</v>
      </c>
      <c r="E48" s="8">
        <v>615</v>
      </c>
      <c r="F48" s="8">
        <f>F42</f>
        <v>625</v>
      </c>
      <c r="G48" s="6">
        <f t="shared" si="10"/>
        <v>10</v>
      </c>
      <c r="H48" s="7">
        <f t="shared" si="11"/>
        <v>1.6260162601626018E-2</v>
      </c>
      <c r="I48" s="8">
        <v>701.33653846153868</v>
      </c>
      <c r="J48" s="9">
        <f t="shared" si="12"/>
        <v>712.74038461538487</v>
      </c>
      <c r="K48" s="3">
        <f t="shared" si="13"/>
        <v>11.403846153846189</v>
      </c>
      <c r="L48" s="7">
        <f t="shared" si="14"/>
        <v>1.626016260162606E-2</v>
      </c>
      <c r="M48" t="s">
        <v>7</v>
      </c>
      <c r="O48" s="3">
        <f>E48-'305245 - P0424'!F48</f>
        <v>0</v>
      </c>
      <c r="P48" s="30">
        <f>I48-'305245 - P0424'!J48</f>
        <v>0</v>
      </c>
    </row>
    <row r="49" spans="1:16" x14ac:dyDescent="0.25">
      <c r="A49">
        <v>47</v>
      </c>
      <c r="D49" s="4" t="s">
        <v>54</v>
      </c>
      <c r="E49" s="8">
        <v>615</v>
      </c>
      <c r="F49" s="8">
        <f>F43</f>
        <v>625</v>
      </c>
      <c r="G49" s="6">
        <f t="shared" si="10"/>
        <v>10</v>
      </c>
      <c r="H49" s="7">
        <f t="shared" si="11"/>
        <v>1.6260162601626018E-2</v>
      </c>
      <c r="I49" s="8">
        <v>701.33653846153868</v>
      </c>
      <c r="J49" s="9">
        <f t="shared" si="12"/>
        <v>712.74038461538487</v>
      </c>
      <c r="K49" s="3">
        <f t="shared" si="13"/>
        <v>11.403846153846189</v>
      </c>
      <c r="L49" s="7">
        <f t="shared" si="14"/>
        <v>1.626016260162606E-2</v>
      </c>
      <c r="M49" t="s">
        <v>7</v>
      </c>
      <c r="O49" s="3">
        <f>E49-'305245 - P0424'!F49</f>
        <v>0</v>
      </c>
      <c r="P49" s="30">
        <f>I49-'305245 - P0424'!J49</f>
        <v>0</v>
      </c>
    </row>
    <row r="50" spans="1:16" x14ac:dyDescent="0.25">
      <c r="A50">
        <v>48</v>
      </c>
      <c r="D50" s="4" t="s">
        <v>55</v>
      </c>
      <c r="E50" s="5">
        <v>520</v>
      </c>
      <c r="F50" s="5">
        <v>540</v>
      </c>
      <c r="G50" s="6">
        <f t="shared" si="10"/>
        <v>20</v>
      </c>
      <c r="H50" s="7">
        <f t="shared" si="11"/>
        <v>3.8461538461538464E-2</v>
      </c>
      <c r="I50" s="8">
        <v>643.71865443425077</v>
      </c>
      <c r="J50" s="9">
        <f t="shared" si="12"/>
        <v>668.47706422018348</v>
      </c>
      <c r="K50" s="3">
        <f t="shared" si="13"/>
        <v>24.758409785932713</v>
      </c>
      <c r="L50" s="7">
        <f t="shared" si="14"/>
        <v>3.846153846153845E-2</v>
      </c>
      <c r="M50" t="s">
        <v>7</v>
      </c>
      <c r="O50" s="3">
        <f>E50-'305245 - P0424'!F50</f>
        <v>0</v>
      </c>
      <c r="P50" s="30">
        <f>I50-'305245 - P0424'!J50</f>
        <v>0</v>
      </c>
    </row>
    <row r="51" spans="1:16" x14ac:dyDescent="0.25">
      <c r="A51">
        <v>49</v>
      </c>
      <c r="D51" s="4" t="s">
        <v>56</v>
      </c>
      <c r="E51" s="8">
        <v>520</v>
      </c>
      <c r="F51" s="8">
        <f>F50</f>
        <v>540</v>
      </c>
      <c r="G51" s="6">
        <f t="shared" si="10"/>
        <v>20</v>
      </c>
      <c r="H51" s="7">
        <f t="shared" si="11"/>
        <v>3.8461538461538464E-2</v>
      </c>
      <c r="I51" s="8">
        <v>643.71865443425077</v>
      </c>
      <c r="J51" s="9">
        <f t="shared" si="12"/>
        <v>668.47706422018348</v>
      </c>
      <c r="K51" s="3">
        <f t="shared" si="13"/>
        <v>24.758409785932713</v>
      </c>
      <c r="L51" s="7">
        <f t="shared" si="14"/>
        <v>3.846153846153845E-2</v>
      </c>
      <c r="M51" t="s">
        <v>7</v>
      </c>
      <c r="O51" s="3">
        <f>E51-'305245 - P0424'!F51</f>
        <v>0</v>
      </c>
      <c r="P51" s="30">
        <f>I51-'305245 - P0424'!J51</f>
        <v>0</v>
      </c>
    </row>
    <row r="52" spans="1:16" x14ac:dyDescent="0.25">
      <c r="A52">
        <v>50</v>
      </c>
      <c r="D52" s="4" t="s">
        <v>57</v>
      </c>
      <c r="E52" s="8">
        <v>520</v>
      </c>
      <c r="F52" s="8">
        <f>F50</f>
        <v>540</v>
      </c>
      <c r="G52" s="6">
        <f t="shared" si="10"/>
        <v>20</v>
      </c>
      <c r="H52" s="7">
        <f t="shared" si="11"/>
        <v>3.8461538461538464E-2</v>
      </c>
      <c r="I52" s="8">
        <v>643.71865443425077</v>
      </c>
      <c r="J52" s="9">
        <f t="shared" si="12"/>
        <v>668.47706422018348</v>
      </c>
      <c r="K52" s="3">
        <f t="shared" si="13"/>
        <v>24.758409785932713</v>
      </c>
      <c r="L52" s="7">
        <f t="shared" si="14"/>
        <v>3.846153846153845E-2</v>
      </c>
      <c r="M52" t="s">
        <v>7</v>
      </c>
      <c r="O52" s="3">
        <f>E52-'305245 - P0424'!F52</f>
        <v>0</v>
      </c>
      <c r="P52" s="30">
        <f>I52-'305245 - P0424'!J52</f>
        <v>0</v>
      </c>
    </row>
    <row r="53" spans="1:16" x14ac:dyDescent="0.25">
      <c r="A53">
        <v>51</v>
      </c>
      <c r="D53" s="4" t="s">
        <v>58</v>
      </c>
      <c r="E53" s="8">
        <v>520</v>
      </c>
      <c r="F53" s="8">
        <f>F50</f>
        <v>540</v>
      </c>
      <c r="G53" s="6">
        <f t="shared" si="10"/>
        <v>20</v>
      </c>
      <c r="H53" s="7">
        <f t="shared" si="11"/>
        <v>3.8461538461538464E-2</v>
      </c>
      <c r="I53" s="8">
        <v>643.71865443425077</v>
      </c>
      <c r="J53" s="9">
        <f t="shared" si="12"/>
        <v>668.47706422018348</v>
      </c>
      <c r="K53" s="3">
        <f t="shared" si="13"/>
        <v>24.758409785932713</v>
      </c>
      <c r="L53" s="7">
        <f t="shared" si="14"/>
        <v>3.846153846153845E-2</v>
      </c>
      <c r="M53" t="s">
        <v>7</v>
      </c>
      <c r="O53" s="3">
        <f>E53-'305245 - P0424'!F53</f>
        <v>0</v>
      </c>
      <c r="P53" s="30">
        <f>I53-'305245 - P0424'!J53</f>
        <v>0</v>
      </c>
    </row>
    <row r="54" spans="1:16" x14ac:dyDescent="0.25">
      <c r="A54">
        <v>52</v>
      </c>
      <c r="D54" s="4" t="s">
        <v>59</v>
      </c>
      <c r="E54" s="5">
        <v>508</v>
      </c>
      <c r="F54" s="5">
        <v>573</v>
      </c>
      <c r="G54" s="6">
        <f t="shared" si="10"/>
        <v>65</v>
      </c>
      <c r="H54" s="7">
        <f t="shared" si="11"/>
        <v>0.12795275590551181</v>
      </c>
      <c r="I54" s="8">
        <v>810.73589164785551</v>
      </c>
      <c r="J54" s="9">
        <f t="shared" si="12"/>
        <v>914.47178329571102</v>
      </c>
      <c r="K54" s="3">
        <f t="shared" si="13"/>
        <v>103.73589164785551</v>
      </c>
      <c r="L54" s="7">
        <f t="shared" si="14"/>
        <v>0.12795275590551178</v>
      </c>
      <c r="M54" t="s">
        <v>7</v>
      </c>
      <c r="O54" s="3">
        <f>E54-'305245 - P0424'!F54</f>
        <v>0</v>
      </c>
      <c r="P54" s="30">
        <f>I54-'305245 - P0424'!J54</f>
        <v>0</v>
      </c>
    </row>
    <row r="55" spans="1:16" x14ac:dyDescent="0.25">
      <c r="A55">
        <v>53</v>
      </c>
      <c r="D55" s="4" t="s">
        <v>60</v>
      </c>
      <c r="E55" s="8">
        <v>508</v>
      </c>
      <c r="F55" s="8">
        <f>F54</f>
        <v>573</v>
      </c>
      <c r="G55" s="6">
        <f t="shared" si="10"/>
        <v>65</v>
      </c>
      <c r="H55" s="7">
        <f t="shared" si="11"/>
        <v>0.12795275590551181</v>
      </c>
      <c r="I55" s="8">
        <v>810.73589164785551</v>
      </c>
      <c r="J55" s="9">
        <f t="shared" si="12"/>
        <v>914.47178329571102</v>
      </c>
      <c r="K55" s="3">
        <f t="shared" si="13"/>
        <v>103.73589164785551</v>
      </c>
      <c r="L55" s="7">
        <f t="shared" si="14"/>
        <v>0.12795275590551178</v>
      </c>
      <c r="M55" t="s">
        <v>7</v>
      </c>
      <c r="O55" s="3">
        <f>E55-'305245 - P0424'!F55</f>
        <v>0</v>
      </c>
      <c r="P55" s="30">
        <f>I55-'305245 - P0424'!J55</f>
        <v>0</v>
      </c>
    </row>
    <row r="56" spans="1:16" x14ac:dyDescent="0.25">
      <c r="A56">
        <v>54</v>
      </c>
      <c r="D56" s="4" t="s">
        <v>61</v>
      </c>
      <c r="E56" s="8">
        <v>508</v>
      </c>
      <c r="F56" s="8">
        <f>F54</f>
        <v>573</v>
      </c>
      <c r="G56" s="6">
        <f t="shared" si="10"/>
        <v>65</v>
      </c>
      <c r="H56" s="7">
        <f t="shared" si="11"/>
        <v>0.12795275590551181</v>
      </c>
      <c r="I56" s="8">
        <v>810.73589164785551</v>
      </c>
      <c r="J56" s="9">
        <f t="shared" si="12"/>
        <v>914.47178329571102</v>
      </c>
      <c r="K56" s="3">
        <f t="shared" si="13"/>
        <v>103.73589164785551</v>
      </c>
      <c r="L56" s="7">
        <f t="shared" si="14"/>
        <v>0.12795275590551178</v>
      </c>
      <c r="M56" t="s">
        <v>7</v>
      </c>
      <c r="O56" s="3">
        <f>E56-'305245 - P0424'!F56</f>
        <v>0</v>
      </c>
      <c r="P56" s="30">
        <f>I56-'305245 - P0424'!J56</f>
        <v>0</v>
      </c>
    </row>
    <row r="57" spans="1:16" x14ac:dyDescent="0.25">
      <c r="A57">
        <v>55</v>
      </c>
      <c r="D57" s="4" t="s">
        <v>62</v>
      </c>
      <c r="E57" s="8">
        <v>508</v>
      </c>
      <c r="F57" s="8">
        <f>F54</f>
        <v>573</v>
      </c>
      <c r="G57" s="6">
        <f t="shared" si="10"/>
        <v>65</v>
      </c>
      <c r="H57" s="7">
        <f t="shared" si="11"/>
        <v>0.12795275590551181</v>
      </c>
      <c r="I57" s="8">
        <v>810.73589164785551</v>
      </c>
      <c r="J57" s="9">
        <f t="shared" si="12"/>
        <v>914.47178329571102</v>
      </c>
      <c r="K57" s="3">
        <f t="shared" si="13"/>
        <v>103.73589164785551</v>
      </c>
      <c r="L57" s="7">
        <f t="shared" si="14"/>
        <v>0.12795275590551178</v>
      </c>
      <c r="M57" t="s">
        <v>7</v>
      </c>
      <c r="O57" s="3">
        <f>E57-'305245 - P0424'!F57</f>
        <v>0</v>
      </c>
      <c r="P57" s="30">
        <f>I57-'305245 - P0424'!J57</f>
        <v>0</v>
      </c>
    </row>
    <row r="58" spans="1:16" x14ac:dyDescent="0.25">
      <c r="A58">
        <v>56</v>
      </c>
      <c r="D58" s="4" t="s">
        <v>63</v>
      </c>
      <c r="E58" s="8">
        <v>508</v>
      </c>
      <c r="F58" s="8">
        <f>F54</f>
        <v>573</v>
      </c>
      <c r="G58" s="6">
        <f t="shared" si="10"/>
        <v>65</v>
      </c>
      <c r="H58" s="7">
        <f t="shared" si="11"/>
        <v>0.12795275590551181</v>
      </c>
      <c r="I58" s="8">
        <v>810.73589164785551</v>
      </c>
      <c r="J58" s="9">
        <f t="shared" si="12"/>
        <v>914.47178329571102</v>
      </c>
      <c r="K58" s="3">
        <f t="shared" si="13"/>
        <v>103.73589164785551</v>
      </c>
      <c r="L58" s="7">
        <f t="shared" si="14"/>
        <v>0.12795275590551178</v>
      </c>
      <c r="M58" t="s">
        <v>7</v>
      </c>
      <c r="O58" s="3">
        <f>E58-'305245 - P0424'!F58</f>
        <v>0</v>
      </c>
      <c r="P58" s="30">
        <f>I58-'305245 - P0424'!J58</f>
        <v>0</v>
      </c>
    </row>
    <row r="59" spans="1:16" x14ac:dyDescent="0.25">
      <c r="A59">
        <v>57</v>
      </c>
      <c r="D59" s="4" t="s">
        <v>64</v>
      </c>
      <c r="E59" s="5">
        <v>568</v>
      </c>
      <c r="F59" s="5">
        <v>578</v>
      </c>
      <c r="G59" s="6">
        <f t="shared" si="10"/>
        <v>10</v>
      </c>
      <c r="H59" s="7">
        <f t="shared" si="11"/>
        <v>1.7605633802816902E-2</v>
      </c>
      <c r="I59" s="8">
        <v>816.10408921933083</v>
      </c>
      <c r="J59" s="9">
        <f t="shared" si="12"/>
        <v>830.47211895910777</v>
      </c>
      <c r="K59" s="3">
        <f t="shared" si="13"/>
        <v>14.368029739776944</v>
      </c>
      <c r="L59" s="7">
        <f t="shared" si="14"/>
        <v>1.7605633802816892E-2</v>
      </c>
      <c r="M59" t="s">
        <v>7</v>
      </c>
      <c r="O59" s="3">
        <f>E59-'305245 - P0424'!F59</f>
        <v>0</v>
      </c>
      <c r="P59" s="30">
        <f>I59-'305245 - P0424'!J59</f>
        <v>0</v>
      </c>
    </row>
    <row r="60" spans="1:16" x14ac:dyDescent="0.25">
      <c r="A60">
        <v>58</v>
      </c>
      <c r="D60" s="4" t="s">
        <v>65</v>
      </c>
      <c r="E60" s="8">
        <v>568</v>
      </c>
      <c r="F60" s="8">
        <f>F59</f>
        <v>578</v>
      </c>
      <c r="G60" s="6">
        <f t="shared" si="10"/>
        <v>10</v>
      </c>
      <c r="H60" s="7">
        <f t="shared" si="11"/>
        <v>1.7605633802816902E-2</v>
      </c>
      <c r="I60" s="8">
        <v>816.10408921933083</v>
      </c>
      <c r="J60" s="9">
        <f t="shared" si="12"/>
        <v>830.47211895910777</v>
      </c>
      <c r="K60" s="3">
        <f t="shared" si="13"/>
        <v>14.368029739776944</v>
      </c>
      <c r="L60" s="7">
        <f t="shared" si="14"/>
        <v>1.7605633802816892E-2</v>
      </c>
      <c r="M60" t="s">
        <v>7</v>
      </c>
      <c r="O60" s="3">
        <f>E60-'305245 - P0424'!F60</f>
        <v>0</v>
      </c>
      <c r="P60" s="30">
        <f>I60-'305245 - P0424'!J60</f>
        <v>0</v>
      </c>
    </row>
    <row r="61" spans="1:16" x14ac:dyDescent="0.25">
      <c r="A61">
        <v>59</v>
      </c>
      <c r="D61" s="4" t="s">
        <v>66</v>
      </c>
      <c r="E61" s="8">
        <v>568</v>
      </c>
      <c r="F61" s="8">
        <f>F59</f>
        <v>578</v>
      </c>
      <c r="G61" s="6">
        <f t="shared" si="10"/>
        <v>10</v>
      </c>
      <c r="H61" s="7">
        <f t="shared" si="11"/>
        <v>1.7605633802816902E-2</v>
      </c>
      <c r="I61" s="8">
        <v>816.10408921933083</v>
      </c>
      <c r="J61" s="9">
        <f t="shared" si="12"/>
        <v>830.47211895910777</v>
      </c>
      <c r="K61" s="3">
        <f t="shared" si="13"/>
        <v>14.368029739776944</v>
      </c>
      <c r="L61" s="7">
        <f t="shared" si="14"/>
        <v>1.7605633802816892E-2</v>
      </c>
      <c r="M61" t="s">
        <v>7</v>
      </c>
      <c r="O61" s="3">
        <f>E61-'305245 - P0424'!F61</f>
        <v>0</v>
      </c>
      <c r="P61" s="30">
        <f>I61-'305245 - P0424'!J61</f>
        <v>0</v>
      </c>
    </row>
    <row r="62" spans="1:16" x14ac:dyDescent="0.25">
      <c r="A62">
        <v>60</v>
      </c>
      <c r="D62" s="4" t="s">
        <v>67</v>
      </c>
      <c r="E62" s="8">
        <v>568</v>
      </c>
      <c r="F62" s="8">
        <f>F59</f>
        <v>578</v>
      </c>
      <c r="G62" s="6">
        <f t="shared" si="10"/>
        <v>10</v>
      </c>
      <c r="H62" s="7">
        <f t="shared" si="11"/>
        <v>1.7605633802816902E-2</v>
      </c>
      <c r="I62" s="8">
        <v>816.10408921933083</v>
      </c>
      <c r="J62" s="9">
        <f t="shared" si="12"/>
        <v>830.47211895910777</v>
      </c>
      <c r="K62" s="3">
        <f t="shared" si="13"/>
        <v>14.368029739776944</v>
      </c>
      <c r="L62" s="7">
        <f t="shared" si="14"/>
        <v>1.7605633802816892E-2</v>
      </c>
      <c r="M62" t="s">
        <v>7</v>
      </c>
      <c r="O62" s="3">
        <f>E62-'305245 - P0424'!F62</f>
        <v>0</v>
      </c>
      <c r="P62" s="30">
        <f>I62-'305245 - P0424'!J62</f>
        <v>0</v>
      </c>
    </row>
    <row r="63" spans="1:16" x14ac:dyDescent="0.25">
      <c r="A63">
        <v>61</v>
      </c>
      <c r="D63" s="2"/>
      <c r="G63" s="6"/>
      <c r="H63" s="10">
        <f>AVERAGE(H34:H62)</f>
        <v>4.2703054433044618E-2</v>
      </c>
      <c r="J63" s="3"/>
      <c r="K63" s="3"/>
      <c r="L63" s="10">
        <f>AVERAGE(L34:L62)</f>
        <v>4.2703054433044653E-2</v>
      </c>
    </row>
    <row r="64" spans="1:16" x14ac:dyDescent="0.25">
      <c r="A64">
        <v>62</v>
      </c>
      <c r="D64" s="2" t="s">
        <v>68</v>
      </c>
      <c r="G64" s="6"/>
      <c r="H64" s="7"/>
      <c r="J64" s="3"/>
      <c r="K64" s="3"/>
      <c r="L64" s="7"/>
    </row>
    <row r="65" spans="1:16" x14ac:dyDescent="0.25">
      <c r="A65">
        <v>63</v>
      </c>
      <c r="D65" s="4" t="s">
        <v>69</v>
      </c>
      <c r="E65" s="5">
        <v>587</v>
      </c>
      <c r="F65" s="5">
        <v>600</v>
      </c>
      <c r="G65" s="6">
        <f t="shared" ref="G65:G71" si="15">+F65-E65</f>
        <v>13</v>
      </c>
      <c r="H65" s="7">
        <f t="shared" ref="H65:H71" si="16">(F65-E65)/ABS(E65)</f>
        <v>2.2146507666098807E-2</v>
      </c>
      <c r="I65" s="8">
        <v>715.9475409836067</v>
      </c>
      <c r="J65" s="9">
        <f t="shared" ref="J65:J90" si="17">(I65*H65)+I65</f>
        <v>731.80327868852476</v>
      </c>
      <c r="K65" s="3">
        <f t="shared" ref="K65:K71" si="18">J65-I65</f>
        <v>15.855737704918056</v>
      </c>
      <c r="L65" s="7">
        <f t="shared" ref="L65:L71" si="19">(J65-I65)/ABS(I65)</f>
        <v>2.2146507666098835E-2</v>
      </c>
      <c r="M65" t="s">
        <v>7</v>
      </c>
      <c r="O65" s="3">
        <f>E65-'305245 - P0424'!F65</f>
        <v>0</v>
      </c>
      <c r="P65" s="30">
        <f>I65-'305245 - P0424'!J65</f>
        <v>0</v>
      </c>
    </row>
    <row r="66" spans="1:16" x14ac:dyDescent="0.25">
      <c r="A66">
        <v>64</v>
      </c>
      <c r="D66" s="4" t="s">
        <v>70</v>
      </c>
      <c r="E66" s="8">
        <v>587</v>
      </c>
      <c r="F66" s="8">
        <f>F65</f>
        <v>600</v>
      </c>
      <c r="G66" s="6">
        <f t="shared" si="15"/>
        <v>13</v>
      </c>
      <c r="H66" s="7">
        <f t="shared" si="16"/>
        <v>2.2146507666098807E-2</v>
      </c>
      <c r="I66" s="8">
        <v>715.9475409836067</v>
      </c>
      <c r="J66" s="9">
        <f t="shared" si="17"/>
        <v>731.80327868852476</v>
      </c>
      <c r="K66" s="3">
        <f t="shared" si="18"/>
        <v>15.855737704918056</v>
      </c>
      <c r="L66" s="7">
        <f t="shared" si="19"/>
        <v>2.2146507666098835E-2</v>
      </c>
      <c r="M66" t="s">
        <v>7</v>
      </c>
      <c r="O66" s="3">
        <f>E66-'305245 - P0424'!F66</f>
        <v>0</v>
      </c>
      <c r="P66" s="30">
        <f>I66-'305245 - P0424'!J66</f>
        <v>0</v>
      </c>
    </row>
    <row r="67" spans="1:16" x14ac:dyDescent="0.25">
      <c r="A67">
        <v>65</v>
      </c>
      <c r="D67" s="4" t="s">
        <v>71</v>
      </c>
      <c r="E67" s="8">
        <v>587</v>
      </c>
      <c r="F67" s="8">
        <f>F65</f>
        <v>600</v>
      </c>
      <c r="G67" s="6">
        <f t="shared" si="15"/>
        <v>13</v>
      </c>
      <c r="H67" s="7">
        <f t="shared" si="16"/>
        <v>2.2146507666098807E-2</v>
      </c>
      <c r="I67" s="8">
        <v>715.9475409836067</v>
      </c>
      <c r="J67" s="9">
        <f t="shared" si="17"/>
        <v>731.80327868852476</v>
      </c>
      <c r="K67" s="3">
        <f t="shared" si="18"/>
        <v>15.855737704918056</v>
      </c>
      <c r="L67" s="7">
        <f t="shared" si="19"/>
        <v>2.2146507666098835E-2</v>
      </c>
      <c r="M67" t="s">
        <v>7</v>
      </c>
      <c r="O67" s="3">
        <f>E67-'305245 - P0424'!F67</f>
        <v>0</v>
      </c>
      <c r="P67" s="30">
        <f>I67-'305245 - P0424'!J67</f>
        <v>0</v>
      </c>
    </row>
    <row r="68" spans="1:16" x14ac:dyDescent="0.25">
      <c r="A68">
        <v>66</v>
      </c>
      <c r="D68" s="4" t="s">
        <v>72</v>
      </c>
      <c r="E68" s="8">
        <v>587</v>
      </c>
      <c r="F68" s="8">
        <f>F65</f>
        <v>600</v>
      </c>
      <c r="G68" s="6">
        <f t="shared" si="15"/>
        <v>13</v>
      </c>
      <c r="H68" s="7">
        <f t="shared" si="16"/>
        <v>2.2146507666098807E-2</v>
      </c>
      <c r="I68" s="8">
        <v>715.9475409836067</v>
      </c>
      <c r="J68" s="9">
        <f t="shared" si="17"/>
        <v>731.80327868852476</v>
      </c>
      <c r="K68" s="3">
        <f t="shared" si="18"/>
        <v>15.855737704918056</v>
      </c>
      <c r="L68" s="7">
        <f t="shared" si="19"/>
        <v>2.2146507666098835E-2</v>
      </c>
      <c r="M68" t="s">
        <v>7</v>
      </c>
      <c r="O68" s="3">
        <f>E68-'305245 - P0424'!F68</f>
        <v>0</v>
      </c>
      <c r="P68" s="30">
        <f>I68-'305245 - P0424'!J68</f>
        <v>0</v>
      </c>
    </row>
    <row r="69" spans="1:16" x14ac:dyDescent="0.25">
      <c r="A69">
        <v>67</v>
      </c>
      <c r="D69" s="4" t="s">
        <v>73</v>
      </c>
      <c r="E69" s="8">
        <v>587</v>
      </c>
      <c r="F69" s="8">
        <f>F65</f>
        <v>600</v>
      </c>
      <c r="G69" s="6">
        <f t="shared" si="15"/>
        <v>13</v>
      </c>
      <c r="H69" s="7">
        <f t="shared" si="16"/>
        <v>2.2146507666098807E-2</v>
      </c>
      <c r="I69" s="8">
        <v>715.9475409836067</v>
      </c>
      <c r="J69" s="9">
        <f t="shared" si="17"/>
        <v>731.80327868852476</v>
      </c>
      <c r="K69" s="3">
        <f t="shared" si="18"/>
        <v>15.855737704918056</v>
      </c>
      <c r="L69" s="7">
        <f t="shared" si="19"/>
        <v>2.2146507666098835E-2</v>
      </c>
      <c r="M69" t="s">
        <v>7</v>
      </c>
      <c r="O69" s="3">
        <f>E69-'305245 - P0424'!F69</f>
        <v>0</v>
      </c>
      <c r="P69" s="30">
        <f>I69-'305245 - P0424'!J69</f>
        <v>0</v>
      </c>
    </row>
    <row r="70" spans="1:16" x14ac:dyDescent="0.25">
      <c r="A70">
        <v>68</v>
      </c>
      <c r="D70" s="4" t="s">
        <v>74</v>
      </c>
      <c r="E70" s="8">
        <v>587</v>
      </c>
      <c r="F70" s="8">
        <f>F65</f>
        <v>600</v>
      </c>
      <c r="G70" s="6">
        <f t="shared" si="15"/>
        <v>13</v>
      </c>
      <c r="H70" s="7">
        <f t="shared" si="16"/>
        <v>2.2146507666098807E-2</v>
      </c>
      <c r="I70" s="8">
        <v>715.9475409836067</v>
      </c>
      <c r="J70" s="9">
        <f t="shared" si="17"/>
        <v>731.80327868852476</v>
      </c>
      <c r="K70" s="3">
        <f t="shared" si="18"/>
        <v>15.855737704918056</v>
      </c>
      <c r="L70" s="7">
        <f t="shared" si="19"/>
        <v>2.2146507666098835E-2</v>
      </c>
      <c r="M70" t="s">
        <v>7</v>
      </c>
      <c r="O70" s="3">
        <f>E70-'305245 - P0424'!F70</f>
        <v>0</v>
      </c>
      <c r="P70" s="30">
        <f>I70-'305245 - P0424'!J70</f>
        <v>0</v>
      </c>
    </row>
    <row r="71" spans="1:16" x14ac:dyDescent="0.25">
      <c r="A71">
        <v>69</v>
      </c>
      <c r="D71" s="4" t="s">
        <v>75</v>
      </c>
      <c r="E71" s="8">
        <v>587</v>
      </c>
      <c r="F71" s="8">
        <f>F67</f>
        <v>600</v>
      </c>
      <c r="G71" s="6">
        <f t="shared" si="15"/>
        <v>13</v>
      </c>
      <c r="H71" s="7">
        <f t="shared" si="16"/>
        <v>2.2146507666098807E-2</v>
      </c>
      <c r="I71" s="8">
        <v>715.9475409836067</v>
      </c>
      <c r="J71" s="9">
        <f t="shared" si="17"/>
        <v>731.80327868852476</v>
      </c>
      <c r="K71" s="3">
        <f t="shared" si="18"/>
        <v>15.855737704918056</v>
      </c>
      <c r="L71" s="7">
        <f t="shared" si="19"/>
        <v>2.2146507666098835E-2</v>
      </c>
      <c r="M71" t="s">
        <v>7</v>
      </c>
      <c r="O71" s="3">
        <f>E71-'305245 - P0424'!F71</f>
        <v>0</v>
      </c>
      <c r="P71" s="30">
        <f>I71-'305245 - P0424'!J71</f>
        <v>0</v>
      </c>
    </row>
    <row r="72" spans="1:16" x14ac:dyDescent="0.25">
      <c r="A72">
        <v>70</v>
      </c>
      <c r="D72" s="4" t="s">
        <v>76</v>
      </c>
      <c r="E72" s="5">
        <v>643</v>
      </c>
      <c r="F72" s="5">
        <v>698</v>
      </c>
      <c r="G72" s="6">
        <f>+F72-E72</f>
        <v>55</v>
      </c>
      <c r="H72" s="7">
        <f>(F72-E72)/ABS(E72)</f>
        <v>8.553654743390357E-2</v>
      </c>
      <c r="I72" s="8">
        <v>901.89327789327785</v>
      </c>
      <c r="J72" s="9">
        <f t="shared" si="17"/>
        <v>979.03811503811494</v>
      </c>
      <c r="K72" s="3">
        <f>J72-I72</f>
        <v>77.144837144837084</v>
      </c>
      <c r="L72" s="7">
        <f>(J72-I72)/ABS(I72)</f>
        <v>8.5536547433903515E-2</v>
      </c>
      <c r="M72" t="s">
        <v>7</v>
      </c>
      <c r="O72" s="3">
        <f>E72-'305245 - P0424'!F72</f>
        <v>0</v>
      </c>
      <c r="P72" s="30">
        <f>I72-'305245 - P0424'!J72</f>
        <v>0</v>
      </c>
    </row>
    <row r="73" spans="1:16" x14ac:dyDescent="0.25">
      <c r="A73">
        <v>71</v>
      </c>
      <c r="D73" s="4" t="s">
        <v>77</v>
      </c>
      <c r="E73" s="8">
        <v>643</v>
      </c>
      <c r="F73" s="8">
        <f>F72</f>
        <v>698</v>
      </c>
      <c r="G73" s="6">
        <f>+F73-E73</f>
        <v>55</v>
      </c>
      <c r="H73" s="7">
        <f>(F73-E73)/ABS(E73)</f>
        <v>8.553654743390357E-2</v>
      </c>
      <c r="I73" s="8">
        <v>901.89327789327785</v>
      </c>
      <c r="J73" s="9">
        <f t="shared" si="17"/>
        <v>979.03811503811494</v>
      </c>
      <c r="K73" s="3">
        <f>J73-I73</f>
        <v>77.144837144837084</v>
      </c>
      <c r="L73" s="7">
        <f>(J73-I73)/ABS(I73)</f>
        <v>8.5536547433903515E-2</v>
      </c>
      <c r="M73" t="s">
        <v>7</v>
      </c>
      <c r="O73" s="3">
        <f>E73-'305245 - P0424'!F73</f>
        <v>0</v>
      </c>
      <c r="P73" s="30">
        <f>I73-'305245 - P0424'!J73</f>
        <v>0</v>
      </c>
    </row>
    <row r="74" spans="1:16" x14ac:dyDescent="0.25">
      <c r="A74">
        <v>72</v>
      </c>
      <c r="D74" s="4" t="s">
        <v>78</v>
      </c>
      <c r="E74" s="8">
        <v>643</v>
      </c>
      <c r="F74" s="8">
        <f>F72</f>
        <v>698</v>
      </c>
      <c r="G74" s="6">
        <f>+F74-E74</f>
        <v>55</v>
      </c>
      <c r="H74" s="7">
        <f>(F74-E74)/ABS(E74)</f>
        <v>8.553654743390357E-2</v>
      </c>
      <c r="I74" s="8">
        <v>901.89327789327785</v>
      </c>
      <c r="J74" s="9">
        <f t="shared" si="17"/>
        <v>979.03811503811494</v>
      </c>
      <c r="K74" s="3">
        <f>J74-I74</f>
        <v>77.144837144837084</v>
      </c>
      <c r="L74" s="7">
        <f>(J74-I74)/ABS(I74)</f>
        <v>8.5536547433903515E-2</v>
      </c>
      <c r="M74" t="s">
        <v>7</v>
      </c>
      <c r="O74" s="3">
        <f>E74-'305245 - P0424'!F74</f>
        <v>0</v>
      </c>
      <c r="P74" s="30">
        <f>I74-'305245 - P0424'!J74</f>
        <v>0</v>
      </c>
    </row>
    <row r="75" spans="1:16" x14ac:dyDescent="0.25">
      <c r="A75">
        <v>73</v>
      </c>
      <c r="D75" s="4" t="s">
        <v>79</v>
      </c>
      <c r="E75" s="8">
        <v>643</v>
      </c>
      <c r="F75" s="8">
        <f>F72</f>
        <v>698</v>
      </c>
      <c r="G75" s="6">
        <f>+F75-E75</f>
        <v>55</v>
      </c>
      <c r="H75" s="7">
        <f>(F75-E75)/ABS(E75)</f>
        <v>8.553654743390357E-2</v>
      </c>
      <c r="I75" s="8">
        <v>901.89327789327785</v>
      </c>
      <c r="J75" s="9">
        <f t="shared" si="17"/>
        <v>979.03811503811494</v>
      </c>
      <c r="K75" s="3">
        <f>J75-I75</f>
        <v>77.144837144837084</v>
      </c>
      <c r="L75" s="7">
        <f>(J75-I75)/ABS(I75)</f>
        <v>8.5536547433903515E-2</v>
      </c>
      <c r="M75" t="s">
        <v>7</v>
      </c>
      <c r="O75" s="3">
        <f>E75-'305245 - P0424'!F75</f>
        <v>0</v>
      </c>
      <c r="P75" s="30">
        <f>I75-'305245 - P0424'!J75</f>
        <v>0</v>
      </c>
    </row>
    <row r="76" spans="1:16" x14ac:dyDescent="0.25">
      <c r="A76">
        <v>74</v>
      </c>
      <c r="D76" s="4" t="s">
        <v>80</v>
      </c>
      <c r="E76" s="8">
        <v>643</v>
      </c>
      <c r="F76" s="8">
        <f>F72</f>
        <v>698</v>
      </c>
      <c r="G76" s="6">
        <f>+F76-E76</f>
        <v>55</v>
      </c>
      <c r="H76" s="7">
        <f>(F76-E76)/ABS(E76)</f>
        <v>8.553654743390357E-2</v>
      </c>
      <c r="I76" s="8">
        <v>901.89327789327785</v>
      </c>
      <c r="J76" s="9">
        <f t="shared" si="17"/>
        <v>979.03811503811494</v>
      </c>
      <c r="K76" s="3">
        <f>J76-I76</f>
        <v>77.144837144837084</v>
      </c>
      <c r="L76" s="7">
        <f>(J76-I76)/ABS(I76)</f>
        <v>8.5536547433903515E-2</v>
      </c>
      <c r="M76" t="s">
        <v>7</v>
      </c>
      <c r="O76" s="3">
        <f>E76-'305245 - P0424'!F76</f>
        <v>0</v>
      </c>
      <c r="P76" s="30">
        <f>I76-'305245 - P0424'!J76</f>
        <v>0</v>
      </c>
    </row>
    <row r="77" spans="1:16" x14ac:dyDescent="0.25">
      <c r="A77">
        <v>75</v>
      </c>
      <c r="D77" s="4" t="s">
        <v>81</v>
      </c>
      <c r="E77" s="8">
        <v>643</v>
      </c>
      <c r="F77" s="8">
        <f t="shared" ref="F77" si="20">F74</f>
        <v>698</v>
      </c>
      <c r="G77" s="6">
        <f t="shared" ref="G77" si="21">+F77-E77</f>
        <v>55</v>
      </c>
      <c r="H77" s="7">
        <f t="shared" ref="H77" si="22">(F77-E77)/ABS(E77)</f>
        <v>8.553654743390357E-2</v>
      </c>
      <c r="I77" s="8">
        <v>901.89327789327785</v>
      </c>
      <c r="J77" s="9">
        <f t="shared" si="17"/>
        <v>979.03811503811494</v>
      </c>
      <c r="K77" s="3">
        <f t="shared" ref="K77" si="23">J77-I77</f>
        <v>77.144837144837084</v>
      </c>
      <c r="L77" s="7">
        <f t="shared" ref="L77" si="24">(J77-I77)/ABS(I77)</f>
        <v>8.5536547433903515E-2</v>
      </c>
      <c r="M77" t="s">
        <v>7</v>
      </c>
      <c r="O77" s="3">
        <f>E77-'305245 - P0424'!F77</f>
        <v>0</v>
      </c>
      <c r="P77" s="30">
        <f>I77-'305245 - P0424'!J77</f>
        <v>0</v>
      </c>
    </row>
    <row r="78" spans="1:16" x14ac:dyDescent="0.25">
      <c r="A78">
        <v>76</v>
      </c>
      <c r="D78" s="4" t="s">
        <v>82</v>
      </c>
      <c r="E78" s="5">
        <v>718</v>
      </c>
      <c r="F78" s="5">
        <v>738</v>
      </c>
      <c r="G78" s="6">
        <f>+F78-E78</f>
        <v>20</v>
      </c>
      <c r="H78" s="7">
        <f>(F78-E78)/ABS(E78)</f>
        <v>2.7855153203342618E-2</v>
      </c>
      <c r="I78" s="8">
        <v>908.96544502617803</v>
      </c>
      <c r="J78" s="9">
        <f t="shared" si="17"/>
        <v>934.28481675392675</v>
      </c>
      <c r="K78" s="3">
        <f>J78-I78</f>
        <v>25.319371727748717</v>
      </c>
      <c r="L78" s="7">
        <f>(J78-I78)/ABS(I78)</f>
        <v>2.7855153203342645E-2</v>
      </c>
      <c r="M78" t="s">
        <v>7</v>
      </c>
      <c r="O78" s="3">
        <f>E78-'305245 - P0424'!F78</f>
        <v>0</v>
      </c>
      <c r="P78" s="30">
        <f>I78-'305245 - P0424'!J78</f>
        <v>0</v>
      </c>
    </row>
    <row r="79" spans="1:16" x14ac:dyDescent="0.25">
      <c r="A79">
        <v>77</v>
      </c>
      <c r="D79" s="4" t="s">
        <v>83</v>
      </c>
      <c r="E79" s="8">
        <v>718</v>
      </c>
      <c r="F79" s="8">
        <f>F78</f>
        <v>738</v>
      </c>
      <c r="G79" s="6">
        <f>+F79-E79</f>
        <v>20</v>
      </c>
      <c r="H79" s="7">
        <f>(F79-E79)/ABS(E79)</f>
        <v>2.7855153203342618E-2</v>
      </c>
      <c r="I79" s="8">
        <v>908.96544502617803</v>
      </c>
      <c r="J79" s="9">
        <f t="shared" si="17"/>
        <v>934.28481675392675</v>
      </c>
      <c r="K79" s="3">
        <f>J79-I79</f>
        <v>25.319371727748717</v>
      </c>
      <c r="L79" s="7">
        <f>(J79-I79)/ABS(I79)</f>
        <v>2.7855153203342645E-2</v>
      </c>
      <c r="M79" t="s">
        <v>7</v>
      </c>
      <c r="O79" s="3">
        <f>E79-'305245 - P0424'!F79</f>
        <v>0</v>
      </c>
      <c r="P79" s="30">
        <f>I79-'305245 - P0424'!J79</f>
        <v>0</v>
      </c>
    </row>
    <row r="80" spans="1:16" x14ac:dyDescent="0.25">
      <c r="A80">
        <v>78</v>
      </c>
      <c r="D80" s="4" t="s">
        <v>84</v>
      </c>
      <c r="E80" s="8">
        <v>718</v>
      </c>
      <c r="F80" s="8">
        <f>F78</f>
        <v>738</v>
      </c>
      <c r="G80" s="6">
        <f>+F80-E80</f>
        <v>20</v>
      </c>
      <c r="H80" s="7">
        <f>(F80-E80)/ABS(E80)</f>
        <v>2.7855153203342618E-2</v>
      </c>
      <c r="I80" s="8">
        <v>908.96544502617803</v>
      </c>
      <c r="J80" s="9">
        <f t="shared" si="17"/>
        <v>934.28481675392675</v>
      </c>
      <c r="K80" s="3">
        <f>J80-I80</f>
        <v>25.319371727748717</v>
      </c>
      <c r="L80" s="7">
        <f>(J80-I80)/ABS(I80)</f>
        <v>2.7855153203342645E-2</v>
      </c>
      <c r="M80" t="s">
        <v>7</v>
      </c>
      <c r="O80" s="3">
        <f>E80-'305245 - P0424'!F80</f>
        <v>0</v>
      </c>
      <c r="P80" s="30">
        <f>I80-'305245 - P0424'!J80</f>
        <v>0</v>
      </c>
    </row>
    <row r="81" spans="1:16" x14ac:dyDescent="0.25">
      <c r="A81">
        <v>79</v>
      </c>
      <c r="D81" s="4" t="s">
        <v>85</v>
      </c>
      <c r="E81" s="8">
        <v>718</v>
      </c>
      <c r="F81" s="8">
        <f>F78</f>
        <v>738</v>
      </c>
      <c r="G81" s="6">
        <f>+F81-E81</f>
        <v>20</v>
      </c>
      <c r="H81" s="7">
        <f>(F81-E81)/ABS(E81)</f>
        <v>2.7855153203342618E-2</v>
      </c>
      <c r="I81" s="8">
        <v>908.96544502617803</v>
      </c>
      <c r="J81" s="9">
        <f t="shared" si="17"/>
        <v>934.28481675392675</v>
      </c>
      <c r="K81" s="3">
        <f>J81-I81</f>
        <v>25.319371727748717</v>
      </c>
      <c r="L81" s="7">
        <f>(J81-I81)/ABS(I81)</f>
        <v>2.7855153203342645E-2</v>
      </c>
      <c r="M81" t="s">
        <v>7</v>
      </c>
      <c r="O81" s="3">
        <f>E81-'305245 - P0424'!F81</f>
        <v>0</v>
      </c>
      <c r="P81" s="30">
        <f>I81-'305245 - P0424'!J81</f>
        <v>0</v>
      </c>
    </row>
    <row r="82" spans="1:16" x14ac:dyDescent="0.25">
      <c r="A82">
        <v>80</v>
      </c>
      <c r="D82" s="4" t="s">
        <v>86</v>
      </c>
      <c r="E82" s="8">
        <v>718</v>
      </c>
      <c r="F82" s="8">
        <f>F78</f>
        <v>738</v>
      </c>
      <c r="G82" s="6">
        <f>+F82-E82</f>
        <v>20</v>
      </c>
      <c r="H82" s="7">
        <f>(F82-E82)/ABS(E82)</f>
        <v>2.7855153203342618E-2</v>
      </c>
      <c r="I82" s="8">
        <v>908.96544502617803</v>
      </c>
      <c r="J82" s="9">
        <f t="shared" si="17"/>
        <v>934.28481675392675</v>
      </c>
      <c r="K82" s="3">
        <f>J82-I82</f>
        <v>25.319371727748717</v>
      </c>
      <c r="L82" s="7">
        <f>(J82-I82)/ABS(I82)</f>
        <v>2.7855153203342645E-2</v>
      </c>
      <c r="M82" t="s">
        <v>7</v>
      </c>
      <c r="O82" s="3">
        <f>E82-'305245 - P0424'!F82</f>
        <v>0</v>
      </c>
      <c r="P82" s="30">
        <f>I82-'305245 - P0424'!J82</f>
        <v>0</v>
      </c>
    </row>
    <row r="83" spans="1:16" x14ac:dyDescent="0.25">
      <c r="A83">
        <v>81</v>
      </c>
      <c r="D83" s="4" t="s">
        <v>87</v>
      </c>
      <c r="E83" s="8">
        <v>718</v>
      </c>
      <c r="F83" s="8">
        <f>F80</f>
        <v>738</v>
      </c>
      <c r="G83" s="6">
        <f t="shared" ref="G83" si="25">+F83-E83</f>
        <v>20</v>
      </c>
      <c r="H83" s="7">
        <f t="shared" ref="H83" si="26">(F83-E83)/ABS(E83)</f>
        <v>2.7855153203342618E-2</v>
      </c>
      <c r="I83" s="8">
        <v>908.96544502617803</v>
      </c>
      <c r="J83" s="9">
        <f t="shared" si="17"/>
        <v>934.28481675392675</v>
      </c>
      <c r="K83" s="3">
        <f t="shared" ref="K83" si="27">J83-I83</f>
        <v>25.319371727748717</v>
      </c>
      <c r="L83" s="7">
        <f t="shared" ref="L83" si="28">(J83-I83)/ABS(I83)</f>
        <v>2.7855153203342645E-2</v>
      </c>
      <c r="M83" t="s">
        <v>7</v>
      </c>
      <c r="O83" s="3">
        <f>E83-'305245 - P0424'!F83</f>
        <v>0</v>
      </c>
      <c r="P83" s="30">
        <f>I83-'305245 - P0424'!J83</f>
        <v>0</v>
      </c>
    </row>
    <row r="84" spans="1:16" x14ac:dyDescent="0.25">
      <c r="A84">
        <v>82</v>
      </c>
      <c r="D84" s="4" t="s">
        <v>493</v>
      </c>
      <c r="E84" s="5">
        <v>798</v>
      </c>
      <c r="F84" s="5">
        <v>808</v>
      </c>
      <c r="G84" s="6">
        <f>+F84-E84</f>
        <v>10</v>
      </c>
      <c r="H84" s="7">
        <f>(F84-E84)/ABS(E84)</f>
        <v>1.2531328320802004E-2</v>
      </c>
      <c r="I84" s="8">
        <v>1022.2205948446795</v>
      </c>
      <c r="J84" s="9">
        <f t="shared" si="17"/>
        <v>1035.0303767349637</v>
      </c>
      <c r="K84" s="3">
        <f>J84-I84</f>
        <v>12.809781890284285</v>
      </c>
      <c r="L84" s="7">
        <f>(J84-I84)/ABS(I84)</f>
        <v>1.2531328320802084E-2</v>
      </c>
      <c r="M84" t="s">
        <v>7</v>
      </c>
      <c r="O84" s="3">
        <f>E84-'305245 - P0424'!F84</f>
        <v>0</v>
      </c>
      <c r="P84" s="30">
        <f>I84-'305245 - P0424'!J84</f>
        <v>0</v>
      </c>
    </row>
    <row r="85" spans="1:16" x14ac:dyDescent="0.25">
      <c r="A85">
        <v>83</v>
      </c>
      <c r="D85" s="4" t="s">
        <v>88</v>
      </c>
      <c r="E85" s="8">
        <v>798</v>
      </c>
      <c r="F85" s="8">
        <f>F84</f>
        <v>808</v>
      </c>
      <c r="G85" s="6">
        <f>+F85-E85</f>
        <v>10</v>
      </c>
      <c r="H85" s="7">
        <f>(F85-E85)/ABS(E85)</f>
        <v>1.2531328320802004E-2</v>
      </c>
      <c r="I85" s="8">
        <v>1022.2205948446795</v>
      </c>
      <c r="J85" s="9">
        <f t="shared" si="17"/>
        <v>1035.0303767349637</v>
      </c>
      <c r="K85" s="3">
        <f>J85-I85</f>
        <v>12.809781890284285</v>
      </c>
      <c r="L85" s="7">
        <f>(J85-I85)/ABS(I85)</f>
        <v>1.2531328320802084E-2</v>
      </c>
      <c r="M85" t="s">
        <v>7</v>
      </c>
      <c r="O85" s="3">
        <f>E85-'305245 - P0424'!F85</f>
        <v>0</v>
      </c>
      <c r="P85" s="30">
        <f>I85-'305245 - P0424'!J85</f>
        <v>0</v>
      </c>
    </row>
    <row r="86" spans="1:16" x14ac:dyDescent="0.25">
      <c r="A86">
        <v>84</v>
      </c>
      <c r="D86" s="4" t="s">
        <v>89</v>
      </c>
      <c r="E86" s="8">
        <v>798</v>
      </c>
      <c r="F86" s="8">
        <f>F84</f>
        <v>808</v>
      </c>
      <c r="G86" s="6">
        <f>+F86-E86</f>
        <v>10</v>
      </c>
      <c r="H86" s="7">
        <f>(F86-E86)/ABS(E86)</f>
        <v>1.2531328320802004E-2</v>
      </c>
      <c r="I86" s="8">
        <v>1022.2205948446795</v>
      </c>
      <c r="J86" s="9">
        <f t="shared" si="17"/>
        <v>1035.0303767349637</v>
      </c>
      <c r="K86" s="3">
        <f>J86-I86</f>
        <v>12.809781890284285</v>
      </c>
      <c r="L86" s="7">
        <f>(J86-I86)/ABS(I86)</f>
        <v>1.2531328320802084E-2</v>
      </c>
      <c r="M86" t="s">
        <v>7</v>
      </c>
      <c r="O86" s="3">
        <f>E86-'305245 - P0424'!F86</f>
        <v>0</v>
      </c>
      <c r="P86" s="30">
        <f>I86-'305245 - P0424'!J86</f>
        <v>0</v>
      </c>
    </row>
    <row r="87" spans="1:16" x14ac:dyDescent="0.25">
      <c r="A87">
        <v>85</v>
      </c>
      <c r="D87" s="4" t="s">
        <v>90</v>
      </c>
      <c r="E87" s="8">
        <v>798</v>
      </c>
      <c r="F87" s="8">
        <f>F84</f>
        <v>808</v>
      </c>
      <c r="G87" s="6">
        <f>+F87-E87</f>
        <v>10</v>
      </c>
      <c r="H87" s="7">
        <f>(F87-E87)/ABS(E87)</f>
        <v>1.2531328320802004E-2</v>
      </c>
      <c r="I87" s="8">
        <v>1022.2205948446795</v>
      </c>
      <c r="J87" s="9">
        <f t="shared" si="17"/>
        <v>1035.0303767349637</v>
      </c>
      <c r="K87" s="3">
        <f>J87-I87</f>
        <v>12.809781890284285</v>
      </c>
      <c r="L87" s="7">
        <f>(J87-I87)/ABS(I87)</f>
        <v>1.2531328320802084E-2</v>
      </c>
      <c r="M87" t="s">
        <v>7</v>
      </c>
      <c r="O87" s="3">
        <f>E87-'305245 - P0424'!F87</f>
        <v>0</v>
      </c>
      <c r="P87" s="30">
        <f>I87-'305245 - P0424'!J87</f>
        <v>0</v>
      </c>
    </row>
    <row r="88" spans="1:16" x14ac:dyDescent="0.25">
      <c r="A88">
        <v>86</v>
      </c>
      <c r="D88" s="4" t="s">
        <v>91</v>
      </c>
      <c r="E88" s="8">
        <v>798</v>
      </c>
      <c r="F88" s="8">
        <f>F84</f>
        <v>808</v>
      </c>
      <c r="G88" s="6">
        <f>+F88-E88</f>
        <v>10</v>
      </c>
      <c r="H88" s="7">
        <f>(F88-E88)/ABS(E88)</f>
        <v>1.2531328320802004E-2</v>
      </c>
      <c r="I88" s="8">
        <v>1022.2205948446795</v>
      </c>
      <c r="J88" s="9">
        <f t="shared" si="17"/>
        <v>1035.0303767349637</v>
      </c>
      <c r="K88" s="3">
        <f>J88-I88</f>
        <v>12.809781890284285</v>
      </c>
      <c r="L88" s="7">
        <f>(J88-I88)/ABS(I88)</f>
        <v>1.2531328320802084E-2</v>
      </c>
      <c r="M88" t="s">
        <v>7</v>
      </c>
      <c r="O88" s="3">
        <f>E88-'305245 - P0424'!F88</f>
        <v>0</v>
      </c>
      <c r="P88" s="30">
        <f>I88-'305245 - P0424'!J88</f>
        <v>0</v>
      </c>
    </row>
    <row r="89" spans="1:16" x14ac:dyDescent="0.25">
      <c r="A89">
        <v>87</v>
      </c>
      <c r="D89" s="4" t="s">
        <v>92</v>
      </c>
      <c r="E89" s="8">
        <v>798</v>
      </c>
      <c r="F89" s="8">
        <f t="shared" ref="F89" si="29">F86</f>
        <v>808</v>
      </c>
      <c r="G89" s="6">
        <f t="shared" ref="G89:G90" si="30">+F89-E89</f>
        <v>10</v>
      </c>
      <c r="H89" s="7">
        <f t="shared" ref="H89:H90" si="31">(F89-E89)/ABS(E89)</f>
        <v>1.2531328320802004E-2</v>
      </c>
      <c r="I89" s="8">
        <v>1022.2205948446795</v>
      </c>
      <c r="J89" s="9">
        <f t="shared" si="17"/>
        <v>1035.0303767349637</v>
      </c>
      <c r="K89" s="3">
        <f t="shared" ref="K89:K90" si="32">J89-I89</f>
        <v>12.809781890284285</v>
      </c>
      <c r="L89" s="7">
        <f t="shared" ref="L89:L90" si="33">(J89-I89)/ABS(I89)</f>
        <v>1.2531328320802084E-2</v>
      </c>
      <c r="M89" t="s">
        <v>7</v>
      </c>
      <c r="O89" s="3">
        <f>E89-'305245 - P0424'!F89</f>
        <v>0</v>
      </c>
      <c r="P89" s="30">
        <f>I89-'305245 - P0424'!J89</f>
        <v>0</v>
      </c>
    </row>
    <row r="90" spans="1:16" x14ac:dyDescent="0.25">
      <c r="A90">
        <v>88</v>
      </c>
      <c r="C90" t="s">
        <v>8</v>
      </c>
      <c r="D90" s="4" t="s">
        <v>93</v>
      </c>
      <c r="E90" s="5">
        <v>12.27</v>
      </c>
      <c r="F90" s="5">
        <v>12.48</v>
      </c>
      <c r="G90" s="6">
        <f t="shared" si="30"/>
        <v>0.21000000000000085</v>
      </c>
      <c r="H90" s="7">
        <f t="shared" si="31"/>
        <v>1.7114914425427941E-2</v>
      </c>
      <c r="I90" s="8">
        <v>2463.8490419471786</v>
      </c>
      <c r="J90" s="9">
        <f t="shared" si="17"/>
        <v>2506.0176074572773</v>
      </c>
      <c r="K90" s="3">
        <f t="shared" si="32"/>
        <v>42.168565510098688</v>
      </c>
      <c r="L90" s="7">
        <f t="shared" si="33"/>
        <v>1.7114914425427986E-2</v>
      </c>
      <c r="M90" t="s">
        <v>7</v>
      </c>
      <c r="O90" s="3">
        <f>E90-'305245 - P0424'!F90</f>
        <v>0</v>
      </c>
      <c r="P90" s="30">
        <f>I90-'305245 - P0424'!J90</f>
        <v>0</v>
      </c>
    </row>
    <row r="91" spans="1:16" x14ac:dyDescent="0.25">
      <c r="A91">
        <v>89</v>
      </c>
      <c r="D91" s="2" t="s">
        <v>94</v>
      </c>
      <c r="H91" s="10">
        <f>AVERAGE(H65:H90)</f>
        <v>3.5679947762938799E-2</v>
      </c>
      <c r="I91"/>
      <c r="L91" s="10">
        <f>AVERAGE(L65:L89)</f>
        <v>3.6422549096439244E-2</v>
      </c>
    </row>
    <row r="92" spans="1:16" x14ac:dyDescent="0.25">
      <c r="A92">
        <v>90</v>
      </c>
      <c r="D92" s="2" t="s">
        <v>95</v>
      </c>
      <c r="I92"/>
      <c r="M92" t="s">
        <v>7</v>
      </c>
      <c r="O92" s="3">
        <f>E92-'305245 - P0424'!F92</f>
        <v>0</v>
      </c>
      <c r="P92" s="30">
        <f>I92-'305245 - P0424'!J92</f>
        <v>0</v>
      </c>
    </row>
    <row r="93" spans="1:16" x14ac:dyDescent="0.25">
      <c r="A93">
        <v>91</v>
      </c>
      <c r="D93" s="4" t="s">
        <v>96</v>
      </c>
      <c r="E93" s="5">
        <v>495</v>
      </c>
      <c r="F93" s="5">
        <v>641</v>
      </c>
      <c r="G93" s="6">
        <f t="shared" ref="G93:G101" si="34">+F93-E93</f>
        <v>146</v>
      </c>
      <c r="H93" s="7">
        <f t="shared" ref="H93:H101" si="35">(F93-E93)/ABS(E93)</f>
        <v>0.29494949494949496</v>
      </c>
      <c r="I93" s="8">
        <v>561.36871508379897</v>
      </c>
      <c r="J93" s="9">
        <f t="shared" ref="J93:J101" si="36">(I93*H93)+I93</f>
        <v>726.94413407821241</v>
      </c>
      <c r="K93" s="3">
        <f t="shared" ref="K93:K101" si="37">J93-I93</f>
        <v>165.57541899441344</v>
      </c>
      <c r="L93" s="7">
        <f t="shared" ref="L93:L101" si="38">(J93-I93)/ABS(I93)</f>
        <v>0.29494949494949496</v>
      </c>
      <c r="M93" t="s">
        <v>7</v>
      </c>
      <c r="O93" s="3">
        <f>E93-'305245 - P0424'!F93</f>
        <v>0</v>
      </c>
      <c r="P93" s="30">
        <f>I93-'305245 - P0424'!J93</f>
        <v>0</v>
      </c>
    </row>
    <row r="94" spans="1:16" x14ac:dyDescent="0.25">
      <c r="A94">
        <v>92</v>
      </c>
      <c r="D94" s="4" t="s">
        <v>97</v>
      </c>
      <c r="E94" s="5">
        <v>515</v>
      </c>
      <c r="F94" s="5">
        <v>661</v>
      </c>
      <c r="G94" s="6">
        <f t="shared" si="34"/>
        <v>146</v>
      </c>
      <c r="H94" s="7">
        <f t="shared" si="35"/>
        <v>0.28349514563106798</v>
      </c>
      <c r="I94" s="8">
        <v>592.67627222562851</v>
      </c>
      <c r="J94" s="9">
        <f t="shared" si="36"/>
        <v>760.69711833231156</v>
      </c>
      <c r="K94" s="3">
        <f t="shared" si="37"/>
        <v>168.02084610668305</v>
      </c>
      <c r="L94" s="7">
        <f t="shared" si="38"/>
        <v>0.28349514563106798</v>
      </c>
      <c r="M94" t="s">
        <v>7</v>
      </c>
      <c r="O94" s="3">
        <f>E94-'305245 - P0424'!F94</f>
        <v>0</v>
      </c>
      <c r="P94" s="30">
        <f>I94-'305245 - P0424'!J94</f>
        <v>0</v>
      </c>
    </row>
    <row r="95" spans="1:16" x14ac:dyDescent="0.25">
      <c r="A95">
        <v>93</v>
      </c>
      <c r="D95" s="4" t="s">
        <v>98</v>
      </c>
      <c r="E95" s="5">
        <v>515</v>
      </c>
      <c r="F95" s="5">
        <v>661</v>
      </c>
      <c r="G95" s="6">
        <f t="shared" si="34"/>
        <v>146</v>
      </c>
      <c r="H95" s="7">
        <f t="shared" si="35"/>
        <v>0.28349514563106798</v>
      </c>
      <c r="I95" s="8">
        <v>589.20294297976682</v>
      </c>
      <c r="J95" s="9">
        <f t="shared" si="36"/>
        <v>756.23911710606967</v>
      </c>
      <c r="K95" s="3">
        <f t="shared" si="37"/>
        <v>167.03617412630285</v>
      </c>
      <c r="L95" s="7">
        <f t="shared" si="38"/>
        <v>0.28349514563106804</v>
      </c>
      <c r="M95" t="s">
        <v>7</v>
      </c>
      <c r="O95" s="3">
        <f>E95-'305245 - P0424'!F95</f>
        <v>0</v>
      </c>
      <c r="P95" s="30">
        <f>I95-'305245 - P0424'!J95</f>
        <v>0</v>
      </c>
    </row>
    <row r="96" spans="1:16" x14ac:dyDescent="0.25">
      <c r="A96">
        <v>94</v>
      </c>
      <c r="D96" s="4" t="s">
        <v>99</v>
      </c>
      <c r="E96" s="5">
        <v>515</v>
      </c>
      <c r="F96" s="5">
        <v>666</v>
      </c>
      <c r="G96" s="6">
        <f t="shared" si="34"/>
        <v>151</v>
      </c>
      <c r="H96" s="7">
        <f t="shared" si="35"/>
        <v>0.29320388349514565</v>
      </c>
      <c r="I96" s="8">
        <v>607.04255319148933</v>
      </c>
      <c r="J96" s="9">
        <f t="shared" si="36"/>
        <v>785.02978723404249</v>
      </c>
      <c r="K96" s="3">
        <f t="shared" si="37"/>
        <v>177.98723404255315</v>
      </c>
      <c r="L96" s="7">
        <f t="shared" si="38"/>
        <v>0.29320388349514559</v>
      </c>
      <c r="M96" t="s">
        <v>7</v>
      </c>
      <c r="O96" s="3">
        <f>E96-'305245 - P0424'!F96</f>
        <v>0</v>
      </c>
      <c r="P96" s="30">
        <f>I96-'305245 - P0424'!J96</f>
        <v>0</v>
      </c>
    </row>
    <row r="97" spans="1:16" x14ac:dyDescent="0.25">
      <c r="A97">
        <v>95</v>
      </c>
      <c r="D97" s="4" t="s">
        <v>100</v>
      </c>
      <c r="E97" s="5">
        <v>710</v>
      </c>
      <c r="F97" s="5">
        <v>873</v>
      </c>
      <c r="G97" s="6">
        <f t="shared" si="34"/>
        <v>163</v>
      </c>
      <c r="H97" s="7">
        <f t="shared" si="35"/>
        <v>0.22957746478873239</v>
      </c>
      <c r="I97" s="8">
        <v>835.16717325227955</v>
      </c>
      <c r="J97" s="9">
        <f t="shared" si="36"/>
        <v>1026.90273556231</v>
      </c>
      <c r="K97" s="3">
        <f t="shared" si="37"/>
        <v>191.73556231003045</v>
      </c>
      <c r="L97" s="7">
        <f>(J97-I97)/ABS(I97)</f>
        <v>0.22957746478873248</v>
      </c>
      <c r="M97" t="s">
        <v>7</v>
      </c>
      <c r="O97" s="3">
        <f>E97-'305245 - P0424'!F97</f>
        <v>0</v>
      </c>
      <c r="P97" s="30">
        <f>I97-'305245 - P0424'!J97</f>
        <v>0</v>
      </c>
    </row>
    <row r="98" spans="1:16" x14ac:dyDescent="0.25">
      <c r="A98">
        <v>96</v>
      </c>
      <c r="C98" t="s">
        <v>8</v>
      </c>
      <c r="D98" s="29" t="s">
        <v>101</v>
      </c>
      <c r="E98" s="5">
        <v>980</v>
      </c>
      <c r="F98" s="5">
        <v>1015</v>
      </c>
      <c r="G98" s="6">
        <f t="shared" si="34"/>
        <v>35</v>
      </c>
      <c r="H98" s="7">
        <f t="shared" si="35"/>
        <v>3.5714285714285712E-2</v>
      </c>
      <c r="I98" s="8">
        <v>1167.8756476683939</v>
      </c>
      <c r="J98" s="9">
        <f t="shared" si="36"/>
        <v>1209.5854922279793</v>
      </c>
      <c r="K98" s="3">
        <f t="shared" si="37"/>
        <v>41.709844559585463</v>
      </c>
      <c r="L98" s="7">
        <f t="shared" si="38"/>
        <v>3.5714285714285685E-2</v>
      </c>
      <c r="M98" t="s">
        <v>7</v>
      </c>
      <c r="O98" s="3">
        <f>E98-'305245 - P0424'!F98</f>
        <v>0</v>
      </c>
      <c r="P98" s="30">
        <f>I98-'305245 - P0424'!J98</f>
        <v>0</v>
      </c>
    </row>
    <row r="99" spans="1:16" x14ac:dyDescent="0.25">
      <c r="A99">
        <v>97</v>
      </c>
      <c r="C99" t="s">
        <v>8</v>
      </c>
      <c r="D99" s="4" t="s">
        <v>102</v>
      </c>
      <c r="E99" s="5">
        <v>1169</v>
      </c>
      <c r="F99" s="5">
        <v>1214</v>
      </c>
      <c r="G99" s="6">
        <f t="shared" si="34"/>
        <v>45</v>
      </c>
      <c r="H99" s="7">
        <f t="shared" si="35"/>
        <v>3.8494439692044483E-2</v>
      </c>
      <c r="I99" s="8">
        <v>1535.5003365842888</v>
      </c>
      <c r="J99" s="9">
        <f t="shared" si="36"/>
        <v>1594.6085616880466</v>
      </c>
      <c r="K99" s="3">
        <f t="shared" si="37"/>
        <v>59.108225103757832</v>
      </c>
      <c r="L99" s="7">
        <f t="shared" si="38"/>
        <v>3.8494439692044434E-2</v>
      </c>
      <c r="M99" t="s">
        <v>7</v>
      </c>
      <c r="O99" s="3">
        <f>E99-'305245 - P0424'!F99</f>
        <v>0</v>
      </c>
      <c r="P99" s="30">
        <f>I99-'305245 - P0424'!J99</f>
        <v>0</v>
      </c>
    </row>
    <row r="100" spans="1:16" x14ac:dyDescent="0.25">
      <c r="A100">
        <v>98</v>
      </c>
      <c r="D100" s="4" t="s">
        <v>103</v>
      </c>
      <c r="E100" s="5">
        <v>17.600000000000001</v>
      </c>
      <c r="F100" s="5">
        <v>17.600000000000001</v>
      </c>
      <c r="G100" s="6">
        <f t="shared" si="34"/>
        <v>0</v>
      </c>
      <c r="H100" s="7">
        <f t="shared" si="35"/>
        <v>0</v>
      </c>
      <c r="I100" s="8">
        <v>47.120192307692307</v>
      </c>
      <c r="J100" s="9">
        <f t="shared" si="36"/>
        <v>47.120192307692307</v>
      </c>
      <c r="K100" s="3">
        <f t="shared" si="37"/>
        <v>0</v>
      </c>
      <c r="L100" s="7">
        <f t="shared" si="38"/>
        <v>0</v>
      </c>
      <c r="M100" t="s">
        <v>7</v>
      </c>
      <c r="O100" s="3">
        <f>E100-'305245 - P0424'!F100</f>
        <v>0</v>
      </c>
      <c r="P100" s="30">
        <f>I100-'305245 - P0424'!J100</f>
        <v>0</v>
      </c>
    </row>
    <row r="101" spans="1:16" x14ac:dyDescent="0.25">
      <c r="A101">
        <v>99</v>
      </c>
      <c r="C101" t="s">
        <v>8</v>
      </c>
      <c r="D101" s="4" t="s">
        <v>104</v>
      </c>
      <c r="E101" s="5">
        <v>1720</v>
      </c>
      <c r="F101" s="5">
        <v>1866</v>
      </c>
      <c r="G101" s="6">
        <f t="shared" si="34"/>
        <v>146</v>
      </c>
      <c r="H101" s="7">
        <f t="shared" si="35"/>
        <v>8.4883720930232553E-2</v>
      </c>
      <c r="I101" s="8">
        <v>2843.6844349680173</v>
      </c>
      <c r="J101" s="9">
        <f t="shared" si="36"/>
        <v>3085.0669509594886</v>
      </c>
      <c r="K101" s="3">
        <f t="shared" si="37"/>
        <v>241.38251599147134</v>
      </c>
      <c r="L101" s="7">
        <f t="shared" si="38"/>
        <v>8.4883720930232595E-2</v>
      </c>
      <c r="M101" t="s">
        <v>7</v>
      </c>
      <c r="O101" s="3">
        <f>E101-'305245 - P0424'!F101</f>
        <v>0</v>
      </c>
      <c r="P101" s="30">
        <f>I101-'305245 - P0424'!J101</f>
        <v>0</v>
      </c>
    </row>
    <row r="102" spans="1:16" x14ac:dyDescent="0.25">
      <c r="A102">
        <v>100</v>
      </c>
      <c r="D102" s="2" t="s">
        <v>105</v>
      </c>
      <c r="H102" s="10">
        <f>AVERAGE(H93:H101)</f>
        <v>0.17153484231467464</v>
      </c>
      <c r="I102"/>
      <c r="L102" s="10">
        <f>AVERAGE(L93:L101)</f>
        <v>0.17153484231467464</v>
      </c>
    </row>
    <row r="103" spans="1:16" x14ac:dyDescent="0.25">
      <c r="A103">
        <v>101</v>
      </c>
      <c r="D103" s="2" t="s">
        <v>106</v>
      </c>
      <c r="G103" s="6"/>
      <c r="H103" s="7"/>
      <c r="I103"/>
      <c r="M103" t="s">
        <v>106</v>
      </c>
    </row>
    <row r="104" spans="1:16" x14ac:dyDescent="0.25">
      <c r="A104">
        <v>102</v>
      </c>
      <c r="C104" t="s">
        <v>8</v>
      </c>
      <c r="D104" s="4" t="s">
        <v>107</v>
      </c>
      <c r="E104" s="5">
        <v>46.11</v>
      </c>
      <c r="F104" s="5">
        <v>36</v>
      </c>
      <c r="G104" s="6">
        <f t="shared" ref="G104:G115" si="39">+F104-E104</f>
        <v>-10.11</v>
      </c>
      <c r="H104" s="7">
        <f t="shared" ref="H104:H115" si="40">(F104-E104)/ABS(E104)</f>
        <v>-0.21925829538061156</v>
      </c>
      <c r="I104" s="9">
        <v>85.406538115384606</v>
      </c>
      <c r="J104" s="8">
        <f t="shared" ref="J104:J115" si="41">(I104*H104)+I104</f>
        <v>66.680446153846148</v>
      </c>
      <c r="K104" s="3">
        <f t="shared" ref="K104:K115" si="42">J104-I104</f>
        <v>-18.726091961538458</v>
      </c>
      <c r="L104" s="7">
        <f t="shared" ref="L104:L115" si="43">(J104-I104)/ABS(I104)</f>
        <v>-0.21925829538061156</v>
      </c>
      <c r="M104" t="s">
        <v>106</v>
      </c>
      <c r="O104" s="3">
        <f>E104-'305245 - P0424'!F104</f>
        <v>0</v>
      </c>
      <c r="P104" s="30">
        <f>I104-'305245 - P0424'!J104</f>
        <v>0</v>
      </c>
    </row>
    <row r="105" spans="1:16" x14ac:dyDescent="0.25">
      <c r="A105">
        <v>103</v>
      </c>
      <c r="C105" t="s">
        <v>8</v>
      </c>
      <c r="D105" s="4" t="s">
        <v>108</v>
      </c>
      <c r="E105" s="5">
        <v>51.96</v>
      </c>
      <c r="F105" s="5">
        <v>42</v>
      </c>
      <c r="G105" s="6">
        <f t="shared" si="39"/>
        <v>-9.9600000000000009</v>
      </c>
      <c r="H105" s="7">
        <f t="shared" si="40"/>
        <v>-0.19168591224018477</v>
      </c>
      <c r="I105" s="9">
        <v>80.176901208617949</v>
      </c>
      <c r="J105" s="8">
        <f t="shared" si="41"/>
        <v>64.808118759852846</v>
      </c>
      <c r="K105" s="3">
        <f>J105-I105</f>
        <v>-15.368782448765103</v>
      </c>
      <c r="L105" s="7">
        <f>(J105-I105)/ABS(I105)</f>
        <v>-0.19168591224018475</v>
      </c>
      <c r="M105" t="s">
        <v>106</v>
      </c>
      <c r="O105" s="3">
        <f>E105-'305245 - P0424'!F105</f>
        <v>0</v>
      </c>
      <c r="P105" s="30">
        <f>I105-'305245 - P0424'!J105</f>
        <v>0</v>
      </c>
    </row>
    <row r="106" spans="1:16" x14ac:dyDescent="0.25">
      <c r="A106">
        <v>104</v>
      </c>
      <c r="C106" t="s">
        <v>8</v>
      </c>
      <c r="D106" s="4" t="s">
        <v>109</v>
      </c>
      <c r="E106" s="12">
        <v>3.19</v>
      </c>
      <c r="F106" s="12">
        <v>3.19</v>
      </c>
      <c r="G106" s="6">
        <f t="shared" si="39"/>
        <v>0</v>
      </c>
      <c r="H106" s="7">
        <f t="shared" si="40"/>
        <v>0</v>
      </c>
      <c r="I106" s="8">
        <v>3.8745328209552197</v>
      </c>
      <c r="J106" s="9">
        <f t="shared" si="41"/>
        <v>3.8745328209552197</v>
      </c>
      <c r="K106" s="3">
        <f t="shared" si="42"/>
        <v>0</v>
      </c>
      <c r="L106" s="7">
        <f t="shared" si="43"/>
        <v>0</v>
      </c>
      <c r="M106" t="s">
        <v>106</v>
      </c>
      <c r="O106" s="3">
        <f>E106-'305245 - P0424'!F106</f>
        <v>0</v>
      </c>
      <c r="P106" s="30">
        <f>I106-'305245 - P0424'!J106</f>
        <v>0</v>
      </c>
    </row>
    <row r="107" spans="1:16" x14ac:dyDescent="0.25">
      <c r="A107">
        <v>105</v>
      </c>
      <c r="C107" t="s">
        <v>8</v>
      </c>
      <c r="D107" s="4" t="s">
        <v>110</v>
      </c>
      <c r="E107" s="12">
        <v>3.48</v>
      </c>
      <c r="F107" s="12">
        <v>3.48</v>
      </c>
      <c r="G107" s="6">
        <f t="shared" si="39"/>
        <v>0</v>
      </c>
      <c r="H107" s="7">
        <f t="shared" si="40"/>
        <v>0</v>
      </c>
      <c r="I107" s="8">
        <v>4.0655928193903108</v>
      </c>
      <c r="J107" s="9">
        <f t="shared" si="41"/>
        <v>4.0655928193903108</v>
      </c>
      <c r="K107" s="3">
        <f t="shared" si="42"/>
        <v>0</v>
      </c>
      <c r="L107" s="7">
        <f t="shared" si="43"/>
        <v>0</v>
      </c>
      <c r="M107" t="s">
        <v>106</v>
      </c>
      <c r="O107" s="3">
        <f>E107-'305245 - P0424'!F107</f>
        <v>0</v>
      </c>
      <c r="P107" s="30">
        <f>I107-'305245 - P0424'!J107</f>
        <v>0</v>
      </c>
    </row>
    <row r="108" spans="1:16" x14ac:dyDescent="0.25">
      <c r="A108">
        <v>106</v>
      </c>
      <c r="C108" t="s">
        <v>8</v>
      </c>
      <c r="D108" s="4" t="s">
        <v>111</v>
      </c>
      <c r="E108" s="12">
        <v>7.89</v>
      </c>
      <c r="F108" s="12">
        <v>7.89</v>
      </c>
      <c r="G108" s="6">
        <f t="shared" si="39"/>
        <v>0</v>
      </c>
      <c r="H108" s="7">
        <f t="shared" si="40"/>
        <v>0</v>
      </c>
      <c r="I108" s="8">
        <v>8.9203191080353719</v>
      </c>
      <c r="J108" s="9">
        <f t="shared" si="41"/>
        <v>8.9203191080353719</v>
      </c>
      <c r="K108" s="3">
        <f t="shared" si="42"/>
        <v>0</v>
      </c>
      <c r="L108" s="7">
        <f t="shared" si="43"/>
        <v>0</v>
      </c>
      <c r="M108" t="s">
        <v>106</v>
      </c>
      <c r="O108" s="3">
        <f>E108-'305245 - P0424'!F108</f>
        <v>0</v>
      </c>
      <c r="P108" s="30">
        <f>I108-'305245 - P0424'!J108</f>
        <v>0</v>
      </c>
    </row>
    <row r="109" spans="1:16" x14ac:dyDescent="0.25">
      <c r="A109">
        <v>107</v>
      </c>
      <c r="C109" t="s">
        <v>8</v>
      </c>
      <c r="D109" s="4" t="s">
        <v>112</v>
      </c>
      <c r="E109" s="12">
        <v>9.34</v>
      </c>
      <c r="F109" s="12">
        <v>9.34</v>
      </c>
      <c r="G109" s="6">
        <f t="shared" si="39"/>
        <v>0</v>
      </c>
      <c r="H109" s="7">
        <f t="shared" si="40"/>
        <v>0</v>
      </c>
      <c r="I109" s="8">
        <v>10.432893234927514</v>
      </c>
      <c r="J109" s="9">
        <f t="shared" si="41"/>
        <v>10.432893234927514</v>
      </c>
      <c r="K109" s="3">
        <f t="shared" si="42"/>
        <v>0</v>
      </c>
      <c r="L109" s="7">
        <f t="shared" si="43"/>
        <v>0</v>
      </c>
      <c r="M109" t="s">
        <v>106</v>
      </c>
      <c r="O109" s="3">
        <f>E109-'305245 - P0424'!F109</f>
        <v>0</v>
      </c>
      <c r="P109" s="30">
        <f>I109-'305245 - P0424'!J109</f>
        <v>0</v>
      </c>
    </row>
    <row r="110" spans="1:16" x14ac:dyDescent="0.25">
      <c r="A110">
        <v>108</v>
      </c>
      <c r="C110" t="s">
        <v>8</v>
      </c>
      <c r="D110" s="4" t="s">
        <v>113</v>
      </c>
      <c r="E110" s="12">
        <v>3.79</v>
      </c>
      <c r="F110" s="12">
        <v>3.79</v>
      </c>
      <c r="G110" s="6">
        <f t="shared" si="39"/>
        <v>0</v>
      </c>
      <c r="H110" s="7">
        <f t="shared" si="40"/>
        <v>0</v>
      </c>
      <c r="I110" s="8">
        <v>5.2944973572314407</v>
      </c>
      <c r="J110" s="9">
        <f t="shared" si="41"/>
        <v>5.2944973572314407</v>
      </c>
      <c r="K110" s="3">
        <f>J110-I110</f>
        <v>0</v>
      </c>
      <c r="L110" s="7">
        <f>(J110-I110)/ABS(I110)</f>
        <v>0</v>
      </c>
      <c r="M110" t="s">
        <v>106</v>
      </c>
      <c r="O110" s="3">
        <f>E110-'305245 - P0424'!F110</f>
        <v>0</v>
      </c>
      <c r="P110" s="30">
        <f>I110-'305245 - P0424'!J110</f>
        <v>0</v>
      </c>
    </row>
    <row r="111" spans="1:16" x14ac:dyDescent="0.25">
      <c r="A111">
        <v>109</v>
      </c>
      <c r="C111" t="s">
        <v>8</v>
      </c>
      <c r="D111" s="4" t="s">
        <v>114</v>
      </c>
      <c r="E111" s="12">
        <v>4.95</v>
      </c>
      <c r="F111" s="12">
        <v>4.95</v>
      </c>
      <c r="G111" s="6">
        <f t="shared" si="39"/>
        <v>0</v>
      </c>
      <c r="H111" s="7">
        <f t="shared" si="40"/>
        <v>0</v>
      </c>
      <c r="I111" s="8">
        <v>6.6523403553892901</v>
      </c>
      <c r="J111" s="9">
        <f t="shared" si="41"/>
        <v>6.6523403553892901</v>
      </c>
      <c r="K111" s="3">
        <f t="shared" si="42"/>
        <v>0</v>
      </c>
      <c r="L111" s="7">
        <f t="shared" si="43"/>
        <v>0</v>
      </c>
      <c r="M111" t="s">
        <v>106</v>
      </c>
      <c r="O111" s="3">
        <f>E111-'305245 - P0424'!F111</f>
        <v>0</v>
      </c>
      <c r="P111" s="30">
        <f>I111-'305245 - P0424'!J111</f>
        <v>0</v>
      </c>
    </row>
    <row r="112" spans="1:16" x14ac:dyDescent="0.25">
      <c r="A112">
        <v>110</v>
      </c>
      <c r="C112" t="s">
        <v>8</v>
      </c>
      <c r="D112" s="4" t="s">
        <v>115</v>
      </c>
      <c r="E112" s="12">
        <v>6.16</v>
      </c>
      <c r="F112" s="12">
        <v>6.16</v>
      </c>
      <c r="G112" s="6">
        <f t="shared" si="39"/>
        <v>0</v>
      </c>
      <c r="H112" s="7">
        <f t="shared" si="40"/>
        <v>0</v>
      </c>
      <c r="I112" s="8">
        <v>7.8767696532032376</v>
      </c>
      <c r="J112" s="9">
        <f t="shared" si="41"/>
        <v>7.8767696532032376</v>
      </c>
      <c r="K112" s="3">
        <f t="shared" si="42"/>
        <v>0</v>
      </c>
      <c r="L112" s="7">
        <f t="shared" si="43"/>
        <v>0</v>
      </c>
      <c r="M112" t="s">
        <v>106</v>
      </c>
      <c r="O112" s="3">
        <f>E112-'305245 - P0424'!F112</f>
        <v>0</v>
      </c>
      <c r="P112" s="30">
        <f>I112-'305245 - P0424'!J112</f>
        <v>0</v>
      </c>
    </row>
    <row r="113" spans="1:16" x14ac:dyDescent="0.25">
      <c r="A113">
        <v>111</v>
      </c>
      <c r="C113" t="s">
        <v>8</v>
      </c>
      <c r="D113" s="4" t="s">
        <v>116</v>
      </c>
      <c r="E113" s="12">
        <v>7.33</v>
      </c>
      <c r="F113" s="12">
        <v>7.33</v>
      </c>
      <c r="G113" s="6">
        <f t="shared" si="39"/>
        <v>0</v>
      </c>
      <c r="H113" s="7">
        <f t="shared" si="40"/>
        <v>0</v>
      </c>
      <c r="I113" s="8">
        <v>9.6975016766020872</v>
      </c>
      <c r="J113" s="9">
        <f t="shared" si="41"/>
        <v>9.6975016766020872</v>
      </c>
      <c r="K113" s="3">
        <f t="shared" si="42"/>
        <v>0</v>
      </c>
      <c r="L113" s="7">
        <f t="shared" si="43"/>
        <v>0</v>
      </c>
      <c r="M113" t="s">
        <v>106</v>
      </c>
      <c r="O113" s="3">
        <f>E113-'305245 - P0424'!F113</f>
        <v>0</v>
      </c>
      <c r="P113" s="30">
        <f>I113-'305245 - P0424'!J113</f>
        <v>0</v>
      </c>
    </row>
    <row r="114" spans="1:16" x14ac:dyDescent="0.25">
      <c r="A114">
        <v>112</v>
      </c>
      <c r="C114" t="s">
        <v>8</v>
      </c>
      <c r="D114" s="4" t="s">
        <v>117</v>
      </c>
      <c r="E114" s="12">
        <v>8.39</v>
      </c>
      <c r="F114" s="12">
        <v>8.39</v>
      </c>
      <c r="G114" s="6">
        <f t="shared" si="39"/>
        <v>0</v>
      </c>
      <c r="H114" s="7">
        <f t="shared" si="40"/>
        <v>0</v>
      </c>
      <c r="I114" s="8">
        <v>9.9493819659061415</v>
      </c>
      <c r="J114" s="9">
        <f t="shared" si="41"/>
        <v>9.9493819659061415</v>
      </c>
      <c r="K114" s="3">
        <f t="shared" si="42"/>
        <v>0</v>
      </c>
      <c r="L114" s="7">
        <f t="shared" si="43"/>
        <v>0</v>
      </c>
      <c r="M114" t="s">
        <v>106</v>
      </c>
      <c r="O114" s="3">
        <f>E114-'305245 - P0424'!F114</f>
        <v>0</v>
      </c>
      <c r="P114" s="30">
        <f>I114-'305245 - P0424'!J114</f>
        <v>0</v>
      </c>
    </row>
    <row r="115" spans="1:16" x14ac:dyDescent="0.25">
      <c r="A115">
        <v>113</v>
      </c>
      <c r="C115" t="s">
        <v>8</v>
      </c>
      <c r="D115" s="4" t="s">
        <v>118</v>
      </c>
      <c r="E115" s="12">
        <v>9.39</v>
      </c>
      <c r="F115" s="12">
        <v>9.39</v>
      </c>
      <c r="G115" s="6">
        <f t="shared" si="39"/>
        <v>0</v>
      </c>
      <c r="H115" s="7">
        <f t="shared" si="40"/>
        <v>0</v>
      </c>
      <c r="I115" s="8">
        <v>11.783981312354875</v>
      </c>
      <c r="J115" s="9">
        <f t="shared" si="41"/>
        <v>11.783981312354875</v>
      </c>
      <c r="K115" s="3">
        <f t="shared" si="42"/>
        <v>0</v>
      </c>
      <c r="L115" s="7">
        <f t="shared" si="43"/>
        <v>0</v>
      </c>
      <c r="M115" t="s">
        <v>106</v>
      </c>
      <c r="O115" s="3">
        <f>E115-'305245 - P0424'!F115</f>
        <v>0</v>
      </c>
      <c r="P115" s="30">
        <f>I115-'305245 - P0424'!J115</f>
        <v>0</v>
      </c>
    </row>
    <row r="116" spans="1:16" x14ac:dyDescent="0.25">
      <c r="A116">
        <v>114</v>
      </c>
      <c r="D116" s="2" t="s">
        <v>119</v>
      </c>
      <c r="H116" s="10">
        <f>AVERAGE(H104:H115)</f>
        <v>-3.4245350635066361E-2</v>
      </c>
      <c r="I116"/>
      <c r="L116" s="10">
        <f>AVERAGE(L104:L115)</f>
        <v>-3.4245350635066361E-2</v>
      </c>
    </row>
    <row r="117" spans="1:16" x14ac:dyDescent="0.25">
      <c r="A117">
        <v>115</v>
      </c>
      <c r="D117" s="2" t="s">
        <v>120</v>
      </c>
      <c r="I117"/>
      <c r="M117" t="s">
        <v>121</v>
      </c>
    </row>
    <row r="118" spans="1:16" x14ac:dyDescent="0.25">
      <c r="A118">
        <v>116</v>
      </c>
      <c r="C118" t="s">
        <v>8</v>
      </c>
      <c r="D118" s="4" t="s">
        <v>456</v>
      </c>
      <c r="E118" s="12">
        <v>6.3</v>
      </c>
      <c r="F118" s="12">
        <v>6.3</v>
      </c>
      <c r="G118" s="13">
        <f t="shared" ref="G118:G153" si="44">+F118-E118</f>
        <v>0</v>
      </c>
      <c r="H118" s="7">
        <f t="shared" ref="H118:H155" si="45">(F118-E118)/ABS(E118)</f>
        <v>0</v>
      </c>
      <c r="I118" s="8">
        <v>8.2214999999999989</v>
      </c>
      <c r="J118" s="9">
        <f t="shared" ref="J118:J155" si="46">(I118*H118)+I118</f>
        <v>8.2214999999999989</v>
      </c>
      <c r="K118" s="3">
        <f t="shared" ref="K118:K155" si="47">J118-I118</f>
        <v>0</v>
      </c>
      <c r="L118" s="7">
        <f t="shared" ref="L118:L155" si="48">(J118-I118)/ABS(I118)</f>
        <v>0</v>
      </c>
      <c r="M118" t="s">
        <v>121</v>
      </c>
      <c r="O118" s="3">
        <f>E118-'305245 - P0424'!F118</f>
        <v>0</v>
      </c>
      <c r="P118" s="30">
        <f>I118-'305245 - P0424'!J118</f>
        <v>0</v>
      </c>
    </row>
    <row r="119" spans="1:16" x14ac:dyDescent="0.25">
      <c r="A119">
        <v>117</v>
      </c>
      <c r="C119" t="s">
        <v>8</v>
      </c>
      <c r="D119" s="4" t="s">
        <v>457</v>
      </c>
      <c r="E119" s="12">
        <v>6.93</v>
      </c>
      <c r="F119" s="12">
        <v>6.93</v>
      </c>
      <c r="G119" s="13">
        <f t="shared" si="44"/>
        <v>0</v>
      </c>
      <c r="H119" s="7">
        <f t="shared" si="45"/>
        <v>0</v>
      </c>
      <c r="I119" s="8">
        <v>8.9245000000000001</v>
      </c>
      <c r="J119" s="9">
        <f t="shared" si="46"/>
        <v>8.9245000000000001</v>
      </c>
      <c r="K119" s="3">
        <f t="shared" si="47"/>
        <v>0</v>
      </c>
      <c r="L119" s="7">
        <f t="shared" si="48"/>
        <v>0</v>
      </c>
      <c r="M119" t="s">
        <v>121</v>
      </c>
      <c r="O119" s="3">
        <f>E119-'305245 - P0424'!F119</f>
        <v>0</v>
      </c>
      <c r="P119" s="30">
        <f>I119-'305245 - P0424'!J119</f>
        <v>0</v>
      </c>
    </row>
    <row r="120" spans="1:16" x14ac:dyDescent="0.25">
      <c r="A120">
        <v>118</v>
      </c>
      <c r="C120" t="s">
        <v>8</v>
      </c>
      <c r="D120" s="4" t="s">
        <v>458</v>
      </c>
      <c r="E120" s="12">
        <v>7.98</v>
      </c>
      <c r="F120" s="12">
        <v>7.98</v>
      </c>
      <c r="G120" s="13">
        <f t="shared" si="44"/>
        <v>0</v>
      </c>
      <c r="H120" s="7">
        <f t="shared" si="45"/>
        <v>0</v>
      </c>
      <c r="I120" s="8">
        <v>10.762500000000001</v>
      </c>
      <c r="J120" s="9">
        <f t="shared" si="46"/>
        <v>10.762500000000001</v>
      </c>
      <c r="K120" s="3">
        <f t="shared" si="47"/>
        <v>0</v>
      </c>
      <c r="L120" s="7">
        <f t="shared" si="48"/>
        <v>0</v>
      </c>
      <c r="M120" t="s">
        <v>121</v>
      </c>
      <c r="O120" s="3">
        <f>E120-'305245 - P0424'!F120</f>
        <v>0</v>
      </c>
      <c r="P120" s="30">
        <f>I120-'305245 - P0424'!J120</f>
        <v>0</v>
      </c>
    </row>
    <row r="121" spans="1:16" x14ac:dyDescent="0.25">
      <c r="A121">
        <v>119</v>
      </c>
      <c r="C121" t="s">
        <v>8</v>
      </c>
      <c r="D121" s="4" t="s">
        <v>460</v>
      </c>
      <c r="E121" s="12">
        <v>10.08</v>
      </c>
      <c r="F121" s="12">
        <v>10.08</v>
      </c>
      <c r="G121" s="6">
        <f t="shared" si="44"/>
        <v>0</v>
      </c>
      <c r="H121" s="7">
        <f t="shared" si="45"/>
        <v>0</v>
      </c>
      <c r="I121" s="8">
        <v>14.563499999999999</v>
      </c>
      <c r="J121" s="9">
        <f t="shared" si="46"/>
        <v>14.563499999999999</v>
      </c>
      <c r="K121" s="3">
        <f t="shared" si="47"/>
        <v>0</v>
      </c>
      <c r="L121" s="7">
        <f t="shared" si="48"/>
        <v>0</v>
      </c>
      <c r="M121" t="s">
        <v>121</v>
      </c>
      <c r="O121" s="3">
        <f>E121-'305245 - P0424'!F121</f>
        <v>0</v>
      </c>
      <c r="P121" s="30">
        <f>I121-'305245 - P0424'!J121</f>
        <v>0</v>
      </c>
    </row>
    <row r="122" spans="1:16" x14ac:dyDescent="0.25">
      <c r="A122">
        <v>120</v>
      </c>
      <c r="C122" t="s">
        <v>8</v>
      </c>
      <c r="D122" s="4" t="s">
        <v>459</v>
      </c>
      <c r="E122" s="14">
        <v>26.88</v>
      </c>
      <c r="F122" s="14">
        <v>26.88</v>
      </c>
      <c r="G122" s="6">
        <f t="shared" si="44"/>
        <v>0</v>
      </c>
      <c r="H122" s="7">
        <f t="shared" si="45"/>
        <v>0</v>
      </c>
      <c r="I122" s="8">
        <v>39.973499999999994</v>
      </c>
      <c r="J122" s="9">
        <f t="shared" si="46"/>
        <v>39.973499999999994</v>
      </c>
      <c r="K122" s="3">
        <f t="shared" si="47"/>
        <v>0</v>
      </c>
      <c r="L122" s="7">
        <f t="shared" si="48"/>
        <v>0</v>
      </c>
      <c r="M122" t="s">
        <v>121</v>
      </c>
      <c r="O122" s="3">
        <f>E122-'305245 - P0424'!F122</f>
        <v>0</v>
      </c>
      <c r="P122" s="30">
        <f>I122-'305245 - P0424'!J122</f>
        <v>0</v>
      </c>
    </row>
    <row r="123" spans="1:16" x14ac:dyDescent="0.25">
      <c r="A123">
        <v>121</v>
      </c>
      <c r="C123" t="s">
        <v>8</v>
      </c>
      <c r="D123" s="4" t="s">
        <v>122</v>
      </c>
      <c r="E123" s="12">
        <v>6.25</v>
      </c>
      <c r="F123" s="12">
        <v>6.25</v>
      </c>
      <c r="G123" s="6">
        <f t="shared" si="44"/>
        <v>0</v>
      </c>
      <c r="H123" s="7">
        <f t="shared" si="45"/>
        <v>0</v>
      </c>
      <c r="I123" s="8">
        <v>6.930903510039002</v>
      </c>
      <c r="J123" s="9">
        <f t="shared" si="46"/>
        <v>6.930903510039002</v>
      </c>
      <c r="K123" s="3">
        <f t="shared" si="47"/>
        <v>0</v>
      </c>
      <c r="L123" s="7">
        <f t="shared" si="48"/>
        <v>0</v>
      </c>
      <c r="M123" t="s">
        <v>121</v>
      </c>
      <c r="O123" s="3">
        <f>E123-'305245 - P0424'!F123</f>
        <v>0</v>
      </c>
      <c r="P123" s="30">
        <f>I123-'305245 - P0424'!J123</f>
        <v>0</v>
      </c>
    </row>
    <row r="124" spans="1:16" x14ac:dyDescent="0.25">
      <c r="A124">
        <v>122</v>
      </c>
      <c r="C124" t="s">
        <v>8</v>
      </c>
      <c r="D124" s="4" t="s">
        <v>123</v>
      </c>
      <c r="E124" s="12">
        <v>8.6300000000000008</v>
      </c>
      <c r="F124" s="12">
        <v>8.6300000000000008</v>
      </c>
      <c r="G124" s="13">
        <f t="shared" si="44"/>
        <v>0</v>
      </c>
      <c r="H124" s="7">
        <f t="shared" si="45"/>
        <v>0</v>
      </c>
      <c r="I124" s="8">
        <v>8.7073886883273168</v>
      </c>
      <c r="J124" s="9">
        <f t="shared" si="46"/>
        <v>8.7073886883273168</v>
      </c>
      <c r="K124" s="3">
        <f t="shared" si="47"/>
        <v>0</v>
      </c>
      <c r="L124" s="7">
        <f t="shared" si="48"/>
        <v>0</v>
      </c>
      <c r="M124" t="s">
        <v>121</v>
      </c>
      <c r="O124" s="3">
        <f>E124-'305245 - P0424'!F124</f>
        <v>0</v>
      </c>
      <c r="P124" s="30">
        <f>I124-'305245 - P0424'!J124</f>
        <v>0</v>
      </c>
    </row>
    <row r="125" spans="1:16" x14ac:dyDescent="0.25">
      <c r="A125">
        <v>123</v>
      </c>
      <c r="C125" t="s">
        <v>8</v>
      </c>
      <c r="D125" s="4" t="s">
        <v>124</v>
      </c>
      <c r="E125" s="12">
        <v>9.82</v>
      </c>
      <c r="F125" s="12">
        <v>9.82</v>
      </c>
      <c r="G125" s="13">
        <f t="shared" si="44"/>
        <v>0</v>
      </c>
      <c r="H125" s="7">
        <f t="shared" si="45"/>
        <v>0</v>
      </c>
      <c r="I125" s="8">
        <v>10.822370370370372</v>
      </c>
      <c r="J125" s="9">
        <f t="shared" si="46"/>
        <v>10.822370370370372</v>
      </c>
      <c r="K125" s="3">
        <f t="shared" si="47"/>
        <v>0</v>
      </c>
      <c r="L125" s="7">
        <f t="shared" si="48"/>
        <v>0</v>
      </c>
      <c r="M125" t="s">
        <v>121</v>
      </c>
      <c r="O125" s="3">
        <f>E125-'305245 - P0424'!F125</f>
        <v>0</v>
      </c>
      <c r="P125" s="30">
        <f>I125-'305245 - P0424'!J125</f>
        <v>0</v>
      </c>
    </row>
    <row r="126" spans="1:16" x14ac:dyDescent="0.25">
      <c r="A126">
        <v>124</v>
      </c>
      <c r="C126" t="s">
        <v>8</v>
      </c>
      <c r="D126" s="4" t="s">
        <v>125</v>
      </c>
      <c r="E126" s="12">
        <v>11.01</v>
      </c>
      <c r="F126" s="12">
        <v>11.01</v>
      </c>
      <c r="G126" s="13">
        <f t="shared" si="44"/>
        <v>0</v>
      </c>
      <c r="H126" s="7">
        <f t="shared" si="45"/>
        <v>0</v>
      </c>
      <c r="I126" s="8">
        <v>12.518858490566037</v>
      </c>
      <c r="J126" s="9">
        <f t="shared" si="46"/>
        <v>12.518858490566037</v>
      </c>
      <c r="K126" s="3">
        <f t="shared" si="47"/>
        <v>0</v>
      </c>
      <c r="L126" s="7">
        <f t="shared" si="48"/>
        <v>0</v>
      </c>
      <c r="M126" t="s">
        <v>121</v>
      </c>
      <c r="O126" s="3">
        <f>E126-'305245 - P0424'!F126</f>
        <v>0</v>
      </c>
      <c r="P126" s="30">
        <f>I126-'305245 - P0424'!J126</f>
        <v>0</v>
      </c>
    </row>
    <row r="127" spans="1:16" x14ac:dyDescent="0.25">
      <c r="A127">
        <v>125</v>
      </c>
      <c r="C127" t="s">
        <v>8</v>
      </c>
      <c r="D127" s="4" t="s">
        <v>126</v>
      </c>
      <c r="E127" s="12">
        <v>12.13</v>
      </c>
      <c r="F127" s="12">
        <v>12.13</v>
      </c>
      <c r="G127" s="6">
        <f t="shared" si="44"/>
        <v>0</v>
      </c>
      <c r="H127" s="7">
        <f t="shared" si="45"/>
        <v>0</v>
      </c>
      <c r="I127" s="8">
        <v>13.092551369863015</v>
      </c>
      <c r="J127" s="9">
        <f t="shared" si="46"/>
        <v>13.092551369863015</v>
      </c>
      <c r="K127" s="3">
        <f t="shared" si="47"/>
        <v>0</v>
      </c>
      <c r="L127" s="7">
        <f t="shared" si="48"/>
        <v>0</v>
      </c>
      <c r="M127" t="s">
        <v>121</v>
      </c>
      <c r="O127" s="3">
        <f>E127-'305245 - P0424'!F127</f>
        <v>0</v>
      </c>
      <c r="P127" s="30">
        <f>I127-'305245 - P0424'!J127</f>
        <v>0</v>
      </c>
    </row>
    <row r="128" spans="1:16" x14ac:dyDescent="0.25">
      <c r="A128">
        <v>126</v>
      </c>
      <c r="C128" t="s">
        <v>8</v>
      </c>
      <c r="D128" s="4" t="s">
        <v>127</v>
      </c>
      <c r="E128" s="12">
        <v>16.18</v>
      </c>
      <c r="F128" s="12">
        <v>16.18</v>
      </c>
      <c r="G128" s="6">
        <f t="shared" si="44"/>
        <v>0</v>
      </c>
      <c r="H128" s="7">
        <f t="shared" si="45"/>
        <v>0</v>
      </c>
      <c r="I128" s="8">
        <v>18.131712053429638</v>
      </c>
      <c r="J128" s="9">
        <f t="shared" si="46"/>
        <v>18.131712053429638</v>
      </c>
      <c r="K128" s="3">
        <f t="shared" si="47"/>
        <v>0</v>
      </c>
      <c r="L128" s="7">
        <f t="shared" si="48"/>
        <v>0</v>
      </c>
      <c r="M128" t="s">
        <v>121</v>
      </c>
      <c r="O128" s="3">
        <f>E128-'305245 - P0424'!F128</f>
        <v>0</v>
      </c>
      <c r="P128" s="30">
        <f>I128-'305245 - P0424'!J128</f>
        <v>0</v>
      </c>
    </row>
    <row r="129" spans="1:16" x14ac:dyDescent="0.25">
      <c r="A129">
        <v>127</v>
      </c>
      <c r="C129" t="s">
        <v>8</v>
      </c>
      <c r="D129" s="4" t="s">
        <v>128</v>
      </c>
      <c r="E129" s="12">
        <v>7.18</v>
      </c>
      <c r="F129" s="12">
        <v>7.18</v>
      </c>
      <c r="G129" s="6">
        <f t="shared" si="44"/>
        <v>0</v>
      </c>
      <c r="H129" s="7">
        <f t="shared" si="45"/>
        <v>0</v>
      </c>
      <c r="I129" s="8">
        <v>8.8881221902017273</v>
      </c>
      <c r="J129" s="9">
        <f t="shared" si="46"/>
        <v>8.8881221902017273</v>
      </c>
      <c r="K129" s="3">
        <f t="shared" si="47"/>
        <v>0</v>
      </c>
      <c r="L129" s="7">
        <f t="shared" si="48"/>
        <v>0</v>
      </c>
      <c r="M129" t="s">
        <v>121</v>
      </c>
      <c r="O129" s="3">
        <f>E129-'305245 - P0424'!F129</f>
        <v>0</v>
      </c>
      <c r="P129" s="30">
        <f>I129-'305245 - P0424'!J129</f>
        <v>0</v>
      </c>
    </row>
    <row r="130" spans="1:16" x14ac:dyDescent="0.25">
      <c r="A130">
        <v>128</v>
      </c>
      <c r="C130" t="s">
        <v>8</v>
      </c>
      <c r="D130" s="22" t="s">
        <v>504</v>
      </c>
      <c r="E130" s="12">
        <v>7.18</v>
      </c>
      <c r="F130" s="12">
        <v>7.18</v>
      </c>
      <c r="G130" s="6">
        <f t="shared" si="44"/>
        <v>0</v>
      </c>
      <c r="H130" s="7">
        <f t="shared" si="45"/>
        <v>0</v>
      </c>
      <c r="I130" s="8">
        <v>8.8881221902017273</v>
      </c>
      <c r="J130" s="9">
        <f t="shared" si="46"/>
        <v>8.8881221902017273</v>
      </c>
      <c r="K130" s="3">
        <f t="shared" si="47"/>
        <v>0</v>
      </c>
      <c r="L130" s="7">
        <f t="shared" si="48"/>
        <v>0</v>
      </c>
      <c r="M130" t="s">
        <v>121</v>
      </c>
      <c r="O130" s="3">
        <f>E130-'305245 - P0424'!F130</f>
        <v>0</v>
      </c>
      <c r="P130" s="30">
        <f>I130-'305245 - P0424'!J130</f>
        <v>0</v>
      </c>
    </row>
    <row r="131" spans="1:16" x14ac:dyDescent="0.25">
      <c r="A131">
        <v>129</v>
      </c>
      <c r="C131" t="s">
        <v>8</v>
      </c>
      <c r="D131" s="4" t="s">
        <v>129</v>
      </c>
      <c r="E131" s="12">
        <v>31.782399999999999</v>
      </c>
      <c r="F131" s="12">
        <v>31.782399999999999</v>
      </c>
      <c r="G131" s="6">
        <f t="shared" si="44"/>
        <v>0</v>
      </c>
      <c r="H131" s="7">
        <f t="shared" si="45"/>
        <v>0</v>
      </c>
      <c r="I131" s="8">
        <v>42.795999999999999</v>
      </c>
      <c r="J131" s="9">
        <f t="shared" si="46"/>
        <v>42.795999999999999</v>
      </c>
      <c r="K131" s="3">
        <f t="shared" si="47"/>
        <v>0</v>
      </c>
      <c r="L131" s="7">
        <f t="shared" si="48"/>
        <v>0</v>
      </c>
      <c r="M131" t="s">
        <v>121</v>
      </c>
      <c r="O131" s="3">
        <f>E131-'305245 - P0424'!F131</f>
        <v>0</v>
      </c>
      <c r="P131" s="30">
        <f>I131-'305245 - P0424'!J131</f>
        <v>0</v>
      </c>
    </row>
    <row r="132" spans="1:16" x14ac:dyDescent="0.25">
      <c r="A132">
        <v>130</v>
      </c>
      <c r="C132" t="s">
        <v>8</v>
      </c>
      <c r="D132" s="4" t="s">
        <v>130</v>
      </c>
      <c r="E132" s="14">
        <v>38.08</v>
      </c>
      <c r="F132" s="14">
        <v>38.08</v>
      </c>
      <c r="G132" s="6">
        <f t="shared" si="44"/>
        <v>0</v>
      </c>
      <c r="H132" s="7">
        <f t="shared" si="45"/>
        <v>0</v>
      </c>
      <c r="I132" s="8">
        <v>43.505252249795468</v>
      </c>
      <c r="J132" s="9">
        <f t="shared" si="46"/>
        <v>43.505252249795468</v>
      </c>
      <c r="K132" s="3">
        <f t="shared" si="47"/>
        <v>0</v>
      </c>
      <c r="L132" s="7">
        <f t="shared" si="48"/>
        <v>0</v>
      </c>
      <c r="M132" t="s">
        <v>121</v>
      </c>
      <c r="O132" s="3">
        <f>E132-'305245 - P0424'!F132</f>
        <v>0</v>
      </c>
      <c r="P132" s="30">
        <f>I132-'305245 - P0424'!J132</f>
        <v>0</v>
      </c>
    </row>
    <row r="133" spans="1:16" x14ac:dyDescent="0.25">
      <c r="A133">
        <v>131</v>
      </c>
      <c r="C133" t="s">
        <v>8</v>
      </c>
      <c r="D133" s="4" t="s">
        <v>131</v>
      </c>
      <c r="E133" s="14">
        <v>38.08</v>
      </c>
      <c r="F133" s="14">
        <v>38.08</v>
      </c>
      <c r="G133" s="6">
        <f t="shared" si="44"/>
        <v>0</v>
      </c>
      <c r="H133" s="7">
        <f t="shared" si="45"/>
        <v>0</v>
      </c>
      <c r="I133" s="8">
        <v>57.541818816471228</v>
      </c>
      <c r="J133" s="9">
        <f t="shared" si="46"/>
        <v>57.541818816471228</v>
      </c>
      <c r="K133" s="3">
        <f t="shared" si="47"/>
        <v>0</v>
      </c>
      <c r="L133" s="7">
        <f t="shared" si="48"/>
        <v>0</v>
      </c>
      <c r="M133" t="s">
        <v>121</v>
      </c>
      <c r="O133" s="3">
        <f>E133-'305245 - P0424'!F133</f>
        <v>0</v>
      </c>
      <c r="P133" s="30">
        <f>I133-'305245 - P0424'!J133</f>
        <v>0</v>
      </c>
    </row>
    <row r="134" spans="1:16" x14ac:dyDescent="0.25">
      <c r="A134">
        <v>132</v>
      </c>
      <c r="C134" t="s">
        <v>8</v>
      </c>
      <c r="D134" s="4" t="s">
        <v>132</v>
      </c>
      <c r="E134" s="12">
        <v>15.8436</v>
      </c>
      <c r="F134" s="12">
        <v>15.8436</v>
      </c>
      <c r="G134" s="6">
        <f t="shared" si="44"/>
        <v>0</v>
      </c>
      <c r="H134" s="7">
        <f t="shared" si="45"/>
        <v>0</v>
      </c>
      <c r="I134" s="8">
        <v>19.584000000000003</v>
      </c>
      <c r="J134" s="9">
        <f t="shared" si="46"/>
        <v>19.584000000000003</v>
      </c>
      <c r="K134" s="3">
        <f t="shared" si="47"/>
        <v>0</v>
      </c>
      <c r="L134" s="7">
        <f t="shared" si="48"/>
        <v>0</v>
      </c>
      <c r="M134" t="s">
        <v>121</v>
      </c>
      <c r="O134" s="3">
        <f>E134-'305245 - P0424'!F134</f>
        <v>0</v>
      </c>
      <c r="P134" s="30">
        <f>I134-'305245 - P0424'!J134</f>
        <v>0</v>
      </c>
    </row>
    <row r="135" spans="1:16" x14ac:dyDescent="0.25">
      <c r="A135">
        <v>133</v>
      </c>
      <c r="C135" t="s">
        <v>8</v>
      </c>
      <c r="D135" s="4" t="s">
        <v>133</v>
      </c>
      <c r="E135" s="12">
        <v>36.493200000000002</v>
      </c>
      <c r="F135" s="12">
        <v>36.493200000000002</v>
      </c>
      <c r="G135" s="6">
        <f t="shared" si="44"/>
        <v>0</v>
      </c>
      <c r="H135" s="7">
        <f t="shared" si="45"/>
        <v>0</v>
      </c>
      <c r="I135" s="8">
        <v>43.51</v>
      </c>
      <c r="J135" s="9">
        <f t="shared" si="46"/>
        <v>43.51</v>
      </c>
      <c r="K135" s="3">
        <f t="shared" si="47"/>
        <v>0</v>
      </c>
      <c r="L135" s="7">
        <f t="shared" si="48"/>
        <v>0</v>
      </c>
      <c r="M135" t="s">
        <v>121</v>
      </c>
      <c r="O135" s="3">
        <f>E135-'305245 - P0424'!F135</f>
        <v>0</v>
      </c>
      <c r="P135" s="30">
        <f>I135-'305245 - P0424'!J135</f>
        <v>0</v>
      </c>
    </row>
    <row r="136" spans="1:16" x14ac:dyDescent="0.25">
      <c r="A136">
        <v>134</v>
      </c>
      <c r="C136" t="s">
        <v>8</v>
      </c>
      <c r="D136" s="4" t="s">
        <v>134</v>
      </c>
      <c r="E136" s="12">
        <v>54.151200000000003</v>
      </c>
      <c r="F136" s="12">
        <v>54.151200000000003</v>
      </c>
      <c r="G136" s="6">
        <f t="shared" si="44"/>
        <v>0</v>
      </c>
      <c r="H136" s="7">
        <f t="shared" si="45"/>
        <v>0</v>
      </c>
      <c r="I136" s="8">
        <v>92.212972774869115</v>
      </c>
      <c r="J136" s="9">
        <f t="shared" si="46"/>
        <v>92.212972774869115</v>
      </c>
      <c r="K136" s="3">
        <f t="shared" si="47"/>
        <v>0</v>
      </c>
      <c r="L136" s="7">
        <f t="shared" si="48"/>
        <v>0</v>
      </c>
      <c r="M136" t="s">
        <v>121</v>
      </c>
      <c r="O136" s="3">
        <f>E136-'305245 - P0424'!F136</f>
        <v>0</v>
      </c>
      <c r="P136" s="30">
        <f>I136-'305245 - P0424'!J136</f>
        <v>0</v>
      </c>
    </row>
    <row r="137" spans="1:16" x14ac:dyDescent="0.25">
      <c r="A137">
        <v>135</v>
      </c>
      <c r="C137" t="s">
        <v>8</v>
      </c>
      <c r="D137" s="4" t="s">
        <v>135</v>
      </c>
      <c r="E137" s="12">
        <v>6.0588000000000006</v>
      </c>
      <c r="F137" s="12">
        <v>6.0588000000000006</v>
      </c>
      <c r="G137" s="6">
        <f t="shared" si="44"/>
        <v>0</v>
      </c>
      <c r="H137" s="7">
        <f t="shared" si="45"/>
        <v>0</v>
      </c>
      <c r="I137" s="8">
        <v>9.417600000000002</v>
      </c>
      <c r="J137" s="9">
        <f t="shared" si="46"/>
        <v>9.417600000000002</v>
      </c>
      <c r="K137" s="3">
        <f t="shared" si="47"/>
        <v>0</v>
      </c>
      <c r="L137" s="7">
        <f t="shared" si="48"/>
        <v>0</v>
      </c>
      <c r="M137" t="s">
        <v>121</v>
      </c>
      <c r="O137" s="3">
        <f>E137-'305245 - P0424'!F137</f>
        <v>0</v>
      </c>
      <c r="P137" s="30">
        <f>I137-'305245 - P0424'!J137</f>
        <v>0</v>
      </c>
    </row>
    <row r="138" spans="1:16" x14ac:dyDescent="0.25">
      <c r="A138">
        <v>136</v>
      </c>
      <c r="C138" t="s">
        <v>8</v>
      </c>
      <c r="D138" s="4" t="s">
        <v>136</v>
      </c>
      <c r="E138" s="12">
        <v>10.7028</v>
      </c>
      <c r="F138" s="12">
        <v>10.7028</v>
      </c>
      <c r="G138" s="6">
        <f t="shared" si="44"/>
        <v>0</v>
      </c>
      <c r="H138" s="7">
        <f t="shared" si="45"/>
        <v>0</v>
      </c>
      <c r="I138" s="8">
        <v>14.990400000000001</v>
      </c>
      <c r="J138" s="9">
        <f t="shared" si="46"/>
        <v>14.990400000000001</v>
      </c>
      <c r="K138" s="3">
        <f t="shared" si="47"/>
        <v>0</v>
      </c>
      <c r="L138" s="7">
        <f t="shared" si="48"/>
        <v>0</v>
      </c>
      <c r="M138" t="s">
        <v>121</v>
      </c>
      <c r="O138" s="3">
        <f>E138-'305245 - P0424'!F138</f>
        <v>0</v>
      </c>
      <c r="P138" s="30">
        <f>I138-'305245 - P0424'!J138</f>
        <v>0</v>
      </c>
    </row>
    <row r="139" spans="1:16" x14ac:dyDescent="0.25">
      <c r="A139">
        <v>137</v>
      </c>
      <c r="C139" t="s">
        <v>8</v>
      </c>
      <c r="D139" s="4" t="s">
        <v>137</v>
      </c>
      <c r="E139" s="12">
        <v>16.0488</v>
      </c>
      <c r="F139" s="12">
        <v>16.0488</v>
      </c>
      <c r="G139" s="6">
        <f t="shared" si="44"/>
        <v>0</v>
      </c>
      <c r="H139" s="7">
        <f t="shared" si="45"/>
        <v>0</v>
      </c>
      <c r="I139" s="8">
        <v>22.485600000000002</v>
      </c>
      <c r="J139" s="9">
        <f t="shared" si="46"/>
        <v>22.485600000000002</v>
      </c>
      <c r="K139" s="3">
        <f t="shared" si="47"/>
        <v>0</v>
      </c>
      <c r="L139" s="7">
        <f t="shared" si="48"/>
        <v>0</v>
      </c>
      <c r="M139" t="s">
        <v>121</v>
      </c>
      <c r="O139" s="3">
        <f>E139-'305245 - P0424'!F139</f>
        <v>0</v>
      </c>
      <c r="P139" s="30">
        <f>I139-'305245 - P0424'!J139</f>
        <v>0</v>
      </c>
    </row>
    <row r="140" spans="1:16" x14ac:dyDescent="0.25">
      <c r="A140">
        <v>138</v>
      </c>
      <c r="C140" t="s">
        <v>8</v>
      </c>
      <c r="D140" s="4" t="s">
        <v>138</v>
      </c>
      <c r="E140" s="12">
        <v>21.4056</v>
      </c>
      <c r="F140" s="12">
        <v>21.4056</v>
      </c>
      <c r="G140" s="6">
        <f t="shared" si="44"/>
        <v>0</v>
      </c>
      <c r="H140" s="7">
        <f t="shared" si="45"/>
        <v>0</v>
      </c>
      <c r="I140" s="8">
        <v>31.557599999999997</v>
      </c>
      <c r="J140" s="9">
        <f t="shared" si="46"/>
        <v>31.557599999999997</v>
      </c>
      <c r="K140" s="3">
        <f t="shared" si="47"/>
        <v>0</v>
      </c>
      <c r="L140" s="7">
        <f t="shared" si="48"/>
        <v>0</v>
      </c>
      <c r="M140" t="s">
        <v>121</v>
      </c>
      <c r="O140" s="3">
        <f>E140-'305245 - P0424'!F140</f>
        <v>0</v>
      </c>
      <c r="P140" s="30">
        <f>I140-'305245 - P0424'!J140</f>
        <v>0</v>
      </c>
    </row>
    <row r="141" spans="1:16" x14ac:dyDescent="0.25">
      <c r="A141">
        <v>139</v>
      </c>
      <c r="C141" t="s">
        <v>8</v>
      </c>
      <c r="D141" s="4" t="s">
        <v>139</v>
      </c>
      <c r="E141" s="12">
        <v>29.019600000000001</v>
      </c>
      <c r="F141" s="12">
        <v>29.019600000000001</v>
      </c>
      <c r="G141" s="6">
        <f>+F141-E141</f>
        <v>0</v>
      </c>
      <c r="H141" s="7">
        <f t="shared" si="45"/>
        <v>0</v>
      </c>
      <c r="I141" s="8">
        <v>45.165599999999998</v>
      </c>
      <c r="J141" s="9">
        <f t="shared" si="46"/>
        <v>45.165599999999998</v>
      </c>
      <c r="K141" s="3">
        <f t="shared" si="47"/>
        <v>0</v>
      </c>
      <c r="L141" s="7">
        <f t="shared" si="48"/>
        <v>0</v>
      </c>
      <c r="M141" t="s">
        <v>121</v>
      </c>
      <c r="O141" s="3">
        <f>E141-'305245 - P0424'!F141</f>
        <v>0</v>
      </c>
      <c r="P141" s="30">
        <f>I141-'305245 - P0424'!J141</f>
        <v>0</v>
      </c>
    </row>
    <row r="142" spans="1:16" x14ac:dyDescent="0.25">
      <c r="A142">
        <v>140</v>
      </c>
      <c r="C142" t="s">
        <v>8</v>
      </c>
      <c r="D142" s="4" t="s">
        <v>140</v>
      </c>
      <c r="E142" s="12">
        <v>34.819200000000002</v>
      </c>
      <c r="F142" s="12">
        <v>34.819200000000002</v>
      </c>
      <c r="G142" s="6">
        <f t="shared" si="44"/>
        <v>0</v>
      </c>
      <c r="H142" s="7">
        <f t="shared" si="45"/>
        <v>0</v>
      </c>
      <c r="I142" s="8">
        <v>54.205199999999998</v>
      </c>
      <c r="J142" s="9">
        <f t="shared" si="46"/>
        <v>54.205199999999998</v>
      </c>
      <c r="K142" s="3">
        <f t="shared" si="47"/>
        <v>0</v>
      </c>
      <c r="L142" s="7">
        <f t="shared" si="48"/>
        <v>0</v>
      </c>
      <c r="M142" t="s">
        <v>121</v>
      </c>
      <c r="O142" s="3">
        <f>E142-'305245 - P0424'!F142</f>
        <v>0</v>
      </c>
      <c r="P142" s="30">
        <f>I142-'305245 - P0424'!J142</f>
        <v>0</v>
      </c>
    </row>
    <row r="143" spans="1:16" x14ac:dyDescent="0.25">
      <c r="A143">
        <v>141</v>
      </c>
      <c r="C143" t="s">
        <v>8</v>
      </c>
      <c r="D143" s="4" t="s">
        <v>141</v>
      </c>
      <c r="E143" s="12">
        <v>7.7867999999999995</v>
      </c>
      <c r="F143" s="12">
        <v>7.7867999999999995</v>
      </c>
      <c r="G143" s="6">
        <f t="shared" si="44"/>
        <v>0</v>
      </c>
      <c r="H143" s="7">
        <f t="shared" si="45"/>
        <v>0</v>
      </c>
      <c r="I143" s="8">
        <v>11.102399999999999</v>
      </c>
      <c r="J143" s="9">
        <f t="shared" si="46"/>
        <v>11.102399999999999</v>
      </c>
      <c r="K143" s="3">
        <f t="shared" si="47"/>
        <v>0</v>
      </c>
      <c r="L143" s="7">
        <f t="shared" si="48"/>
        <v>0</v>
      </c>
      <c r="M143" t="s">
        <v>121</v>
      </c>
      <c r="O143" s="3">
        <f>E143-'305245 - P0424'!F143</f>
        <v>0</v>
      </c>
      <c r="P143" s="30">
        <f>I143-'305245 - P0424'!J143</f>
        <v>0</v>
      </c>
    </row>
    <row r="144" spans="1:16" x14ac:dyDescent="0.25">
      <c r="A144">
        <v>142</v>
      </c>
      <c r="C144" t="s">
        <v>8</v>
      </c>
      <c r="D144" s="4" t="s">
        <v>142</v>
      </c>
      <c r="E144" s="12">
        <v>12.0528</v>
      </c>
      <c r="F144" s="12">
        <v>12.0528</v>
      </c>
      <c r="G144" s="6">
        <f t="shared" si="44"/>
        <v>0</v>
      </c>
      <c r="H144" s="7">
        <f t="shared" si="45"/>
        <v>0</v>
      </c>
      <c r="I144" s="8">
        <v>16.880400000000002</v>
      </c>
      <c r="J144" s="9">
        <f t="shared" si="46"/>
        <v>16.880400000000002</v>
      </c>
      <c r="K144" s="3">
        <f t="shared" si="47"/>
        <v>0</v>
      </c>
      <c r="L144" s="7">
        <f t="shared" si="48"/>
        <v>0</v>
      </c>
      <c r="M144" t="s">
        <v>121</v>
      </c>
      <c r="O144" s="3">
        <f>E144-'305245 - P0424'!F144</f>
        <v>0</v>
      </c>
      <c r="P144" s="30">
        <f>I144-'305245 - P0424'!J144</f>
        <v>0</v>
      </c>
    </row>
    <row r="145" spans="1:16" x14ac:dyDescent="0.25">
      <c r="A145">
        <v>143</v>
      </c>
      <c r="C145" t="s">
        <v>8</v>
      </c>
      <c r="D145" s="4" t="s">
        <v>143</v>
      </c>
      <c r="E145" s="12">
        <v>18.0792</v>
      </c>
      <c r="F145" s="12">
        <v>18.0792</v>
      </c>
      <c r="G145" s="6">
        <f t="shared" si="44"/>
        <v>0</v>
      </c>
      <c r="H145" s="7">
        <f t="shared" si="45"/>
        <v>0</v>
      </c>
      <c r="I145" s="8">
        <v>25.315200000000004</v>
      </c>
      <c r="J145" s="9">
        <f t="shared" si="46"/>
        <v>25.315200000000004</v>
      </c>
      <c r="K145" s="3">
        <f t="shared" si="47"/>
        <v>0</v>
      </c>
      <c r="L145" s="7">
        <f t="shared" si="48"/>
        <v>0</v>
      </c>
      <c r="M145" t="s">
        <v>121</v>
      </c>
      <c r="O145" s="3">
        <f>E145-'305245 - P0424'!F145</f>
        <v>0</v>
      </c>
      <c r="P145" s="30">
        <f>I145-'305245 - P0424'!J145</f>
        <v>0</v>
      </c>
    </row>
    <row r="146" spans="1:16" x14ac:dyDescent="0.25">
      <c r="A146">
        <v>144</v>
      </c>
      <c r="C146" t="s">
        <v>8</v>
      </c>
      <c r="D146" s="4" t="s">
        <v>144</v>
      </c>
      <c r="E146" s="12">
        <v>24.094799999999999</v>
      </c>
      <c r="F146" s="12">
        <v>24.094799999999999</v>
      </c>
      <c r="G146" s="6">
        <f t="shared" si="44"/>
        <v>0</v>
      </c>
      <c r="H146" s="7">
        <f t="shared" si="45"/>
        <v>0</v>
      </c>
      <c r="I146" s="8">
        <v>35.531999999999996</v>
      </c>
      <c r="J146" s="9">
        <f t="shared" si="46"/>
        <v>35.531999999999996</v>
      </c>
      <c r="K146" s="3">
        <f t="shared" si="47"/>
        <v>0</v>
      </c>
      <c r="L146" s="7">
        <f t="shared" si="48"/>
        <v>0</v>
      </c>
      <c r="M146" t="s">
        <v>121</v>
      </c>
      <c r="O146" s="3">
        <f>E146-'305245 - P0424'!F146</f>
        <v>0</v>
      </c>
      <c r="P146" s="30">
        <f>I146-'305245 - P0424'!J146</f>
        <v>0</v>
      </c>
    </row>
    <row r="147" spans="1:16" x14ac:dyDescent="0.25">
      <c r="A147">
        <v>145</v>
      </c>
      <c r="C147" t="s">
        <v>8</v>
      </c>
      <c r="D147" s="4" t="s">
        <v>145</v>
      </c>
      <c r="E147" s="12">
        <v>33.706800000000001</v>
      </c>
      <c r="F147" s="12">
        <v>33.706800000000001</v>
      </c>
      <c r="G147" s="6">
        <f t="shared" si="44"/>
        <v>0</v>
      </c>
      <c r="H147" s="7">
        <f t="shared" si="45"/>
        <v>0</v>
      </c>
      <c r="I147" s="8">
        <v>52.433999999999997</v>
      </c>
      <c r="J147" s="9">
        <f t="shared" si="46"/>
        <v>52.433999999999997</v>
      </c>
      <c r="K147" s="3">
        <f t="shared" si="47"/>
        <v>0</v>
      </c>
      <c r="L147" s="7">
        <f t="shared" si="48"/>
        <v>0</v>
      </c>
      <c r="M147" t="s">
        <v>121</v>
      </c>
      <c r="O147" s="3">
        <f>E147-'305245 - P0424'!F147</f>
        <v>0</v>
      </c>
      <c r="P147" s="30">
        <f>I147-'305245 - P0424'!J147</f>
        <v>0</v>
      </c>
    </row>
    <row r="148" spans="1:16" x14ac:dyDescent="0.25">
      <c r="A148">
        <v>146</v>
      </c>
      <c r="C148" t="s">
        <v>8</v>
      </c>
      <c r="D148" s="4" t="s">
        <v>146</v>
      </c>
      <c r="E148" s="12">
        <v>40.456800000000001</v>
      </c>
      <c r="F148" s="12">
        <v>40.456800000000001</v>
      </c>
      <c r="G148" s="6">
        <f t="shared" si="44"/>
        <v>0</v>
      </c>
      <c r="H148" s="7">
        <f t="shared" si="45"/>
        <v>0</v>
      </c>
      <c r="I148" s="8">
        <v>62.91</v>
      </c>
      <c r="J148" s="9">
        <f t="shared" si="46"/>
        <v>62.91</v>
      </c>
      <c r="K148" s="3">
        <f t="shared" si="47"/>
        <v>0</v>
      </c>
      <c r="L148" s="7">
        <f t="shared" si="48"/>
        <v>0</v>
      </c>
      <c r="M148" t="s">
        <v>121</v>
      </c>
      <c r="O148" s="3">
        <f>E148-'305245 - P0424'!F148</f>
        <v>0</v>
      </c>
      <c r="P148" s="30">
        <f>I148-'305245 - P0424'!J148</f>
        <v>0</v>
      </c>
    </row>
    <row r="149" spans="1:16" x14ac:dyDescent="0.25">
      <c r="A149">
        <v>147</v>
      </c>
      <c r="C149" t="s">
        <v>8</v>
      </c>
      <c r="D149" s="4" t="s">
        <v>147</v>
      </c>
      <c r="E149" s="12">
        <v>7.0091999999999999</v>
      </c>
      <c r="F149" s="12">
        <v>7.0091999999999999</v>
      </c>
      <c r="G149" s="6">
        <f t="shared" si="44"/>
        <v>0</v>
      </c>
      <c r="H149" s="7">
        <f t="shared" si="45"/>
        <v>0</v>
      </c>
      <c r="I149" s="8">
        <v>10.471083890410959</v>
      </c>
      <c r="J149" s="9">
        <f t="shared" si="46"/>
        <v>10.471083890410959</v>
      </c>
      <c r="K149" s="3">
        <f t="shared" si="47"/>
        <v>0</v>
      </c>
      <c r="L149" s="7">
        <f t="shared" si="48"/>
        <v>0</v>
      </c>
      <c r="M149" t="s">
        <v>121</v>
      </c>
      <c r="O149" s="3">
        <f>E149-'305245 - P0424'!F149</f>
        <v>0</v>
      </c>
      <c r="P149" s="30">
        <f>I149-'305245 - P0424'!J149</f>
        <v>0</v>
      </c>
    </row>
    <row r="150" spans="1:16" x14ac:dyDescent="0.25">
      <c r="A150">
        <v>148</v>
      </c>
      <c r="C150" t="s">
        <v>8</v>
      </c>
      <c r="D150" s="4" t="s">
        <v>448</v>
      </c>
      <c r="E150" s="12">
        <v>6.97</v>
      </c>
      <c r="F150" s="12">
        <v>6.97</v>
      </c>
      <c r="G150" s="6">
        <f t="shared" si="44"/>
        <v>0</v>
      </c>
      <c r="H150" s="7">
        <f t="shared" si="45"/>
        <v>0</v>
      </c>
      <c r="I150" s="8">
        <v>8.7200000000000006</v>
      </c>
      <c r="J150" s="9">
        <f t="shared" si="46"/>
        <v>8.7200000000000006</v>
      </c>
      <c r="K150" s="3">
        <f t="shared" si="47"/>
        <v>0</v>
      </c>
      <c r="L150" s="7">
        <f t="shared" si="48"/>
        <v>0</v>
      </c>
      <c r="M150" t="s">
        <v>121</v>
      </c>
      <c r="O150" s="3">
        <f>E150-'305245 - P0424'!F150</f>
        <v>0</v>
      </c>
      <c r="P150" s="30">
        <f>I150-'305245 - P0424'!J150</f>
        <v>0</v>
      </c>
    </row>
    <row r="151" spans="1:16" x14ac:dyDescent="0.25">
      <c r="A151">
        <v>149</v>
      </c>
      <c r="C151" t="s">
        <v>8</v>
      </c>
      <c r="D151" s="4" t="s">
        <v>449</v>
      </c>
      <c r="E151" s="12">
        <v>8.33</v>
      </c>
      <c r="F151" s="12">
        <v>8.33</v>
      </c>
      <c r="G151" s="6">
        <f t="shared" si="44"/>
        <v>0</v>
      </c>
      <c r="H151" s="7">
        <f t="shared" si="45"/>
        <v>0</v>
      </c>
      <c r="I151" s="8">
        <v>10.42</v>
      </c>
      <c r="J151" s="9">
        <f t="shared" si="46"/>
        <v>10.42</v>
      </c>
      <c r="K151" s="3">
        <f t="shared" si="47"/>
        <v>0</v>
      </c>
      <c r="L151" s="7">
        <f t="shared" si="48"/>
        <v>0</v>
      </c>
      <c r="M151" t="s">
        <v>121</v>
      </c>
      <c r="O151" s="3">
        <f>E151-'305245 - P0424'!F151</f>
        <v>0</v>
      </c>
      <c r="P151" s="30">
        <f>I151-'305245 - P0424'!J151</f>
        <v>0</v>
      </c>
    </row>
    <row r="152" spans="1:16" x14ac:dyDescent="0.25">
      <c r="A152">
        <v>150</v>
      </c>
      <c r="C152" t="s">
        <v>8</v>
      </c>
      <c r="D152" s="4" t="s">
        <v>450</v>
      </c>
      <c r="E152" s="12">
        <v>12.49</v>
      </c>
      <c r="F152" s="12">
        <v>12.49</v>
      </c>
      <c r="G152" s="6">
        <f t="shared" si="44"/>
        <v>0</v>
      </c>
      <c r="H152" s="7">
        <f t="shared" si="45"/>
        <v>0</v>
      </c>
      <c r="I152" s="8">
        <v>15.62</v>
      </c>
      <c r="J152" s="9">
        <f t="shared" si="46"/>
        <v>15.62</v>
      </c>
      <c r="K152" s="3">
        <f t="shared" si="47"/>
        <v>0</v>
      </c>
      <c r="L152" s="7">
        <f t="shared" si="48"/>
        <v>0</v>
      </c>
      <c r="M152" t="s">
        <v>121</v>
      </c>
      <c r="O152" s="3">
        <f>E152-'305245 - P0424'!F152</f>
        <v>0</v>
      </c>
      <c r="P152" s="30">
        <f>I152-'305245 - P0424'!J152</f>
        <v>0</v>
      </c>
    </row>
    <row r="153" spans="1:16" x14ac:dyDescent="0.25">
      <c r="A153">
        <v>151</v>
      </c>
      <c r="C153" t="s">
        <v>8</v>
      </c>
      <c r="D153" s="4" t="s">
        <v>451</v>
      </c>
      <c r="E153" s="12">
        <v>16.27</v>
      </c>
      <c r="F153" s="12">
        <v>16.27</v>
      </c>
      <c r="G153" s="6">
        <f t="shared" si="44"/>
        <v>0</v>
      </c>
      <c r="H153" s="7">
        <f t="shared" si="45"/>
        <v>0</v>
      </c>
      <c r="I153" s="8">
        <v>21.41</v>
      </c>
      <c r="J153" s="9">
        <f t="shared" si="46"/>
        <v>21.41</v>
      </c>
      <c r="K153" s="3">
        <f t="shared" si="47"/>
        <v>0</v>
      </c>
      <c r="L153" s="7">
        <f t="shared" si="48"/>
        <v>0</v>
      </c>
      <c r="M153" t="s">
        <v>121</v>
      </c>
      <c r="O153" s="3">
        <f>E153-'305245 - P0424'!F153</f>
        <v>0</v>
      </c>
      <c r="P153" s="30">
        <f>I153-'305245 - P0424'!J153</f>
        <v>0</v>
      </c>
    </row>
    <row r="154" spans="1:16" x14ac:dyDescent="0.25">
      <c r="A154">
        <v>152</v>
      </c>
      <c r="C154" t="s">
        <v>8</v>
      </c>
      <c r="D154" s="4" t="s">
        <v>452</v>
      </c>
      <c r="E154" s="12">
        <v>20.329999999999998</v>
      </c>
      <c r="F154" s="12">
        <v>20.329999999999998</v>
      </c>
      <c r="G154" s="6">
        <f>+F154-E154</f>
        <v>0</v>
      </c>
      <c r="H154" s="7">
        <f t="shared" si="45"/>
        <v>0</v>
      </c>
      <c r="I154" s="8">
        <v>28.24</v>
      </c>
      <c r="J154" s="9">
        <f t="shared" si="46"/>
        <v>28.24</v>
      </c>
      <c r="K154" s="3">
        <f t="shared" si="47"/>
        <v>0</v>
      </c>
      <c r="L154" s="7">
        <f t="shared" si="48"/>
        <v>0</v>
      </c>
      <c r="M154" t="s">
        <v>121</v>
      </c>
      <c r="O154" s="3">
        <f>E154-'305245 - P0424'!F154</f>
        <v>0</v>
      </c>
      <c r="P154" s="30">
        <f>I154-'305245 - P0424'!J154</f>
        <v>0</v>
      </c>
    </row>
    <row r="155" spans="1:16" x14ac:dyDescent="0.25">
      <c r="A155">
        <v>153</v>
      </c>
      <c r="C155" t="s">
        <v>8</v>
      </c>
      <c r="D155" s="4" t="s">
        <v>453</v>
      </c>
      <c r="E155" s="12">
        <v>24.4</v>
      </c>
      <c r="F155" s="12">
        <v>24.4</v>
      </c>
      <c r="G155" s="6">
        <f t="shared" ref="G155" si="49">+F155-E155</f>
        <v>0</v>
      </c>
      <c r="H155" s="7">
        <f t="shared" si="45"/>
        <v>0</v>
      </c>
      <c r="I155" s="8">
        <v>33.89</v>
      </c>
      <c r="J155" s="9">
        <f t="shared" si="46"/>
        <v>33.89</v>
      </c>
      <c r="K155" s="3">
        <f t="shared" si="47"/>
        <v>0</v>
      </c>
      <c r="L155" s="7">
        <f t="shared" si="48"/>
        <v>0</v>
      </c>
      <c r="M155" t="s">
        <v>121</v>
      </c>
      <c r="O155" s="3">
        <f>E155-'305245 - P0424'!F155</f>
        <v>0</v>
      </c>
      <c r="P155" s="30">
        <f>I155-'305245 - P0424'!J155</f>
        <v>0</v>
      </c>
    </row>
    <row r="156" spans="1:16" x14ac:dyDescent="0.25">
      <c r="A156">
        <v>154</v>
      </c>
      <c r="D156" s="2" t="s">
        <v>148</v>
      </c>
      <c r="F156" s="15"/>
      <c r="H156" s="10">
        <f>AVERAGE(H123:H149)</f>
        <v>0</v>
      </c>
      <c r="I156"/>
    </row>
    <row r="157" spans="1:16" x14ac:dyDescent="0.25">
      <c r="A157">
        <v>155</v>
      </c>
      <c r="D157" s="2" t="s">
        <v>149</v>
      </c>
      <c r="I157"/>
      <c r="M157" t="s">
        <v>150</v>
      </c>
    </row>
    <row r="158" spans="1:16" x14ac:dyDescent="0.25">
      <c r="A158">
        <v>156</v>
      </c>
      <c r="C158" t="s">
        <v>8</v>
      </c>
      <c r="D158" s="4" t="s">
        <v>151</v>
      </c>
      <c r="E158" s="12">
        <v>37.49</v>
      </c>
      <c r="F158" s="12">
        <v>37.49</v>
      </c>
      <c r="G158" s="6">
        <f t="shared" ref="G158:G164" si="50">+F158-E158</f>
        <v>0</v>
      </c>
      <c r="H158" s="7">
        <f t="shared" ref="H158:H164" si="51">(F158-E158)/ABS(E158)</f>
        <v>0</v>
      </c>
      <c r="I158" s="12">
        <v>40.250769230769222</v>
      </c>
      <c r="J158" s="12">
        <f t="shared" ref="J158:J164" si="52">(I158*H158)+I158</f>
        <v>40.250769230769222</v>
      </c>
      <c r="K158" s="3">
        <f t="shared" ref="K158:K164" si="53">J158-I158</f>
        <v>0</v>
      </c>
      <c r="L158" s="7">
        <f t="shared" ref="L158:L164" si="54">(J158-I158)/ABS(I158)</f>
        <v>0</v>
      </c>
      <c r="M158" t="s">
        <v>150</v>
      </c>
      <c r="O158" s="3">
        <f>E158-'305245 - P0424'!F158</f>
        <v>0</v>
      </c>
      <c r="P158" s="30">
        <f>I158-'305245 - P0424'!J158</f>
        <v>0</v>
      </c>
    </row>
    <row r="159" spans="1:16" x14ac:dyDescent="0.25">
      <c r="A159">
        <v>157</v>
      </c>
      <c r="C159" t="s">
        <v>8</v>
      </c>
      <c r="D159" s="4" t="s">
        <v>152</v>
      </c>
      <c r="E159" s="12">
        <v>6.1</v>
      </c>
      <c r="F159" s="12">
        <v>6.1</v>
      </c>
      <c r="G159" s="6">
        <f t="shared" si="50"/>
        <v>0</v>
      </c>
      <c r="H159" s="7">
        <f t="shared" si="51"/>
        <v>0</v>
      </c>
      <c r="I159" s="12">
        <v>13.248680851063828</v>
      </c>
      <c r="J159" s="12">
        <f t="shared" si="52"/>
        <v>13.248680851063828</v>
      </c>
      <c r="K159" s="3">
        <f t="shared" si="53"/>
        <v>0</v>
      </c>
      <c r="L159" s="7">
        <f t="shared" si="54"/>
        <v>0</v>
      </c>
      <c r="M159" t="s">
        <v>150</v>
      </c>
      <c r="O159" s="3">
        <f>E159-'305245 - P0424'!F159</f>
        <v>0</v>
      </c>
      <c r="P159" s="30">
        <f>I159-'305245 - P0424'!J159</f>
        <v>0</v>
      </c>
    </row>
    <row r="160" spans="1:16" x14ac:dyDescent="0.25">
      <c r="A160">
        <v>158</v>
      </c>
      <c r="C160" t="s">
        <v>8</v>
      </c>
      <c r="D160" s="4" t="s">
        <v>153</v>
      </c>
      <c r="E160" s="12">
        <v>11.16</v>
      </c>
      <c r="F160" s="12">
        <v>11.16</v>
      </c>
      <c r="G160" s="6">
        <f t="shared" si="50"/>
        <v>0</v>
      </c>
      <c r="H160" s="7">
        <f t="shared" si="51"/>
        <v>0</v>
      </c>
      <c r="I160" s="12">
        <v>22.971018518518513</v>
      </c>
      <c r="J160" s="12">
        <f t="shared" si="52"/>
        <v>22.971018518518513</v>
      </c>
      <c r="K160" s="3">
        <f t="shared" si="53"/>
        <v>0</v>
      </c>
      <c r="L160" s="7">
        <f t="shared" si="54"/>
        <v>0</v>
      </c>
      <c r="M160" t="s">
        <v>150</v>
      </c>
      <c r="O160" s="3">
        <f>E160-'305245 - P0424'!F160</f>
        <v>0</v>
      </c>
      <c r="P160" s="30">
        <f>I160-'305245 - P0424'!J160</f>
        <v>0</v>
      </c>
    </row>
    <row r="161" spans="1:16" x14ac:dyDescent="0.25">
      <c r="A161">
        <v>159</v>
      </c>
      <c r="D161" s="4" t="s">
        <v>154</v>
      </c>
      <c r="E161" s="12">
        <v>6.8040000000000003</v>
      </c>
      <c r="F161" s="12">
        <v>6.8040000000000003</v>
      </c>
      <c r="G161" s="6">
        <f t="shared" si="50"/>
        <v>0</v>
      </c>
      <c r="H161" s="7">
        <f t="shared" si="51"/>
        <v>0</v>
      </c>
      <c r="I161" s="12">
        <v>22.285410234150319</v>
      </c>
      <c r="J161" s="12">
        <f t="shared" si="52"/>
        <v>22.285410234150319</v>
      </c>
      <c r="K161" s="3">
        <f t="shared" si="53"/>
        <v>0</v>
      </c>
      <c r="L161" s="7">
        <f t="shared" si="54"/>
        <v>0</v>
      </c>
      <c r="M161" t="s">
        <v>150</v>
      </c>
      <c r="O161" s="3">
        <f>E161-'305245 - P0424'!F161</f>
        <v>0</v>
      </c>
      <c r="P161" s="30">
        <f>I161-'305245 - P0424'!J161</f>
        <v>0</v>
      </c>
    </row>
    <row r="162" spans="1:16" x14ac:dyDescent="0.25">
      <c r="A162">
        <v>160</v>
      </c>
      <c r="C162" t="s">
        <v>8</v>
      </c>
      <c r="D162" s="4" t="s">
        <v>155</v>
      </c>
      <c r="E162" s="12">
        <v>18.05</v>
      </c>
      <c r="F162" s="12">
        <v>18.05</v>
      </c>
      <c r="G162" s="6">
        <f t="shared" si="50"/>
        <v>0</v>
      </c>
      <c r="H162" s="7">
        <f t="shared" si="51"/>
        <v>0</v>
      </c>
      <c r="I162" s="12">
        <v>28.933702479338844</v>
      </c>
      <c r="J162" s="12">
        <f t="shared" si="52"/>
        <v>28.933702479338844</v>
      </c>
      <c r="K162" s="3">
        <f t="shared" si="53"/>
        <v>0</v>
      </c>
      <c r="L162" s="7">
        <f t="shared" si="54"/>
        <v>0</v>
      </c>
      <c r="M162" t="s">
        <v>150</v>
      </c>
      <c r="O162" s="3">
        <f>E162-'305245 - P0424'!F162</f>
        <v>0</v>
      </c>
      <c r="P162" s="30">
        <f>I162-'305245 - P0424'!J162</f>
        <v>0</v>
      </c>
    </row>
    <row r="163" spans="1:16" x14ac:dyDescent="0.25">
      <c r="A163">
        <v>161</v>
      </c>
      <c r="D163" s="4" t="s">
        <v>156</v>
      </c>
      <c r="E163" s="12">
        <v>0.4</v>
      </c>
      <c r="F163" s="12">
        <v>0.4</v>
      </c>
      <c r="G163" s="6">
        <f t="shared" si="50"/>
        <v>0</v>
      </c>
      <c r="H163" s="7">
        <f t="shared" si="51"/>
        <v>0</v>
      </c>
      <c r="I163" s="12">
        <v>1.1076923076923078</v>
      </c>
      <c r="J163" s="12">
        <f t="shared" si="52"/>
        <v>1.1076923076923078</v>
      </c>
      <c r="K163" s="3">
        <f t="shared" si="53"/>
        <v>0</v>
      </c>
      <c r="L163" s="7">
        <f t="shared" si="54"/>
        <v>0</v>
      </c>
      <c r="M163" t="s">
        <v>150</v>
      </c>
      <c r="O163" s="3">
        <f>E163-'305245 - P0424'!F163</f>
        <v>0</v>
      </c>
      <c r="P163" s="30">
        <f>I163-'305245 - P0424'!J163</f>
        <v>0</v>
      </c>
    </row>
    <row r="164" spans="1:16" x14ac:dyDescent="0.25">
      <c r="A164">
        <v>162</v>
      </c>
      <c r="C164" t="s">
        <v>8</v>
      </c>
      <c r="D164" s="4" t="s">
        <v>157</v>
      </c>
      <c r="E164" s="12">
        <v>5.99</v>
      </c>
      <c r="F164" s="12">
        <v>5.99</v>
      </c>
      <c r="G164" s="6">
        <f t="shared" si="50"/>
        <v>0</v>
      </c>
      <c r="H164" s="7">
        <f t="shared" si="51"/>
        <v>0</v>
      </c>
      <c r="I164" s="12">
        <v>10.65</v>
      </c>
      <c r="J164" s="12">
        <f t="shared" si="52"/>
        <v>10.65</v>
      </c>
      <c r="K164" s="3">
        <f t="shared" si="53"/>
        <v>0</v>
      </c>
      <c r="L164" s="7">
        <f t="shared" si="54"/>
        <v>0</v>
      </c>
      <c r="M164" t="s">
        <v>150</v>
      </c>
      <c r="O164" s="3">
        <f>E164-'305245 - P0424'!F164</f>
        <v>0</v>
      </c>
      <c r="P164" s="30">
        <f>I164-'305245 - P0424'!J164</f>
        <v>0</v>
      </c>
    </row>
    <row r="165" spans="1:16" x14ac:dyDescent="0.25">
      <c r="A165">
        <v>163</v>
      </c>
      <c r="D165" s="2" t="s">
        <v>158</v>
      </c>
      <c r="H165" s="10">
        <f>AVERAGE(H158:H163)</f>
        <v>0</v>
      </c>
      <c r="I165"/>
    </row>
    <row r="166" spans="1:16" x14ac:dyDescent="0.25">
      <c r="A166">
        <v>164</v>
      </c>
      <c r="D166" s="2" t="s">
        <v>159</v>
      </c>
      <c r="I166"/>
    </row>
    <row r="167" spans="1:16" x14ac:dyDescent="0.25">
      <c r="A167">
        <v>165</v>
      </c>
      <c r="C167" t="s">
        <v>8</v>
      </c>
      <c r="D167" s="4" t="s">
        <v>160</v>
      </c>
      <c r="E167" s="5">
        <v>3.34</v>
      </c>
      <c r="F167" s="5">
        <v>3.34</v>
      </c>
      <c r="G167" s="6">
        <f t="shared" ref="G167:G191" si="55">+F167-E167</f>
        <v>0</v>
      </c>
      <c r="H167" s="7">
        <f t="shared" ref="H167:H191" si="56">(F167-E167)/ABS(E167)</f>
        <v>0</v>
      </c>
      <c r="I167" s="8">
        <v>6.1290657389972267</v>
      </c>
      <c r="J167" s="9">
        <f t="shared" ref="J167:J191" si="57">(I167*H167)+I167</f>
        <v>6.1290657389972267</v>
      </c>
      <c r="K167" s="3">
        <f t="shared" ref="K167:K191" si="58">J167-I167</f>
        <v>0</v>
      </c>
      <c r="L167" s="7">
        <f t="shared" ref="L167:L191" si="59">(J167-I167)/ABS(I167)</f>
        <v>0</v>
      </c>
      <c r="M167" t="s">
        <v>150</v>
      </c>
      <c r="O167" s="3">
        <f>E167-'305245 - P0424'!F167</f>
        <v>0</v>
      </c>
      <c r="P167" s="30">
        <f>I167-'305245 - P0424'!J167</f>
        <v>0</v>
      </c>
    </row>
    <row r="168" spans="1:16" x14ac:dyDescent="0.25">
      <c r="A168">
        <v>166</v>
      </c>
      <c r="C168" t="s">
        <v>8</v>
      </c>
      <c r="D168" s="4" t="s">
        <v>161</v>
      </c>
      <c r="E168" s="5">
        <v>5.01</v>
      </c>
      <c r="F168" s="5">
        <v>5.01</v>
      </c>
      <c r="G168" s="6">
        <f t="shared" si="55"/>
        <v>0</v>
      </c>
      <c r="H168" s="7">
        <f t="shared" si="56"/>
        <v>0</v>
      </c>
      <c r="I168" s="8">
        <v>10.644195465054626</v>
      </c>
      <c r="J168" s="9">
        <f t="shared" si="57"/>
        <v>10.644195465054626</v>
      </c>
      <c r="K168" s="3">
        <f t="shared" si="58"/>
        <v>0</v>
      </c>
      <c r="L168" s="7">
        <f t="shared" si="59"/>
        <v>0</v>
      </c>
      <c r="M168" t="s">
        <v>150</v>
      </c>
      <c r="O168" s="3">
        <f>E168-'305245 - P0424'!F168</f>
        <v>0</v>
      </c>
      <c r="P168" s="30">
        <f>I168-'305245 - P0424'!J168</f>
        <v>0</v>
      </c>
    </row>
    <row r="169" spans="1:16" x14ac:dyDescent="0.25">
      <c r="A169">
        <v>167</v>
      </c>
      <c r="C169" t="s">
        <v>8</v>
      </c>
      <c r="D169" s="4" t="s">
        <v>162</v>
      </c>
      <c r="E169" s="5">
        <v>4.53</v>
      </c>
      <c r="F169" s="5">
        <v>3.58</v>
      </c>
      <c r="G169" s="6">
        <f t="shared" si="55"/>
        <v>-0.95000000000000018</v>
      </c>
      <c r="H169" s="7">
        <f t="shared" si="56"/>
        <v>-0.20971302428256072</v>
      </c>
      <c r="I169" s="8">
        <v>6.4290121448208568</v>
      </c>
      <c r="J169" s="9">
        <f t="shared" si="57"/>
        <v>5.0807645647811626</v>
      </c>
      <c r="K169" s="3">
        <f t="shared" si="58"/>
        <v>-1.3482475800396942</v>
      </c>
      <c r="L169" s="7">
        <f t="shared" si="59"/>
        <v>-0.20971302428256075</v>
      </c>
      <c r="M169" t="s">
        <v>150</v>
      </c>
      <c r="O169" s="3">
        <f>E169-'305245 - P0424'!F169</f>
        <v>0</v>
      </c>
      <c r="P169" s="30">
        <f>I169-'305245 - P0424'!J169</f>
        <v>0</v>
      </c>
    </row>
    <row r="170" spans="1:16" x14ac:dyDescent="0.25">
      <c r="A170">
        <v>168</v>
      </c>
      <c r="C170" t="s">
        <v>8</v>
      </c>
      <c r="D170" s="4" t="s">
        <v>163</v>
      </c>
      <c r="E170" s="5">
        <v>18.13</v>
      </c>
      <c r="F170" s="5">
        <v>15.52</v>
      </c>
      <c r="G170" s="6">
        <f t="shared" si="55"/>
        <v>-2.6099999999999994</v>
      </c>
      <c r="H170" s="7">
        <f t="shared" si="56"/>
        <v>-0.14396028681742964</v>
      </c>
      <c r="I170" s="8">
        <v>27.097854868160187</v>
      </c>
      <c r="J170" s="9">
        <f t="shared" si="57"/>
        <v>23.196839909202765</v>
      </c>
      <c r="K170" s="3">
        <f t="shared" si="58"/>
        <v>-3.9010149589574219</v>
      </c>
      <c r="L170" s="7">
        <f t="shared" si="59"/>
        <v>-0.14396028681742962</v>
      </c>
      <c r="M170" t="s">
        <v>150</v>
      </c>
      <c r="O170" s="3">
        <f>E170-'305245 - P0424'!F170</f>
        <v>0</v>
      </c>
      <c r="P170" s="30">
        <f>I170-'305245 - P0424'!J170</f>
        <v>0</v>
      </c>
    </row>
    <row r="171" spans="1:16" x14ac:dyDescent="0.25">
      <c r="A171">
        <v>169</v>
      </c>
      <c r="C171" t="s">
        <v>8</v>
      </c>
      <c r="D171" s="4" t="s">
        <v>164</v>
      </c>
      <c r="E171" s="5">
        <v>1700</v>
      </c>
      <c r="F171" s="5">
        <v>1533</v>
      </c>
      <c r="G171" s="6">
        <f t="shared" si="55"/>
        <v>-167</v>
      </c>
      <c r="H171" s="7">
        <f t="shared" si="56"/>
        <v>-9.823529411764706E-2</v>
      </c>
      <c r="I171" s="8">
        <v>45.101581324280765</v>
      </c>
      <c r="J171" s="9">
        <f t="shared" si="57"/>
        <v>40.671014217719069</v>
      </c>
      <c r="K171" s="3">
        <f t="shared" si="58"/>
        <v>-4.4305671065616963</v>
      </c>
      <c r="L171" s="7">
        <f t="shared" si="59"/>
        <v>-9.8235294117647004E-2</v>
      </c>
      <c r="M171" t="s">
        <v>150</v>
      </c>
      <c r="O171" s="3">
        <f>E171-'305245 - P0424'!F171</f>
        <v>0</v>
      </c>
      <c r="P171" s="30">
        <f>I171-'305245 - P0424'!J171</f>
        <v>0</v>
      </c>
    </row>
    <row r="172" spans="1:16" x14ac:dyDescent="0.25">
      <c r="A172">
        <v>170</v>
      </c>
      <c r="C172" t="s">
        <v>8</v>
      </c>
      <c r="D172" s="4" t="s">
        <v>165</v>
      </c>
      <c r="E172" s="5">
        <v>1700</v>
      </c>
      <c r="F172" s="5">
        <v>1426</v>
      </c>
      <c r="G172" s="6">
        <f t="shared" si="55"/>
        <v>-274</v>
      </c>
      <c r="H172" s="7">
        <f t="shared" si="56"/>
        <v>-0.16117647058823528</v>
      </c>
      <c r="I172" s="8">
        <v>2688.5077186963981</v>
      </c>
      <c r="J172" s="9">
        <f t="shared" si="57"/>
        <v>2255.1835334476846</v>
      </c>
      <c r="K172" s="3">
        <f t="shared" si="58"/>
        <v>-433.32418524871355</v>
      </c>
      <c r="L172" s="7">
        <f t="shared" si="59"/>
        <v>-0.16117647058823528</v>
      </c>
      <c r="M172" t="s">
        <v>150</v>
      </c>
      <c r="O172" s="3">
        <f>E172-'305245 - P0424'!F172</f>
        <v>0</v>
      </c>
      <c r="P172" s="30">
        <f>I172-'305245 - P0424'!J172</f>
        <v>0</v>
      </c>
    </row>
    <row r="173" spans="1:16" x14ac:dyDescent="0.25">
      <c r="A173">
        <v>171</v>
      </c>
      <c r="C173" t="s">
        <v>8</v>
      </c>
      <c r="D173" s="4" t="s">
        <v>166</v>
      </c>
      <c r="E173" s="5">
        <v>18.45</v>
      </c>
      <c r="F173" s="5">
        <v>18.45</v>
      </c>
      <c r="G173" s="6">
        <f t="shared" si="55"/>
        <v>0</v>
      </c>
      <c r="H173" s="7">
        <f t="shared" si="56"/>
        <v>0</v>
      </c>
      <c r="I173" s="8">
        <v>32.593520987016632</v>
      </c>
      <c r="J173" s="9">
        <f t="shared" si="57"/>
        <v>32.593520987016632</v>
      </c>
      <c r="K173" s="3">
        <f t="shared" si="58"/>
        <v>0</v>
      </c>
      <c r="L173" s="7">
        <f t="shared" si="59"/>
        <v>0</v>
      </c>
      <c r="M173" t="s">
        <v>150</v>
      </c>
      <c r="O173" s="3">
        <f>E173-'305245 - P0424'!F173</f>
        <v>0</v>
      </c>
      <c r="P173" s="30">
        <f>I173-'305245 - P0424'!J173</f>
        <v>0</v>
      </c>
    </row>
    <row r="174" spans="1:16" x14ac:dyDescent="0.25">
      <c r="A174">
        <v>172</v>
      </c>
      <c r="C174" t="s">
        <v>8</v>
      </c>
      <c r="D174" s="4" t="s">
        <v>167</v>
      </c>
      <c r="E174" s="11">
        <v>4.0199999999999996</v>
      </c>
      <c r="F174" s="11">
        <v>4.0199999999999996</v>
      </c>
      <c r="G174" s="6">
        <f t="shared" si="55"/>
        <v>0</v>
      </c>
      <c r="H174" s="7">
        <f t="shared" si="56"/>
        <v>0</v>
      </c>
      <c r="I174" s="8">
        <v>15.098612891135524</v>
      </c>
      <c r="J174" s="9">
        <f t="shared" si="57"/>
        <v>15.098612891135524</v>
      </c>
      <c r="K174" s="3">
        <f t="shared" si="58"/>
        <v>0</v>
      </c>
      <c r="L174" s="7">
        <f t="shared" si="59"/>
        <v>0</v>
      </c>
      <c r="M174" t="s">
        <v>150</v>
      </c>
      <c r="O174" s="3">
        <f>E174-'305245 - P0424'!F174</f>
        <v>0</v>
      </c>
      <c r="P174" s="30">
        <f>I174-'305245 - P0424'!J174</f>
        <v>0</v>
      </c>
    </row>
    <row r="175" spans="1:16" x14ac:dyDescent="0.25">
      <c r="A175">
        <v>173</v>
      </c>
      <c r="C175" t="s">
        <v>8</v>
      </c>
      <c r="D175" s="4" t="s">
        <v>168</v>
      </c>
      <c r="E175" s="11">
        <v>0.59</v>
      </c>
      <c r="F175" s="11">
        <v>0.59</v>
      </c>
      <c r="G175" s="6">
        <f t="shared" si="55"/>
        <v>0</v>
      </c>
      <c r="H175" s="7">
        <f t="shared" si="56"/>
        <v>0</v>
      </c>
      <c r="I175" s="8">
        <v>2.1049549224666428</v>
      </c>
      <c r="J175" s="9">
        <f t="shared" si="57"/>
        <v>2.1049549224666428</v>
      </c>
      <c r="K175" s="3">
        <f t="shared" si="58"/>
        <v>0</v>
      </c>
      <c r="L175" s="7">
        <f t="shared" si="59"/>
        <v>0</v>
      </c>
      <c r="M175" t="s">
        <v>150</v>
      </c>
      <c r="O175" s="3">
        <f>E175-'305245 - P0424'!F175</f>
        <v>0</v>
      </c>
      <c r="P175" s="30">
        <f>I175-'305245 - P0424'!J175</f>
        <v>0</v>
      </c>
    </row>
    <row r="176" spans="1:16" x14ac:dyDescent="0.25">
      <c r="A176">
        <v>174</v>
      </c>
      <c r="C176" t="s">
        <v>8</v>
      </c>
      <c r="D176" s="4" t="s">
        <v>169</v>
      </c>
      <c r="E176" s="11">
        <v>0.63</v>
      </c>
      <c r="F176" s="11">
        <v>0.63</v>
      </c>
      <c r="G176" s="6">
        <f t="shared" si="55"/>
        <v>0</v>
      </c>
      <c r="H176" s="7">
        <f t="shared" si="56"/>
        <v>0</v>
      </c>
      <c r="I176" s="8">
        <v>1.9152</v>
      </c>
      <c r="J176" s="9">
        <f t="shared" si="57"/>
        <v>1.9152</v>
      </c>
      <c r="K176" s="3">
        <f t="shared" si="58"/>
        <v>0</v>
      </c>
      <c r="L176" s="7">
        <f t="shared" si="59"/>
        <v>0</v>
      </c>
      <c r="M176" t="s">
        <v>150</v>
      </c>
      <c r="O176" s="3">
        <f>E176-'305245 - P0424'!F176</f>
        <v>0</v>
      </c>
      <c r="P176" s="30">
        <f>I176-'305245 - P0424'!J176</f>
        <v>0</v>
      </c>
    </row>
    <row r="177" spans="1:16" x14ac:dyDescent="0.25">
      <c r="A177">
        <v>175</v>
      </c>
      <c r="C177" t="s">
        <v>8</v>
      </c>
      <c r="D177" s="4" t="s">
        <v>461</v>
      </c>
      <c r="E177" s="11">
        <v>29</v>
      </c>
      <c r="F177" s="11">
        <v>29</v>
      </c>
      <c r="G177" s="6">
        <f t="shared" si="55"/>
        <v>0</v>
      </c>
      <c r="H177" s="7">
        <f t="shared" si="56"/>
        <v>0</v>
      </c>
      <c r="I177" s="8">
        <v>45.490196078431374</v>
      </c>
      <c r="J177" s="9">
        <f t="shared" si="57"/>
        <v>45.490196078431374</v>
      </c>
      <c r="K177" s="3">
        <f t="shared" si="58"/>
        <v>0</v>
      </c>
      <c r="L177" s="7">
        <f t="shared" si="59"/>
        <v>0</v>
      </c>
      <c r="M177" t="s">
        <v>150</v>
      </c>
      <c r="O177" s="3">
        <f>E177-'305245 - P0424'!F177</f>
        <v>0</v>
      </c>
      <c r="P177" s="30">
        <f>I177-'305245 - P0424'!J177</f>
        <v>0</v>
      </c>
    </row>
    <row r="178" spans="1:16" x14ac:dyDescent="0.25">
      <c r="A178">
        <v>176</v>
      </c>
      <c r="C178" t="s">
        <v>8</v>
      </c>
      <c r="D178" s="4" t="s">
        <v>170</v>
      </c>
      <c r="E178" s="11">
        <v>35.4</v>
      </c>
      <c r="F178" s="11">
        <v>35.4</v>
      </c>
      <c r="G178" s="6">
        <f t="shared" si="55"/>
        <v>0</v>
      </c>
      <c r="H178" s="7">
        <f t="shared" si="56"/>
        <v>0</v>
      </c>
      <c r="I178" s="8">
        <v>21.717791411042946</v>
      </c>
      <c r="J178" s="9">
        <f t="shared" si="57"/>
        <v>21.717791411042946</v>
      </c>
      <c r="K178" s="3">
        <f t="shared" si="58"/>
        <v>0</v>
      </c>
      <c r="L178" s="7">
        <f t="shared" si="59"/>
        <v>0</v>
      </c>
      <c r="M178" t="s">
        <v>150</v>
      </c>
      <c r="O178" s="3">
        <f>E178-'305245 - P0424'!F178</f>
        <v>0</v>
      </c>
      <c r="P178" s="30">
        <f>I178-'305245 - P0424'!J178</f>
        <v>0</v>
      </c>
    </row>
    <row r="179" spans="1:16" x14ac:dyDescent="0.25">
      <c r="A179">
        <v>177</v>
      </c>
      <c r="C179" t="s">
        <v>8</v>
      </c>
      <c r="D179" s="4" t="s">
        <v>171</v>
      </c>
      <c r="E179" s="11">
        <v>29.3</v>
      </c>
      <c r="F179" s="11">
        <v>29.3</v>
      </c>
      <c r="G179" s="6">
        <f t="shared" si="55"/>
        <v>0</v>
      </c>
      <c r="H179" s="7">
        <f t="shared" si="56"/>
        <v>0</v>
      </c>
      <c r="I179" s="8">
        <v>20</v>
      </c>
      <c r="J179" s="9">
        <f t="shared" si="57"/>
        <v>20</v>
      </c>
      <c r="K179" s="3">
        <f t="shared" si="58"/>
        <v>0</v>
      </c>
      <c r="L179" s="7">
        <f t="shared" si="59"/>
        <v>0</v>
      </c>
      <c r="M179" t="s">
        <v>150</v>
      </c>
      <c r="O179" s="3">
        <f>E179-'305245 - P0424'!F179</f>
        <v>0</v>
      </c>
      <c r="P179" s="30">
        <f>I179-'305245 - P0424'!J179</f>
        <v>0</v>
      </c>
    </row>
    <row r="180" spans="1:16" x14ac:dyDescent="0.25">
      <c r="A180">
        <v>178</v>
      </c>
      <c r="C180" t="s">
        <v>8</v>
      </c>
      <c r="D180" s="4" t="s">
        <v>172</v>
      </c>
      <c r="E180" s="11">
        <v>24.2</v>
      </c>
      <c r="F180" s="11">
        <v>24.2</v>
      </c>
      <c r="G180" s="6">
        <f t="shared" si="55"/>
        <v>0</v>
      </c>
      <c r="H180" s="7">
        <f t="shared" si="56"/>
        <v>0</v>
      </c>
      <c r="I180" s="8">
        <v>20</v>
      </c>
      <c r="J180" s="9">
        <f t="shared" si="57"/>
        <v>20</v>
      </c>
      <c r="K180" s="3">
        <f t="shared" si="58"/>
        <v>0</v>
      </c>
      <c r="L180" s="7">
        <f t="shared" si="59"/>
        <v>0</v>
      </c>
      <c r="M180" t="s">
        <v>150</v>
      </c>
      <c r="O180" s="3">
        <f>E180-'305245 - P0424'!F180</f>
        <v>0</v>
      </c>
      <c r="P180" s="30">
        <f>I180-'305245 - P0424'!J180</f>
        <v>0</v>
      </c>
    </row>
    <row r="181" spans="1:16" x14ac:dyDescent="0.25">
      <c r="A181">
        <v>179</v>
      </c>
      <c r="C181" t="s">
        <v>8</v>
      </c>
      <c r="D181" s="4" t="s">
        <v>173</v>
      </c>
      <c r="E181" s="12">
        <v>116</v>
      </c>
      <c r="F181" s="12">
        <v>116</v>
      </c>
      <c r="G181" s="6">
        <f t="shared" si="55"/>
        <v>0</v>
      </c>
      <c r="H181" s="7">
        <f t="shared" si="56"/>
        <v>0</v>
      </c>
      <c r="I181" s="8">
        <v>153.29999999999998</v>
      </c>
      <c r="J181" s="9">
        <f t="shared" si="57"/>
        <v>153.29999999999998</v>
      </c>
      <c r="K181" s="3">
        <f t="shared" si="58"/>
        <v>0</v>
      </c>
      <c r="L181" s="7">
        <f t="shared" si="59"/>
        <v>0</v>
      </c>
      <c r="M181" t="s">
        <v>121</v>
      </c>
      <c r="O181" s="3">
        <f>E181-'305245 - P0424'!F181</f>
        <v>0</v>
      </c>
      <c r="P181" s="30">
        <f>I181-'305245 - P0424'!J181</f>
        <v>0</v>
      </c>
    </row>
    <row r="182" spans="1:16" x14ac:dyDescent="0.25">
      <c r="A182">
        <v>180</v>
      </c>
      <c r="C182" t="s">
        <v>8</v>
      </c>
      <c r="D182" s="4" t="s">
        <v>174</v>
      </c>
      <c r="E182" s="12">
        <v>9.98</v>
      </c>
      <c r="F182" s="12">
        <v>9.98</v>
      </c>
      <c r="G182" s="6">
        <f t="shared" si="55"/>
        <v>0</v>
      </c>
      <c r="H182" s="7">
        <f t="shared" si="56"/>
        <v>0</v>
      </c>
      <c r="I182" s="8">
        <v>13.625326315789476</v>
      </c>
      <c r="J182" s="9">
        <f t="shared" si="57"/>
        <v>13.625326315789476</v>
      </c>
      <c r="K182" s="3">
        <f t="shared" si="58"/>
        <v>0</v>
      </c>
      <c r="L182" s="7">
        <f t="shared" si="59"/>
        <v>0</v>
      </c>
      <c r="M182" t="s">
        <v>121</v>
      </c>
      <c r="O182" s="3">
        <f>E182-'305245 - P0424'!F182</f>
        <v>0</v>
      </c>
      <c r="P182" s="30">
        <f>I182-'305245 - P0424'!J182</f>
        <v>0</v>
      </c>
    </row>
    <row r="183" spans="1:16" x14ac:dyDescent="0.25">
      <c r="A183">
        <v>181</v>
      </c>
      <c r="C183" t="s">
        <v>8</v>
      </c>
      <c r="D183" s="4" t="s">
        <v>175</v>
      </c>
      <c r="E183" s="12">
        <v>190.995</v>
      </c>
      <c r="F183" s="12">
        <v>190.995</v>
      </c>
      <c r="G183" s="6">
        <f t="shared" si="55"/>
        <v>0</v>
      </c>
      <c r="H183" s="7">
        <f t="shared" si="56"/>
        <v>0</v>
      </c>
      <c r="I183" s="8">
        <v>251</v>
      </c>
      <c r="J183" s="9">
        <f t="shared" si="57"/>
        <v>251</v>
      </c>
      <c r="K183" s="3">
        <f t="shared" si="58"/>
        <v>0</v>
      </c>
      <c r="L183" s="7">
        <f t="shared" si="59"/>
        <v>0</v>
      </c>
      <c r="M183" t="s">
        <v>121</v>
      </c>
      <c r="O183" s="3">
        <f>E183-'305245 - P0424'!F183</f>
        <v>0</v>
      </c>
      <c r="P183" s="30">
        <f>I183-'305245 - P0424'!J183</f>
        <v>0</v>
      </c>
    </row>
    <row r="184" spans="1:16" x14ac:dyDescent="0.25">
      <c r="A184">
        <v>182</v>
      </c>
      <c r="C184" t="s">
        <v>8</v>
      </c>
      <c r="D184" s="4" t="s">
        <v>176</v>
      </c>
      <c r="E184" s="12">
        <v>14.01</v>
      </c>
      <c r="F184" s="12">
        <v>14.01</v>
      </c>
      <c r="G184" s="6">
        <f t="shared" si="55"/>
        <v>0</v>
      </c>
      <c r="H184" s="7">
        <f t="shared" si="56"/>
        <v>0</v>
      </c>
      <c r="I184" s="8">
        <v>19.616308543063266</v>
      </c>
      <c r="J184" s="9">
        <f t="shared" si="57"/>
        <v>19.616308543063266</v>
      </c>
      <c r="K184" s="3">
        <f t="shared" si="58"/>
        <v>0</v>
      </c>
      <c r="L184" s="7">
        <f t="shared" si="59"/>
        <v>0</v>
      </c>
      <c r="M184" t="s">
        <v>121</v>
      </c>
      <c r="O184" s="3">
        <f>E184-'305245 - P0424'!F184</f>
        <v>0</v>
      </c>
      <c r="P184" s="30">
        <f>I184-'305245 - P0424'!J184</f>
        <v>0</v>
      </c>
    </row>
    <row r="185" spans="1:16" x14ac:dyDescent="0.25">
      <c r="A185">
        <v>183</v>
      </c>
      <c r="C185" t="s">
        <v>8</v>
      </c>
      <c r="D185" s="4" t="s">
        <v>177</v>
      </c>
      <c r="E185" s="12">
        <v>33.25</v>
      </c>
      <c r="F185" s="12">
        <v>33.25</v>
      </c>
      <c r="G185" s="6">
        <f t="shared" si="55"/>
        <v>0</v>
      </c>
      <c r="H185" s="7">
        <f t="shared" si="56"/>
        <v>0</v>
      </c>
      <c r="I185" s="8">
        <v>49.869393819571762</v>
      </c>
      <c r="J185" s="9">
        <f t="shared" si="57"/>
        <v>49.869393819571762</v>
      </c>
      <c r="K185" s="3">
        <f t="shared" si="58"/>
        <v>0</v>
      </c>
      <c r="L185" s="7">
        <f t="shared" si="59"/>
        <v>0</v>
      </c>
      <c r="M185" t="s">
        <v>121</v>
      </c>
      <c r="O185" s="3">
        <f>E185-'305245 - P0424'!F185</f>
        <v>0</v>
      </c>
      <c r="P185" s="30">
        <f>I185-'305245 - P0424'!J185</f>
        <v>0</v>
      </c>
    </row>
    <row r="186" spans="1:16" x14ac:dyDescent="0.25">
      <c r="A186">
        <v>184</v>
      </c>
      <c r="C186" t="s">
        <v>8</v>
      </c>
      <c r="D186" s="4" t="s">
        <v>178</v>
      </c>
      <c r="E186" s="12">
        <v>44.04</v>
      </c>
      <c r="F186" s="12">
        <v>44.04</v>
      </c>
      <c r="G186" s="6">
        <f t="shared" si="55"/>
        <v>0</v>
      </c>
      <c r="H186" s="7">
        <f t="shared" si="56"/>
        <v>0</v>
      </c>
      <c r="I186" s="8">
        <v>61.644476622337386</v>
      </c>
      <c r="J186" s="9">
        <f t="shared" si="57"/>
        <v>61.644476622337386</v>
      </c>
      <c r="K186" s="3">
        <f t="shared" si="58"/>
        <v>0</v>
      </c>
      <c r="L186" s="7">
        <f t="shared" si="59"/>
        <v>0</v>
      </c>
      <c r="M186" t="s">
        <v>121</v>
      </c>
      <c r="O186" s="3">
        <f>E186-'305245 - P0424'!F186</f>
        <v>0</v>
      </c>
      <c r="P186" s="30">
        <f>I186-'305245 - P0424'!J186</f>
        <v>0</v>
      </c>
    </row>
    <row r="187" spans="1:16" x14ac:dyDescent="0.25">
      <c r="A187">
        <v>185</v>
      </c>
      <c r="C187" t="s">
        <v>8</v>
      </c>
      <c r="D187" s="4" t="s">
        <v>179</v>
      </c>
      <c r="E187" s="12">
        <v>144.85</v>
      </c>
      <c r="F187" s="12">
        <v>144.85</v>
      </c>
      <c r="G187" s="6">
        <f t="shared" si="55"/>
        <v>0</v>
      </c>
      <c r="H187" s="7">
        <f t="shared" si="56"/>
        <v>0</v>
      </c>
      <c r="I187" s="8">
        <v>241.42</v>
      </c>
      <c r="J187" s="9">
        <f t="shared" si="57"/>
        <v>241.42</v>
      </c>
      <c r="K187" s="3">
        <f t="shared" si="58"/>
        <v>0</v>
      </c>
      <c r="L187" s="7">
        <f t="shared" si="59"/>
        <v>0</v>
      </c>
      <c r="M187" t="s">
        <v>121</v>
      </c>
      <c r="O187" s="3">
        <f>E187-'305245 - P0424'!F187</f>
        <v>0</v>
      </c>
      <c r="P187" s="30">
        <f>I187-'305245 - P0424'!J187</f>
        <v>0</v>
      </c>
    </row>
    <row r="188" spans="1:16" x14ac:dyDescent="0.25">
      <c r="A188">
        <v>186</v>
      </c>
      <c r="C188" t="s">
        <v>8</v>
      </c>
      <c r="D188" s="4" t="s">
        <v>180</v>
      </c>
      <c r="E188" s="11">
        <v>21.42</v>
      </c>
      <c r="F188" s="11">
        <v>21.42</v>
      </c>
      <c r="G188" s="6">
        <f t="shared" si="55"/>
        <v>0</v>
      </c>
      <c r="H188" s="7">
        <f t="shared" si="56"/>
        <v>0</v>
      </c>
      <c r="I188" s="8">
        <v>36.651079812206568</v>
      </c>
      <c r="J188" s="9">
        <f t="shared" si="57"/>
        <v>36.651079812206568</v>
      </c>
      <c r="K188" s="3">
        <f t="shared" si="58"/>
        <v>0</v>
      </c>
      <c r="L188" s="7">
        <f t="shared" si="59"/>
        <v>0</v>
      </c>
      <c r="M188" t="s">
        <v>150</v>
      </c>
      <c r="O188" s="3">
        <f>E188-'305245 - P0424'!F188</f>
        <v>0</v>
      </c>
      <c r="P188" s="30">
        <f>I188-'305245 - P0424'!J188</f>
        <v>0</v>
      </c>
    </row>
    <row r="189" spans="1:16" x14ac:dyDescent="0.25">
      <c r="A189">
        <v>187</v>
      </c>
      <c r="C189" t="s">
        <v>8</v>
      </c>
      <c r="D189" s="4" t="s">
        <v>181</v>
      </c>
      <c r="E189" s="11">
        <v>32.67</v>
      </c>
      <c r="F189" s="11">
        <v>32.67</v>
      </c>
      <c r="G189" s="6">
        <f t="shared" si="55"/>
        <v>0</v>
      </c>
      <c r="H189" s="7">
        <f t="shared" si="56"/>
        <v>0</v>
      </c>
      <c r="I189" s="8">
        <v>45.558072000000003</v>
      </c>
      <c r="J189" s="9">
        <f t="shared" si="57"/>
        <v>45.558072000000003</v>
      </c>
      <c r="K189" s="3">
        <f t="shared" si="58"/>
        <v>0</v>
      </c>
      <c r="L189" s="7">
        <f t="shared" si="59"/>
        <v>0</v>
      </c>
      <c r="M189" t="s">
        <v>150</v>
      </c>
      <c r="O189" s="3">
        <f>E189-'305245 - P0424'!F189</f>
        <v>0</v>
      </c>
      <c r="P189" s="30">
        <f>I189-'305245 - P0424'!J189</f>
        <v>0</v>
      </c>
    </row>
    <row r="190" spans="1:16" x14ac:dyDescent="0.25">
      <c r="A190">
        <v>188</v>
      </c>
      <c r="C190" t="s">
        <v>8</v>
      </c>
      <c r="D190" s="4" t="s">
        <v>182</v>
      </c>
      <c r="E190" s="11">
        <v>43</v>
      </c>
      <c r="F190" s="11">
        <v>43</v>
      </c>
      <c r="G190" s="13">
        <f t="shared" si="55"/>
        <v>0</v>
      </c>
      <c r="H190" s="7">
        <f t="shared" si="56"/>
        <v>0</v>
      </c>
      <c r="I190" s="8">
        <v>91.806916426512956</v>
      </c>
      <c r="J190" s="9">
        <f t="shared" si="57"/>
        <v>91.806916426512956</v>
      </c>
      <c r="K190" s="3">
        <f t="shared" si="58"/>
        <v>0</v>
      </c>
      <c r="L190" s="7">
        <f t="shared" si="59"/>
        <v>0</v>
      </c>
      <c r="M190" t="s">
        <v>150</v>
      </c>
      <c r="O190" s="3">
        <f>E190-'305245 - P0424'!F190</f>
        <v>0</v>
      </c>
      <c r="P190" s="30">
        <f>I190-'305245 - P0424'!J190</f>
        <v>0</v>
      </c>
    </row>
    <row r="191" spans="1:16" x14ac:dyDescent="0.25">
      <c r="A191">
        <v>189</v>
      </c>
      <c r="C191" t="s">
        <v>8</v>
      </c>
      <c r="D191" s="4" t="s">
        <v>183</v>
      </c>
      <c r="E191" s="11">
        <v>4.24</v>
      </c>
      <c r="F191" s="11">
        <v>4.24</v>
      </c>
      <c r="G191" s="6">
        <f t="shared" si="55"/>
        <v>0</v>
      </c>
      <c r="H191" s="7">
        <f t="shared" si="56"/>
        <v>0</v>
      </c>
      <c r="I191" s="8">
        <v>7.5095819935691317</v>
      </c>
      <c r="J191" s="9">
        <f t="shared" si="57"/>
        <v>7.5095819935691317</v>
      </c>
      <c r="K191" s="3">
        <f t="shared" si="58"/>
        <v>0</v>
      </c>
      <c r="L191" s="7">
        <f t="shared" si="59"/>
        <v>0</v>
      </c>
      <c r="M191" t="s">
        <v>150</v>
      </c>
      <c r="O191" s="3">
        <f>E191-'305245 - P0424'!F191</f>
        <v>0</v>
      </c>
      <c r="P191" s="30">
        <f>I191-'305245 - P0424'!J191</f>
        <v>0</v>
      </c>
    </row>
    <row r="192" spans="1:16" x14ac:dyDescent="0.25">
      <c r="A192">
        <v>190</v>
      </c>
      <c r="D192" s="2" t="s">
        <v>184</v>
      </c>
      <c r="H192" s="10">
        <f>AVERAGE(H167:H191)</f>
        <v>-2.4523403032234908E-2</v>
      </c>
      <c r="I192"/>
    </row>
    <row r="193" spans="1:16" x14ac:dyDescent="0.25">
      <c r="A193">
        <v>191</v>
      </c>
      <c r="D193" s="2" t="s">
        <v>185</v>
      </c>
      <c r="I193"/>
    </row>
    <row r="194" spans="1:16" x14ac:dyDescent="0.25">
      <c r="A194">
        <v>192</v>
      </c>
      <c r="C194" t="s">
        <v>8</v>
      </c>
      <c r="D194" s="4" t="s">
        <v>186</v>
      </c>
      <c r="E194" s="12">
        <v>1.79</v>
      </c>
      <c r="F194" s="12">
        <v>1.79</v>
      </c>
      <c r="G194" s="6">
        <f t="shared" ref="G194:G241" si="60">+F194-E194</f>
        <v>0</v>
      </c>
      <c r="H194" s="7">
        <f t="shared" ref="H194:H241" si="61">(F194-E194)/ABS(E194)</f>
        <v>0</v>
      </c>
      <c r="I194" s="8">
        <v>2.3437962240000001</v>
      </c>
      <c r="J194" s="9">
        <f t="shared" ref="J194:J241" si="62">(I194*H194)+I194</f>
        <v>2.3437962240000001</v>
      </c>
      <c r="K194" s="3">
        <f t="shared" ref="K194:K241" si="63">J194-I194</f>
        <v>0</v>
      </c>
      <c r="L194" s="7">
        <f t="shared" ref="L194:L241" si="64">(J194-I194)/ABS(I194)</f>
        <v>0</v>
      </c>
      <c r="M194" t="s">
        <v>187</v>
      </c>
      <c r="O194" s="3">
        <f>E194-'305245 - P0424'!F194</f>
        <v>0</v>
      </c>
      <c r="P194" s="30">
        <f>I194-'305245 - P0424'!J194</f>
        <v>0</v>
      </c>
    </row>
    <row r="195" spans="1:16" x14ac:dyDescent="0.25">
      <c r="A195">
        <v>193</v>
      </c>
      <c r="C195" t="s">
        <v>8</v>
      </c>
      <c r="D195" s="4" t="s">
        <v>188</v>
      </c>
      <c r="E195" s="12">
        <v>0.46</v>
      </c>
      <c r="F195" s="12">
        <v>0.46</v>
      </c>
      <c r="G195" s="6">
        <f t="shared" si="60"/>
        <v>0</v>
      </c>
      <c r="H195" s="7">
        <f t="shared" si="61"/>
        <v>0</v>
      </c>
      <c r="I195" s="8">
        <v>0.70471188480000002</v>
      </c>
      <c r="J195" s="9">
        <f t="shared" si="62"/>
        <v>0.70471188480000002</v>
      </c>
      <c r="K195" s="3">
        <f t="shared" si="63"/>
        <v>0</v>
      </c>
      <c r="L195" s="7">
        <f t="shared" si="64"/>
        <v>0</v>
      </c>
      <c r="M195" t="s">
        <v>187</v>
      </c>
      <c r="O195" s="3">
        <f>E195-'305245 - P0424'!F195</f>
        <v>0</v>
      </c>
      <c r="P195" s="30">
        <f>I195-'305245 - P0424'!J195</f>
        <v>0</v>
      </c>
    </row>
    <row r="196" spans="1:16" x14ac:dyDescent="0.25">
      <c r="A196">
        <v>194</v>
      </c>
      <c r="C196" t="s">
        <v>8</v>
      </c>
      <c r="D196" s="4" t="s">
        <v>462</v>
      </c>
      <c r="E196" s="12">
        <v>0.6</v>
      </c>
      <c r="F196" s="12">
        <v>0.6</v>
      </c>
      <c r="G196" s="6">
        <f t="shared" si="60"/>
        <v>0</v>
      </c>
      <c r="H196" s="7">
        <f t="shared" si="61"/>
        <v>0</v>
      </c>
      <c r="I196" s="8">
        <v>1.04</v>
      </c>
      <c r="J196" s="9">
        <f t="shared" si="62"/>
        <v>1.04</v>
      </c>
      <c r="K196" s="3">
        <f t="shared" si="63"/>
        <v>0</v>
      </c>
      <c r="L196" s="7">
        <f t="shared" si="64"/>
        <v>0</v>
      </c>
      <c r="M196" t="s">
        <v>187</v>
      </c>
      <c r="O196" s="3">
        <f>E196-'305245 - P0424'!F196</f>
        <v>0</v>
      </c>
      <c r="P196" s="30">
        <f>I196-'305245 - P0424'!J196</f>
        <v>0</v>
      </c>
    </row>
    <row r="197" spans="1:16" x14ac:dyDescent="0.25">
      <c r="A197">
        <v>195</v>
      </c>
      <c r="C197" t="s">
        <v>8</v>
      </c>
      <c r="D197" s="4" t="s">
        <v>189</v>
      </c>
      <c r="E197" s="12">
        <v>17.88</v>
      </c>
      <c r="F197" s="12">
        <v>17.88</v>
      </c>
      <c r="G197" s="6">
        <f t="shared" si="60"/>
        <v>0</v>
      </c>
      <c r="H197" s="7">
        <f t="shared" si="61"/>
        <v>0</v>
      </c>
      <c r="I197" s="8">
        <v>35.219578060799989</v>
      </c>
      <c r="J197" s="9">
        <f t="shared" si="62"/>
        <v>35.219578060799989</v>
      </c>
      <c r="K197" s="3">
        <f t="shared" si="63"/>
        <v>0</v>
      </c>
      <c r="L197" s="7">
        <f t="shared" si="64"/>
        <v>0</v>
      </c>
      <c r="M197" t="s">
        <v>187</v>
      </c>
      <c r="O197" s="3">
        <f>E197-'305245 - P0424'!F197</f>
        <v>0</v>
      </c>
      <c r="P197" s="30">
        <f>I197-'305245 - P0424'!J197</f>
        <v>0</v>
      </c>
    </row>
    <row r="198" spans="1:16" x14ac:dyDescent="0.25">
      <c r="A198">
        <v>196</v>
      </c>
      <c r="C198" t="s">
        <v>8</v>
      </c>
      <c r="D198" s="4" t="s">
        <v>190</v>
      </c>
      <c r="E198" s="12">
        <v>36.299999999999997</v>
      </c>
      <c r="F198" s="12">
        <v>36.299999999999997</v>
      </c>
      <c r="G198" s="6">
        <f t="shared" si="60"/>
        <v>0</v>
      </c>
      <c r="H198" s="7">
        <f t="shared" si="61"/>
        <v>0</v>
      </c>
      <c r="I198" s="8">
        <v>82.49</v>
      </c>
      <c r="J198" s="9">
        <f t="shared" si="62"/>
        <v>82.49</v>
      </c>
      <c r="K198" s="3">
        <f t="shared" si="63"/>
        <v>0</v>
      </c>
      <c r="L198" s="7">
        <f t="shared" si="64"/>
        <v>0</v>
      </c>
      <c r="M198" t="s">
        <v>187</v>
      </c>
      <c r="O198" s="3">
        <f>E198-'305245 - P0424'!F198</f>
        <v>0</v>
      </c>
      <c r="P198" s="30">
        <f>I198-'305245 - P0424'!J198</f>
        <v>0</v>
      </c>
    </row>
    <row r="199" spans="1:16" x14ac:dyDescent="0.25">
      <c r="A199">
        <v>197</v>
      </c>
      <c r="C199" t="s">
        <v>8</v>
      </c>
      <c r="D199" s="4" t="s">
        <v>487</v>
      </c>
      <c r="E199" s="12">
        <v>5.18</v>
      </c>
      <c r="F199" s="12">
        <v>5.18</v>
      </c>
      <c r="G199" s="6">
        <f t="shared" si="60"/>
        <v>0</v>
      </c>
      <c r="H199" s="7">
        <f t="shared" si="61"/>
        <v>0</v>
      </c>
      <c r="I199" s="8">
        <v>7.13</v>
      </c>
      <c r="J199" s="9">
        <f t="shared" si="62"/>
        <v>7.13</v>
      </c>
      <c r="K199" s="3">
        <f t="shared" si="63"/>
        <v>0</v>
      </c>
      <c r="L199" s="7">
        <f t="shared" si="64"/>
        <v>0</v>
      </c>
      <c r="M199" t="s">
        <v>187</v>
      </c>
      <c r="O199" s="3">
        <f>E199-'305245 - P0424'!F199</f>
        <v>0</v>
      </c>
      <c r="P199" s="30">
        <f>I199-'305245 - P0424'!J199</f>
        <v>0</v>
      </c>
    </row>
    <row r="200" spans="1:16" x14ac:dyDescent="0.25">
      <c r="A200">
        <v>198</v>
      </c>
      <c r="C200" t="s">
        <v>8</v>
      </c>
      <c r="D200" s="4" t="s">
        <v>191</v>
      </c>
      <c r="E200" s="12">
        <v>8.2200000000000006</v>
      </c>
      <c r="F200" s="12">
        <v>8.2200000000000006</v>
      </c>
      <c r="G200" s="6">
        <f t="shared" si="60"/>
        <v>0</v>
      </c>
      <c r="H200" s="7">
        <f t="shared" si="61"/>
        <v>0</v>
      </c>
      <c r="I200" s="8">
        <v>18.68</v>
      </c>
      <c r="J200" s="9">
        <f t="shared" si="62"/>
        <v>18.68</v>
      </c>
      <c r="K200" s="3">
        <f t="shared" si="63"/>
        <v>0</v>
      </c>
      <c r="L200" s="7">
        <f t="shared" si="64"/>
        <v>0</v>
      </c>
      <c r="M200" t="s">
        <v>187</v>
      </c>
      <c r="O200" s="3">
        <f>E200-'305245 - P0424'!F200</f>
        <v>0</v>
      </c>
      <c r="P200" s="30">
        <f>I200-'305245 - P0424'!J200</f>
        <v>0</v>
      </c>
    </row>
    <row r="201" spans="1:16" x14ac:dyDescent="0.25">
      <c r="A201">
        <v>199</v>
      </c>
      <c r="C201" t="s">
        <v>8</v>
      </c>
      <c r="D201" s="4" t="s">
        <v>192</v>
      </c>
      <c r="E201" s="12">
        <v>137.77000000000001</v>
      </c>
      <c r="F201" s="12">
        <v>137.77000000000001</v>
      </c>
      <c r="G201" s="6">
        <f t="shared" si="60"/>
        <v>0</v>
      </c>
      <c r="H201" s="7">
        <f t="shared" si="61"/>
        <v>0</v>
      </c>
      <c r="I201" s="8">
        <v>207.19</v>
      </c>
      <c r="J201" s="9">
        <f t="shared" si="62"/>
        <v>207.19</v>
      </c>
      <c r="K201" s="3">
        <f t="shared" si="63"/>
        <v>0</v>
      </c>
      <c r="L201" s="7">
        <f t="shared" si="64"/>
        <v>0</v>
      </c>
      <c r="M201" t="s">
        <v>187</v>
      </c>
      <c r="O201" s="3">
        <f>E201-'305245 - P0424'!F201</f>
        <v>0</v>
      </c>
      <c r="P201" s="30">
        <f>I201-'305245 - P0424'!J201</f>
        <v>0</v>
      </c>
    </row>
    <row r="202" spans="1:16" x14ac:dyDescent="0.25">
      <c r="A202">
        <v>200</v>
      </c>
      <c r="C202" t="s">
        <v>8</v>
      </c>
      <c r="D202" s="4" t="s">
        <v>193</v>
      </c>
      <c r="E202" s="12">
        <v>123.36</v>
      </c>
      <c r="F202" s="12">
        <v>123.36</v>
      </c>
      <c r="G202" s="6">
        <f t="shared" si="60"/>
        <v>0</v>
      </c>
      <c r="H202" s="7">
        <f t="shared" si="61"/>
        <v>0</v>
      </c>
      <c r="I202" s="8">
        <v>168.12183306239999</v>
      </c>
      <c r="J202" s="9">
        <f t="shared" si="62"/>
        <v>168.12183306239999</v>
      </c>
      <c r="K202" s="3">
        <f t="shared" si="63"/>
        <v>0</v>
      </c>
      <c r="L202" s="7">
        <f t="shared" si="64"/>
        <v>0</v>
      </c>
      <c r="M202" t="s">
        <v>187</v>
      </c>
      <c r="O202" s="3">
        <f>E202-'305245 - P0424'!F202</f>
        <v>0</v>
      </c>
      <c r="P202" s="30">
        <f>I202-'305245 - P0424'!J202</f>
        <v>0</v>
      </c>
    </row>
    <row r="203" spans="1:16" x14ac:dyDescent="0.25">
      <c r="A203">
        <v>201</v>
      </c>
      <c r="C203" t="s">
        <v>8</v>
      </c>
      <c r="D203" s="4" t="s">
        <v>194</v>
      </c>
      <c r="E203" s="12">
        <v>36.909999999999997</v>
      </c>
      <c r="F203" s="12">
        <v>36.909999999999997</v>
      </c>
      <c r="G203" s="6">
        <f t="shared" si="60"/>
        <v>0</v>
      </c>
      <c r="H203" s="7">
        <f t="shared" si="61"/>
        <v>0</v>
      </c>
      <c r="I203" s="8">
        <v>77.662452940799994</v>
      </c>
      <c r="J203" s="9">
        <f t="shared" si="62"/>
        <v>77.662452940799994</v>
      </c>
      <c r="K203" s="3">
        <f t="shared" si="63"/>
        <v>0</v>
      </c>
      <c r="L203" s="7">
        <f t="shared" si="64"/>
        <v>0</v>
      </c>
      <c r="M203" t="s">
        <v>187</v>
      </c>
      <c r="O203" s="3">
        <f>E203-'305245 - P0424'!F203</f>
        <v>0</v>
      </c>
      <c r="P203" s="30">
        <f>I203-'305245 - P0424'!J203</f>
        <v>0</v>
      </c>
    </row>
    <row r="204" spans="1:16" x14ac:dyDescent="0.25">
      <c r="A204">
        <v>202</v>
      </c>
      <c r="C204" t="s">
        <v>8</v>
      </c>
      <c r="D204" s="4" t="s">
        <v>195</v>
      </c>
      <c r="E204" s="12">
        <v>25.49</v>
      </c>
      <c r="F204" s="12">
        <v>25.49</v>
      </c>
      <c r="G204" s="6">
        <f>+F204-E204</f>
        <v>0</v>
      </c>
      <c r="H204" s="7">
        <f>(F204-E204)/ABS(E204)</f>
        <v>0</v>
      </c>
      <c r="I204" s="8">
        <v>39.21</v>
      </c>
      <c r="J204" s="9">
        <f>(I204*H204)+I204</f>
        <v>39.21</v>
      </c>
      <c r="K204" s="3">
        <f>J204-I204</f>
        <v>0</v>
      </c>
      <c r="L204" s="7">
        <f>(J204-I204)/ABS(I204)</f>
        <v>0</v>
      </c>
      <c r="M204" t="s">
        <v>187</v>
      </c>
      <c r="O204" s="3">
        <f>E204-'305245 - P0424'!F204</f>
        <v>0</v>
      </c>
      <c r="P204" s="30">
        <f>I204-'305245 - P0424'!J204</f>
        <v>0</v>
      </c>
    </row>
    <row r="205" spans="1:16" x14ac:dyDescent="0.25">
      <c r="A205">
        <v>203</v>
      </c>
      <c r="C205" t="s">
        <v>8</v>
      </c>
      <c r="D205" s="4" t="s">
        <v>196</v>
      </c>
      <c r="E205" s="12">
        <v>5.72</v>
      </c>
      <c r="F205" s="12">
        <v>5.72</v>
      </c>
      <c r="G205" s="6">
        <f t="shared" si="60"/>
        <v>0</v>
      </c>
      <c r="H205" s="7">
        <f t="shared" si="61"/>
        <v>0</v>
      </c>
      <c r="I205" s="8">
        <v>8.6487367680000027</v>
      </c>
      <c r="J205" s="9">
        <f t="shared" si="62"/>
        <v>8.6487367680000027</v>
      </c>
      <c r="K205" s="3">
        <f t="shared" si="63"/>
        <v>0</v>
      </c>
      <c r="L205" s="7">
        <f t="shared" si="64"/>
        <v>0</v>
      </c>
      <c r="M205" t="s">
        <v>187</v>
      </c>
      <c r="O205" s="3">
        <f>E205-'305245 - P0424'!F205</f>
        <v>0</v>
      </c>
      <c r="P205" s="30">
        <f>I205-'305245 - P0424'!J205</f>
        <v>0</v>
      </c>
    </row>
    <row r="206" spans="1:16" x14ac:dyDescent="0.25">
      <c r="A206">
        <v>204</v>
      </c>
      <c r="C206" t="s">
        <v>8</v>
      </c>
      <c r="D206" s="4" t="s">
        <v>197</v>
      </c>
      <c r="E206" s="12">
        <v>21.44</v>
      </c>
      <c r="F206" s="12">
        <v>21.44</v>
      </c>
      <c r="G206" s="6">
        <f t="shared" si="60"/>
        <v>0</v>
      </c>
      <c r="H206" s="7">
        <f t="shared" si="61"/>
        <v>0</v>
      </c>
      <c r="I206" s="8">
        <v>57.90134784</v>
      </c>
      <c r="J206" s="9">
        <f t="shared" si="62"/>
        <v>57.90134784</v>
      </c>
      <c r="K206" s="3">
        <f t="shared" si="63"/>
        <v>0</v>
      </c>
      <c r="L206" s="7">
        <f t="shared" si="64"/>
        <v>0</v>
      </c>
      <c r="M206" t="s">
        <v>187</v>
      </c>
      <c r="O206" s="3">
        <f>E206-'305245 - P0424'!F206</f>
        <v>0</v>
      </c>
      <c r="P206" s="30">
        <f>I206-'305245 - P0424'!J206</f>
        <v>0</v>
      </c>
    </row>
    <row r="207" spans="1:16" x14ac:dyDescent="0.25">
      <c r="A207">
        <v>205</v>
      </c>
      <c r="C207" t="s">
        <v>8</v>
      </c>
      <c r="D207" s="4" t="s">
        <v>198</v>
      </c>
      <c r="E207" s="12">
        <v>8.5399999999999991</v>
      </c>
      <c r="F207" s="12">
        <v>8.5399999999999991</v>
      </c>
      <c r="G207" s="6">
        <f t="shared" si="60"/>
        <v>0</v>
      </c>
      <c r="H207" s="7">
        <f t="shared" si="61"/>
        <v>0</v>
      </c>
      <c r="I207" s="8">
        <v>17.61</v>
      </c>
      <c r="J207" s="9">
        <f t="shared" si="62"/>
        <v>17.61</v>
      </c>
      <c r="K207" s="3">
        <f t="shared" si="63"/>
        <v>0</v>
      </c>
      <c r="L207" s="7">
        <f t="shared" si="64"/>
        <v>0</v>
      </c>
      <c r="M207" t="s">
        <v>187</v>
      </c>
      <c r="O207" s="3">
        <f>E207-'305245 - P0424'!F207</f>
        <v>0</v>
      </c>
      <c r="P207" s="30">
        <f>I207-'305245 - P0424'!J207</f>
        <v>0</v>
      </c>
    </row>
    <row r="208" spans="1:16" x14ac:dyDescent="0.25">
      <c r="A208">
        <v>206</v>
      </c>
      <c r="C208" t="s">
        <v>8</v>
      </c>
      <c r="D208" s="4" t="s">
        <v>199</v>
      </c>
      <c r="E208" s="12">
        <v>2.2400000000000002</v>
      </c>
      <c r="F208" s="12">
        <v>2.2400000000000002</v>
      </c>
      <c r="G208" s="6">
        <f t="shared" si="60"/>
        <v>0</v>
      </c>
      <c r="H208" s="7">
        <f t="shared" si="61"/>
        <v>0</v>
      </c>
      <c r="I208" s="8">
        <v>3.2169142539130431</v>
      </c>
      <c r="J208" s="9">
        <f t="shared" si="62"/>
        <v>3.2169142539130431</v>
      </c>
      <c r="K208" s="3">
        <f t="shared" si="63"/>
        <v>0</v>
      </c>
      <c r="L208" s="7">
        <f t="shared" si="64"/>
        <v>0</v>
      </c>
      <c r="M208" t="s">
        <v>187</v>
      </c>
      <c r="O208" s="3">
        <f>E208-'305245 - P0424'!F208</f>
        <v>0</v>
      </c>
      <c r="P208" s="30">
        <f>I208-'305245 - P0424'!J208</f>
        <v>0</v>
      </c>
    </row>
    <row r="209" spans="1:16" x14ac:dyDescent="0.25">
      <c r="A209">
        <v>207</v>
      </c>
      <c r="C209" t="s">
        <v>8</v>
      </c>
      <c r="D209" s="4" t="s">
        <v>200</v>
      </c>
      <c r="E209" s="12">
        <v>12.54</v>
      </c>
      <c r="F209" s="12">
        <v>12.54</v>
      </c>
      <c r="G209" s="6">
        <f t="shared" si="60"/>
        <v>0</v>
      </c>
      <c r="H209" s="7">
        <f t="shared" si="61"/>
        <v>0</v>
      </c>
      <c r="I209" s="8">
        <v>18.163175635862068</v>
      </c>
      <c r="J209" s="9">
        <f t="shared" si="62"/>
        <v>18.163175635862068</v>
      </c>
      <c r="K209" s="3">
        <f t="shared" si="63"/>
        <v>0</v>
      </c>
      <c r="L209" s="7">
        <f t="shared" si="64"/>
        <v>0</v>
      </c>
      <c r="M209" t="s">
        <v>187</v>
      </c>
      <c r="O209" s="3">
        <f>E209-'305245 - P0424'!F209</f>
        <v>0</v>
      </c>
      <c r="P209" s="30">
        <f>I209-'305245 - P0424'!J209</f>
        <v>0</v>
      </c>
    </row>
    <row r="210" spans="1:16" x14ac:dyDescent="0.25">
      <c r="A210">
        <v>208</v>
      </c>
      <c r="C210" t="s">
        <v>8</v>
      </c>
      <c r="D210" s="4" t="s">
        <v>201</v>
      </c>
      <c r="E210" s="12">
        <v>13.2</v>
      </c>
      <c r="F210" s="12">
        <v>13.2</v>
      </c>
      <c r="G210" s="6">
        <f t="shared" si="60"/>
        <v>0</v>
      </c>
      <c r="H210" s="7">
        <f t="shared" si="61"/>
        <v>0</v>
      </c>
      <c r="I210" s="8">
        <v>33.770000000000003</v>
      </c>
      <c r="J210" s="9">
        <f t="shared" si="62"/>
        <v>33.770000000000003</v>
      </c>
      <c r="K210" s="3">
        <f t="shared" si="63"/>
        <v>0</v>
      </c>
      <c r="L210" s="7">
        <f t="shared" si="64"/>
        <v>0</v>
      </c>
      <c r="M210" t="s">
        <v>187</v>
      </c>
      <c r="O210" s="3">
        <f>E210-'305245 - P0424'!F210</f>
        <v>0</v>
      </c>
      <c r="P210" s="30">
        <f>I210-'305245 - P0424'!J210</f>
        <v>0</v>
      </c>
    </row>
    <row r="211" spans="1:16" x14ac:dyDescent="0.25">
      <c r="A211">
        <v>209</v>
      </c>
      <c r="C211" t="s">
        <v>8</v>
      </c>
      <c r="D211" s="4" t="s">
        <v>202</v>
      </c>
      <c r="E211" s="12">
        <v>20.100000000000001</v>
      </c>
      <c r="F211" s="12">
        <v>20.100000000000001</v>
      </c>
      <c r="G211" s="6">
        <f t="shared" si="60"/>
        <v>0</v>
      </c>
      <c r="H211" s="7">
        <f t="shared" si="61"/>
        <v>0</v>
      </c>
      <c r="I211" s="8">
        <v>54.326307840000005</v>
      </c>
      <c r="J211" s="9">
        <f t="shared" si="62"/>
        <v>54.326307840000005</v>
      </c>
      <c r="K211" s="3">
        <f t="shared" si="63"/>
        <v>0</v>
      </c>
      <c r="L211" s="7">
        <f t="shared" si="64"/>
        <v>0</v>
      </c>
      <c r="M211" t="s">
        <v>187</v>
      </c>
      <c r="O211" s="3">
        <f>E211-'305245 - P0424'!F211</f>
        <v>0</v>
      </c>
      <c r="P211" s="30">
        <f>I211-'305245 - P0424'!J211</f>
        <v>0</v>
      </c>
    </row>
    <row r="212" spans="1:16" x14ac:dyDescent="0.25">
      <c r="A212">
        <v>210</v>
      </c>
      <c r="C212" t="s">
        <v>8</v>
      </c>
      <c r="D212" s="4" t="s">
        <v>203</v>
      </c>
      <c r="E212" s="12">
        <v>38.64</v>
      </c>
      <c r="F212" s="12">
        <v>38.64</v>
      </c>
      <c r="G212" s="6">
        <f t="shared" si="60"/>
        <v>0</v>
      </c>
      <c r="H212" s="7">
        <f t="shared" si="61"/>
        <v>0</v>
      </c>
      <c r="I212" s="8">
        <v>85.68</v>
      </c>
      <c r="J212" s="9">
        <f t="shared" si="62"/>
        <v>85.68</v>
      </c>
      <c r="K212" s="3">
        <f t="shared" si="63"/>
        <v>0</v>
      </c>
      <c r="L212" s="7">
        <f t="shared" si="64"/>
        <v>0</v>
      </c>
      <c r="M212" t="s">
        <v>187</v>
      </c>
      <c r="O212" s="3">
        <f>E212-'305245 - P0424'!F212</f>
        <v>0</v>
      </c>
      <c r="P212" s="30">
        <f>I212-'305245 - P0424'!J212</f>
        <v>0</v>
      </c>
    </row>
    <row r="213" spans="1:16" x14ac:dyDescent="0.25">
      <c r="A213">
        <v>211</v>
      </c>
      <c r="C213" t="s">
        <v>8</v>
      </c>
      <c r="D213" s="4" t="s">
        <v>204</v>
      </c>
      <c r="E213" s="12">
        <v>17.16</v>
      </c>
      <c r="F213" s="12">
        <v>17.16</v>
      </c>
      <c r="G213" s="6">
        <f t="shared" si="60"/>
        <v>0</v>
      </c>
      <c r="H213" s="7">
        <f t="shared" si="61"/>
        <v>0</v>
      </c>
      <c r="I213" s="8">
        <v>26.391854075214955</v>
      </c>
      <c r="J213" s="9">
        <f t="shared" si="62"/>
        <v>26.391854075214955</v>
      </c>
      <c r="K213" s="3">
        <f t="shared" si="63"/>
        <v>0</v>
      </c>
      <c r="L213" s="7">
        <f t="shared" si="64"/>
        <v>0</v>
      </c>
      <c r="M213" t="s">
        <v>187</v>
      </c>
      <c r="O213" s="3">
        <f>E213-'305245 - P0424'!F213</f>
        <v>0</v>
      </c>
      <c r="P213" s="30">
        <f>I213-'305245 - P0424'!J213</f>
        <v>0</v>
      </c>
    </row>
    <row r="214" spans="1:16" x14ac:dyDescent="0.25">
      <c r="A214">
        <v>212</v>
      </c>
      <c r="C214" t="s">
        <v>8</v>
      </c>
      <c r="D214" s="4" t="s">
        <v>205</v>
      </c>
      <c r="E214" s="12">
        <v>30.07</v>
      </c>
      <c r="F214" s="12">
        <v>30.07</v>
      </c>
      <c r="G214" s="6">
        <f t="shared" si="60"/>
        <v>0</v>
      </c>
      <c r="H214" s="7">
        <f t="shared" si="61"/>
        <v>0</v>
      </c>
      <c r="I214" s="8">
        <v>35.416393485128204</v>
      </c>
      <c r="J214" s="9">
        <f t="shared" si="62"/>
        <v>35.416393485128204</v>
      </c>
      <c r="K214" s="3">
        <f t="shared" si="63"/>
        <v>0</v>
      </c>
      <c r="L214" s="7">
        <f t="shared" si="64"/>
        <v>0</v>
      </c>
      <c r="M214" t="s">
        <v>187</v>
      </c>
      <c r="O214" s="3">
        <f>E214-'305245 - P0424'!F214</f>
        <v>0</v>
      </c>
      <c r="P214" s="30">
        <f>I214-'305245 - P0424'!J214</f>
        <v>0</v>
      </c>
    </row>
    <row r="215" spans="1:16" x14ac:dyDescent="0.25">
      <c r="A215">
        <v>213</v>
      </c>
      <c r="C215" t="s">
        <v>8</v>
      </c>
      <c r="D215" s="4" t="s">
        <v>206</v>
      </c>
      <c r="E215" s="12">
        <v>30.42</v>
      </c>
      <c r="F215" s="12">
        <v>30.42</v>
      </c>
      <c r="G215" s="6">
        <f t="shared" si="60"/>
        <v>0</v>
      </c>
      <c r="H215" s="7">
        <f t="shared" si="61"/>
        <v>0</v>
      </c>
      <c r="I215" s="8">
        <v>42.49</v>
      </c>
      <c r="J215" s="9">
        <f t="shared" si="62"/>
        <v>42.49</v>
      </c>
      <c r="K215" s="3">
        <f t="shared" si="63"/>
        <v>0</v>
      </c>
      <c r="L215" s="7">
        <f t="shared" si="64"/>
        <v>0</v>
      </c>
      <c r="M215" t="s">
        <v>187</v>
      </c>
      <c r="O215" s="3">
        <f>E215-'305245 - P0424'!F215</f>
        <v>0</v>
      </c>
      <c r="P215" s="30">
        <f>I215-'305245 - P0424'!J215</f>
        <v>0</v>
      </c>
    </row>
    <row r="216" spans="1:16" x14ac:dyDescent="0.25">
      <c r="A216">
        <v>214</v>
      </c>
      <c r="C216" t="s">
        <v>8</v>
      </c>
      <c r="D216" s="4" t="s">
        <v>207</v>
      </c>
      <c r="E216" s="12">
        <v>2.4</v>
      </c>
      <c r="F216" s="12">
        <v>2.4</v>
      </c>
      <c r="G216" s="6">
        <f t="shared" si="60"/>
        <v>0</v>
      </c>
      <c r="H216" s="7">
        <f t="shared" si="61"/>
        <v>0</v>
      </c>
      <c r="I216" s="8">
        <v>4.84</v>
      </c>
      <c r="J216" s="9">
        <f t="shared" si="62"/>
        <v>4.84</v>
      </c>
      <c r="K216" s="3">
        <f t="shared" si="63"/>
        <v>0</v>
      </c>
      <c r="L216" s="7">
        <f t="shared" si="64"/>
        <v>0</v>
      </c>
      <c r="M216" t="s">
        <v>187</v>
      </c>
      <c r="O216" s="3">
        <f>E216-'305245 - P0424'!F216</f>
        <v>0</v>
      </c>
      <c r="P216" s="30">
        <f>I216-'305245 - P0424'!J216</f>
        <v>0</v>
      </c>
    </row>
    <row r="217" spans="1:16" x14ac:dyDescent="0.25">
      <c r="A217">
        <v>215</v>
      </c>
      <c r="C217" t="s">
        <v>8</v>
      </c>
      <c r="D217" s="4" t="s">
        <v>208</v>
      </c>
      <c r="E217" s="12">
        <v>3.66</v>
      </c>
      <c r="F217" s="12">
        <v>3.66</v>
      </c>
      <c r="G217" s="6">
        <f t="shared" si="60"/>
        <v>0</v>
      </c>
      <c r="H217" s="7">
        <f t="shared" si="61"/>
        <v>0</v>
      </c>
      <c r="I217" s="8">
        <v>5.4831979136563875</v>
      </c>
      <c r="J217" s="9">
        <f t="shared" si="62"/>
        <v>5.4831979136563875</v>
      </c>
      <c r="K217" s="3">
        <f t="shared" si="63"/>
        <v>0</v>
      </c>
      <c r="L217" s="7">
        <f t="shared" si="64"/>
        <v>0</v>
      </c>
      <c r="M217" t="s">
        <v>187</v>
      </c>
      <c r="O217" s="3">
        <f>E217-'305245 - P0424'!F217</f>
        <v>0</v>
      </c>
      <c r="P217" s="30">
        <f>I217-'305245 - P0424'!J217</f>
        <v>0</v>
      </c>
    </row>
    <row r="218" spans="1:16" x14ac:dyDescent="0.25">
      <c r="A218">
        <v>216</v>
      </c>
      <c r="C218" t="s">
        <v>8</v>
      </c>
      <c r="D218" s="4" t="s">
        <v>209</v>
      </c>
      <c r="E218" s="12">
        <v>3.26</v>
      </c>
      <c r="F218" s="12">
        <v>3.26</v>
      </c>
      <c r="G218" s="13">
        <f t="shared" si="60"/>
        <v>0</v>
      </c>
      <c r="H218" s="7">
        <f t="shared" si="61"/>
        <v>0</v>
      </c>
      <c r="I218" s="8">
        <v>5.48</v>
      </c>
      <c r="J218" s="9">
        <f t="shared" si="62"/>
        <v>5.48</v>
      </c>
      <c r="K218" s="3">
        <f t="shared" si="63"/>
        <v>0</v>
      </c>
      <c r="L218" s="7">
        <f t="shared" si="64"/>
        <v>0</v>
      </c>
      <c r="M218" t="s">
        <v>187</v>
      </c>
      <c r="O218" s="3">
        <f>E218-'305245 - P0424'!F218</f>
        <v>0</v>
      </c>
      <c r="P218" s="30">
        <f>I218-'305245 - P0424'!J218</f>
        <v>0</v>
      </c>
    </row>
    <row r="219" spans="1:16" x14ac:dyDescent="0.25">
      <c r="A219">
        <v>217</v>
      </c>
      <c r="C219" t="s">
        <v>8</v>
      </c>
      <c r="D219" s="4" t="s">
        <v>210</v>
      </c>
      <c r="E219" s="12">
        <v>4.46</v>
      </c>
      <c r="F219" s="12">
        <v>4.46</v>
      </c>
      <c r="G219" s="6">
        <f t="shared" si="60"/>
        <v>0</v>
      </c>
      <c r="H219" s="7">
        <f t="shared" si="61"/>
        <v>0</v>
      </c>
      <c r="I219" s="8">
        <v>6.8717173187003597</v>
      </c>
      <c r="J219" s="9">
        <f t="shared" si="62"/>
        <v>6.8717173187003597</v>
      </c>
      <c r="K219" s="3">
        <f t="shared" si="63"/>
        <v>0</v>
      </c>
      <c r="L219" s="7">
        <f t="shared" si="64"/>
        <v>0</v>
      </c>
      <c r="M219" t="s">
        <v>187</v>
      </c>
      <c r="O219" s="3">
        <f>E219-'305245 - P0424'!F219</f>
        <v>0</v>
      </c>
      <c r="P219" s="30">
        <f>I219-'305245 - P0424'!J219</f>
        <v>0</v>
      </c>
    </row>
    <row r="220" spans="1:16" x14ac:dyDescent="0.25">
      <c r="A220">
        <v>218</v>
      </c>
      <c r="C220" t="s">
        <v>8</v>
      </c>
      <c r="D220" s="4" t="s">
        <v>211</v>
      </c>
      <c r="E220" s="12">
        <v>1.78</v>
      </c>
      <c r="F220" s="12">
        <v>1.78</v>
      </c>
      <c r="G220" s="6">
        <f t="shared" si="60"/>
        <v>0</v>
      </c>
      <c r="H220" s="7">
        <f t="shared" si="61"/>
        <v>0</v>
      </c>
      <c r="I220" s="8">
        <v>3.6982813789090896</v>
      </c>
      <c r="J220" s="9">
        <f t="shared" si="62"/>
        <v>3.6982813789090896</v>
      </c>
      <c r="K220" s="3">
        <f t="shared" si="63"/>
        <v>0</v>
      </c>
      <c r="L220" s="7">
        <f t="shared" si="64"/>
        <v>0</v>
      </c>
      <c r="M220" t="s">
        <v>187</v>
      </c>
      <c r="O220" s="3">
        <f>E220-'305245 - P0424'!F220</f>
        <v>0</v>
      </c>
      <c r="P220" s="30">
        <f>I220-'305245 - P0424'!J220</f>
        <v>0</v>
      </c>
    </row>
    <row r="221" spans="1:16" x14ac:dyDescent="0.25">
      <c r="A221">
        <v>219</v>
      </c>
      <c r="C221" t="s">
        <v>8</v>
      </c>
      <c r="D221" s="4" t="s">
        <v>212</v>
      </c>
      <c r="E221" s="12">
        <v>2.66</v>
      </c>
      <c r="F221" s="12">
        <v>2.66</v>
      </c>
      <c r="G221" s="6">
        <f t="shared" si="60"/>
        <v>0</v>
      </c>
      <c r="H221" s="7">
        <f t="shared" si="61"/>
        <v>0</v>
      </c>
      <c r="I221" s="8">
        <v>4.4491697803636372</v>
      </c>
      <c r="J221" s="9">
        <f t="shared" si="62"/>
        <v>4.4491697803636372</v>
      </c>
      <c r="K221" s="3">
        <f t="shared" si="63"/>
        <v>0</v>
      </c>
      <c r="L221" s="7">
        <f t="shared" si="64"/>
        <v>0</v>
      </c>
      <c r="M221" t="s">
        <v>187</v>
      </c>
      <c r="O221" s="3">
        <f>E221-'305245 - P0424'!F221</f>
        <v>0</v>
      </c>
      <c r="P221" s="30">
        <f>I221-'305245 - P0424'!J221</f>
        <v>0</v>
      </c>
    </row>
    <row r="222" spans="1:16" x14ac:dyDescent="0.25">
      <c r="A222">
        <v>220</v>
      </c>
      <c r="C222" t="s">
        <v>8</v>
      </c>
      <c r="D222" s="4" t="s">
        <v>213</v>
      </c>
      <c r="E222" s="12">
        <v>2.85</v>
      </c>
      <c r="F222" s="12">
        <v>2.85</v>
      </c>
      <c r="G222" s="6">
        <f t="shared" si="60"/>
        <v>0</v>
      </c>
      <c r="H222" s="7">
        <f t="shared" si="61"/>
        <v>0</v>
      </c>
      <c r="I222" s="8">
        <v>7.25</v>
      </c>
      <c r="J222" s="9">
        <f t="shared" si="62"/>
        <v>7.25</v>
      </c>
      <c r="K222" s="3">
        <f t="shared" si="63"/>
        <v>0</v>
      </c>
      <c r="L222" s="7">
        <f t="shared" si="64"/>
        <v>0</v>
      </c>
      <c r="M222" t="s">
        <v>187</v>
      </c>
      <c r="O222" s="3">
        <f>E222-'305245 - P0424'!F222</f>
        <v>0</v>
      </c>
      <c r="P222" s="30">
        <f>I222-'305245 - P0424'!J222</f>
        <v>0</v>
      </c>
    </row>
    <row r="223" spans="1:16" x14ac:dyDescent="0.25">
      <c r="A223">
        <v>221</v>
      </c>
      <c r="C223" t="s">
        <v>8</v>
      </c>
      <c r="D223" s="4" t="s">
        <v>465</v>
      </c>
      <c r="E223" s="12">
        <v>2.5099999999999998</v>
      </c>
      <c r="F223" s="12">
        <v>2.5099999999999998</v>
      </c>
      <c r="G223" s="6">
        <f t="shared" si="60"/>
        <v>0</v>
      </c>
      <c r="H223" s="7">
        <f t="shared" si="61"/>
        <v>0</v>
      </c>
      <c r="I223" s="8">
        <v>4.32</v>
      </c>
      <c r="J223" s="9">
        <f t="shared" si="62"/>
        <v>4.32</v>
      </c>
      <c r="K223" s="3">
        <f t="shared" si="63"/>
        <v>0</v>
      </c>
      <c r="L223" s="7">
        <f t="shared" si="64"/>
        <v>0</v>
      </c>
      <c r="M223" t="s">
        <v>187</v>
      </c>
      <c r="O223" s="3">
        <f>E223-'305245 - P0424'!F223</f>
        <v>0</v>
      </c>
      <c r="P223" s="30">
        <f>I223-'305245 - P0424'!J223</f>
        <v>0</v>
      </c>
    </row>
    <row r="224" spans="1:16" x14ac:dyDescent="0.25">
      <c r="A224">
        <v>222</v>
      </c>
      <c r="C224" t="s">
        <v>8</v>
      </c>
      <c r="D224" s="4" t="s">
        <v>214</v>
      </c>
      <c r="E224" s="12">
        <v>2.69</v>
      </c>
      <c r="F224" s="12">
        <v>2.69</v>
      </c>
      <c r="G224" s="6">
        <f t="shared" si="60"/>
        <v>0</v>
      </c>
      <c r="H224" s="7">
        <f t="shared" si="61"/>
        <v>0</v>
      </c>
      <c r="I224" s="8">
        <v>4.49</v>
      </c>
      <c r="J224" s="9">
        <f t="shared" si="62"/>
        <v>4.49</v>
      </c>
      <c r="K224" s="3">
        <f t="shared" si="63"/>
        <v>0</v>
      </c>
      <c r="L224" s="7">
        <f t="shared" si="64"/>
        <v>0</v>
      </c>
      <c r="M224" t="s">
        <v>187</v>
      </c>
      <c r="O224" s="3">
        <f>E224-'305245 - P0424'!F224</f>
        <v>0</v>
      </c>
      <c r="P224" s="30">
        <f>I224-'305245 - P0424'!J224</f>
        <v>0</v>
      </c>
    </row>
    <row r="225" spans="1:16" x14ac:dyDescent="0.25">
      <c r="A225">
        <v>223</v>
      </c>
      <c r="C225" t="s">
        <v>8</v>
      </c>
      <c r="D225" s="4" t="s">
        <v>215</v>
      </c>
      <c r="E225" s="12">
        <v>0.45</v>
      </c>
      <c r="F225" s="12">
        <v>0.45</v>
      </c>
      <c r="G225" s="6">
        <f t="shared" si="60"/>
        <v>0</v>
      </c>
      <c r="H225" s="7">
        <f t="shared" si="61"/>
        <v>0</v>
      </c>
      <c r="I225" s="8">
        <v>0.70471188480000002</v>
      </c>
      <c r="J225" s="9">
        <f t="shared" si="62"/>
        <v>0.70471188480000002</v>
      </c>
      <c r="K225" s="3">
        <f t="shared" si="63"/>
        <v>0</v>
      </c>
      <c r="L225" s="7">
        <f t="shared" si="64"/>
        <v>0</v>
      </c>
      <c r="M225" t="s">
        <v>187</v>
      </c>
      <c r="O225" s="3">
        <f>E225-'305245 - P0424'!F225</f>
        <v>0</v>
      </c>
      <c r="P225" s="30">
        <f>I225-'305245 - P0424'!J225</f>
        <v>0</v>
      </c>
    </row>
    <row r="226" spans="1:16" x14ac:dyDescent="0.25">
      <c r="A226">
        <v>224</v>
      </c>
      <c r="C226" t="s">
        <v>8</v>
      </c>
      <c r="D226" s="4" t="s">
        <v>216</v>
      </c>
      <c r="E226" s="12">
        <v>1.1000000000000001</v>
      </c>
      <c r="F226" s="12">
        <v>1.1000000000000001</v>
      </c>
      <c r="G226" s="6">
        <f t="shared" si="60"/>
        <v>0</v>
      </c>
      <c r="H226" s="7">
        <f t="shared" si="61"/>
        <v>0</v>
      </c>
      <c r="I226" s="8">
        <v>1.23</v>
      </c>
      <c r="J226" s="9">
        <f t="shared" si="62"/>
        <v>1.23</v>
      </c>
      <c r="K226" s="3">
        <f t="shared" si="63"/>
        <v>0</v>
      </c>
      <c r="L226" s="7">
        <f t="shared" si="64"/>
        <v>0</v>
      </c>
      <c r="M226" t="s">
        <v>187</v>
      </c>
      <c r="O226" s="3">
        <f>E226-'305245 - P0424'!F226</f>
        <v>0</v>
      </c>
      <c r="P226" s="30">
        <f>I226-'305245 - P0424'!J226</f>
        <v>0</v>
      </c>
    </row>
    <row r="227" spans="1:16" x14ac:dyDescent="0.25">
      <c r="A227">
        <v>225</v>
      </c>
      <c r="C227" t="s">
        <v>8</v>
      </c>
      <c r="D227" s="4" t="s">
        <v>217</v>
      </c>
      <c r="E227" s="12">
        <v>1.1000000000000001</v>
      </c>
      <c r="F227" s="12">
        <v>1.1000000000000001</v>
      </c>
      <c r="G227" s="6">
        <f t="shared" si="60"/>
        <v>0</v>
      </c>
      <c r="H227" s="7">
        <f t="shared" si="61"/>
        <v>0</v>
      </c>
      <c r="I227" s="8">
        <v>1.8621752470588233</v>
      </c>
      <c r="J227" s="9">
        <f t="shared" si="62"/>
        <v>1.8621752470588233</v>
      </c>
      <c r="K227" s="3">
        <f t="shared" si="63"/>
        <v>0</v>
      </c>
      <c r="L227" s="7">
        <f t="shared" si="64"/>
        <v>0</v>
      </c>
      <c r="M227" t="s">
        <v>187</v>
      </c>
      <c r="O227" s="3">
        <f>E227-'305245 - P0424'!F227</f>
        <v>0</v>
      </c>
      <c r="P227" s="30">
        <f>I227-'305245 - P0424'!J227</f>
        <v>0</v>
      </c>
    </row>
    <row r="228" spans="1:16" x14ac:dyDescent="0.25">
      <c r="A228">
        <v>226</v>
      </c>
      <c r="C228" t="s">
        <v>8</v>
      </c>
      <c r="D228" s="4" t="s">
        <v>218</v>
      </c>
      <c r="E228" s="12">
        <v>1.28</v>
      </c>
      <c r="F228" s="12">
        <v>1.28</v>
      </c>
      <c r="G228" s="6">
        <f t="shared" si="60"/>
        <v>0</v>
      </c>
      <c r="H228" s="7">
        <f t="shared" si="61"/>
        <v>0</v>
      </c>
      <c r="I228" s="8">
        <v>2.3682151048101265</v>
      </c>
      <c r="J228" s="9">
        <f t="shared" si="62"/>
        <v>2.3682151048101265</v>
      </c>
      <c r="K228" s="3">
        <f t="shared" si="63"/>
        <v>0</v>
      </c>
      <c r="L228" s="7">
        <f t="shared" si="64"/>
        <v>0</v>
      </c>
      <c r="M228" t="s">
        <v>187</v>
      </c>
      <c r="O228" s="3">
        <f>E228-'305245 - P0424'!F228</f>
        <v>0</v>
      </c>
      <c r="P228" s="30">
        <f>I228-'305245 - P0424'!J228</f>
        <v>0</v>
      </c>
    </row>
    <row r="229" spans="1:16" x14ac:dyDescent="0.25">
      <c r="A229">
        <v>227</v>
      </c>
      <c r="C229" t="s">
        <v>8</v>
      </c>
      <c r="D229" s="4" t="s">
        <v>219</v>
      </c>
      <c r="E229" s="12">
        <v>2.64</v>
      </c>
      <c r="F229" s="12">
        <v>2.64</v>
      </c>
      <c r="G229" s="6">
        <f t="shared" si="60"/>
        <v>0</v>
      </c>
      <c r="H229" s="7">
        <f t="shared" si="61"/>
        <v>0</v>
      </c>
      <c r="I229" s="8">
        <v>5.58</v>
      </c>
      <c r="J229" s="9">
        <f t="shared" si="62"/>
        <v>5.58</v>
      </c>
      <c r="K229" s="3">
        <f t="shared" si="63"/>
        <v>0</v>
      </c>
      <c r="L229" s="7">
        <f t="shared" si="64"/>
        <v>0</v>
      </c>
      <c r="M229" t="s">
        <v>187</v>
      </c>
      <c r="O229" s="3">
        <f>E229-'305245 - P0424'!F229</f>
        <v>0</v>
      </c>
      <c r="P229" s="30">
        <f>I229-'305245 - P0424'!J229</f>
        <v>0</v>
      </c>
    </row>
    <row r="230" spans="1:16" x14ac:dyDescent="0.25">
      <c r="A230">
        <v>228</v>
      </c>
      <c r="C230" t="s">
        <v>8</v>
      </c>
      <c r="D230" s="4" t="s">
        <v>220</v>
      </c>
      <c r="E230" s="12">
        <v>0.09</v>
      </c>
      <c r="F230" s="12">
        <v>0.09</v>
      </c>
      <c r="G230" s="6">
        <f t="shared" si="60"/>
        <v>0</v>
      </c>
      <c r="H230" s="7">
        <f t="shared" si="61"/>
        <v>0</v>
      </c>
      <c r="I230" s="8">
        <v>0.19219415040000001</v>
      </c>
      <c r="J230" s="9">
        <f t="shared" si="62"/>
        <v>0.19219415040000001</v>
      </c>
      <c r="K230" s="3">
        <f t="shared" si="63"/>
        <v>0</v>
      </c>
      <c r="L230" s="7">
        <f t="shared" si="64"/>
        <v>0</v>
      </c>
      <c r="M230" t="s">
        <v>187</v>
      </c>
      <c r="O230" s="3">
        <f>E230-'305245 - P0424'!F230</f>
        <v>0</v>
      </c>
      <c r="P230" s="30">
        <f>I230-'305245 - P0424'!J230</f>
        <v>0</v>
      </c>
    </row>
    <row r="231" spans="1:16" x14ac:dyDescent="0.25">
      <c r="A231">
        <v>229</v>
      </c>
      <c r="C231" t="s">
        <v>8</v>
      </c>
      <c r="D231" s="4" t="s">
        <v>221</v>
      </c>
      <c r="E231" s="12">
        <v>1.01</v>
      </c>
      <c r="F231" s="12">
        <v>1.01</v>
      </c>
      <c r="G231" s="6">
        <f t="shared" si="60"/>
        <v>0</v>
      </c>
      <c r="H231" s="7">
        <f t="shared" si="61"/>
        <v>0</v>
      </c>
      <c r="I231" s="8">
        <v>1.6874188799999998</v>
      </c>
      <c r="J231" s="9">
        <f t="shared" si="62"/>
        <v>1.6874188799999998</v>
      </c>
      <c r="K231" s="3">
        <f t="shared" si="63"/>
        <v>0</v>
      </c>
      <c r="L231" s="7">
        <f t="shared" si="64"/>
        <v>0</v>
      </c>
      <c r="M231" t="s">
        <v>187</v>
      </c>
      <c r="O231" s="3">
        <f>E231-'305245 - P0424'!F231</f>
        <v>0</v>
      </c>
      <c r="P231" s="30">
        <f>I231-'305245 - P0424'!J231</f>
        <v>0</v>
      </c>
    </row>
    <row r="232" spans="1:16" x14ac:dyDescent="0.25">
      <c r="A232">
        <v>230</v>
      </c>
      <c r="C232" t="s">
        <v>8</v>
      </c>
      <c r="D232" s="4" t="s">
        <v>222</v>
      </c>
      <c r="E232" s="12">
        <v>0.06</v>
      </c>
      <c r="F232" s="12">
        <v>0.06</v>
      </c>
      <c r="G232" s="6">
        <f t="shared" si="60"/>
        <v>0</v>
      </c>
      <c r="H232" s="7">
        <f t="shared" si="61"/>
        <v>0</v>
      </c>
      <c r="I232" s="8">
        <v>2.29</v>
      </c>
      <c r="J232" s="9">
        <f t="shared" si="62"/>
        <v>2.29</v>
      </c>
      <c r="K232" s="3">
        <f t="shared" si="63"/>
        <v>0</v>
      </c>
      <c r="L232" s="7">
        <f t="shared" si="64"/>
        <v>0</v>
      </c>
      <c r="M232" t="s">
        <v>187</v>
      </c>
      <c r="O232" s="3">
        <f>E232-'305245 - P0424'!F232</f>
        <v>0</v>
      </c>
      <c r="P232" s="30">
        <f>I232-'305245 - P0424'!J232</f>
        <v>0</v>
      </c>
    </row>
    <row r="233" spans="1:16" x14ac:dyDescent="0.25">
      <c r="A233">
        <v>231</v>
      </c>
      <c r="C233" t="s">
        <v>8</v>
      </c>
      <c r="D233" s="4" t="s">
        <v>223</v>
      </c>
      <c r="E233" s="12">
        <v>4.1399999999999997</v>
      </c>
      <c r="F233" s="12">
        <v>4.1399999999999997</v>
      </c>
      <c r="G233" s="6">
        <f t="shared" si="60"/>
        <v>0</v>
      </c>
      <c r="H233" s="7">
        <f t="shared" si="61"/>
        <v>0</v>
      </c>
      <c r="I233" s="8">
        <v>6.49</v>
      </c>
      <c r="J233" s="9">
        <f t="shared" si="62"/>
        <v>6.49</v>
      </c>
      <c r="K233" s="3">
        <f t="shared" si="63"/>
        <v>0</v>
      </c>
      <c r="L233" s="7">
        <f t="shared" si="64"/>
        <v>0</v>
      </c>
      <c r="M233" t="s">
        <v>187</v>
      </c>
      <c r="O233" s="3">
        <f>E233-'305245 - P0424'!F233</f>
        <v>0</v>
      </c>
      <c r="P233" s="30">
        <f>I233-'305245 - P0424'!J233</f>
        <v>0</v>
      </c>
    </row>
    <row r="234" spans="1:16" x14ac:dyDescent="0.25">
      <c r="A234">
        <v>232</v>
      </c>
      <c r="C234" t="s">
        <v>8</v>
      </c>
      <c r="D234" s="4" t="s">
        <v>224</v>
      </c>
      <c r="E234" s="12">
        <v>24.6</v>
      </c>
      <c r="F234" s="12">
        <v>24.6</v>
      </c>
      <c r="G234" s="6">
        <f t="shared" si="60"/>
        <v>0</v>
      </c>
      <c r="H234" s="7">
        <f t="shared" si="61"/>
        <v>0</v>
      </c>
      <c r="I234" s="8">
        <v>37.85520480000001</v>
      </c>
      <c r="J234" s="9">
        <f t="shared" si="62"/>
        <v>37.85520480000001</v>
      </c>
      <c r="K234" s="3">
        <f t="shared" si="63"/>
        <v>0</v>
      </c>
      <c r="L234" s="7">
        <f t="shared" si="64"/>
        <v>0</v>
      </c>
      <c r="M234" t="s">
        <v>187</v>
      </c>
      <c r="O234" s="3">
        <f>E234-'305245 - P0424'!F234</f>
        <v>0</v>
      </c>
      <c r="P234" s="30">
        <f>I234-'305245 - P0424'!J234</f>
        <v>0</v>
      </c>
    </row>
    <row r="235" spans="1:16" x14ac:dyDescent="0.25">
      <c r="A235">
        <v>233</v>
      </c>
      <c r="C235" t="s">
        <v>8</v>
      </c>
      <c r="D235" s="4" t="s">
        <v>225</v>
      </c>
      <c r="E235" s="12">
        <v>8.41</v>
      </c>
      <c r="F235" s="12">
        <v>8.41</v>
      </c>
      <c r="G235" s="6">
        <f t="shared" si="60"/>
        <v>0</v>
      </c>
      <c r="H235" s="7">
        <f t="shared" si="61"/>
        <v>0</v>
      </c>
      <c r="I235" s="8">
        <v>17.605379996335873</v>
      </c>
      <c r="J235" s="9">
        <f t="shared" si="62"/>
        <v>17.605379996335873</v>
      </c>
      <c r="K235" s="3">
        <f t="shared" si="63"/>
        <v>0</v>
      </c>
      <c r="L235" s="7">
        <f t="shared" si="64"/>
        <v>0</v>
      </c>
      <c r="M235" t="s">
        <v>187</v>
      </c>
      <c r="O235" s="3">
        <f>E235-'305245 - P0424'!F235</f>
        <v>0</v>
      </c>
      <c r="P235" s="30">
        <f>I235-'305245 - P0424'!J235</f>
        <v>0</v>
      </c>
    </row>
    <row r="236" spans="1:16" x14ac:dyDescent="0.25">
      <c r="A236">
        <v>234</v>
      </c>
      <c r="C236" t="s">
        <v>8</v>
      </c>
      <c r="D236" s="4" t="s">
        <v>226</v>
      </c>
      <c r="E236" s="12">
        <v>19.87</v>
      </c>
      <c r="F236" s="12">
        <v>19.87</v>
      </c>
      <c r="G236" s="6">
        <f t="shared" si="60"/>
        <v>0</v>
      </c>
      <c r="H236" s="7">
        <f t="shared" si="61"/>
        <v>0</v>
      </c>
      <c r="I236" s="8">
        <v>37.722017205436892</v>
      </c>
      <c r="J236" s="9">
        <f t="shared" si="62"/>
        <v>37.722017205436892</v>
      </c>
      <c r="K236" s="3">
        <f t="shared" si="63"/>
        <v>0</v>
      </c>
      <c r="L236" s="7">
        <f t="shared" si="64"/>
        <v>0</v>
      </c>
      <c r="M236" t="s">
        <v>187</v>
      </c>
      <c r="O236" s="3">
        <f>E236-'305245 - P0424'!F236</f>
        <v>0</v>
      </c>
      <c r="P236" s="30">
        <f>I236-'305245 - P0424'!J236</f>
        <v>0</v>
      </c>
    </row>
    <row r="237" spans="1:16" x14ac:dyDescent="0.25">
      <c r="A237">
        <v>235</v>
      </c>
      <c r="C237" t="s">
        <v>8</v>
      </c>
      <c r="D237" s="4" t="s">
        <v>227</v>
      </c>
      <c r="E237" s="12">
        <v>19.89</v>
      </c>
      <c r="F237" s="12">
        <v>19.89</v>
      </c>
      <c r="G237" s="6">
        <f t="shared" si="60"/>
        <v>0</v>
      </c>
      <c r="H237" s="7">
        <f t="shared" si="61"/>
        <v>0</v>
      </c>
      <c r="I237" s="8">
        <v>39.222494967342996</v>
      </c>
      <c r="J237" s="9">
        <f t="shared" si="62"/>
        <v>39.222494967342996</v>
      </c>
      <c r="K237" s="3">
        <f t="shared" si="63"/>
        <v>0</v>
      </c>
      <c r="L237" s="7">
        <f t="shared" si="64"/>
        <v>0</v>
      </c>
      <c r="M237" t="s">
        <v>187</v>
      </c>
      <c r="O237" s="3">
        <f>E237-'305245 - P0424'!F237</f>
        <v>0</v>
      </c>
      <c r="P237" s="30">
        <f>I237-'305245 - P0424'!J237</f>
        <v>0</v>
      </c>
    </row>
    <row r="238" spans="1:16" x14ac:dyDescent="0.25">
      <c r="A238">
        <v>236</v>
      </c>
      <c r="C238" t="s">
        <v>8</v>
      </c>
      <c r="D238" s="4" t="s">
        <v>228</v>
      </c>
      <c r="E238" s="12">
        <v>4.71</v>
      </c>
      <c r="F238" s="12">
        <v>4.71</v>
      </c>
      <c r="G238" s="6">
        <f t="shared" si="60"/>
        <v>0</v>
      </c>
      <c r="H238" s="7">
        <f t="shared" si="61"/>
        <v>0</v>
      </c>
      <c r="I238" s="8">
        <v>11.98</v>
      </c>
      <c r="J238" s="9">
        <f t="shared" si="62"/>
        <v>11.98</v>
      </c>
      <c r="K238" s="3">
        <f t="shared" si="63"/>
        <v>0</v>
      </c>
      <c r="L238" s="7">
        <f t="shared" si="64"/>
        <v>0</v>
      </c>
      <c r="M238" t="s">
        <v>187</v>
      </c>
      <c r="O238" s="3">
        <f>E238-'305245 - P0424'!F238</f>
        <v>0</v>
      </c>
      <c r="P238" s="30">
        <f>I238-'305245 - P0424'!J238</f>
        <v>0</v>
      </c>
    </row>
    <row r="239" spans="1:16" x14ac:dyDescent="0.25">
      <c r="A239">
        <v>237</v>
      </c>
      <c r="C239" t="s">
        <v>8</v>
      </c>
      <c r="D239" s="4" t="s">
        <v>229</v>
      </c>
      <c r="E239" s="12">
        <v>51.79</v>
      </c>
      <c r="F239" s="12">
        <v>51.79</v>
      </c>
      <c r="G239" s="6">
        <f t="shared" si="60"/>
        <v>0</v>
      </c>
      <c r="H239" s="7">
        <f t="shared" si="61"/>
        <v>0</v>
      </c>
      <c r="I239" s="8">
        <v>79.680000000000007</v>
      </c>
      <c r="J239" s="9">
        <f t="shared" si="62"/>
        <v>79.680000000000007</v>
      </c>
      <c r="K239" s="3">
        <f t="shared" si="63"/>
        <v>0</v>
      </c>
      <c r="L239" s="7">
        <f t="shared" si="64"/>
        <v>0</v>
      </c>
      <c r="M239" t="s">
        <v>187</v>
      </c>
      <c r="O239" s="3">
        <f>E239-'305245 - P0424'!F239</f>
        <v>0</v>
      </c>
      <c r="P239" s="30">
        <f>I239-'305245 - P0424'!J239</f>
        <v>0</v>
      </c>
    </row>
    <row r="240" spans="1:16" x14ac:dyDescent="0.25">
      <c r="A240">
        <v>238</v>
      </c>
      <c r="C240" t="s">
        <v>8</v>
      </c>
      <c r="D240" s="4" t="s">
        <v>230</v>
      </c>
      <c r="E240" s="12">
        <v>9.76</v>
      </c>
      <c r="F240" s="12">
        <v>9.76</v>
      </c>
      <c r="G240" s="6">
        <f t="shared" si="60"/>
        <v>0</v>
      </c>
      <c r="H240" s="7">
        <f t="shared" si="61"/>
        <v>0</v>
      </c>
      <c r="I240" s="8">
        <v>19.82</v>
      </c>
      <c r="J240" s="9">
        <f t="shared" si="62"/>
        <v>19.82</v>
      </c>
      <c r="K240" s="3">
        <f t="shared" si="63"/>
        <v>0</v>
      </c>
      <c r="L240" s="7">
        <f t="shared" si="64"/>
        <v>0</v>
      </c>
      <c r="M240" t="s">
        <v>187</v>
      </c>
      <c r="O240" s="3">
        <f>E240-'305245 - P0424'!F240</f>
        <v>0</v>
      </c>
      <c r="P240" s="30">
        <f>I240-'305245 - P0424'!J240</f>
        <v>0</v>
      </c>
    </row>
    <row r="241" spans="1:16" x14ac:dyDescent="0.25">
      <c r="A241">
        <v>239</v>
      </c>
      <c r="C241" t="s">
        <v>8</v>
      </c>
      <c r="D241" s="4" t="s">
        <v>231</v>
      </c>
      <c r="E241" s="12">
        <v>2.87</v>
      </c>
      <c r="F241" s="12">
        <v>2.87</v>
      </c>
      <c r="G241" s="6">
        <f t="shared" si="60"/>
        <v>0</v>
      </c>
      <c r="H241" s="7">
        <f t="shared" si="61"/>
        <v>0</v>
      </c>
      <c r="I241" s="8">
        <v>5.82</v>
      </c>
      <c r="J241" s="9">
        <f t="shared" si="62"/>
        <v>5.82</v>
      </c>
      <c r="K241" s="3">
        <f t="shared" si="63"/>
        <v>0</v>
      </c>
      <c r="L241" s="7">
        <f t="shared" si="64"/>
        <v>0</v>
      </c>
      <c r="M241" t="s">
        <v>187</v>
      </c>
      <c r="O241" s="3">
        <f>E241-'305245 - P0424'!F241</f>
        <v>0</v>
      </c>
      <c r="P241" s="30">
        <f>I241-'305245 - P0424'!J241</f>
        <v>0</v>
      </c>
    </row>
    <row r="242" spans="1:16" x14ac:dyDescent="0.25">
      <c r="A242">
        <v>240</v>
      </c>
      <c r="D242" s="2" t="s">
        <v>232</v>
      </c>
      <c r="H242" s="10">
        <f>AVERAGE(H194:H237)</f>
        <v>0</v>
      </c>
      <c r="I242"/>
    </row>
    <row r="243" spans="1:16" x14ac:dyDescent="0.25">
      <c r="A243">
        <v>241</v>
      </c>
      <c r="D243" s="2" t="s">
        <v>233</v>
      </c>
      <c r="I243"/>
      <c r="M243" t="s">
        <v>234</v>
      </c>
      <c r="O243" s="3">
        <f>E243-'305245 - P0424'!F243</f>
        <v>0</v>
      </c>
      <c r="P243" s="30">
        <f>I243-'305245 - P0424'!J243</f>
        <v>0</v>
      </c>
    </row>
    <row r="244" spans="1:16" x14ac:dyDescent="0.25">
      <c r="A244">
        <v>242</v>
      </c>
      <c r="C244" t="s">
        <v>8</v>
      </c>
      <c r="D244" s="4" t="s">
        <v>235</v>
      </c>
      <c r="E244" s="12">
        <v>19.32</v>
      </c>
      <c r="F244" s="12">
        <v>19.32</v>
      </c>
      <c r="G244" s="6">
        <f t="shared" ref="G244:G248" si="65">+F244-E244</f>
        <v>0</v>
      </c>
      <c r="H244" s="7">
        <f t="shared" ref="H244:H248" si="66">(F244-E244)/ABS(E244)</f>
        <v>0</v>
      </c>
      <c r="I244" s="8">
        <v>43.363738242210459</v>
      </c>
      <c r="J244" s="9">
        <f t="shared" ref="J244:J248" si="67">(I244*H244)+I244</f>
        <v>43.363738242210459</v>
      </c>
      <c r="K244" s="3">
        <f t="shared" ref="K244:K248" si="68">J244-I244</f>
        <v>0</v>
      </c>
      <c r="L244" s="7">
        <f t="shared" ref="L244:L248" si="69">(J244-I244)/ABS(I244)</f>
        <v>0</v>
      </c>
      <c r="M244" t="s">
        <v>234</v>
      </c>
      <c r="O244" s="3">
        <f>E244-'305245 - P0424'!F244</f>
        <v>0</v>
      </c>
      <c r="P244" s="30">
        <f>I244-'305245 - P0424'!J244</f>
        <v>0</v>
      </c>
    </row>
    <row r="245" spans="1:16" x14ac:dyDescent="0.25">
      <c r="A245">
        <v>243</v>
      </c>
      <c r="C245" t="s">
        <v>8</v>
      </c>
      <c r="D245" s="4" t="s">
        <v>236</v>
      </c>
      <c r="E245" s="12">
        <v>25.76</v>
      </c>
      <c r="F245" s="12">
        <v>25.76</v>
      </c>
      <c r="G245" s="6">
        <f t="shared" si="65"/>
        <v>0</v>
      </c>
      <c r="H245" s="7">
        <f t="shared" si="66"/>
        <v>0</v>
      </c>
      <c r="I245" s="8">
        <v>54.72</v>
      </c>
      <c r="J245" s="9">
        <f t="shared" si="67"/>
        <v>54.72</v>
      </c>
      <c r="K245" s="3">
        <f t="shared" si="68"/>
        <v>0</v>
      </c>
      <c r="L245" s="7">
        <f t="shared" si="69"/>
        <v>0</v>
      </c>
      <c r="M245" t="s">
        <v>234</v>
      </c>
      <c r="O245" s="3">
        <f>E245-'305245 - P0424'!F245</f>
        <v>0</v>
      </c>
      <c r="P245" s="30">
        <f>I245-'305245 - P0424'!J245</f>
        <v>0</v>
      </c>
    </row>
    <row r="246" spans="1:16" x14ac:dyDescent="0.25">
      <c r="A246">
        <v>244</v>
      </c>
      <c r="C246" t="s">
        <v>8</v>
      </c>
      <c r="D246" s="4" t="s">
        <v>237</v>
      </c>
      <c r="E246" s="12">
        <v>26.28</v>
      </c>
      <c r="F246" s="12">
        <v>26.28</v>
      </c>
      <c r="G246" s="6">
        <f t="shared" si="65"/>
        <v>0</v>
      </c>
      <c r="H246" s="7">
        <f t="shared" si="66"/>
        <v>0</v>
      </c>
      <c r="I246" s="8">
        <v>41.047300934300516</v>
      </c>
      <c r="J246" s="9">
        <f t="shared" si="67"/>
        <v>41.047300934300516</v>
      </c>
      <c r="K246" s="3">
        <f t="shared" si="68"/>
        <v>0</v>
      </c>
      <c r="L246" s="7">
        <f t="shared" si="69"/>
        <v>0</v>
      </c>
      <c r="M246" t="s">
        <v>234</v>
      </c>
      <c r="O246" s="3">
        <f>E246-'305245 - P0424'!F246</f>
        <v>0</v>
      </c>
      <c r="P246" s="30">
        <f>I246-'305245 - P0424'!J246</f>
        <v>0</v>
      </c>
    </row>
    <row r="247" spans="1:16" x14ac:dyDescent="0.25">
      <c r="A247">
        <v>245</v>
      </c>
      <c r="C247" t="s">
        <v>8</v>
      </c>
      <c r="D247" s="4" t="s">
        <v>238</v>
      </c>
      <c r="E247" s="12">
        <v>35.04</v>
      </c>
      <c r="F247" s="12">
        <v>35.04</v>
      </c>
      <c r="G247" s="6">
        <f t="shared" si="65"/>
        <v>0</v>
      </c>
      <c r="H247" s="7">
        <f t="shared" si="66"/>
        <v>0</v>
      </c>
      <c r="I247" s="8">
        <v>54.724364707150258</v>
      </c>
      <c r="J247" s="9">
        <f t="shared" si="67"/>
        <v>54.724364707150258</v>
      </c>
      <c r="K247" s="3">
        <f t="shared" si="68"/>
        <v>0</v>
      </c>
      <c r="L247" s="7">
        <f t="shared" si="69"/>
        <v>0</v>
      </c>
      <c r="M247" t="s">
        <v>234</v>
      </c>
      <c r="O247" s="3">
        <f>E247-'305245 - P0424'!F247</f>
        <v>0</v>
      </c>
      <c r="P247" s="30">
        <f>I247-'305245 - P0424'!J247</f>
        <v>0</v>
      </c>
    </row>
    <row r="248" spans="1:16" x14ac:dyDescent="0.25">
      <c r="A248">
        <v>246</v>
      </c>
      <c r="C248" t="s">
        <v>8</v>
      </c>
      <c r="D248" s="4" t="s">
        <v>239</v>
      </c>
      <c r="E248" s="12">
        <v>43.8</v>
      </c>
      <c r="F248" s="12">
        <v>43.8</v>
      </c>
      <c r="G248" s="6">
        <f t="shared" si="65"/>
        <v>0</v>
      </c>
      <c r="H248" s="7">
        <f t="shared" si="66"/>
        <v>0</v>
      </c>
      <c r="I248" s="8">
        <v>68.401428479999993</v>
      </c>
      <c r="J248" s="9">
        <f t="shared" si="67"/>
        <v>68.401428479999993</v>
      </c>
      <c r="K248" s="3">
        <f t="shared" si="68"/>
        <v>0</v>
      </c>
      <c r="L248" s="7">
        <f t="shared" si="69"/>
        <v>0</v>
      </c>
      <c r="M248" t="s">
        <v>234</v>
      </c>
      <c r="O248" s="3">
        <f>E248-'305245 - P0424'!F248</f>
        <v>0</v>
      </c>
      <c r="P248" s="30">
        <f>I248-'305245 - P0424'!J248</f>
        <v>0</v>
      </c>
    </row>
    <row r="249" spans="1:16" x14ac:dyDescent="0.25">
      <c r="A249">
        <v>247</v>
      </c>
      <c r="D249" s="2" t="s">
        <v>240</v>
      </c>
      <c r="H249" s="10">
        <f>AVERAGE(H244:H248)</f>
        <v>0</v>
      </c>
      <c r="I249"/>
    </row>
    <row r="250" spans="1:16" x14ac:dyDescent="0.25">
      <c r="A250">
        <v>248</v>
      </c>
      <c r="D250" s="2" t="s">
        <v>241</v>
      </c>
      <c r="I250"/>
    </row>
    <row r="251" spans="1:16" x14ac:dyDescent="0.25">
      <c r="A251">
        <v>249</v>
      </c>
      <c r="C251" t="s">
        <v>8</v>
      </c>
      <c r="D251" s="4" t="s">
        <v>242</v>
      </c>
      <c r="E251" s="12">
        <v>8.2200000000000006</v>
      </c>
      <c r="F251" s="11">
        <v>8.2200000000000006</v>
      </c>
      <c r="G251" s="6">
        <f t="shared" ref="G251:G295" si="70">+F251-E251</f>
        <v>0</v>
      </c>
      <c r="H251" s="7">
        <f t="shared" ref="H251:H295" si="71">(F251-E251)/ABS(E251)</f>
        <v>0</v>
      </c>
      <c r="I251" s="8">
        <v>28.54202272220985</v>
      </c>
      <c r="J251" s="9">
        <f t="shared" ref="J251:J295" si="72">(I251*H251)+I251</f>
        <v>28.54202272220985</v>
      </c>
      <c r="K251" s="3">
        <f t="shared" ref="K251:K295" si="73">J251-I251</f>
        <v>0</v>
      </c>
      <c r="L251" s="7">
        <f t="shared" ref="L251:L295" si="74">(J251-I251)/ABS(I251)</f>
        <v>0</v>
      </c>
      <c r="M251" t="s">
        <v>150</v>
      </c>
      <c r="O251" s="3">
        <f>E251-'305245 - P0424'!F251</f>
        <v>0</v>
      </c>
      <c r="P251" s="30">
        <f>I251-'305245 - P0424'!J251</f>
        <v>0</v>
      </c>
    </row>
    <row r="252" spans="1:16" x14ac:dyDescent="0.25">
      <c r="A252">
        <v>250</v>
      </c>
      <c r="C252" t="s">
        <v>8</v>
      </c>
      <c r="D252" s="4" t="s">
        <v>243</v>
      </c>
      <c r="E252" s="12">
        <v>7.68</v>
      </c>
      <c r="F252" s="11">
        <v>7.68</v>
      </c>
      <c r="G252" s="6">
        <f t="shared" si="70"/>
        <v>0</v>
      </c>
      <c r="H252" s="7">
        <f t="shared" si="71"/>
        <v>0</v>
      </c>
      <c r="I252" s="8">
        <v>16.421831032972253</v>
      </c>
      <c r="J252" s="9">
        <f t="shared" si="72"/>
        <v>16.421831032972253</v>
      </c>
      <c r="K252" s="3">
        <f t="shared" si="73"/>
        <v>0</v>
      </c>
      <c r="L252" s="7">
        <f t="shared" si="74"/>
        <v>0</v>
      </c>
      <c r="M252" t="s">
        <v>150</v>
      </c>
      <c r="O252" s="3">
        <f>E252-'305245 - P0424'!F252</f>
        <v>0</v>
      </c>
      <c r="P252" s="30">
        <f>I252-'305245 - P0424'!J252</f>
        <v>0</v>
      </c>
    </row>
    <row r="253" spans="1:16" x14ac:dyDescent="0.25">
      <c r="A253">
        <v>251</v>
      </c>
      <c r="C253" t="s">
        <v>8</v>
      </c>
      <c r="D253" s="4" t="s">
        <v>244</v>
      </c>
      <c r="E253" s="12">
        <v>54.2</v>
      </c>
      <c r="F253" s="12">
        <v>54.2</v>
      </c>
      <c r="G253" s="6">
        <f t="shared" si="70"/>
        <v>0</v>
      </c>
      <c r="H253" s="7">
        <f t="shared" si="71"/>
        <v>0</v>
      </c>
      <c r="I253" s="8">
        <v>77.863720000000001</v>
      </c>
      <c r="J253" s="9">
        <f t="shared" si="72"/>
        <v>77.863720000000001</v>
      </c>
      <c r="K253" s="3">
        <f t="shared" si="73"/>
        <v>0</v>
      </c>
      <c r="L253" s="7">
        <f t="shared" si="74"/>
        <v>0</v>
      </c>
      <c r="M253" t="s">
        <v>150</v>
      </c>
      <c r="O253" s="3">
        <f>E253-'305245 - P0424'!F253</f>
        <v>0</v>
      </c>
      <c r="P253" s="30">
        <f>I253-'305245 - P0424'!J253</f>
        <v>0</v>
      </c>
    </row>
    <row r="254" spans="1:16" x14ac:dyDescent="0.25">
      <c r="A254">
        <v>252</v>
      </c>
      <c r="C254" t="s">
        <v>8</v>
      </c>
      <c r="D254" s="4" t="s">
        <v>245</v>
      </c>
      <c r="E254" s="12">
        <v>3.75</v>
      </c>
      <c r="F254" s="12">
        <v>3.75</v>
      </c>
      <c r="G254" s="6">
        <f t="shared" si="70"/>
        <v>0</v>
      </c>
      <c r="H254" s="7">
        <f t="shared" si="71"/>
        <v>0</v>
      </c>
      <c r="I254" s="8">
        <v>7.7840909090909092</v>
      </c>
      <c r="J254" s="9">
        <f t="shared" si="72"/>
        <v>7.7840909090909092</v>
      </c>
      <c r="K254" s="3">
        <f t="shared" si="73"/>
        <v>0</v>
      </c>
      <c r="L254" s="7">
        <f t="shared" si="74"/>
        <v>0</v>
      </c>
      <c r="M254" t="s">
        <v>150</v>
      </c>
      <c r="O254" s="3">
        <f>E254-'305245 - P0424'!F254</f>
        <v>0</v>
      </c>
      <c r="P254" s="30">
        <f>I254-'305245 - P0424'!J254</f>
        <v>0</v>
      </c>
    </row>
    <row r="255" spans="1:16" x14ac:dyDescent="0.25">
      <c r="A255">
        <v>253</v>
      </c>
      <c r="C255" t="s">
        <v>8</v>
      </c>
      <c r="D255" s="4" t="s">
        <v>246</v>
      </c>
      <c r="E255" s="12">
        <v>7.34</v>
      </c>
      <c r="F255" s="11">
        <v>7.34</v>
      </c>
      <c r="G255" s="6">
        <f t="shared" si="70"/>
        <v>0</v>
      </c>
      <c r="H255" s="7">
        <f t="shared" si="71"/>
        <v>0</v>
      </c>
      <c r="I255" s="8">
        <v>27.961904761904762</v>
      </c>
      <c r="J255" s="9">
        <f t="shared" si="72"/>
        <v>27.961904761904762</v>
      </c>
      <c r="K255" s="3">
        <f t="shared" si="73"/>
        <v>0</v>
      </c>
      <c r="L255" s="7">
        <f t="shared" si="74"/>
        <v>0</v>
      </c>
      <c r="M255" t="s">
        <v>150</v>
      </c>
      <c r="O255" s="3">
        <f>E255-'305245 - P0424'!F255</f>
        <v>0</v>
      </c>
      <c r="P255" s="30">
        <f>I255-'305245 - P0424'!J255</f>
        <v>0</v>
      </c>
    </row>
    <row r="256" spans="1:16" x14ac:dyDescent="0.25">
      <c r="A256">
        <v>254</v>
      </c>
      <c r="C256" t="s">
        <v>8</v>
      </c>
      <c r="D256" s="4" t="s">
        <v>247</v>
      </c>
      <c r="E256" s="12">
        <v>13.75</v>
      </c>
      <c r="F256" s="12">
        <v>13.75</v>
      </c>
      <c r="G256" s="6">
        <f t="shared" si="70"/>
        <v>0</v>
      </c>
      <c r="H256" s="7">
        <f t="shared" si="71"/>
        <v>0</v>
      </c>
      <c r="I256" s="8">
        <v>17.348837209302324</v>
      </c>
      <c r="J256" s="9">
        <f t="shared" si="72"/>
        <v>17.348837209302324</v>
      </c>
      <c r="K256" s="3">
        <f t="shared" si="73"/>
        <v>0</v>
      </c>
      <c r="L256" s="7">
        <f t="shared" si="74"/>
        <v>0</v>
      </c>
      <c r="M256" t="s">
        <v>150</v>
      </c>
      <c r="O256" s="3">
        <f>E256-'305245 - P0424'!F256</f>
        <v>0</v>
      </c>
      <c r="P256" s="30">
        <f>I256-'305245 - P0424'!J256</f>
        <v>0</v>
      </c>
    </row>
    <row r="257" spans="1:16" x14ac:dyDescent="0.25">
      <c r="A257">
        <v>255</v>
      </c>
      <c r="C257" t="s">
        <v>8</v>
      </c>
      <c r="D257" s="4" t="s">
        <v>248</v>
      </c>
      <c r="E257" s="12">
        <v>10.25</v>
      </c>
      <c r="F257" s="12">
        <v>10.25</v>
      </c>
      <c r="G257" s="6">
        <f t="shared" si="70"/>
        <v>0</v>
      </c>
      <c r="H257" s="7">
        <f t="shared" si="71"/>
        <v>0</v>
      </c>
      <c r="I257" s="8">
        <v>13.461538461538462</v>
      </c>
      <c r="J257" s="9">
        <f t="shared" si="72"/>
        <v>13.461538461538462</v>
      </c>
      <c r="K257" s="3">
        <f t="shared" si="73"/>
        <v>0</v>
      </c>
      <c r="L257" s="7">
        <f t="shared" si="74"/>
        <v>0</v>
      </c>
      <c r="M257" t="s">
        <v>150</v>
      </c>
      <c r="O257" s="3">
        <f>E257-'305245 - P0424'!F257</f>
        <v>0</v>
      </c>
      <c r="P257" s="30">
        <f>I257-'305245 - P0424'!J257</f>
        <v>0</v>
      </c>
    </row>
    <row r="258" spans="1:16" x14ac:dyDescent="0.25">
      <c r="A258">
        <v>256</v>
      </c>
      <c r="C258" t="s">
        <v>8</v>
      </c>
      <c r="D258" s="4" t="s">
        <v>249</v>
      </c>
      <c r="E258" s="12">
        <v>5.75</v>
      </c>
      <c r="F258" s="12">
        <v>5.75</v>
      </c>
      <c r="G258" s="6">
        <f t="shared" si="70"/>
        <v>0</v>
      </c>
      <c r="H258" s="7">
        <f t="shared" si="71"/>
        <v>0</v>
      </c>
      <c r="I258" s="8">
        <v>15.717408000000002</v>
      </c>
      <c r="J258" s="9">
        <f t="shared" si="72"/>
        <v>15.717408000000002</v>
      </c>
      <c r="K258" s="3">
        <f t="shared" si="73"/>
        <v>0</v>
      </c>
      <c r="L258" s="7">
        <f t="shared" si="74"/>
        <v>0</v>
      </c>
      <c r="M258" t="s">
        <v>187</v>
      </c>
      <c r="O258" s="3">
        <f>E258-'305245 - P0424'!F258</f>
        <v>0</v>
      </c>
      <c r="P258" s="30">
        <f>I258-'305245 - P0424'!J258</f>
        <v>0</v>
      </c>
    </row>
    <row r="259" spans="1:16" x14ac:dyDescent="0.25">
      <c r="A259">
        <v>257</v>
      </c>
      <c r="C259" t="s">
        <v>8</v>
      </c>
      <c r="D259" s="4" t="s">
        <v>250</v>
      </c>
      <c r="E259" s="12">
        <v>18.22</v>
      </c>
      <c r="F259" s="5">
        <v>18.22</v>
      </c>
      <c r="G259" s="6">
        <f t="shared" si="70"/>
        <v>0</v>
      </c>
      <c r="H259" s="7">
        <f t="shared" si="71"/>
        <v>0</v>
      </c>
      <c r="I259" s="8">
        <v>36.44</v>
      </c>
      <c r="J259" s="9">
        <f t="shared" si="72"/>
        <v>36.44</v>
      </c>
      <c r="K259" s="3">
        <f t="shared" si="73"/>
        <v>0</v>
      </c>
      <c r="L259" s="7">
        <f t="shared" si="74"/>
        <v>0</v>
      </c>
      <c r="M259" t="s">
        <v>150</v>
      </c>
      <c r="O259" s="3">
        <f>E259-'305245 - P0424'!F259</f>
        <v>0</v>
      </c>
      <c r="P259" s="30">
        <f>I259-'305245 - P0424'!J259</f>
        <v>0</v>
      </c>
    </row>
    <row r="260" spans="1:16" x14ac:dyDescent="0.25">
      <c r="A260">
        <v>258</v>
      </c>
      <c r="C260" t="s">
        <v>8</v>
      </c>
      <c r="D260" s="4" t="s">
        <v>251</v>
      </c>
      <c r="E260" s="12">
        <v>2.21</v>
      </c>
      <c r="F260" s="5">
        <v>2.21</v>
      </c>
      <c r="G260" s="6">
        <f t="shared" si="70"/>
        <v>0</v>
      </c>
      <c r="H260" s="7">
        <f t="shared" si="71"/>
        <v>0</v>
      </c>
      <c r="I260" s="8">
        <v>4.5939072847682123</v>
      </c>
      <c r="J260" s="9">
        <f t="shared" si="72"/>
        <v>4.5939072847682123</v>
      </c>
      <c r="K260" s="3">
        <f t="shared" si="73"/>
        <v>0</v>
      </c>
      <c r="L260" s="7">
        <f t="shared" si="74"/>
        <v>0</v>
      </c>
      <c r="M260" t="s">
        <v>150</v>
      </c>
      <c r="O260" s="3">
        <f>E260-'305245 - P0424'!F260</f>
        <v>0</v>
      </c>
      <c r="P260" s="30">
        <f>I260-'305245 - P0424'!J260</f>
        <v>0</v>
      </c>
    </row>
    <row r="261" spans="1:16" x14ac:dyDescent="0.25">
      <c r="A261">
        <v>259</v>
      </c>
      <c r="C261" t="s">
        <v>8</v>
      </c>
      <c r="D261" s="4" t="s">
        <v>252</v>
      </c>
      <c r="E261" s="12">
        <v>3.3</v>
      </c>
      <c r="F261" s="5">
        <v>3.3</v>
      </c>
      <c r="G261" s="6">
        <f t="shared" si="70"/>
        <v>0</v>
      </c>
      <c r="H261" s="7">
        <f t="shared" si="71"/>
        <v>0</v>
      </c>
      <c r="I261" s="8">
        <v>7.177170731707319</v>
      </c>
      <c r="J261" s="9">
        <f t="shared" si="72"/>
        <v>7.177170731707319</v>
      </c>
      <c r="K261" s="3">
        <f t="shared" si="73"/>
        <v>0</v>
      </c>
      <c r="L261" s="7">
        <f t="shared" si="74"/>
        <v>0</v>
      </c>
      <c r="M261" t="s">
        <v>150</v>
      </c>
      <c r="O261" s="3">
        <f>E261-'305245 - P0424'!F261</f>
        <v>0</v>
      </c>
      <c r="P261" s="30">
        <f>I261-'305245 - P0424'!J261</f>
        <v>0</v>
      </c>
    </row>
    <row r="262" spans="1:16" x14ac:dyDescent="0.25">
      <c r="A262">
        <v>260</v>
      </c>
      <c r="C262" t="s">
        <v>8</v>
      </c>
      <c r="D262" s="4" t="s">
        <v>253</v>
      </c>
      <c r="E262" s="12">
        <v>123.23</v>
      </c>
      <c r="F262" s="12">
        <v>123.23</v>
      </c>
      <c r="G262" s="6">
        <f t="shared" si="70"/>
        <v>0</v>
      </c>
      <c r="H262" s="7">
        <f t="shared" si="71"/>
        <v>0</v>
      </c>
      <c r="I262" s="8">
        <v>262.95999999999998</v>
      </c>
      <c r="J262" s="9">
        <f t="shared" si="72"/>
        <v>262.95999999999998</v>
      </c>
      <c r="K262" s="3">
        <f t="shared" si="73"/>
        <v>0</v>
      </c>
      <c r="L262" s="7">
        <f t="shared" si="74"/>
        <v>0</v>
      </c>
      <c r="M262" t="s">
        <v>150</v>
      </c>
      <c r="O262" s="3">
        <f>E262-'305245 - P0424'!F262</f>
        <v>0</v>
      </c>
      <c r="P262" s="30">
        <f>I262-'305245 - P0424'!J262</f>
        <v>0</v>
      </c>
    </row>
    <row r="263" spans="1:16" x14ac:dyDescent="0.25">
      <c r="A263">
        <v>261</v>
      </c>
      <c r="C263" t="s">
        <v>8</v>
      </c>
      <c r="D263" s="4" t="s">
        <v>254</v>
      </c>
      <c r="E263" s="12">
        <v>121.84</v>
      </c>
      <c r="F263" s="12">
        <v>121.84</v>
      </c>
      <c r="G263" s="6">
        <f t="shared" si="70"/>
        <v>0</v>
      </c>
      <c r="H263" s="7">
        <f t="shared" si="71"/>
        <v>0</v>
      </c>
      <c r="I263" s="8">
        <v>219.99</v>
      </c>
      <c r="J263" s="9">
        <f t="shared" si="72"/>
        <v>219.99</v>
      </c>
      <c r="K263" s="3">
        <f t="shared" si="73"/>
        <v>0</v>
      </c>
      <c r="L263" s="7">
        <f t="shared" si="74"/>
        <v>0</v>
      </c>
      <c r="M263" t="s">
        <v>150</v>
      </c>
      <c r="O263" s="3">
        <f>E263-'305245 - P0424'!F263</f>
        <v>0</v>
      </c>
      <c r="P263" s="30">
        <f>I263-'305245 - P0424'!J263</f>
        <v>0</v>
      </c>
    </row>
    <row r="264" spans="1:16" x14ac:dyDescent="0.25">
      <c r="A264">
        <v>262</v>
      </c>
      <c r="C264" t="s">
        <v>8</v>
      </c>
      <c r="D264" s="4" t="s">
        <v>255</v>
      </c>
      <c r="E264" s="5">
        <v>10.8</v>
      </c>
      <c r="F264" s="5">
        <v>10.8</v>
      </c>
      <c r="G264" s="6">
        <f t="shared" si="70"/>
        <v>0</v>
      </c>
      <c r="H264" s="7">
        <f t="shared" si="71"/>
        <v>0</v>
      </c>
      <c r="I264" s="8">
        <v>23.043154761904759</v>
      </c>
      <c r="J264" s="9">
        <f t="shared" si="72"/>
        <v>23.043154761904759</v>
      </c>
      <c r="K264" s="3">
        <f t="shared" si="73"/>
        <v>0</v>
      </c>
      <c r="L264" s="7">
        <f t="shared" si="74"/>
        <v>0</v>
      </c>
      <c r="M264" s="7" t="s">
        <v>150</v>
      </c>
      <c r="O264" s="3">
        <f>E264-'305245 - P0424'!F264</f>
        <v>0</v>
      </c>
      <c r="P264" s="30">
        <f>I264-'305245 - P0424'!J264</f>
        <v>0</v>
      </c>
    </row>
    <row r="265" spans="1:16" x14ac:dyDescent="0.25">
      <c r="A265">
        <v>263</v>
      </c>
      <c r="C265" t="s">
        <v>8</v>
      </c>
      <c r="D265" s="4" t="s">
        <v>256</v>
      </c>
      <c r="E265" s="5">
        <v>12.96</v>
      </c>
      <c r="F265" s="5">
        <v>12.96</v>
      </c>
      <c r="G265" s="6">
        <f t="shared" si="70"/>
        <v>0</v>
      </c>
      <c r="H265" s="7">
        <f t="shared" si="71"/>
        <v>0</v>
      </c>
      <c r="I265" s="8">
        <v>30.49</v>
      </c>
      <c r="J265" s="9">
        <f t="shared" si="72"/>
        <v>30.49</v>
      </c>
      <c r="K265" s="3">
        <f t="shared" si="73"/>
        <v>0</v>
      </c>
      <c r="L265" s="7">
        <f t="shared" si="74"/>
        <v>0</v>
      </c>
      <c r="M265" s="7" t="s">
        <v>150</v>
      </c>
      <c r="O265" s="3">
        <f>E265-'305245 - P0424'!F265</f>
        <v>0</v>
      </c>
      <c r="P265" s="30">
        <f>I265-'305245 - P0424'!J265</f>
        <v>0</v>
      </c>
    </row>
    <row r="266" spans="1:16" x14ac:dyDescent="0.25">
      <c r="A266">
        <v>264</v>
      </c>
      <c r="C266" t="s">
        <v>8</v>
      </c>
      <c r="D266" s="4" t="s">
        <v>257</v>
      </c>
      <c r="E266" s="5">
        <v>10.8</v>
      </c>
      <c r="F266" s="5">
        <v>10.8</v>
      </c>
      <c r="G266" s="6">
        <f t="shared" si="70"/>
        <v>0</v>
      </c>
      <c r="H266" s="7">
        <f t="shared" si="71"/>
        <v>0</v>
      </c>
      <c r="I266" s="8">
        <v>23.043154761904759</v>
      </c>
      <c r="J266" s="9">
        <f t="shared" si="72"/>
        <v>23.043154761904759</v>
      </c>
      <c r="K266" s="3">
        <f t="shared" si="73"/>
        <v>0</v>
      </c>
      <c r="L266" s="7">
        <f t="shared" si="74"/>
        <v>0</v>
      </c>
      <c r="M266" t="s">
        <v>150</v>
      </c>
      <c r="O266" s="3">
        <f>E266-'305245 - P0424'!F266</f>
        <v>0</v>
      </c>
      <c r="P266" s="30">
        <f>I266-'305245 - P0424'!J266</f>
        <v>0</v>
      </c>
    </row>
    <row r="267" spans="1:16" x14ac:dyDescent="0.25">
      <c r="A267">
        <v>265</v>
      </c>
      <c r="C267" t="s">
        <v>8</v>
      </c>
      <c r="D267" s="4" t="s">
        <v>258</v>
      </c>
      <c r="E267" s="5">
        <v>3.44</v>
      </c>
      <c r="F267" s="5">
        <v>3.44</v>
      </c>
      <c r="G267" s="6">
        <f t="shared" si="70"/>
        <v>0</v>
      </c>
      <c r="H267" s="7">
        <f t="shared" si="71"/>
        <v>0</v>
      </c>
      <c r="I267" s="8">
        <v>6.5289583333333336</v>
      </c>
      <c r="J267" s="9">
        <f t="shared" si="72"/>
        <v>6.5289583333333336</v>
      </c>
      <c r="K267" s="3">
        <f t="shared" si="73"/>
        <v>0</v>
      </c>
      <c r="L267" s="7">
        <f t="shared" si="74"/>
        <v>0</v>
      </c>
      <c r="M267" t="s">
        <v>150</v>
      </c>
      <c r="O267" s="3">
        <f>E267-'305245 - P0424'!F267</f>
        <v>0</v>
      </c>
      <c r="P267" s="30">
        <f>I267-'305245 - P0424'!J267</f>
        <v>0</v>
      </c>
    </row>
    <row r="268" spans="1:16" x14ac:dyDescent="0.25">
      <c r="A268">
        <v>266</v>
      </c>
      <c r="C268" t="s">
        <v>8</v>
      </c>
      <c r="D268" s="4" t="s">
        <v>259</v>
      </c>
      <c r="E268" s="5">
        <v>2.64</v>
      </c>
      <c r="F268" s="5">
        <v>2.64</v>
      </c>
      <c r="G268" s="6">
        <f t="shared" si="70"/>
        <v>0</v>
      </c>
      <c r="H268" s="7">
        <f t="shared" si="71"/>
        <v>0</v>
      </c>
      <c r="I268" s="8">
        <v>5.9648076923076916</v>
      </c>
      <c r="J268" s="9">
        <f t="shared" si="72"/>
        <v>5.9648076923076916</v>
      </c>
      <c r="K268" s="3">
        <f t="shared" si="73"/>
        <v>0</v>
      </c>
      <c r="L268" s="7">
        <f t="shared" si="74"/>
        <v>0</v>
      </c>
      <c r="M268" t="s">
        <v>150</v>
      </c>
      <c r="O268" s="3">
        <f>E268-'305245 - P0424'!F268</f>
        <v>0</v>
      </c>
      <c r="P268" s="30">
        <f>I268-'305245 - P0424'!J268</f>
        <v>0</v>
      </c>
    </row>
    <row r="269" spans="1:16" x14ac:dyDescent="0.25">
      <c r="A269">
        <v>267</v>
      </c>
      <c r="C269" t="s">
        <v>8</v>
      </c>
      <c r="D269" s="4" t="s">
        <v>260</v>
      </c>
      <c r="E269" s="5">
        <v>2.64</v>
      </c>
      <c r="F269" s="5">
        <v>2.64</v>
      </c>
      <c r="G269" s="6">
        <f t="shared" si="70"/>
        <v>0</v>
      </c>
      <c r="H269" s="7">
        <f t="shared" si="71"/>
        <v>0</v>
      </c>
      <c r="I269" s="8">
        <v>4.9814285714285704</v>
      </c>
      <c r="J269" s="9">
        <f t="shared" si="72"/>
        <v>4.9814285714285704</v>
      </c>
      <c r="K269" s="3">
        <f t="shared" si="73"/>
        <v>0</v>
      </c>
      <c r="L269" s="7">
        <f t="shared" si="74"/>
        <v>0</v>
      </c>
      <c r="M269" t="s">
        <v>150</v>
      </c>
      <c r="O269" s="3">
        <f>E269-'305245 - P0424'!F269</f>
        <v>0</v>
      </c>
      <c r="P269" s="30">
        <f>I269-'305245 - P0424'!J269</f>
        <v>0</v>
      </c>
    </row>
    <row r="270" spans="1:16" x14ac:dyDescent="0.25">
      <c r="A270">
        <v>268</v>
      </c>
      <c r="C270" t="s">
        <v>8</v>
      </c>
      <c r="D270" s="4" t="s">
        <v>261</v>
      </c>
      <c r="E270" s="5">
        <v>3.6</v>
      </c>
      <c r="F270" s="5">
        <v>3.6</v>
      </c>
      <c r="G270" s="6">
        <f t="shared" si="70"/>
        <v>0</v>
      </c>
      <c r="H270" s="7">
        <f t="shared" si="71"/>
        <v>0</v>
      </c>
      <c r="I270" s="8">
        <v>6.3735069444444443</v>
      </c>
      <c r="J270" s="9">
        <f t="shared" si="72"/>
        <v>6.3735069444444443</v>
      </c>
      <c r="K270" s="3">
        <f t="shared" si="73"/>
        <v>0</v>
      </c>
      <c r="L270" s="7">
        <f t="shared" si="74"/>
        <v>0</v>
      </c>
      <c r="M270" t="s">
        <v>150</v>
      </c>
      <c r="O270" s="3">
        <f>E270-'305245 - P0424'!F270</f>
        <v>0</v>
      </c>
      <c r="P270" s="30">
        <f>I270-'305245 - P0424'!J270</f>
        <v>0</v>
      </c>
    </row>
    <row r="271" spans="1:16" x14ac:dyDescent="0.25">
      <c r="A271">
        <v>269</v>
      </c>
      <c r="C271" t="s">
        <v>8</v>
      </c>
      <c r="D271" s="4" t="s">
        <v>262</v>
      </c>
      <c r="E271" s="5">
        <v>3.2</v>
      </c>
      <c r="F271" s="5">
        <v>3.2</v>
      </c>
      <c r="G271" s="6">
        <f t="shared" si="70"/>
        <v>0</v>
      </c>
      <c r="H271" s="7">
        <f t="shared" si="71"/>
        <v>0</v>
      </c>
      <c r="I271" s="8">
        <v>9.5772187500000001</v>
      </c>
      <c r="J271" s="9">
        <f t="shared" si="72"/>
        <v>9.5772187500000001</v>
      </c>
      <c r="K271" s="3">
        <f t="shared" si="73"/>
        <v>0</v>
      </c>
      <c r="L271" s="7">
        <f t="shared" si="74"/>
        <v>0</v>
      </c>
      <c r="M271" t="s">
        <v>150</v>
      </c>
      <c r="O271" s="3">
        <f>E271-'305245 - P0424'!F271</f>
        <v>0</v>
      </c>
      <c r="P271" s="30">
        <f>I271-'305245 - P0424'!J271</f>
        <v>0</v>
      </c>
    </row>
    <row r="272" spans="1:16" x14ac:dyDescent="0.25">
      <c r="A272">
        <v>270</v>
      </c>
      <c r="C272" t="s">
        <v>8</v>
      </c>
      <c r="D272" s="4" t="s">
        <v>263</v>
      </c>
      <c r="E272" s="5">
        <v>3.2</v>
      </c>
      <c r="F272" s="5">
        <v>3.2</v>
      </c>
      <c r="G272" s="6">
        <f t="shared" si="70"/>
        <v>0</v>
      </c>
      <c r="H272" s="7">
        <f t="shared" si="71"/>
        <v>0</v>
      </c>
      <c r="I272" s="8">
        <v>6.3735069444444443</v>
      </c>
      <c r="J272" s="9">
        <f t="shared" si="72"/>
        <v>6.3735069444444443</v>
      </c>
      <c r="K272" s="3">
        <f t="shared" si="73"/>
        <v>0</v>
      </c>
      <c r="L272" s="7">
        <f t="shared" si="74"/>
        <v>0</v>
      </c>
      <c r="M272" t="s">
        <v>150</v>
      </c>
      <c r="O272" s="3">
        <f>E272-'305245 - P0424'!F272</f>
        <v>0</v>
      </c>
      <c r="P272" s="30">
        <f>I272-'305245 - P0424'!J272</f>
        <v>0</v>
      </c>
    </row>
    <row r="273" spans="1:16" x14ac:dyDescent="0.25">
      <c r="A273">
        <v>271</v>
      </c>
      <c r="C273" t="s">
        <v>8</v>
      </c>
      <c r="D273" s="4" t="s">
        <v>264</v>
      </c>
      <c r="E273" s="12">
        <v>34.130000000000003</v>
      </c>
      <c r="F273" s="11">
        <v>34.130000000000003</v>
      </c>
      <c r="G273" s="6">
        <f t="shared" si="70"/>
        <v>0</v>
      </c>
      <c r="H273" s="7">
        <f t="shared" si="71"/>
        <v>0</v>
      </c>
      <c r="I273" s="8">
        <v>83.99904491032467</v>
      </c>
      <c r="J273" s="9">
        <f t="shared" si="72"/>
        <v>83.99904491032467</v>
      </c>
      <c r="K273" s="3">
        <f t="shared" si="73"/>
        <v>0</v>
      </c>
      <c r="L273" s="7">
        <f t="shared" si="74"/>
        <v>0</v>
      </c>
      <c r="M273" t="s">
        <v>150</v>
      </c>
      <c r="O273" s="3">
        <f>E273-'305245 - P0424'!F273</f>
        <v>0</v>
      </c>
      <c r="P273" s="30">
        <f>I273-'305245 - P0424'!J273</f>
        <v>0</v>
      </c>
    </row>
    <row r="274" spans="1:16" x14ac:dyDescent="0.25">
      <c r="A274">
        <v>272</v>
      </c>
      <c r="C274" t="s">
        <v>8</v>
      </c>
      <c r="D274" s="4" t="s">
        <v>265</v>
      </c>
      <c r="E274" s="12">
        <v>40.14</v>
      </c>
      <c r="F274" s="11">
        <v>40.14</v>
      </c>
      <c r="G274" s="6">
        <f t="shared" si="70"/>
        <v>0</v>
      </c>
      <c r="H274" s="7">
        <f t="shared" si="71"/>
        <v>0</v>
      </c>
      <c r="I274" s="8">
        <v>100.73811614890289</v>
      </c>
      <c r="J274" s="9">
        <f t="shared" si="72"/>
        <v>100.73811614890289</v>
      </c>
      <c r="K274" s="3">
        <f t="shared" si="73"/>
        <v>0</v>
      </c>
      <c r="L274" s="7">
        <f t="shared" si="74"/>
        <v>0</v>
      </c>
      <c r="M274" t="s">
        <v>150</v>
      </c>
      <c r="O274" s="3">
        <f>E274-'305245 - P0424'!F274</f>
        <v>0</v>
      </c>
      <c r="P274" s="30">
        <f>I274-'305245 - P0424'!J274</f>
        <v>0</v>
      </c>
    </row>
    <row r="275" spans="1:16" x14ac:dyDescent="0.25">
      <c r="A275">
        <v>273</v>
      </c>
      <c r="C275" t="s">
        <v>8</v>
      </c>
      <c r="D275" s="4" t="s">
        <v>266</v>
      </c>
      <c r="E275" s="12">
        <v>0.71</v>
      </c>
      <c r="F275" s="11">
        <v>0.71</v>
      </c>
      <c r="G275" s="6">
        <f t="shared" si="70"/>
        <v>0</v>
      </c>
      <c r="H275" s="7">
        <f t="shared" si="71"/>
        <v>0</v>
      </c>
      <c r="I275" s="8">
        <v>1.3974603174603173</v>
      </c>
      <c r="J275" s="9">
        <f t="shared" si="72"/>
        <v>1.3974603174603173</v>
      </c>
      <c r="K275" s="3">
        <f t="shared" si="73"/>
        <v>0</v>
      </c>
      <c r="L275" s="7">
        <f t="shared" si="74"/>
        <v>0</v>
      </c>
      <c r="M275" t="s">
        <v>150</v>
      </c>
      <c r="O275" s="3">
        <f>E275-'305245 - P0424'!F275</f>
        <v>0</v>
      </c>
      <c r="P275" s="30">
        <f>I275-'305245 - P0424'!J275</f>
        <v>0</v>
      </c>
    </row>
    <row r="276" spans="1:16" x14ac:dyDescent="0.25">
      <c r="A276">
        <v>274</v>
      </c>
      <c r="C276" t="s">
        <v>8</v>
      </c>
      <c r="D276" s="4" t="s">
        <v>267</v>
      </c>
      <c r="E276" s="12">
        <v>15.02</v>
      </c>
      <c r="F276" s="11">
        <v>15.02</v>
      </c>
      <c r="G276" s="6">
        <f t="shared" si="70"/>
        <v>0</v>
      </c>
      <c r="H276" s="7">
        <f t="shared" si="71"/>
        <v>0</v>
      </c>
      <c r="I276" s="8">
        <v>39.554925957158105</v>
      </c>
      <c r="J276" s="9">
        <f t="shared" si="72"/>
        <v>39.554925957158105</v>
      </c>
      <c r="K276" s="3">
        <f t="shared" si="73"/>
        <v>0</v>
      </c>
      <c r="L276" s="7">
        <f t="shared" si="74"/>
        <v>0</v>
      </c>
      <c r="M276" t="s">
        <v>150</v>
      </c>
      <c r="O276" s="3">
        <f>E276-'305245 - P0424'!F276</f>
        <v>0</v>
      </c>
      <c r="P276" s="30">
        <f>I276-'305245 - P0424'!J276</f>
        <v>0</v>
      </c>
    </row>
    <row r="277" spans="1:16" x14ac:dyDescent="0.25">
      <c r="A277">
        <v>275</v>
      </c>
      <c r="C277" t="s">
        <v>8</v>
      </c>
      <c r="D277" s="4" t="s">
        <v>268</v>
      </c>
      <c r="E277" s="12">
        <v>12.5</v>
      </c>
      <c r="F277" s="11">
        <v>12.5</v>
      </c>
      <c r="G277" s="6">
        <f t="shared" si="70"/>
        <v>0</v>
      </c>
      <c r="H277" s="7">
        <f t="shared" si="71"/>
        <v>0</v>
      </c>
      <c r="I277" s="8">
        <v>21.214819136522753</v>
      </c>
      <c r="J277" s="9">
        <f t="shared" si="72"/>
        <v>21.214819136522753</v>
      </c>
      <c r="K277" s="3">
        <f t="shared" si="73"/>
        <v>0</v>
      </c>
      <c r="L277" s="7">
        <f t="shared" si="74"/>
        <v>0</v>
      </c>
      <c r="M277" t="s">
        <v>187</v>
      </c>
      <c r="O277" s="3">
        <f>E277-'305245 - P0424'!F277</f>
        <v>0</v>
      </c>
      <c r="P277" s="30">
        <f>I277-'305245 - P0424'!J277</f>
        <v>0</v>
      </c>
    </row>
    <row r="278" spans="1:16" x14ac:dyDescent="0.25">
      <c r="A278">
        <v>276</v>
      </c>
      <c r="C278" t="s">
        <v>8</v>
      </c>
      <c r="D278" s="4" t="s">
        <v>269</v>
      </c>
      <c r="E278" s="12">
        <v>12</v>
      </c>
      <c r="F278" s="12">
        <v>12</v>
      </c>
      <c r="G278" s="6">
        <f>+F278-E278</f>
        <v>0</v>
      </c>
      <c r="H278" s="7">
        <f>(F278-E278)/ABS(E278)</f>
        <v>0</v>
      </c>
      <c r="I278" s="8">
        <v>18.47</v>
      </c>
      <c r="J278" s="9">
        <f>(I278*H278)+I278</f>
        <v>18.47</v>
      </c>
      <c r="K278" s="3">
        <f>J278-I278</f>
        <v>0</v>
      </c>
      <c r="L278" s="7">
        <f>(J278-I278)/ABS(I278)</f>
        <v>0</v>
      </c>
      <c r="M278" t="s">
        <v>187</v>
      </c>
      <c r="O278" s="3">
        <f>E278-'305245 - P0424'!F278</f>
        <v>0</v>
      </c>
      <c r="P278" s="30">
        <f>I278-'305245 - P0424'!J278</f>
        <v>0</v>
      </c>
    </row>
    <row r="279" spans="1:16" x14ac:dyDescent="0.25">
      <c r="A279">
        <v>277</v>
      </c>
      <c r="C279" t="s">
        <v>8</v>
      </c>
      <c r="D279" s="4" t="s">
        <v>270</v>
      </c>
      <c r="E279" s="12">
        <v>8.9499999999999993</v>
      </c>
      <c r="F279" s="11">
        <v>8.9499999999999993</v>
      </c>
      <c r="G279" s="6">
        <f t="shared" si="70"/>
        <v>0</v>
      </c>
      <c r="H279" s="7">
        <f t="shared" si="71"/>
        <v>0</v>
      </c>
      <c r="I279" s="8">
        <v>29.456687862360731</v>
      </c>
      <c r="J279" s="9">
        <f t="shared" si="72"/>
        <v>29.456687862360731</v>
      </c>
      <c r="K279" s="3">
        <f t="shared" si="73"/>
        <v>0</v>
      </c>
      <c r="L279" s="7">
        <f t="shared" si="74"/>
        <v>0</v>
      </c>
      <c r="M279" t="s">
        <v>187</v>
      </c>
      <c r="O279" s="3">
        <f>E279-'305245 - P0424'!F279</f>
        <v>0</v>
      </c>
      <c r="P279" s="30">
        <f>I279-'305245 - P0424'!J279</f>
        <v>0</v>
      </c>
    </row>
    <row r="280" spans="1:16" x14ac:dyDescent="0.25">
      <c r="A280">
        <v>278</v>
      </c>
      <c r="C280" t="s">
        <v>8</v>
      </c>
      <c r="D280" s="4" t="s">
        <v>271</v>
      </c>
      <c r="E280" s="16">
        <v>46.13</v>
      </c>
      <c r="F280" s="12">
        <v>46.13</v>
      </c>
      <c r="G280" s="6">
        <f t="shared" si="70"/>
        <v>0</v>
      </c>
      <c r="H280" s="7">
        <f t="shared" si="71"/>
        <v>0</v>
      </c>
      <c r="I280" s="8">
        <v>71.680000000000007</v>
      </c>
      <c r="J280" s="9">
        <f t="shared" si="72"/>
        <v>71.680000000000007</v>
      </c>
      <c r="K280" s="3">
        <f t="shared" si="73"/>
        <v>0</v>
      </c>
      <c r="L280" s="7">
        <f t="shared" si="74"/>
        <v>0</v>
      </c>
      <c r="M280" t="s">
        <v>187</v>
      </c>
      <c r="O280" s="3">
        <f>E280-'305245 - P0424'!F280</f>
        <v>0</v>
      </c>
      <c r="P280" s="30">
        <f>I280-'305245 - P0424'!J280</f>
        <v>0</v>
      </c>
    </row>
    <row r="281" spans="1:16" x14ac:dyDescent="0.25">
      <c r="A281">
        <v>279</v>
      </c>
      <c r="C281" t="s">
        <v>8</v>
      </c>
      <c r="D281" s="4" t="s">
        <v>272</v>
      </c>
      <c r="E281" s="5">
        <v>5.85</v>
      </c>
      <c r="F281" s="5">
        <v>5.85</v>
      </c>
      <c r="G281" s="6">
        <f t="shared" si="70"/>
        <v>0</v>
      </c>
      <c r="H281" s="7">
        <f t="shared" si="71"/>
        <v>0</v>
      </c>
      <c r="I281" s="8">
        <v>6.9</v>
      </c>
      <c r="J281" s="9">
        <f t="shared" si="72"/>
        <v>6.9</v>
      </c>
      <c r="K281" s="3">
        <f t="shared" si="73"/>
        <v>0</v>
      </c>
      <c r="L281" s="7">
        <f t="shared" si="74"/>
        <v>0</v>
      </c>
      <c r="M281" t="s">
        <v>150</v>
      </c>
      <c r="O281" s="3">
        <f>E281-'305245 - P0424'!F281</f>
        <v>0</v>
      </c>
      <c r="P281" s="30">
        <f>I281-'305245 - P0424'!J281</f>
        <v>0</v>
      </c>
    </row>
    <row r="282" spans="1:16" x14ac:dyDescent="0.25">
      <c r="A282">
        <v>280</v>
      </c>
      <c r="C282" t="s">
        <v>8</v>
      </c>
      <c r="D282" s="4" t="s">
        <v>273</v>
      </c>
      <c r="E282" s="5">
        <v>6.93</v>
      </c>
      <c r="F282" s="5">
        <v>6.93</v>
      </c>
      <c r="G282" s="6">
        <f t="shared" si="70"/>
        <v>0</v>
      </c>
      <c r="H282" s="7">
        <f t="shared" si="71"/>
        <v>0</v>
      </c>
      <c r="I282" s="8">
        <v>13.99</v>
      </c>
      <c r="J282" s="9">
        <f t="shared" si="72"/>
        <v>13.99</v>
      </c>
      <c r="K282" s="3">
        <f t="shared" si="73"/>
        <v>0</v>
      </c>
      <c r="L282" s="7">
        <f t="shared" si="74"/>
        <v>0</v>
      </c>
      <c r="M282" t="s">
        <v>150</v>
      </c>
      <c r="O282" s="3">
        <f>E282-'305245 - P0424'!F282</f>
        <v>0</v>
      </c>
      <c r="P282" s="30">
        <f>I282-'305245 - P0424'!J282</f>
        <v>0</v>
      </c>
    </row>
    <row r="283" spans="1:16" x14ac:dyDescent="0.25">
      <c r="A283">
        <v>281</v>
      </c>
      <c r="C283" t="s">
        <v>8</v>
      </c>
      <c r="D283" s="4" t="s">
        <v>274</v>
      </c>
      <c r="E283" s="5">
        <v>6.93</v>
      </c>
      <c r="F283" s="5">
        <v>6.93</v>
      </c>
      <c r="G283" s="6">
        <f t="shared" si="70"/>
        <v>0</v>
      </c>
      <c r="H283" s="7">
        <f t="shared" si="71"/>
        <v>0</v>
      </c>
      <c r="I283" s="8">
        <v>7.9</v>
      </c>
      <c r="J283" s="9">
        <f t="shared" si="72"/>
        <v>7.9</v>
      </c>
      <c r="K283" s="3">
        <f t="shared" si="73"/>
        <v>0</v>
      </c>
      <c r="L283" s="7">
        <f t="shared" si="74"/>
        <v>0</v>
      </c>
      <c r="M283" t="s">
        <v>150</v>
      </c>
      <c r="O283" s="3">
        <f>E283-'305245 - P0424'!F283</f>
        <v>0</v>
      </c>
      <c r="P283" s="30">
        <f>I283-'305245 - P0424'!J283</f>
        <v>0</v>
      </c>
    </row>
    <row r="284" spans="1:16" x14ac:dyDescent="0.25">
      <c r="A284">
        <v>282</v>
      </c>
      <c r="C284" t="s">
        <v>8</v>
      </c>
      <c r="D284" s="4" t="s">
        <v>275</v>
      </c>
      <c r="E284" s="12">
        <v>2.56</v>
      </c>
      <c r="F284" s="11">
        <v>2.56</v>
      </c>
      <c r="G284" s="6">
        <f t="shared" si="70"/>
        <v>0</v>
      </c>
      <c r="H284" s="7">
        <f t="shared" si="71"/>
        <v>0</v>
      </c>
      <c r="I284" s="8">
        <v>8.0228714375055841</v>
      </c>
      <c r="J284" s="9">
        <f t="shared" si="72"/>
        <v>8.0228714375055841</v>
      </c>
      <c r="K284" s="3">
        <f t="shared" si="73"/>
        <v>0</v>
      </c>
      <c r="L284" s="7">
        <f t="shared" si="74"/>
        <v>0</v>
      </c>
      <c r="M284" t="s">
        <v>150</v>
      </c>
      <c r="O284" s="3">
        <f>E284-'305245 - P0424'!F284</f>
        <v>0</v>
      </c>
      <c r="P284" s="30">
        <f>I284-'305245 - P0424'!J284</f>
        <v>0</v>
      </c>
    </row>
    <row r="285" spans="1:16" x14ac:dyDescent="0.25">
      <c r="A285">
        <v>283</v>
      </c>
      <c r="C285" t="s">
        <v>8</v>
      </c>
      <c r="D285" s="4" t="s">
        <v>276</v>
      </c>
      <c r="E285" s="12">
        <v>3.71</v>
      </c>
      <c r="F285" s="11">
        <v>3.71</v>
      </c>
      <c r="G285" s="6">
        <f t="shared" si="70"/>
        <v>0</v>
      </c>
      <c r="H285" s="7">
        <f t="shared" si="71"/>
        <v>0</v>
      </c>
      <c r="I285" s="8">
        <v>9.2527255216693405</v>
      </c>
      <c r="J285" s="9">
        <f t="shared" si="72"/>
        <v>9.2527255216693405</v>
      </c>
      <c r="K285" s="3">
        <f t="shared" si="73"/>
        <v>0</v>
      </c>
      <c r="L285" s="7">
        <f t="shared" si="74"/>
        <v>0</v>
      </c>
      <c r="M285" t="s">
        <v>150</v>
      </c>
      <c r="O285" s="3">
        <f>E285-'305245 - P0424'!F285</f>
        <v>0</v>
      </c>
      <c r="P285" s="30">
        <f>I285-'305245 - P0424'!J285</f>
        <v>0</v>
      </c>
    </row>
    <row r="286" spans="1:16" x14ac:dyDescent="0.25">
      <c r="A286">
        <v>284</v>
      </c>
      <c r="C286" t="s">
        <v>277</v>
      </c>
      <c r="D286" s="4" t="s">
        <v>278</v>
      </c>
      <c r="E286" s="11">
        <v>85.35</v>
      </c>
      <c r="F286" s="11">
        <v>85.35</v>
      </c>
      <c r="G286" s="6">
        <f t="shared" si="70"/>
        <v>0</v>
      </c>
      <c r="H286" s="7">
        <f t="shared" si="71"/>
        <v>0</v>
      </c>
      <c r="I286" s="8">
        <v>129.08106565176024</v>
      </c>
      <c r="J286" s="8">
        <f t="shared" si="72"/>
        <v>129.08106565176024</v>
      </c>
      <c r="K286" s="3">
        <f t="shared" si="73"/>
        <v>0</v>
      </c>
      <c r="L286" s="7">
        <f t="shared" si="74"/>
        <v>0</v>
      </c>
      <c r="M286" t="s">
        <v>150</v>
      </c>
      <c r="O286" s="3">
        <f>E286-'305245 - P0424'!F286</f>
        <v>0</v>
      </c>
      <c r="P286" s="30">
        <f>I286-'305245 - P0424'!J286</f>
        <v>-15.556835797336987</v>
      </c>
    </row>
    <row r="287" spans="1:16" x14ac:dyDescent="0.25">
      <c r="A287">
        <v>285</v>
      </c>
      <c r="C287" t="s">
        <v>8</v>
      </c>
      <c r="D287" s="4" t="s">
        <v>279</v>
      </c>
      <c r="E287" s="12">
        <v>3.47</v>
      </c>
      <c r="F287" s="12">
        <v>3.47</v>
      </c>
      <c r="G287" s="6">
        <f t="shared" si="70"/>
        <v>0</v>
      </c>
      <c r="H287" s="7">
        <f t="shared" si="71"/>
        <v>0</v>
      </c>
      <c r="I287" s="8">
        <v>9.272871621621622</v>
      </c>
      <c r="J287" s="9">
        <f t="shared" si="72"/>
        <v>9.272871621621622</v>
      </c>
      <c r="K287" s="3">
        <f t="shared" si="73"/>
        <v>0</v>
      </c>
      <c r="L287" s="7">
        <f t="shared" si="74"/>
        <v>0</v>
      </c>
      <c r="M287" t="s">
        <v>150</v>
      </c>
      <c r="O287" s="3">
        <f>E287-'305245 - P0424'!F287</f>
        <v>0</v>
      </c>
      <c r="P287" s="30">
        <f>I287-'305245 - P0424'!J287</f>
        <v>0</v>
      </c>
    </row>
    <row r="288" spans="1:16" x14ac:dyDescent="0.25">
      <c r="A288">
        <v>286</v>
      </c>
      <c r="C288" t="s">
        <v>8</v>
      </c>
      <c r="D288" s="4" t="s">
        <v>280</v>
      </c>
      <c r="E288" s="12">
        <v>3.03</v>
      </c>
      <c r="F288" s="12">
        <v>3.03</v>
      </c>
      <c r="G288" s="6">
        <f t="shared" si="70"/>
        <v>0</v>
      </c>
      <c r="H288" s="7">
        <f t="shared" si="71"/>
        <v>0</v>
      </c>
      <c r="I288" s="8">
        <v>6.4226640926640925</v>
      </c>
      <c r="J288" s="9">
        <f t="shared" si="72"/>
        <v>6.4226640926640925</v>
      </c>
      <c r="K288" s="3">
        <f t="shared" si="73"/>
        <v>0</v>
      </c>
      <c r="L288" s="7">
        <f t="shared" si="74"/>
        <v>0</v>
      </c>
      <c r="M288" t="s">
        <v>150</v>
      </c>
      <c r="O288" s="3">
        <f>E288-'305245 - P0424'!F288</f>
        <v>0</v>
      </c>
      <c r="P288" s="30">
        <f>I288-'305245 - P0424'!J288</f>
        <v>0</v>
      </c>
    </row>
    <row r="289" spans="1:16" x14ac:dyDescent="0.25">
      <c r="A289">
        <v>287</v>
      </c>
      <c r="C289" t="s">
        <v>8</v>
      </c>
      <c r="D289" s="4" t="s">
        <v>281</v>
      </c>
      <c r="E289" s="12">
        <v>12.95</v>
      </c>
      <c r="F289" s="12">
        <v>12.95</v>
      </c>
      <c r="G289" s="6">
        <f t="shared" si="70"/>
        <v>0</v>
      </c>
      <c r="H289" s="7">
        <f t="shared" si="71"/>
        <v>0</v>
      </c>
      <c r="I289" s="8">
        <v>25.9</v>
      </c>
      <c r="J289" s="9">
        <f t="shared" si="72"/>
        <v>25.9</v>
      </c>
      <c r="K289" s="3">
        <f t="shared" si="73"/>
        <v>0</v>
      </c>
      <c r="L289" s="7">
        <f t="shared" si="74"/>
        <v>0</v>
      </c>
      <c r="M289" t="s">
        <v>150</v>
      </c>
      <c r="O289" s="3">
        <f>E289-'305245 - P0424'!F289</f>
        <v>0</v>
      </c>
      <c r="P289" s="30">
        <f>I289-'305245 - P0424'!J289</f>
        <v>0</v>
      </c>
    </row>
    <row r="290" spans="1:16" x14ac:dyDescent="0.25">
      <c r="A290">
        <v>288</v>
      </c>
      <c r="C290" t="s">
        <v>8</v>
      </c>
      <c r="D290" s="4" t="s">
        <v>282</v>
      </c>
      <c r="E290" s="12">
        <v>9.27</v>
      </c>
      <c r="F290" s="12">
        <v>9.27</v>
      </c>
      <c r="G290" s="6">
        <f t="shared" si="70"/>
        <v>0</v>
      </c>
      <c r="H290" s="7">
        <f t="shared" si="71"/>
        <v>0</v>
      </c>
      <c r="I290" s="8">
        <v>18.54</v>
      </c>
      <c r="J290" s="9">
        <f t="shared" si="72"/>
        <v>18.54</v>
      </c>
      <c r="K290" s="3">
        <f t="shared" si="73"/>
        <v>0</v>
      </c>
      <c r="L290" s="7">
        <f t="shared" si="74"/>
        <v>0</v>
      </c>
      <c r="M290" t="s">
        <v>150</v>
      </c>
      <c r="O290" s="3">
        <f>E290-'305245 - P0424'!F290</f>
        <v>0</v>
      </c>
      <c r="P290" s="30">
        <f>I290-'305245 - P0424'!J290</f>
        <v>0</v>
      </c>
    </row>
    <row r="291" spans="1:16" x14ac:dyDescent="0.25">
      <c r="A291">
        <v>289</v>
      </c>
      <c r="C291" t="s">
        <v>8</v>
      </c>
      <c r="D291" s="4" t="s">
        <v>283</v>
      </c>
      <c r="E291" s="12">
        <v>4.38</v>
      </c>
      <c r="F291" s="12">
        <v>4.38</v>
      </c>
      <c r="G291" s="6">
        <f t="shared" si="70"/>
        <v>0</v>
      </c>
      <c r="H291" s="7">
        <f t="shared" si="71"/>
        <v>0</v>
      </c>
      <c r="I291" s="8">
        <v>19.878299999999999</v>
      </c>
      <c r="J291" s="9">
        <f t="shared" si="72"/>
        <v>19.878299999999999</v>
      </c>
      <c r="K291" s="3">
        <f t="shared" si="73"/>
        <v>0</v>
      </c>
      <c r="L291" s="7">
        <f t="shared" si="74"/>
        <v>0</v>
      </c>
      <c r="M291" t="s">
        <v>150</v>
      </c>
      <c r="O291" s="3">
        <f>E291-'305245 - P0424'!F291</f>
        <v>0</v>
      </c>
      <c r="P291" s="30">
        <f>I291-'305245 - P0424'!J291</f>
        <v>0</v>
      </c>
    </row>
    <row r="292" spans="1:16" x14ac:dyDescent="0.25">
      <c r="A292">
        <v>290</v>
      </c>
      <c r="C292" t="s">
        <v>8</v>
      </c>
      <c r="D292" s="4" t="s">
        <v>284</v>
      </c>
      <c r="E292" s="12">
        <v>7.78</v>
      </c>
      <c r="F292" s="12">
        <v>7.78</v>
      </c>
      <c r="G292" s="6">
        <f t="shared" si="70"/>
        <v>0</v>
      </c>
      <c r="H292" s="7">
        <f t="shared" si="71"/>
        <v>0</v>
      </c>
      <c r="I292" s="8">
        <v>20.218751857355123</v>
      </c>
      <c r="J292" s="9">
        <f t="shared" si="72"/>
        <v>20.218751857355123</v>
      </c>
      <c r="K292" s="3">
        <f t="shared" si="73"/>
        <v>0</v>
      </c>
      <c r="L292" s="7">
        <f t="shared" si="74"/>
        <v>0</v>
      </c>
      <c r="M292" t="s">
        <v>150</v>
      </c>
      <c r="O292" s="3">
        <f>E292-'305245 - P0424'!F292</f>
        <v>0</v>
      </c>
      <c r="P292" s="30">
        <f>I292-'305245 - P0424'!J292</f>
        <v>0</v>
      </c>
    </row>
    <row r="293" spans="1:16" x14ac:dyDescent="0.25">
      <c r="A293">
        <v>291</v>
      </c>
      <c r="C293" t="s">
        <v>8</v>
      </c>
      <c r="D293" s="4" t="s">
        <v>285</v>
      </c>
      <c r="E293" s="12">
        <v>0.98</v>
      </c>
      <c r="F293" s="12">
        <v>0.98</v>
      </c>
      <c r="G293" s="6">
        <f t="shared" si="70"/>
        <v>0</v>
      </c>
      <c r="H293" s="7">
        <f t="shared" si="71"/>
        <v>0</v>
      </c>
      <c r="I293" s="8">
        <v>2.0746808510638299</v>
      </c>
      <c r="J293" s="9">
        <f t="shared" si="72"/>
        <v>2.0746808510638299</v>
      </c>
      <c r="K293" s="3">
        <f t="shared" si="73"/>
        <v>0</v>
      </c>
      <c r="L293" s="7">
        <f t="shared" si="74"/>
        <v>0</v>
      </c>
      <c r="M293" t="s">
        <v>150</v>
      </c>
      <c r="O293" s="3">
        <f>E293-'305245 - P0424'!F293</f>
        <v>0</v>
      </c>
      <c r="P293" s="30">
        <f>I293-'305245 - P0424'!J293</f>
        <v>0</v>
      </c>
    </row>
    <row r="294" spans="1:16" x14ac:dyDescent="0.25">
      <c r="A294">
        <v>292</v>
      </c>
      <c r="C294" t="s">
        <v>8</v>
      </c>
      <c r="D294" s="4" t="s">
        <v>286</v>
      </c>
      <c r="E294" s="12">
        <v>0.56999999999999995</v>
      </c>
      <c r="F294" s="12">
        <v>0.56999999999999995</v>
      </c>
      <c r="G294" s="6">
        <f t="shared" si="70"/>
        <v>0</v>
      </c>
      <c r="H294" s="7">
        <f t="shared" si="71"/>
        <v>0</v>
      </c>
      <c r="I294" s="8">
        <v>1.29</v>
      </c>
      <c r="J294" s="9">
        <f t="shared" si="72"/>
        <v>1.29</v>
      </c>
      <c r="K294" s="3">
        <f t="shared" si="73"/>
        <v>0</v>
      </c>
      <c r="L294" s="7">
        <f t="shared" si="74"/>
        <v>0</v>
      </c>
      <c r="M294" t="s">
        <v>150</v>
      </c>
      <c r="O294" s="3">
        <f>E294-'305245 - P0424'!F294</f>
        <v>0</v>
      </c>
      <c r="P294" s="30">
        <f>I294-'305245 - P0424'!J294</f>
        <v>0</v>
      </c>
    </row>
    <row r="295" spans="1:16" x14ac:dyDescent="0.25">
      <c r="A295">
        <v>293</v>
      </c>
      <c r="C295" t="s">
        <v>8</v>
      </c>
      <c r="D295" s="4" t="s">
        <v>287</v>
      </c>
      <c r="E295" s="12">
        <v>3.2</v>
      </c>
      <c r="F295" s="12">
        <v>3.2</v>
      </c>
      <c r="G295" s="6">
        <f t="shared" si="70"/>
        <v>0</v>
      </c>
      <c r="H295" s="7">
        <f t="shared" si="71"/>
        <v>0</v>
      </c>
      <c r="I295" s="8">
        <v>9.2899999999999991</v>
      </c>
      <c r="J295" s="9">
        <f t="shared" si="72"/>
        <v>9.2899999999999991</v>
      </c>
      <c r="K295" s="3">
        <f t="shared" si="73"/>
        <v>0</v>
      </c>
      <c r="L295" s="7">
        <f t="shared" si="74"/>
        <v>0</v>
      </c>
      <c r="M295" t="s">
        <v>150</v>
      </c>
      <c r="O295" s="3">
        <f>E295-'305245 - P0424'!F295</f>
        <v>0</v>
      </c>
      <c r="P295" s="30">
        <f>I295-'305245 - P0424'!J295</f>
        <v>0</v>
      </c>
    </row>
    <row r="296" spans="1:16" x14ac:dyDescent="0.25">
      <c r="A296">
        <v>294</v>
      </c>
      <c r="D296" s="2" t="s">
        <v>288</v>
      </c>
      <c r="H296" s="10">
        <f>AVERAGE(H251:H290)</f>
        <v>0</v>
      </c>
      <c r="I296"/>
    </row>
    <row r="297" spans="1:16" x14ac:dyDescent="0.25">
      <c r="A297">
        <v>295</v>
      </c>
      <c r="D297" s="2" t="s">
        <v>289</v>
      </c>
      <c r="I297"/>
      <c r="M297" t="s">
        <v>187</v>
      </c>
    </row>
    <row r="298" spans="1:16" x14ac:dyDescent="0.25">
      <c r="A298">
        <v>296</v>
      </c>
      <c r="B298" t="s">
        <v>468</v>
      </c>
      <c r="C298" t="s">
        <v>291</v>
      </c>
      <c r="D298" s="4" t="s">
        <v>292</v>
      </c>
      <c r="E298" s="12">
        <v>83.45</v>
      </c>
      <c r="F298" s="12">
        <v>83.45</v>
      </c>
      <c r="G298" s="6">
        <f t="shared" ref="G298:G331" si="75">+F298-E298</f>
        <v>0</v>
      </c>
      <c r="H298" s="7">
        <f t="shared" ref="H298:H331" si="76">(F298-E298)/ABS(E298)</f>
        <v>0</v>
      </c>
      <c r="I298" s="8">
        <v>116.82130707692306</v>
      </c>
      <c r="J298" s="9">
        <f t="shared" ref="J298:J331" si="77">(I298*H298)+I298</f>
        <v>116.82130707692306</v>
      </c>
      <c r="K298" s="3">
        <f t="shared" ref="K298:K331" si="78">J298-I298</f>
        <v>0</v>
      </c>
      <c r="L298" s="7">
        <f t="shared" ref="L298:L331" si="79">(J298-I298)/ABS(I298)</f>
        <v>0</v>
      </c>
      <c r="M298" t="s">
        <v>187</v>
      </c>
      <c r="O298" s="3">
        <f>E298-'305245 - P0424'!F298</f>
        <v>0</v>
      </c>
      <c r="P298" s="30">
        <f>I298-'305245 - P0424'!J298</f>
        <v>0</v>
      </c>
    </row>
    <row r="299" spans="1:16" x14ac:dyDescent="0.25">
      <c r="A299">
        <v>297</v>
      </c>
      <c r="B299" t="s">
        <v>471</v>
      </c>
      <c r="C299" t="s">
        <v>291</v>
      </c>
      <c r="D299" s="4" t="s">
        <v>293</v>
      </c>
      <c r="E299" s="12">
        <v>17.16</v>
      </c>
      <c r="F299" s="12">
        <v>17.16</v>
      </c>
      <c r="G299" s="6">
        <f t="shared" si="75"/>
        <v>0</v>
      </c>
      <c r="H299" s="7">
        <f t="shared" si="76"/>
        <v>0</v>
      </c>
      <c r="I299" s="8">
        <v>23.58</v>
      </c>
      <c r="J299" s="9">
        <f t="shared" si="77"/>
        <v>23.58</v>
      </c>
      <c r="K299" s="3">
        <f t="shared" si="78"/>
        <v>0</v>
      </c>
      <c r="L299" s="7">
        <f t="shared" si="79"/>
        <v>0</v>
      </c>
      <c r="M299" t="s">
        <v>187</v>
      </c>
      <c r="O299" s="3">
        <f>E299-'305245 - P0424'!F299</f>
        <v>0</v>
      </c>
      <c r="P299" s="30">
        <f>I299-'305245 - P0424'!J299</f>
        <v>0</v>
      </c>
    </row>
    <row r="300" spans="1:16" x14ac:dyDescent="0.25">
      <c r="A300">
        <v>298</v>
      </c>
      <c r="B300" t="s">
        <v>468</v>
      </c>
      <c r="C300" t="s">
        <v>291</v>
      </c>
      <c r="D300" s="4" t="s">
        <v>295</v>
      </c>
      <c r="E300" s="12">
        <v>20.45</v>
      </c>
      <c r="F300" s="12">
        <v>20.45</v>
      </c>
      <c r="G300" s="6">
        <f t="shared" si="75"/>
        <v>0</v>
      </c>
      <c r="H300" s="7">
        <f t="shared" si="76"/>
        <v>0</v>
      </c>
      <c r="I300" s="8">
        <v>28.117117241379304</v>
      </c>
      <c r="J300" s="9">
        <f t="shared" si="77"/>
        <v>28.117117241379304</v>
      </c>
      <c r="K300" s="3">
        <f t="shared" si="78"/>
        <v>0</v>
      </c>
      <c r="L300" s="7">
        <f t="shared" si="79"/>
        <v>0</v>
      </c>
      <c r="M300" t="s">
        <v>187</v>
      </c>
      <c r="O300" s="3">
        <f>E300-'305245 - P0424'!F300</f>
        <v>0</v>
      </c>
      <c r="P300" s="30">
        <f>I300-'305245 - P0424'!J300</f>
        <v>0</v>
      </c>
    </row>
    <row r="301" spans="1:16" x14ac:dyDescent="0.25">
      <c r="A301">
        <v>299</v>
      </c>
      <c r="B301" t="s">
        <v>471</v>
      </c>
      <c r="C301" t="s">
        <v>291</v>
      </c>
      <c r="D301" s="4" t="s">
        <v>296</v>
      </c>
      <c r="E301" s="12">
        <v>35.15</v>
      </c>
      <c r="F301" s="12">
        <v>35.15</v>
      </c>
      <c r="G301" s="6">
        <f t="shared" si="75"/>
        <v>0</v>
      </c>
      <c r="H301" s="7">
        <f t="shared" si="76"/>
        <v>0</v>
      </c>
      <c r="I301" s="8">
        <v>48.263872071910107</v>
      </c>
      <c r="J301" s="9">
        <f t="shared" si="77"/>
        <v>48.263872071910107</v>
      </c>
      <c r="K301" s="3">
        <f t="shared" si="78"/>
        <v>0</v>
      </c>
      <c r="L301" s="7">
        <f t="shared" si="79"/>
        <v>0</v>
      </c>
      <c r="M301" t="s">
        <v>187</v>
      </c>
      <c r="O301" s="3">
        <f>E301-'305245 - P0424'!F301</f>
        <v>0</v>
      </c>
      <c r="P301" s="30">
        <f>I301-'305245 - P0424'!J301</f>
        <v>0</v>
      </c>
    </row>
    <row r="302" spans="1:16" x14ac:dyDescent="0.25">
      <c r="A302">
        <v>300</v>
      </c>
      <c r="B302" t="s">
        <v>472</v>
      </c>
      <c r="C302" t="s">
        <v>291</v>
      </c>
      <c r="D302" s="4" t="s">
        <v>297</v>
      </c>
      <c r="E302" s="12">
        <v>7.16</v>
      </c>
      <c r="F302" s="12">
        <v>7.16</v>
      </c>
      <c r="G302" s="6">
        <f t="shared" si="75"/>
        <v>0</v>
      </c>
      <c r="H302" s="7">
        <f t="shared" si="76"/>
        <v>0</v>
      </c>
      <c r="I302" s="8">
        <v>9.85</v>
      </c>
      <c r="J302" s="9">
        <f t="shared" si="77"/>
        <v>9.85</v>
      </c>
      <c r="K302" s="3">
        <f t="shared" si="78"/>
        <v>0</v>
      </c>
      <c r="L302" s="7">
        <f t="shared" si="79"/>
        <v>0</v>
      </c>
      <c r="M302" t="s">
        <v>187</v>
      </c>
      <c r="O302" s="3">
        <f>E302-'305245 - P0424'!F302</f>
        <v>0</v>
      </c>
      <c r="P302" s="30">
        <f>I302-'305245 - P0424'!J302</f>
        <v>0</v>
      </c>
    </row>
    <row r="303" spans="1:16" x14ac:dyDescent="0.25">
      <c r="A303">
        <v>301</v>
      </c>
      <c r="B303" t="s">
        <v>486</v>
      </c>
      <c r="C303" t="s">
        <v>291</v>
      </c>
      <c r="D303" s="4" t="s">
        <v>298</v>
      </c>
      <c r="E303" s="12">
        <v>0.49</v>
      </c>
      <c r="F303" s="12">
        <v>0.49</v>
      </c>
      <c r="G303" s="6">
        <f t="shared" si="75"/>
        <v>0</v>
      </c>
      <c r="H303" s="7">
        <f t="shared" si="76"/>
        <v>0</v>
      </c>
      <c r="I303" s="8">
        <v>0.69</v>
      </c>
      <c r="J303" s="9">
        <f t="shared" si="77"/>
        <v>0.69</v>
      </c>
      <c r="K303" s="3">
        <f t="shared" si="78"/>
        <v>0</v>
      </c>
      <c r="L303" s="7">
        <f t="shared" si="79"/>
        <v>0</v>
      </c>
      <c r="M303" t="s">
        <v>187</v>
      </c>
      <c r="O303" s="3">
        <f>E303-'305245 - P0424'!F303</f>
        <v>0</v>
      </c>
      <c r="P303" s="30">
        <f>I303-'305245 - P0424'!J303</f>
        <v>0</v>
      </c>
    </row>
    <row r="304" spans="1:16" x14ac:dyDescent="0.25">
      <c r="A304">
        <v>302</v>
      </c>
      <c r="B304" t="s">
        <v>471</v>
      </c>
      <c r="C304" t="s">
        <v>291</v>
      </c>
      <c r="D304" s="4" t="s">
        <v>299</v>
      </c>
      <c r="E304" s="12">
        <v>21.81</v>
      </c>
      <c r="F304" s="12">
        <v>21.81</v>
      </c>
      <c r="G304" s="6">
        <f t="shared" si="75"/>
        <v>0</v>
      </c>
      <c r="H304" s="7">
        <f t="shared" si="76"/>
        <v>0</v>
      </c>
      <c r="I304" s="8">
        <v>29.968966617429842</v>
      </c>
      <c r="J304" s="9">
        <f t="shared" si="77"/>
        <v>29.968966617429842</v>
      </c>
      <c r="K304" s="3">
        <f t="shared" si="78"/>
        <v>0</v>
      </c>
      <c r="L304" s="7">
        <f t="shared" si="79"/>
        <v>0</v>
      </c>
      <c r="M304" t="s">
        <v>187</v>
      </c>
      <c r="O304" s="3">
        <f>E304-'305245 - P0424'!F304</f>
        <v>0</v>
      </c>
      <c r="P304" s="30">
        <f>I304-'305245 - P0424'!J304</f>
        <v>0</v>
      </c>
    </row>
    <row r="305" spans="1:16" x14ac:dyDescent="0.25">
      <c r="A305">
        <v>303</v>
      </c>
      <c r="B305" s="28" t="s">
        <v>471</v>
      </c>
      <c r="C305" t="s">
        <v>291</v>
      </c>
      <c r="D305" s="4" t="s">
        <v>300</v>
      </c>
      <c r="E305" s="12">
        <v>2.2000000000000002</v>
      </c>
      <c r="F305" s="12">
        <v>2.2000000000000002</v>
      </c>
      <c r="G305" s="6">
        <f t="shared" si="75"/>
        <v>0</v>
      </c>
      <c r="H305" s="7">
        <f t="shared" si="76"/>
        <v>0</v>
      </c>
      <c r="I305" s="8">
        <v>3.0480105109489042</v>
      </c>
      <c r="J305" s="9">
        <f t="shared" si="77"/>
        <v>3.0480105109489042</v>
      </c>
      <c r="K305" s="3">
        <f t="shared" si="78"/>
        <v>0</v>
      </c>
      <c r="L305" s="7">
        <f t="shared" si="79"/>
        <v>0</v>
      </c>
      <c r="M305" t="s">
        <v>187</v>
      </c>
      <c r="O305" s="3">
        <f>E305-'305245 - P0424'!F305</f>
        <v>0</v>
      </c>
      <c r="P305" s="30">
        <f>I305-'305245 - P0424'!J305</f>
        <v>0</v>
      </c>
    </row>
    <row r="306" spans="1:16" x14ac:dyDescent="0.25">
      <c r="A306">
        <v>304</v>
      </c>
      <c r="B306" t="s">
        <v>471</v>
      </c>
      <c r="C306" t="s">
        <v>291</v>
      </c>
      <c r="D306" s="4" t="s">
        <v>301</v>
      </c>
      <c r="E306" s="12">
        <v>2.73</v>
      </c>
      <c r="F306" s="12">
        <v>2.73</v>
      </c>
      <c r="G306" s="6">
        <f t="shared" si="75"/>
        <v>0</v>
      </c>
      <c r="H306" s="7">
        <f t="shared" si="76"/>
        <v>0</v>
      </c>
      <c r="I306" s="8">
        <v>3.751827692307693</v>
      </c>
      <c r="J306" s="9">
        <f t="shared" si="77"/>
        <v>3.751827692307693</v>
      </c>
      <c r="K306" s="3">
        <f t="shared" si="78"/>
        <v>0</v>
      </c>
      <c r="L306" s="7">
        <f t="shared" si="79"/>
        <v>0</v>
      </c>
      <c r="M306" t="s">
        <v>187</v>
      </c>
      <c r="O306" s="3">
        <f>E306-'305245 - P0424'!F306</f>
        <v>0</v>
      </c>
      <c r="P306" s="30">
        <f>I306-'305245 - P0424'!J306</f>
        <v>0</v>
      </c>
    </row>
    <row r="307" spans="1:16" x14ac:dyDescent="0.25">
      <c r="A307">
        <v>305</v>
      </c>
      <c r="B307" t="s">
        <v>469</v>
      </c>
      <c r="C307" t="s">
        <v>291</v>
      </c>
      <c r="D307" s="4" t="s">
        <v>302</v>
      </c>
      <c r="E307" s="12">
        <v>0.9</v>
      </c>
      <c r="F307" s="12">
        <v>0.9</v>
      </c>
      <c r="G307" s="6">
        <f t="shared" si="75"/>
        <v>0</v>
      </c>
      <c r="H307" s="7">
        <f t="shared" si="76"/>
        <v>0</v>
      </c>
      <c r="I307" s="8">
        <v>1.7875199999999998</v>
      </c>
      <c r="J307" s="9">
        <f t="shared" si="77"/>
        <v>1.7875199999999998</v>
      </c>
      <c r="K307" s="3">
        <f t="shared" si="78"/>
        <v>0</v>
      </c>
      <c r="L307" s="7">
        <f t="shared" si="79"/>
        <v>0</v>
      </c>
      <c r="M307" t="s">
        <v>187</v>
      </c>
      <c r="O307" s="3">
        <f>E307-'305245 - P0424'!F307</f>
        <v>0</v>
      </c>
      <c r="P307" s="30">
        <f>I307-'305245 - P0424'!J307</f>
        <v>0</v>
      </c>
    </row>
    <row r="308" spans="1:16" x14ac:dyDescent="0.25">
      <c r="A308">
        <v>306</v>
      </c>
      <c r="B308" t="s">
        <v>303</v>
      </c>
      <c r="C308" t="s">
        <v>291</v>
      </c>
      <c r="D308" s="4" t="s">
        <v>304</v>
      </c>
      <c r="E308" s="12">
        <v>66.48</v>
      </c>
      <c r="F308" s="12">
        <v>66.48</v>
      </c>
      <c r="G308" s="6">
        <f t="shared" si="75"/>
        <v>0</v>
      </c>
      <c r="H308" s="7">
        <f t="shared" si="76"/>
        <v>0</v>
      </c>
      <c r="I308" s="8">
        <v>91.32</v>
      </c>
      <c r="J308" s="9">
        <f t="shared" si="77"/>
        <v>91.32</v>
      </c>
      <c r="K308" s="3">
        <f t="shared" si="78"/>
        <v>0</v>
      </c>
      <c r="L308" s="7">
        <f t="shared" si="79"/>
        <v>0</v>
      </c>
      <c r="M308" t="s">
        <v>187</v>
      </c>
      <c r="O308" s="3">
        <f>E308-'305245 - P0424'!F308</f>
        <v>0</v>
      </c>
      <c r="P308" s="30">
        <f>I308-'305245 - P0424'!J308</f>
        <v>0</v>
      </c>
    </row>
    <row r="309" spans="1:16" x14ac:dyDescent="0.25">
      <c r="A309">
        <v>307</v>
      </c>
      <c r="B309" t="s">
        <v>305</v>
      </c>
      <c r="C309" t="s">
        <v>291</v>
      </c>
      <c r="D309" s="4" t="s">
        <v>306</v>
      </c>
      <c r="E309" s="12">
        <v>26.81</v>
      </c>
      <c r="F309" s="12">
        <v>26.81</v>
      </c>
      <c r="G309" s="13">
        <f t="shared" si="75"/>
        <v>0</v>
      </c>
      <c r="H309" s="7">
        <f t="shared" si="76"/>
        <v>0</v>
      </c>
      <c r="I309" s="8">
        <v>41.25</v>
      </c>
      <c r="J309" s="9">
        <f t="shared" si="77"/>
        <v>41.25</v>
      </c>
      <c r="K309" s="3">
        <f t="shared" si="78"/>
        <v>0</v>
      </c>
      <c r="L309" s="7">
        <f t="shared" si="79"/>
        <v>0</v>
      </c>
      <c r="M309" t="s">
        <v>187</v>
      </c>
      <c r="O309" s="3">
        <f>E309-'305245 - P0424'!F309</f>
        <v>0</v>
      </c>
      <c r="P309" s="30">
        <f>I309-'305245 - P0424'!J309</f>
        <v>0</v>
      </c>
    </row>
    <row r="310" spans="1:16" x14ac:dyDescent="0.25">
      <c r="A310">
        <v>308</v>
      </c>
      <c r="B310" t="s">
        <v>303</v>
      </c>
      <c r="C310" t="s">
        <v>291</v>
      </c>
      <c r="D310" s="4" t="s">
        <v>307</v>
      </c>
      <c r="E310" s="12">
        <v>38.020000000000003</v>
      </c>
      <c r="F310" s="12">
        <v>38.020000000000003</v>
      </c>
      <c r="G310" s="6">
        <f t="shared" si="75"/>
        <v>0</v>
      </c>
      <c r="H310" s="7">
        <f t="shared" si="76"/>
        <v>0</v>
      </c>
      <c r="I310" s="8">
        <v>52.23</v>
      </c>
      <c r="J310" s="9">
        <f t="shared" si="77"/>
        <v>52.23</v>
      </c>
      <c r="K310" s="3">
        <f t="shared" si="78"/>
        <v>0</v>
      </c>
      <c r="L310" s="7">
        <f t="shared" si="79"/>
        <v>0</v>
      </c>
      <c r="M310" t="s">
        <v>187</v>
      </c>
      <c r="O310" s="3">
        <f>E310-'305245 - P0424'!F310</f>
        <v>0</v>
      </c>
      <c r="P310" s="30">
        <f>I310-'305245 - P0424'!J310</f>
        <v>0</v>
      </c>
    </row>
    <row r="311" spans="1:16" x14ac:dyDescent="0.25">
      <c r="A311">
        <v>309</v>
      </c>
      <c r="B311" t="s">
        <v>303</v>
      </c>
      <c r="C311" t="s">
        <v>291</v>
      </c>
      <c r="D311" s="4" t="s">
        <v>308</v>
      </c>
      <c r="E311" s="12">
        <v>95.36</v>
      </c>
      <c r="F311" s="12">
        <v>95.36</v>
      </c>
      <c r="G311" s="6">
        <f t="shared" si="75"/>
        <v>0</v>
      </c>
      <c r="H311" s="7">
        <f t="shared" si="76"/>
        <v>0</v>
      </c>
      <c r="I311" s="8">
        <v>130.96011922503726</v>
      </c>
      <c r="J311" s="9">
        <f t="shared" si="77"/>
        <v>130.96011922503726</v>
      </c>
      <c r="K311" s="3">
        <f t="shared" si="78"/>
        <v>0</v>
      </c>
      <c r="L311" s="7">
        <f t="shared" si="79"/>
        <v>0</v>
      </c>
      <c r="M311" t="s">
        <v>187</v>
      </c>
      <c r="O311" s="3">
        <f>E311-'305245 - P0424'!F311</f>
        <v>0</v>
      </c>
      <c r="P311" s="30">
        <f>I311-'305245 - P0424'!J311</f>
        <v>0</v>
      </c>
    </row>
    <row r="312" spans="1:16" x14ac:dyDescent="0.25">
      <c r="A312">
        <v>310</v>
      </c>
      <c r="B312" t="s">
        <v>303</v>
      </c>
      <c r="C312" t="s">
        <v>291</v>
      </c>
      <c r="D312" s="4" t="s">
        <v>309</v>
      </c>
      <c r="E312" s="12">
        <v>15.89</v>
      </c>
      <c r="F312" s="12">
        <v>15.89</v>
      </c>
      <c r="G312" s="6">
        <f t="shared" si="75"/>
        <v>0</v>
      </c>
      <c r="H312" s="7">
        <f t="shared" si="76"/>
        <v>0</v>
      </c>
      <c r="I312" s="8">
        <v>21.821258516129031</v>
      </c>
      <c r="J312" s="9">
        <f t="shared" si="77"/>
        <v>21.821258516129031</v>
      </c>
      <c r="K312" s="3">
        <f t="shared" si="78"/>
        <v>0</v>
      </c>
      <c r="L312" s="7">
        <f t="shared" si="79"/>
        <v>0</v>
      </c>
      <c r="M312" t="s">
        <v>187</v>
      </c>
      <c r="O312" s="3">
        <f>E312-'305245 - P0424'!F312</f>
        <v>0</v>
      </c>
      <c r="P312" s="30">
        <f>I312-'305245 - P0424'!J312</f>
        <v>0</v>
      </c>
    </row>
    <row r="313" spans="1:16" x14ac:dyDescent="0.25">
      <c r="A313">
        <v>311</v>
      </c>
      <c r="B313" t="s">
        <v>303</v>
      </c>
      <c r="C313" t="s">
        <v>291</v>
      </c>
      <c r="D313" s="4" t="s">
        <v>310</v>
      </c>
      <c r="E313" s="12">
        <v>8.59</v>
      </c>
      <c r="F313" s="12">
        <v>8.59</v>
      </c>
      <c r="G313" s="6">
        <f t="shared" si="75"/>
        <v>0</v>
      </c>
      <c r="H313" s="7">
        <f t="shared" si="76"/>
        <v>0</v>
      </c>
      <c r="I313" s="8">
        <v>11.8</v>
      </c>
      <c r="J313" s="9">
        <f t="shared" si="77"/>
        <v>11.8</v>
      </c>
      <c r="K313" s="3">
        <f t="shared" si="78"/>
        <v>0</v>
      </c>
      <c r="L313" s="7">
        <f t="shared" si="79"/>
        <v>0</v>
      </c>
      <c r="M313" t="s">
        <v>187</v>
      </c>
      <c r="O313" s="3">
        <f>E313-'305245 - P0424'!F313</f>
        <v>0</v>
      </c>
      <c r="P313" s="30">
        <f>I313-'305245 - P0424'!J313</f>
        <v>0</v>
      </c>
    </row>
    <row r="314" spans="1:16" x14ac:dyDescent="0.25">
      <c r="A314">
        <v>312</v>
      </c>
      <c r="B314" t="s">
        <v>319</v>
      </c>
      <c r="C314" t="s">
        <v>291</v>
      </c>
      <c r="D314" s="4" t="s">
        <v>311</v>
      </c>
      <c r="E314" s="12">
        <v>11.51</v>
      </c>
      <c r="F314" s="12">
        <v>11.51</v>
      </c>
      <c r="G314" s="6">
        <f t="shared" si="75"/>
        <v>0</v>
      </c>
      <c r="H314" s="7">
        <f t="shared" si="76"/>
        <v>0</v>
      </c>
      <c r="I314" s="8">
        <v>21.72</v>
      </c>
      <c r="J314" s="9">
        <f t="shared" si="77"/>
        <v>21.72</v>
      </c>
      <c r="K314" s="3">
        <f t="shared" si="78"/>
        <v>0</v>
      </c>
      <c r="L314" s="7">
        <f t="shared" si="79"/>
        <v>0</v>
      </c>
      <c r="M314" t="s">
        <v>187</v>
      </c>
      <c r="O314" s="3">
        <f>E314-'305245 - P0424'!F314</f>
        <v>0</v>
      </c>
      <c r="P314" s="30">
        <f>I314-'305245 - P0424'!J314</f>
        <v>0</v>
      </c>
    </row>
    <row r="315" spans="1:16" x14ac:dyDescent="0.25">
      <c r="A315">
        <v>313</v>
      </c>
      <c r="B315" t="s">
        <v>303</v>
      </c>
      <c r="C315" t="s">
        <v>291</v>
      </c>
      <c r="D315" s="4" t="s">
        <v>312</v>
      </c>
      <c r="E315" s="12">
        <v>175</v>
      </c>
      <c r="F315" s="12">
        <v>175</v>
      </c>
      <c r="G315" s="6">
        <f t="shared" si="75"/>
        <v>0</v>
      </c>
      <c r="H315" s="7">
        <f t="shared" si="76"/>
        <v>0</v>
      </c>
      <c r="I315" s="8">
        <v>284.09826122118881</v>
      </c>
      <c r="J315" s="9">
        <f t="shared" si="77"/>
        <v>284.09826122118881</v>
      </c>
      <c r="K315" s="3">
        <f t="shared" si="78"/>
        <v>0</v>
      </c>
      <c r="L315" s="7">
        <f t="shared" si="79"/>
        <v>0</v>
      </c>
      <c r="M315" t="s">
        <v>187</v>
      </c>
      <c r="O315" s="3">
        <f>E315-'305245 - P0424'!F315</f>
        <v>0</v>
      </c>
      <c r="P315" s="30">
        <f>I315-'305245 - P0424'!J315</f>
        <v>0</v>
      </c>
    </row>
    <row r="316" spans="1:16" x14ac:dyDescent="0.25">
      <c r="A316">
        <v>314</v>
      </c>
      <c r="B316" t="s">
        <v>470</v>
      </c>
      <c r="C316" t="s">
        <v>291</v>
      </c>
      <c r="D316" s="4" t="s">
        <v>313</v>
      </c>
      <c r="E316" s="12">
        <v>175</v>
      </c>
      <c r="F316" s="12">
        <v>175</v>
      </c>
      <c r="G316" s="6">
        <f t="shared" si="75"/>
        <v>0</v>
      </c>
      <c r="H316" s="7">
        <f t="shared" si="76"/>
        <v>0</v>
      </c>
      <c r="I316" s="8">
        <v>284.09826122118881</v>
      </c>
      <c r="J316" s="9">
        <f t="shared" si="77"/>
        <v>284.09826122118881</v>
      </c>
      <c r="K316" s="3">
        <f t="shared" si="78"/>
        <v>0</v>
      </c>
      <c r="L316" s="7">
        <f t="shared" si="79"/>
        <v>0</v>
      </c>
      <c r="M316" t="s">
        <v>187</v>
      </c>
      <c r="O316" s="3">
        <f>E316-'305245 - P0424'!F316</f>
        <v>0</v>
      </c>
      <c r="P316" s="30">
        <f>I316-'305245 - P0424'!J316</f>
        <v>0</v>
      </c>
    </row>
    <row r="317" spans="1:16" x14ac:dyDescent="0.25">
      <c r="A317">
        <v>315</v>
      </c>
      <c r="B317" t="s">
        <v>303</v>
      </c>
      <c r="C317" t="s">
        <v>291</v>
      </c>
      <c r="D317" s="4" t="s">
        <v>314</v>
      </c>
      <c r="E317" s="12">
        <v>20.73</v>
      </c>
      <c r="F317" s="12">
        <v>20.73</v>
      </c>
      <c r="G317" s="6">
        <f t="shared" si="75"/>
        <v>0</v>
      </c>
      <c r="H317" s="7">
        <f t="shared" si="76"/>
        <v>0</v>
      </c>
      <c r="I317" s="8">
        <v>33.65</v>
      </c>
      <c r="J317" s="9">
        <f t="shared" si="77"/>
        <v>33.65</v>
      </c>
      <c r="K317" s="3">
        <f t="shared" si="78"/>
        <v>0</v>
      </c>
      <c r="L317" s="7">
        <f t="shared" si="79"/>
        <v>0</v>
      </c>
      <c r="M317" t="s">
        <v>187</v>
      </c>
      <c r="O317" s="3">
        <f>E317-'305245 - P0424'!F317</f>
        <v>0</v>
      </c>
      <c r="P317" s="30">
        <f>I317-'305245 - P0424'!J317</f>
        <v>0</v>
      </c>
    </row>
    <row r="318" spans="1:16" x14ac:dyDescent="0.25">
      <c r="A318">
        <v>316</v>
      </c>
      <c r="B318" t="s">
        <v>470</v>
      </c>
      <c r="C318" t="s">
        <v>291</v>
      </c>
      <c r="D318" s="4" t="s">
        <v>315</v>
      </c>
      <c r="E318" s="12">
        <v>11.34</v>
      </c>
      <c r="F318" s="12">
        <v>11.34</v>
      </c>
      <c r="G318" s="6">
        <f t="shared" si="75"/>
        <v>0</v>
      </c>
      <c r="H318" s="7">
        <f t="shared" si="76"/>
        <v>0</v>
      </c>
      <c r="I318" s="8">
        <v>17.673479758926415</v>
      </c>
      <c r="J318" s="9">
        <f t="shared" si="77"/>
        <v>17.673479758926415</v>
      </c>
      <c r="K318" s="3">
        <f t="shared" si="78"/>
        <v>0</v>
      </c>
      <c r="L318" s="7">
        <f t="shared" si="79"/>
        <v>0</v>
      </c>
      <c r="M318" t="s">
        <v>187</v>
      </c>
      <c r="O318" s="3">
        <f>E318-'305245 - P0424'!F318</f>
        <v>0</v>
      </c>
      <c r="P318" s="30">
        <f>I318-'305245 - P0424'!J318</f>
        <v>0</v>
      </c>
    </row>
    <row r="319" spans="1:16" x14ac:dyDescent="0.25">
      <c r="A319">
        <v>317</v>
      </c>
      <c r="B319" t="s">
        <v>473</v>
      </c>
      <c r="C319" t="s">
        <v>291</v>
      </c>
      <c r="D319" s="4" t="s">
        <v>316</v>
      </c>
      <c r="E319" s="12">
        <v>36.4</v>
      </c>
      <c r="F319" s="12">
        <v>36.4</v>
      </c>
      <c r="G319" s="6">
        <f t="shared" si="75"/>
        <v>0</v>
      </c>
      <c r="H319" s="7">
        <f t="shared" si="76"/>
        <v>0</v>
      </c>
      <c r="I319" s="8">
        <v>56</v>
      </c>
      <c r="J319" s="9">
        <f t="shared" si="77"/>
        <v>56</v>
      </c>
      <c r="K319" s="3">
        <f t="shared" si="78"/>
        <v>0</v>
      </c>
      <c r="L319" s="7">
        <f t="shared" si="79"/>
        <v>0</v>
      </c>
      <c r="M319" t="s">
        <v>187</v>
      </c>
      <c r="O319" s="3">
        <f>E319-'305245 - P0424'!F319</f>
        <v>0</v>
      </c>
      <c r="P319" s="30">
        <f>I319-'305245 - P0424'!J319</f>
        <v>0</v>
      </c>
    </row>
    <row r="320" spans="1:16" x14ac:dyDescent="0.25">
      <c r="A320">
        <v>318</v>
      </c>
      <c r="B320" t="s">
        <v>470</v>
      </c>
      <c r="C320" t="s">
        <v>291</v>
      </c>
      <c r="D320" s="4" t="s">
        <v>317</v>
      </c>
      <c r="E320" s="12">
        <v>32.81</v>
      </c>
      <c r="F320" s="12">
        <v>32.81</v>
      </c>
      <c r="G320" s="6">
        <f t="shared" si="75"/>
        <v>0</v>
      </c>
      <c r="H320" s="7">
        <f t="shared" si="76"/>
        <v>0</v>
      </c>
      <c r="I320" s="8">
        <v>85.12</v>
      </c>
      <c r="J320" s="9">
        <f t="shared" si="77"/>
        <v>85.12</v>
      </c>
      <c r="K320" s="3">
        <f t="shared" si="78"/>
        <v>0</v>
      </c>
      <c r="L320" s="7">
        <f t="shared" si="79"/>
        <v>0</v>
      </c>
      <c r="M320" t="s">
        <v>187</v>
      </c>
      <c r="O320" s="3">
        <f>E320-'305245 - P0424'!F320</f>
        <v>0</v>
      </c>
      <c r="P320" s="30">
        <f>I320-'305245 - P0424'!J320</f>
        <v>0</v>
      </c>
    </row>
    <row r="321" spans="1:16" x14ac:dyDescent="0.25">
      <c r="A321">
        <v>319</v>
      </c>
      <c r="B321" t="s">
        <v>473</v>
      </c>
      <c r="C321" t="s">
        <v>291</v>
      </c>
      <c r="D321" s="4" t="s">
        <v>318</v>
      </c>
      <c r="E321" s="12">
        <v>21.15</v>
      </c>
      <c r="F321" s="12">
        <v>21.15</v>
      </c>
      <c r="G321" s="6">
        <f t="shared" si="75"/>
        <v>0</v>
      </c>
      <c r="H321" s="7">
        <f t="shared" si="76"/>
        <v>0</v>
      </c>
      <c r="I321" s="8">
        <v>32.590000000000003</v>
      </c>
      <c r="J321" s="9">
        <f t="shared" si="77"/>
        <v>32.590000000000003</v>
      </c>
      <c r="K321" s="3">
        <f t="shared" si="78"/>
        <v>0</v>
      </c>
      <c r="L321" s="7">
        <f t="shared" si="79"/>
        <v>0</v>
      </c>
      <c r="M321" t="s">
        <v>187</v>
      </c>
      <c r="O321" s="3">
        <f>E321-'305245 - P0424'!F321</f>
        <v>0</v>
      </c>
      <c r="P321" s="30">
        <f>I321-'305245 - P0424'!J321</f>
        <v>0</v>
      </c>
    </row>
    <row r="322" spans="1:16" x14ac:dyDescent="0.25">
      <c r="A322">
        <v>320</v>
      </c>
      <c r="B322" t="s">
        <v>319</v>
      </c>
      <c r="C322" t="s">
        <v>291</v>
      </c>
      <c r="D322" s="4" t="s">
        <v>320</v>
      </c>
      <c r="E322" s="12">
        <v>1.34</v>
      </c>
      <c r="F322" s="12">
        <v>1.34</v>
      </c>
      <c r="G322" s="6">
        <f t="shared" si="75"/>
        <v>0</v>
      </c>
      <c r="H322" s="7">
        <f t="shared" si="76"/>
        <v>0</v>
      </c>
      <c r="I322" s="8">
        <v>2.5299999999999998</v>
      </c>
      <c r="J322" s="9">
        <f t="shared" si="77"/>
        <v>2.5299999999999998</v>
      </c>
      <c r="K322" s="3">
        <f t="shared" si="78"/>
        <v>0</v>
      </c>
      <c r="L322" s="7">
        <f t="shared" si="79"/>
        <v>0</v>
      </c>
      <c r="M322" t="s">
        <v>187</v>
      </c>
      <c r="O322" s="3">
        <f>E322-'305245 - P0424'!F322</f>
        <v>0</v>
      </c>
      <c r="P322" s="30">
        <f>I322-'305245 - P0424'!J322</f>
        <v>0</v>
      </c>
    </row>
    <row r="323" spans="1:16" x14ac:dyDescent="0.25">
      <c r="A323">
        <v>321</v>
      </c>
      <c r="B323" t="s">
        <v>473</v>
      </c>
      <c r="C323" t="s">
        <v>291</v>
      </c>
      <c r="D323" s="4" t="s">
        <v>321</v>
      </c>
      <c r="E323" s="12">
        <v>1.7</v>
      </c>
      <c r="F323" s="12">
        <v>1.7</v>
      </c>
      <c r="G323" s="6">
        <f t="shared" si="75"/>
        <v>0</v>
      </c>
      <c r="H323" s="7">
        <f t="shared" si="76"/>
        <v>0</v>
      </c>
      <c r="I323" s="8">
        <v>2.62</v>
      </c>
      <c r="J323" s="9">
        <f t="shared" si="77"/>
        <v>2.62</v>
      </c>
      <c r="K323" s="3">
        <f t="shared" si="78"/>
        <v>0</v>
      </c>
      <c r="L323" s="7">
        <f t="shared" si="79"/>
        <v>0</v>
      </c>
      <c r="M323" t="s">
        <v>187</v>
      </c>
      <c r="O323" s="3">
        <f>E323-'305245 - P0424'!F323</f>
        <v>0</v>
      </c>
      <c r="P323" s="30">
        <f>I323-'305245 - P0424'!J323</f>
        <v>0</v>
      </c>
    </row>
    <row r="324" spans="1:16" x14ac:dyDescent="0.25">
      <c r="A324">
        <v>322</v>
      </c>
      <c r="B324" t="s">
        <v>474</v>
      </c>
      <c r="C324" t="s">
        <v>291</v>
      </c>
      <c r="D324" s="4" t="s">
        <v>323</v>
      </c>
      <c r="E324" s="16">
        <v>35.229999999999997</v>
      </c>
      <c r="F324" s="12">
        <v>35.229999999999997</v>
      </c>
      <c r="G324" s="6">
        <f t="shared" si="75"/>
        <v>0</v>
      </c>
      <c r="H324" s="7">
        <f t="shared" si="76"/>
        <v>0</v>
      </c>
      <c r="I324" s="8">
        <v>54.21</v>
      </c>
      <c r="J324" s="9">
        <f t="shared" si="77"/>
        <v>54.21</v>
      </c>
      <c r="K324" s="3">
        <f t="shared" si="78"/>
        <v>0</v>
      </c>
      <c r="L324" s="7">
        <f t="shared" si="79"/>
        <v>0</v>
      </c>
      <c r="M324" t="s">
        <v>187</v>
      </c>
      <c r="O324" s="3">
        <f>E324-'305245 - P0424'!F324</f>
        <v>0</v>
      </c>
      <c r="P324" s="30">
        <f>I324-'305245 - P0424'!J324</f>
        <v>0</v>
      </c>
    </row>
    <row r="325" spans="1:16" x14ac:dyDescent="0.25">
      <c r="A325">
        <v>323</v>
      </c>
      <c r="B325" t="s">
        <v>474</v>
      </c>
      <c r="C325" t="s">
        <v>291</v>
      </c>
      <c r="D325" s="4" t="s">
        <v>324</v>
      </c>
      <c r="E325" s="16">
        <v>19.350000000000001</v>
      </c>
      <c r="F325" s="12">
        <v>19.350000000000001</v>
      </c>
      <c r="G325" s="6">
        <f t="shared" si="75"/>
        <v>0</v>
      </c>
      <c r="H325" s="7">
        <f t="shared" si="76"/>
        <v>0</v>
      </c>
      <c r="I325" s="8">
        <v>34.01</v>
      </c>
      <c r="J325" s="9">
        <f t="shared" si="77"/>
        <v>34.01</v>
      </c>
      <c r="K325" s="3">
        <f t="shared" si="78"/>
        <v>0</v>
      </c>
      <c r="L325" s="7">
        <f t="shared" si="79"/>
        <v>0</v>
      </c>
      <c r="M325" t="s">
        <v>187</v>
      </c>
      <c r="O325" s="3">
        <f>E325-'305245 - P0424'!F325</f>
        <v>0</v>
      </c>
      <c r="P325" s="30">
        <f>I325-'305245 - P0424'!J325</f>
        <v>0</v>
      </c>
    </row>
    <row r="326" spans="1:16" x14ac:dyDescent="0.25">
      <c r="A326">
        <v>324</v>
      </c>
      <c r="B326" t="s">
        <v>474</v>
      </c>
      <c r="C326" t="s">
        <v>291</v>
      </c>
      <c r="D326" s="4" t="s">
        <v>325</v>
      </c>
      <c r="E326" s="16">
        <v>13.97</v>
      </c>
      <c r="F326" s="12">
        <v>13.97</v>
      </c>
      <c r="G326" s="6">
        <f t="shared" si="75"/>
        <v>0</v>
      </c>
      <c r="H326" s="7">
        <f t="shared" si="76"/>
        <v>0</v>
      </c>
      <c r="I326" s="8">
        <v>21.5</v>
      </c>
      <c r="J326" s="9">
        <f t="shared" si="77"/>
        <v>21.5</v>
      </c>
      <c r="K326" s="3">
        <f t="shared" si="78"/>
        <v>0</v>
      </c>
      <c r="L326" s="7">
        <f t="shared" si="79"/>
        <v>0</v>
      </c>
      <c r="M326" t="s">
        <v>187</v>
      </c>
      <c r="O326" s="3">
        <f>E326-'305245 - P0424'!F326</f>
        <v>0</v>
      </c>
      <c r="P326" s="30">
        <f>I326-'305245 - P0424'!J326</f>
        <v>0</v>
      </c>
    </row>
    <row r="327" spans="1:16" x14ac:dyDescent="0.25">
      <c r="A327">
        <v>325</v>
      </c>
      <c r="B327" t="s">
        <v>474</v>
      </c>
      <c r="C327" t="s">
        <v>291</v>
      </c>
      <c r="D327" s="4" t="s">
        <v>326</v>
      </c>
      <c r="E327" s="16">
        <v>4.5599999999999996</v>
      </c>
      <c r="F327" s="12">
        <v>4.5599999999999996</v>
      </c>
      <c r="G327" s="6">
        <f t="shared" si="75"/>
        <v>0</v>
      </c>
      <c r="H327" s="7">
        <f t="shared" si="76"/>
        <v>0</v>
      </c>
      <c r="I327" s="8">
        <v>9.14</v>
      </c>
      <c r="J327" s="9">
        <f t="shared" si="77"/>
        <v>9.14</v>
      </c>
      <c r="K327" s="3">
        <f t="shared" si="78"/>
        <v>0</v>
      </c>
      <c r="L327" s="7">
        <f t="shared" si="79"/>
        <v>0</v>
      </c>
      <c r="M327" t="s">
        <v>187</v>
      </c>
      <c r="O327" s="3">
        <f>E327-'305245 - P0424'!F327</f>
        <v>0</v>
      </c>
      <c r="P327" s="30">
        <f>I327-'305245 - P0424'!J327</f>
        <v>0</v>
      </c>
    </row>
    <row r="328" spans="1:16" x14ac:dyDescent="0.25">
      <c r="A328">
        <v>326</v>
      </c>
      <c r="B328" t="s">
        <v>475</v>
      </c>
      <c r="C328" t="s">
        <v>291</v>
      </c>
      <c r="D328" s="4" t="s">
        <v>327</v>
      </c>
      <c r="E328" s="16">
        <v>3.49</v>
      </c>
      <c r="F328" s="12">
        <v>3.49</v>
      </c>
      <c r="G328" s="6">
        <f t="shared" si="75"/>
        <v>0</v>
      </c>
      <c r="H328" s="7">
        <f t="shared" si="76"/>
        <v>0</v>
      </c>
      <c r="I328" s="8">
        <v>6.59</v>
      </c>
      <c r="J328" s="9">
        <f t="shared" si="77"/>
        <v>6.59</v>
      </c>
      <c r="K328" s="3">
        <f t="shared" si="78"/>
        <v>0</v>
      </c>
      <c r="L328" s="7">
        <f t="shared" si="79"/>
        <v>0</v>
      </c>
      <c r="M328" t="s">
        <v>187</v>
      </c>
      <c r="O328" s="3">
        <f>E328-'305245 - P0424'!F328</f>
        <v>0</v>
      </c>
      <c r="P328" s="30">
        <f>I328-'305245 - P0424'!J328</f>
        <v>0</v>
      </c>
    </row>
    <row r="329" spans="1:16" x14ac:dyDescent="0.25">
      <c r="A329">
        <v>327</v>
      </c>
      <c r="B329" t="s">
        <v>474</v>
      </c>
      <c r="C329" t="s">
        <v>291</v>
      </c>
      <c r="D329" s="4" t="s">
        <v>328</v>
      </c>
      <c r="E329" s="16">
        <v>5.68</v>
      </c>
      <c r="F329" s="12">
        <v>5.68</v>
      </c>
      <c r="G329" s="6">
        <f t="shared" si="75"/>
        <v>0</v>
      </c>
      <c r="H329" s="7">
        <f t="shared" si="76"/>
        <v>0</v>
      </c>
      <c r="I329" s="8">
        <v>8.77</v>
      </c>
      <c r="J329" s="9">
        <f t="shared" si="77"/>
        <v>8.77</v>
      </c>
      <c r="K329" s="3">
        <f t="shared" si="78"/>
        <v>0</v>
      </c>
      <c r="L329" s="7">
        <f t="shared" si="79"/>
        <v>0</v>
      </c>
      <c r="M329" t="s">
        <v>187</v>
      </c>
      <c r="O329" s="3">
        <f>E329-'305245 - P0424'!F329</f>
        <v>0</v>
      </c>
      <c r="P329" s="30">
        <f>I329-'305245 - P0424'!J329</f>
        <v>0</v>
      </c>
    </row>
    <row r="330" spans="1:16" x14ac:dyDescent="0.25">
      <c r="A330">
        <v>328</v>
      </c>
      <c r="B330" t="s">
        <v>473</v>
      </c>
      <c r="C330" t="s">
        <v>291</v>
      </c>
      <c r="D330" s="4" t="s">
        <v>329</v>
      </c>
      <c r="E330" s="16">
        <v>5.22</v>
      </c>
      <c r="F330" s="12">
        <v>5.22</v>
      </c>
      <c r="G330" s="6">
        <f t="shared" si="75"/>
        <v>0</v>
      </c>
      <c r="H330" s="7">
        <f t="shared" si="76"/>
        <v>0</v>
      </c>
      <c r="I330" s="8">
        <v>8.0399999999999991</v>
      </c>
      <c r="J330" s="9">
        <f t="shared" si="77"/>
        <v>8.0399999999999991</v>
      </c>
      <c r="K330" s="3">
        <f t="shared" si="78"/>
        <v>0</v>
      </c>
      <c r="L330" s="7">
        <f t="shared" si="79"/>
        <v>0</v>
      </c>
      <c r="M330" t="s">
        <v>187</v>
      </c>
      <c r="O330" s="3">
        <f>E330-'305245 - P0424'!F330</f>
        <v>0</v>
      </c>
      <c r="P330" s="30">
        <f>I330-'305245 - P0424'!J330</f>
        <v>0</v>
      </c>
    </row>
    <row r="331" spans="1:16" x14ac:dyDescent="0.25">
      <c r="A331">
        <v>329</v>
      </c>
      <c r="B331" t="s">
        <v>474</v>
      </c>
      <c r="C331" t="s">
        <v>291</v>
      </c>
      <c r="D331" s="4" t="s">
        <v>330</v>
      </c>
      <c r="E331" s="16">
        <v>34.32</v>
      </c>
      <c r="F331" s="12">
        <v>34.32</v>
      </c>
      <c r="G331" s="6">
        <f t="shared" si="75"/>
        <v>0</v>
      </c>
      <c r="H331" s="7">
        <f t="shared" si="76"/>
        <v>0</v>
      </c>
      <c r="I331" s="8">
        <v>52.8</v>
      </c>
      <c r="J331" s="9">
        <f t="shared" si="77"/>
        <v>52.8</v>
      </c>
      <c r="K331" s="3">
        <f t="shared" si="78"/>
        <v>0</v>
      </c>
      <c r="L331" s="7">
        <f t="shared" si="79"/>
        <v>0</v>
      </c>
      <c r="M331" t="s">
        <v>187</v>
      </c>
      <c r="O331" s="3">
        <f>E331-'305245 - P0424'!F331</f>
        <v>0</v>
      </c>
      <c r="P331" s="30">
        <f>I331-'305245 - P0424'!J331</f>
        <v>0</v>
      </c>
    </row>
    <row r="332" spans="1:16" x14ac:dyDescent="0.25">
      <c r="A332">
        <v>330</v>
      </c>
      <c r="B332" t="s">
        <v>474</v>
      </c>
      <c r="C332" t="s">
        <v>291</v>
      </c>
      <c r="D332" s="4" t="s">
        <v>331</v>
      </c>
      <c r="E332" s="16">
        <v>2.96</v>
      </c>
      <c r="F332" s="12">
        <v>2.96</v>
      </c>
      <c r="G332" s="6">
        <f>+F332-E332</f>
        <v>0</v>
      </c>
      <c r="H332" s="7">
        <f>(F332-E332)/ABS(E332)</f>
        <v>0</v>
      </c>
      <c r="I332" s="8">
        <v>4.5599999999999996</v>
      </c>
      <c r="J332" s="9">
        <f>(I332*H332)+I332</f>
        <v>4.5599999999999996</v>
      </c>
      <c r="K332" s="3">
        <f>J332-I332</f>
        <v>0</v>
      </c>
      <c r="L332" s="7">
        <f>(J332-I332)/ABS(I332)</f>
        <v>0</v>
      </c>
      <c r="M332" t="s">
        <v>187</v>
      </c>
      <c r="O332" s="3">
        <f>E332-'305245 - P0424'!F332</f>
        <v>0</v>
      </c>
      <c r="P332" s="30">
        <f>I332-'305245 - P0424'!J332</f>
        <v>0</v>
      </c>
    </row>
    <row r="333" spans="1:16" x14ac:dyDescent="0.25">
      <c r="A333">
        <v>331</v>
      </c>
      <c r="B333" t="s">
        <v>473</v>
      </c>
      <c r="C333" t="s">
        <v>291</v>
      </c>
      <c r="D333" s="4" t="s">
        <v>332</v>
      </c>
      <c r="E333" s="12">
        <v>197</v>
      </c>
      <c r="F333" s="12">
        <v>197</v>
      </c>
      <c r="G333" s="6">
        <f t="shared" ref="G333:G345" si="80">+F333-E333</f>
        <v>0</v>
      </c>
      <c r="H333" s="7">
        <f t="shared" ref="H333:H345" si="81">(F333-E333)/ABS(E333)</f>
        <v>0</v>
      </c>
      <c r="I333" s="8">
        <v>303.08</v>
      </c>
      <c r="J333" s="9">
        <f t="shared" ref="J333:J345" si="82">(I333*H333)+I333</f>
        <v>303.08</v>
      </c>
      <c r="K333" s="3">
        <f t="shared" ref="K333:K345" si="83">J333-I333</f>
        <v>0</v>
      </c>
      <c r="L333" s="7">
        <f t="shared" ref="L333:L345" si="84">(J333-I333)/ABS(I333)</f>
        <v>0</v>
      </c>
      <c r="M333" t="s">
        <v>187</v>
      </c>
      <c r="O333" s="3">
        <f>E333-'305245 - P0424'!F333</f>
        <v>0</v>
      </c>
      <c r="P333" s="30">
        <f>I333-'305245 - P0424'!J333</f>
        <v>0</v>
      </c>
    </row>
    <row r="334" spans="1:16" x14ac:dyDescent="0.25">
      <c r="A334">
        <v>332</v>
      </c>
      <c r="B334" t="s">
        <v>319</v>
      </c>
      <c r="C334" t="s">
        <v>291</v>
      </c>
      <c r="D334" s="4" t="s">
        <v>333</v>
      </c>
      <c r="E334" s="12">
        <v>83</v>
      </c>
      <c r="F334" s="12">
        <v>83</v>
      </c>
      <c r="G334" s="6">
        <f t="shared" si="80"/>
        <v>0</v>
      </c>
      <c r="H334" s="7">
        <f t="shared" si="81"/>
        <v>0</v>
      </c>
      <c r="I334" s="8">
        <v>100.7</v>
      </c>
      <c r="J334" s="9">
        <f t="shared" si="82"/>
        <v>100.7</v>
      </c>
      <c r="K334" s="3">
        <f t="shared" si="83"/>
        <v>0</v>
      </c>
      <c r="L334" s="7">
        <f t="shared" si="84"/>
        <v>0</v>
      </c>
      <c r="M334" t="s">
        <v>187</v>
      </c>
      <c r="O334" s="3">
        <f>E334-'305245 - P0424'!F334</f>
        <v>0</v>
      </c>
      <c r="P334" s="30">
        <f>I334-'305245 - P0424'!J334</f>
        <v>0</v>
      </c>
    </row>
    <row r="335" spans="1:16" x14ac:dyDescent="0.25">
      <c r="A335">
        <v>333</v>
      </c>
      <c r="B335" t="s">
        <v>305</v>
      </c>
      <c r="C335" t="s">
        <v>291</v>
      </c>
      <c r="D335" s="4" t="s">
        <v>334</v>
      </c>
      <c r="E335" s="12">
        <v>10</v>
      </c>
      <c r="F335" s="12">
        <v>10</v>
      </c>
      <c r="G335" s="6">
        <f t="shared" si="80"/>
        <v>0</v>
      </c>
      <c r="H335" s="7">
        <f t="shared" si="81"/>
        <v>0</v>
      </c>
      <c r="I335" s="8">
        <v>15.39</v>
      </c>
      <c r="J335" s="9">
        <f t="shared" si="82"/>
        <v>15.39</v>
      </c>
      <c r="K335" s="3">
        <f t="shared" si="83"/>
        <v>0</v>
      </c>
      <c r="L335" s="7">
        <f t="shared" si="84"/>
        <v>0</v>
      </c>
      <c r="M335" t="s">
        <v>187</v>
      </c>
      <c r="O335" s="3">
        <f>E335-'305245 - P0424'!F335</f>
        <v>0</v>
      </c>
      <c r="P335" s="30">
        <f>I335-'305245 - P0424'!J335</f>
        <v>0</v>
      </c>
    </row>
    <row r="336" spans="1:16" x14ac:dyDescent="0.25">
      <c r="A336">
        <v>334</v>
      </c>
      <c r="B336" t="s">
        <v>476</v>
      </c>
      <c r="C336" t="s">
        <v>291</v>
      </c>
      <c r="D336" s="4" t="s">
        <v>335</v>
      </c>
      <c r="E336" s="12">
        <v>2.5099999999999998</v>
      </c>
      <c r="F336" s="12">
        <v>2.5099999999999998</v>
      </c>
      <c r="G336" s="6">
        <f t="shared" si="80"/>
        <v>0</v>
      </c>
      <c r="H336" s="7">
        <f t="shared" si="81"/>
        <v>0</v>
      </c>
      <c r="I336" s="8">
        <v>5.14</v>
      </c>
      <c r="J336" s="9">
        <f t="shared" si="82"/>
        <v>5.14</v>
      </c>
      <c r="K336" s="3">
        <f t="shared" si="83"/>
        <v>0</v>
      </c>
      <c r="L336" s="7">
        <f t="shared" si="84"/>
        <v>0</v>
      </c>
      <c r="M336" t="s">
        <v>187</v>
      </c>
      <c r="O336" s="3">
        <f>E336-'305245 - P0424'!F336</f>
        <v>0</v>
      </c>
      <c r="P336" s="30">
        <f>I336-'305245 - P0424'!J336</f>
        <v>0</v>
      </c>
    </row>
    <row r="337" spans="1:16" x14ac:dyDescent="0.25">
      <c r="A337">
        <v>335</v>
      </c>
      <c r="B337" t="s">
        <v>477</v>
      </c>
      <c r="C337" t="s">
        <v>291</v>
      </c>
      <c r="D337" s="4" t="s">
        <v>336</v>
      </c>
      <c r="E337" s="12">
        <v>5.44</v>
      </c>
      <c r="F337" s="12">
        <v>5.44</v>
      </c>
      <c r="G337" s="6">
        <f t="shared" si="80"/>
        <v>0</v>
      </c>
      <c r="H337" s="7">
        <f t="shared" si="81"/>
        <v>0</v>
      </c>
      <c r="I337" s="8">
        <v>9.49</v>
      </c>
      <c r="J337" s="9">
        <f t="shared" si="82"/>
        <v>9.49</v>
      </c>
      <c r="K337" s="3">
        <f t="shared" si="83"/>
        <v>0</v>
      </c>
      <c r="L337" s="7">
        <f t="shared" si="84"/>
        <v>0</v>
      </c>
      <c r="M337" t="s">
        <v>187</v>
      </c>
      <c r="O337" s="3">
        <f>E337-'305245 - P0424'!F337</f>
        <v>0</v>
      </c>
      <c r="P337" s="30">
        <f>I337-'305245 - P0424'!J337</f>
        <v>0</v>
      </c>
    </row>
    <row r="338" spans="1:16" x14ac:dyDescent="0.25">
      <c r="A338">
        <v>336</v>
      </c>
      <c r="B338" t="s">
        <v>463</v>
      </c>
      <c r="C338" t="s">
        <v>291</v>
      </c>
      <c r="D338" s="4" t="s">
        <v>337</v>
      </c>
      <c r="E338" s="12">
        <v>115.32</v>
      </c>
      <c r="F338" s="12">
        <v>115.32</v>
      </c>
      <c r="G338" s="6">
        <f t="shared" si="80"/>
        <v>0</v>
      </c>
      <c r="H338" s="7">
        <f t="shared" si="81"/>
        <v>0</v>
      </c>
      <c r="I338" s="8">
        <v>177.42</v>
      </c>
      <c r="J338" s="9">
        <f t="shared" si="82"/>
        <v>177.42</v>
      </c>
      <c r="K338" s="3">
        <f t="shared" si="83"/>
        <v>0</v>
      </c>
      <c r="L338" s="7">
        <f t="shared" si="84"/>
        <v>0</v>
      </c>
      <c r="M338" t="s">
        <v>187</v>
      </c>
      <c r="O338" s="3">
        <f>E338-'305245 - P0424'!F338</f>
        <v>0</v>
      </c>
      <c r="P338" s="30">
        <f>I338-'305245 - P0424'!J338</f>
        <v>0</v>
      </c>
    </row>
    <row r="339" spans="1:16" x14ac:dyDescent="0.25">
      <c r="A339">
        <v>337</v>
      </c>
      <c r="B339" t="s">
        <v>463</v>
      </c>
      <c r="C339" t="s">
        <v>291</v>
      </c>
      <c r="D339" s="4" t="s">
        <v>338</v>
      </c>
      <c r="E339" s="12">
        <v>0.89</v>
      </c>
      <c r="F339" s="12">
        <v>0.89</v>
      </c>
      <c r="G339" s="6">
        <f t="shared" si="80"/>
        <v>0</v>
      </c>
      <c r="H339" s="7">
        <f t="shared" si="81"/>
        <v>0</v>
      </c>
      <c r="I339" s="8">
        <v>1.37</v>
      </c>
      <c r="J339" s="9">
        <f t="shared" si="82"/>
        <v>1.37</v>
      </c>
      <c r="K339" s="3">
        <f t="shared" si="83"/>
        <v>0</v>
      </c>
      <c r="L339" s="7">
        <f t="shared" si="84"/>
        <v>0</v>
      </c>
      <c r="M339" t="s">
        <v>187</v>
      </c>
      <c r="O339" s="3">
        <f>E339-'305245 - P0424'!F339</f>
        <v>0</v>
      </c>
      <c r="P339" s="30">
        <f>I339-'305245 - P0424'!J339</f>
        <v>0</v>
      </c>
    </row>
    <row r="340" spans="1:16" x14ac:dyDescent="0.25">
      <c r="A340">
        <v>338</v>
      </c>
      <c r="B340" t="s">
        <v>463</v>
      </c>
      <c r="C340" t="s">
        <v>291</v>
      </c>
      <c r="D340" s="4" t="s">
        <v>339</v>
      </c>
      <c r="E340" s="12">
        <v>33.590000000000003</v>
      </c>
      <c r="F340" s="12">
        <v>33.590000000000003</v>
      </c>
      <c r="G340" s="6">
        <f t="shared" si="80"/>
        <v>0</v>
      </c>
      <c r="H340" s="7">
        <f t="shared" si="81"/>
        <v>0</v>
      </c>
      <c r="I340" s="8">
        <v>51.68</v>
      </c>
      <c r="J340" s="9">
        <f t="shared" si="82"/>
        <v>51.68</v>
      </c>
      <c r="K340" s="3">
        <f t="shared" si="83"/>
        <v>0</v>
      </c>
      <c r="L340" s="7">
        <f t="shared" si="84"/>
        <v>0</v>
      </c>
      <c r="M340" t="s">
        <v>187</v>
      </c>
      <c r="O340" s="3">
        <f>E340-'305245 - P0424'!F340</f>
        <v>0</v>
      </c>
      <c r="P340" s="30">
        <f>I340-'305245 - P0424'!J340</f>
        <v>0</v>
      </c>
    </row>
    <row r="341" spans="1:16" x14ac:dyDescent="0.25">
      <c r="A341">
        <v>339</v>
      </c>
      <c r="B341" t="s">
        <v>463</v>
      </c>
      <c r="C341" t="s">
        <v>291</v>
      </c>
      <c r="D341" s="4" t="s">
        <v>464</v>
      </c>
      <c r="E341" s="12">
        <v>14.78</v>
      </c>
      <c r="F341" s="12">
        <v>14.78</v>
      </c>
      <c r="G341" s="6">
        <f t="shared" si="80"/>
        <v>0</v>
      </c>
      <c r="H341" s="7">
        <f t="shared" si="81"/>
        <v>0</v>
      </c>
      <c r="I341" s="8">
        <v>22.74</v>
      </c>
      <c r="J341" s="9">
        <f t="shared" si="82"/>
        <v>22.74</v>
      </c>
      <c r="K341" s="3">
        <f t="shared" si="83"/>
        <v>0</v>
      </c>
      <c r="L341" s="7">
        <f t="shared" si="84"/>
        <v>0</v>
      </c>
      <c r="M341" t="s">
        <v>187</v>
      </c>
      <c r="O341" s="3">
        <f>E341-'305245 - P0424'!F341</f>
        <v>0</v>
      </c>
      <c r="P341" s="30">
        <f>I341-'305245 - P0424'!J341</f>
        <v>0</v>
      </c>
    </row>
    <row r="342" spans="1:16" x14ac:dyDescent="0.25">
      <c r="A342">
        <v>340</v>
      </c>
      <c r="B342" t="s">
        <v>463</v>
      </c>
      <c r="C342" t="s">
        <v>291</v>
      </c>
      <c r="D342" s="4" t="s">
        <v>466</v>
      </c>
      <c r="E342" s="12">
        <v>2.21</v>
      </c>
      <c r="F342" s="12">
        <v>2.21</v>
      </c>
      <c r="G342" s="6">
        <f t="shared" si="80"/>
        <v>0</v>
      </c>
      <c r="H342" s="7">
        <f t="shared" si="81"/>
        <v>0</v>
      </c>
      <c r="I342" s="8">
        <v>3.8</v>
      </c>
      <c r="J342" s="9">
        <f t="shared" si="82"/>
        <v>3.8</v>
      </c>
      <c r="K342" s="3">
        <f t="shared" si="83"/>
        <v>0</v>
      </c>
      <c r="L342" s="7">
        <f t="shared" si="84"/>
        <v>0</v>
      </c>
      <c r="M342" t="s">
        <v>187</v>
      </c>
      <c r="O342" s="3">
        <f>E342-'305245 - P0424'!F342</f>
        <v>0</v>
      </c>
      <c r="P342" s="30">
        <f>I342-'305245 - P0424'!J342</f>
        <v>0</v>
      </c>
    </row>
    <row r="343" spans="1:16" x14ac:dyDescent="0.25">
      <c r="A343">
        <v>341</v>
      </c>
      <c r="B343" t="s">
        <v>463</v>
      </c>
      <c r="C343" t="s">
        <v>291</v>
      </c>
      <c r="D343" s="4" t="s">
        <v>467</v>
      </c>
      <c r="E343" s="12">
        <v>30.62</v>
      </c>
      <c r="F343" s="12">
        <v>30.62</v>
      </c>
      <c r="G343" s="6">
        <f t="shared" si="80"/>
        <v>0</v>
      </c>
      <c r="H343" s="7">
        <f t="shared" si="81"/>
        <v>0</v>
      </c>
      <c r="I343" s="8">
        <v>52.76</v>
      </c>
      <c r="J343" s="9">
        <f t="shared" si="82"/>
        <v>52.76</v>
      </c>
      <c r="K343" s="3">
        <f t="shared" si="83"/>
        <v>0</v>
      </c>
      <c r="L343" s="7">
        <f t="shared" si="84"/>
        <v>0</v>
      </c>
      <c r="M343" t="s">
        <v>187</v>
      </c>
      <c r="O343" s="3">
        <f>E343-'305245 - P0424'!F343</f>
        <v>0</v>
      </c>
      <c r="P343" s="30">
        <f>I343-'305245 - P0424'!J343</f>
        <v>0</v>
      </c>
    </row>
    <row r="344" spans="1:16" x14ac:dyDescent="0.25">
      <c r="A344">
        <v>342</v>
      </c>
      <c r="B344" t="s">
        <v>485</v>
      </c>
      <c r="C344" t="s">
        <v>291</v>
      </c>
      <c r="D344" s="4" t="s">
        <v>488</v>
      </c>
      <c r="E344" s="12">
        <v>147</v>
      </c>
      <c r="F344" s="12">
        <v>147</v>
      </c>
      <c r="G344" s="6">
        <f t="shared" si="80"/>
        <v>0</v>
      </c>
      <c r="H344" s="7">
        <f t="shared" si="81"/>
        <v>0</v>
      </c>
      <c r="I344" s="8">
        <v>226.16</v>
      </c>
      <c r="J344" s="9">
        <f t="shared" si="82"/>
        <v>226.16</v>
      </c>
      <c r="K344" s="3">
        <f t="shared" si="83"/>
        <v>0</v>
      </c>
      <c r="L344" s="7">
        <f t="shared" si="84"/>
        <v>0</v>
      </c>
      <c r="M344" t="s">
        <v>187</v>
      </c>
      <c r="O344" s="3">
        <f>E344-'305245 - P0424'!F344</f>
        <v>0</v>
      </c>
      <c r="P344" s="30">
        <f>I344-'305245 - P0424'!J344</f>
        <v>0</v>
      </c>
    </row>
    <row r="345" spans="1:16" x14ac:dyDescent="0.25">
      <c r="A345">
        <v>343</v>
      </c>
      <c r="B345" t="s">
        <v>290</v>
      </c>
      <c r="C345" t="s">
        <v>291</v>
      </c>
      <c r="D345" s="4" t="s">
        <v>489</v>
      </c>
      <c r="E345" s="12">
        <v>66.349999999999994</v>
      </c>
      <c r="F345" s="12">
        <v>66.349999999999994</v>
      </c>
      <c r="G345" s="6">
        <f t="shared" si="80"/>
        <v>0</v>
      </c>
      <c r="H345" s="7">
        <f t="shared" si="81"/>
        <v>0</v>
      </c>
      <c r="I345" s="8">
        <v>102.08</v>
      </c>
      <c r="J345" s="9">
        <f t="shared" si="82"/>
        <v>102.08</v>
      </c>
      <c r="K345" s="3">
        <f t="shared" si="83"/>
        <v>0</v>
      </c>
      <c r="L345" s="7">
        <f t="shared" si="84"/>
        <v>0</v>
      </c>
      <c r="M345" t="s">
        <v>187</v>
      </c>
      <c r="O345" s="3">
        <f>E345-'305245 - P0424'!F345</f>
        <v>0</v>
      </c>
      <c r="P345" s="30">
        <f>I345-'305245 - P0424'!J345</f>
        <v>0</v>
      </c>
    </row>
    <row r="346" spans="1:16" x14ac:dyDescent="0.25">
      <c r="A346">
        <v>344</v>
      </c>
      <c r="D346" s="2" t="s">
        <v>340</v>
      </c>
      <c r="H346" s="10">
        <f>AVERAGE(H298:H343)</f>
        <v>0</v>
      </c>
      <c r="I346"/>
    </row>
    <row r="347" spans="1:16" x14ac:dyDescent="0.25">
      <c r="A347">
        <v>345</v>
      </c>
      <c r="D347" s="2" t="s">
        <v>341</v>
      </c>
      <c r="I347"/>
      <c r="M347" t="s">
        <v>7</v>
      </c>
    </row>
    <row r="348" spans="1:16" x14ac:dyDescent="0.25">
      <c r="A348">
        <v>346</v>
      </c>
      <c r="D348" s="2" t="s">
        <v>342</v>
      </c>
      <c r="I348"/>
      <c r="O348" s="3">
        <f>E348-'305245 - P0424'!F348</f>
        <v>0</v>
      </c>
      <c r="P348" s="30">
        <f>I348-'305245 - P0424'!J348</f>
        <v>0</v>
      </c>
    </row>
    <row r="349" spans="1:16" x14ac:dyDescent="0.25">
      <c r="A349">
        <v>347</v>
      </c>
      <c r="B349" t="s">
        <v>470</v>
      </c>
      <c r="C349" s="28" t="s">
        <v>454</v>
      </c>
      <c r="D349" s="4" t="s">
        <v>497</v>
      </c>
      <c r="E349" s="11">
        <v>1450</v>
      </c>
      <c r="F349" s="11">
        <v>1450</v>
      </c>
      <c r="G349" s="6">
        <f t="shared" ref="G349:G356" si="85">+F349-E349</f>
        <v>0</v>
      </c>
      <c r="H349" s="7">
        <f t="shared" ref="H349:H356" si="86">(F349-E349)/ABS(E349)</f>
        <v>0</v>
      </c>
      <c r="I349" s="8">
        <v>118.24570098910753</v>
      </c>
      <c r="J349" s="9">
        <f t="shared" ref="J349:J356" si="87">(I349*H349)+I349</f>
        <v>118.24570098910753</v>
      </c>
      <c r="K349" s="3">
        <f t="shared" ref="K349:K356" si="88">J349-I349</f>
        <v>0</v>
      </c>
      <c r="L349" s="7">
        <f t="shared" ref="L349:L356" si="89">(J349-I349)/ABS(I349)</f>
        <v>0</v>
      </c>
      <c r="M349" t="s">
        <v>7</v>
      </c>
      <c r="O349" s="3">
        <f>E349-'305245 - P0424'!F349</f>
        <v>0</v>
      </c>
      <c r="P349" s="30">
        <f>I349-'305245 - P0424'!J349</f>
        <v>0</v>
      </c>
    </row>
    <row r="350" spans="1:16" x14ac:dyDescent="0.25">
      <c r="A350">
        <v>348</v>
      </c>
      <c r="B350" t="s">
        <v>290</v>
      </c>
      <c r="C350" s="28" t="s">
        <v>344</v>
      </c>
      <c r="D350" s="4" t="s">
        <v>345</v>
      </c>
      <c r="E350" s="11">
        <v>4.93</v>
      </c>
      <c r="F350" s="11">
        <v>4.93</v>
      </c>
      <c r="G350" s="6">
        <f t="shared" si="85"/>
        <v>0</v>
      </c>
      <c r="H350" s="7">
        <f t="shared" si="86"/>
        <v>0</v>
      </c>
      <c r="I350" s="8">
        <v>10.18301417057406</v>
      </c>
      <c r="J350" s="9">
        <f t="shared" si="87"/>
        <v>10.18301417057406</v>
      </c>
      <c r="K350" s="3">
        <f t="shared" si="88"/>
        <v>0</v>
      </c>
      <c r="L350" s="7">
        <f t="shared" si="89"/>
        <v>0</v>
      </c>
      <c r="M350" t="s">
        <v>7</v>
      </c>
      <c r="O350" s="3">
        <f>E350-'305245 - P0424'!F350</f>
        <v>0</v>
      </c>
      <c r="P350" s="30">
        <f>I350-'305245 - P0424'!J350</f>
        <v>0</v>
      </c>
    </row>
    <row r="351" spans="1:16" x14ac:dyDescent="0.25">
      <c r="A351">
        <v>349</v>
      </c>
      <c r="B351" t="s">
        <v>463</v>
      </c>
      <c r="C351" s="28" t="s">
        <v>344</v>
      </c>
      <c r="D351" s="4" t="s">
        <v>346</v>
      </c>
      <c r="E351" s="11">
        <v>6.5</v>
      </c>
      <c r="F351" s="11">
        <v>6.5</v>
      </c>
      <c r="G351" s="6">
        <f t="shared" si="85"/>
        <v>0</v>
      </c>
      <c r="H351" s="7">
        <f t="shared" si="86"/>
        <v>0</v>
      </c>
      <c r="I351" s="8">
        <v>11.46</v>
      </c>
      <c r="J351" s="9">
        <f t="shared" si="87"/>
        <v>11.46</v>
      </c>
      <c r="K351" s="3">
        <f t="shared" si="88"/>
        <v>0</v>
      </c>
      <c r="L351" s="7">
        <f t="shared" si="89"/>
        <v>0</v>
      </c>
      <c r="M351" t="s">
        <v>7</v>
      </c>
      <c r="O351" s="3">
        <f>E351-'305245 - P0424'!F351</f>
        <v>0</v>
      </c>
      <c r="P351" s="30">
        <f>I351-'305245 - P0424'!J351</f>
        <v>0</v>
      </c>
    </row>
    <row r="352" spans="1:16" x14ac:dyDescent="0.25">
      <c r="A352">
        <v>350</v>
      </c>
      <c r="B352" t="s">
        <v>463</v>
      </c>
      <c r="C352" s="28" t="s">
        <v>347</v>
      </c>
      <c r="D352" s="4" t="s">
        <v>348</v>
      </c>
      <c r="E352" s="11">
        <v>4.7699999999999996</v>
      </c>
      <c r="F352" s="11">
        <v>4.7699999999999996</v>
      </c>
      <c r="G352" s="6">
        <f t="shared" si="85"/>
        <v>0</v>
      </c>
      <c r="H352" s="7">
        <f t="shared" si="86"/>
        <v>0</v>
      </c>
      <c r="I352" s="8">
        <v>6.82</v>
      </c>
      <c r="J352" s="9">
        <f t="shared" si="87"/>
        <v>6.82</v>
      </c>
      <c r="K352" s="3">
        <f t="shared" si="88"/>
        <v>0</v>
      </c>
      <c r="L352" s="7">
        <f t="shared" si="89"/>
        <v>0</v>
      </c>
      <c r="M352" t="s">
        <v>7</v>
      </c>
      <c r="O352" s="3">
        <f>E352-'305245 - P0424'!F352</f>
        <v>0</v>
      </c>
      <c r="P352" s="30">
        <f>I352-'305245 - P0424'!J352</f>
        <v>0</v>
      </c>
    </row>
    <row r="353" spans="1:16" x14ac:dyDescent="0.25">
      <c r="A353">
        <v>351</v>
      </c>
      <c r="B353" t="s">
        <v>463</v>
      </c>
      <c r="C353" s="28" t="s">
        <v>347</v>
      </c>
      <c r="D353" s="4" t="s">
        <v>349</v>
      </c>
      <c r="E353" s="11">
        <v>104</v>
      </c>
      <c r="F353" s="11">
        <v>104</v>
      </c>
      <c r="G353" s="6">
        <f t="shared" si="85"/>
        <v>0</v>
      </c>
      <c r="H353" s="7">
        <f t="shared" si="86"/>
        <v>0</v>
      </c>
      <c r="I353" s="8">
        <v>159.78</v>
      </c>
      <c r="J353" s="9">
        <f t="shared" si="87"/>
        <v>159.78</v>
      </c>
      <c r="K353" s="3">
        <f t="shared" si="88"/>
        <v>0</v>
      </c>
      <c r="L353" s="7">
        <f t="shared" si="89"/>
        <v>0</v>
      </c>
      <c r="M353" t="s">
        <v>7</v>
      </c>
      <c r="O353" s="3">
        <f>E353-'305245 - P0424'!F353</f>
        <v>0</v>
      </c>
      <c r="P353" s="30">
        <f>I353-'305245 - P0424'!J353</f>
        <v>0</v>
      </c>
    </row>
    <row r="354" spans="1:16" x14ac:dyDescent="0.25">
      <c r="A354">
        <v>352</v>
      </c>
      <c r="B354" t="s">
        <v>445</v>
      </c>
      <c r="C354" s="28" t="s">
        <v>343</v>
      </c>
      <c r="D354" s="4" t="s">
        <v>446</v>
      </c>
      <c r="E354" s="11">
        <v>49.89</v>
      </c>
      <c r="F354" s="11">
        <v>49.89</v>
      </c>
      <c r="G354" s="6">
        <f t="shared" si="85"/>
        <v>0</v>
      </c>
      <c r="H354" s="7">
        <f t="shared" si="86"/>
        <v>0</v>
      </c>
      <c r="I354" s="8">
        <v>66.30376269809021</v>
      </c>
      <c r="J354" s="9">
        <f t="shared" si="87"/>
        <v>66.30376269809021</v>
      </c>
      <c r="K354" s="3">
        <f t="shared" si="88"/>
        <v>0</v>
      </c>
      <c r="L354" s="7">
        <f t="shared" si="89"/>
        <v>0</v>
      </c>
      <c r="M354" t="s">
        <v>7</v>
      </c>
      <c r="O354" s="3">
        <f>E354-'305245 - P0424'!F354</f>
        <v>0</v>
      </c>
      <c r="P354" s="30">
        <f>I354-'305245 - P0424'!J354</f>
        <v>0</v>
      </c>
    </row>
    <row r="355" spans="1:16" x14ac:dyDescent="0.25">
      <c r="A355">
        <v>353</v>
      </c>
      <c r="B355" t="s">
        <v>303</v>
      </c>
      <c r="C355" s="28" t="s">
        <v>343</v>
      </c>
      <c r="D355" s="4" t="s">
        <v>350</v>
      </c>
      <c r="E355" s="11">
        <v>28.21</v>
      </c>
      <c r="F355" s="11">
        <v>28.21</v>
      </c>
      <c r="G355" s="6">
        <f t="shared" si="85"/>
        <v>0</v>
      </c>
      <c r="H355" s="7">
        <f t="shared" si="86"/>
        <v>0</v>
      </c>
      <c r="I355" s="8">
        <v>60.400819101768519</v>
      </c>
      <c r="J355" s="9">
        <f t="shared" si="87"/>
        <v>60.400819101768519</v>
      </c>
      <c r="K355" s="3">
        <f t="shared" si="88"/>
        <v>0</v>
      </c>
      <c r="L355" s="7">
        <f t="shared" si="89"/>
        <v>0</v>
      </c>
      <c r="M355" t="s">
        <v>7</v>
      </c>
      <c r="O355" s="3">
        <f>E355-'305245 - P0424'!F355</f>
        <v>0</v>
      </c>
      <c r="P355" s="30">
        <f>I355-'305245 - P0424'!J355</f>
        <v>0</v>
      </c>
    </row>
    <row r="356" spans="1:16" x14ac:dyDescent="0.25">
      <c r="A356">
        <v>354</v>
      </c>
      <c r="B356" t="s">
        <v>303</v>
      </c>
      <c r="C356" s="28" t="s">
        <v>351</v>
      </c>
      <c r="D356" s="4" t="s">
        <v>352</v>
      </c>
      <c r="E356" s="11">
        <v>20.36</v>
      </c>
      <c r="F356" s="11">
        <v>20.36</v>
      </c>
      <c r="G356" s="6">
        <f t="shared" si="85"/>
        <v>0</v>
      </c>
      <c r="H356" s="7">
        <f t="shared" si="86"/>
        <v>0</v>
      </c>
      <c r="I356" s="8">
        <v>33.75</v>
      </c>
      <c r="J356" s="9">
        <f t="shared" si="87"/>
        <v>33.75</v>
      </c>
      <c r="K356" s="3">
        <f t="shared" si="88"/>
        <v>0</v>
      </c>
      <c r="L356" s="7">
        <f t="shared" si="89"/>
        <v>0</v>
      </c>
      <c r="M356" t="s">
        <v>7</v>
      </c>
      <c r="O356" s="3">
        <f>E356-'305245 - P0424'!F356</f>
        <v>0</v>
      </c>
      <c r="P356" s="30">
        <f>I356-'305245 - P0424'!J356</f>
        <v>0</v>
      </c>
    </row>
    <row r="357" spans="1:16" x14ac:dyDescent="0.25">
      <c r="A357">
        <v>355</v>
      </c>
      <c r="C357" s="28"/>
      <c r="D357" s="2" t="s">
        <v>353</v>
      </c>
      <c r="I357"/>
    </row>
    <row r="358" spans="1:16" x14ac:dyDescent="0.25">
      <c r="A358">
        <v>356</v>
      </c>
      <c r="B358" t="s">
        <v>294</v>
      </c>
      <c r="C358" s="28" t="s">
        <v>354</v>
      </c>
      <c r="D358" s="4" t="s">
        <v>355</v>
      </c>
      <c r="E358" s="12">
        <v>5.98</v>
      </c>
      <c r="F358" s="12">
        <v>5.98</v>
      </c>
      <c r="G358" s="6">
        <f>+F358-E358</f>
        <v>0</v>
      </c>
      <c r="H358" s="7">
        <f>(F358-E358)/ABS(E358)</f>
        <v>0</v>
      </c>
      <c r="I358" s="12">
        <v>10.64931506849315</v>
      </c>
      <c r="J358" s="12">
        <f>(I358*H358)+I358</f>
        <v>10.64931506849315</v>
      </c>
      <c r="K358" s="3">
        <f>J358-I358</f>
        <v>0</v>
      </c>
      <c r="L358" s="7">
        <f>(J358-I358)/ABS(I358)</f>
        <v>0</v>
      </c>
      <c r="M358" t="s">
        <v>150</v>
      </c>
      <c r="O358" s="3">
        <f>E358-'305245 - P0424'!F358</f>
        <v>0</v>
      </c>
      <c r="P358" s="30">
        <f>I358-'305245 - P0424'!J358</f>
        <v>0</v>
      </c>
    </row>
    <row r="359" spans="1:16" x14ac:dyDescent="0.25">
      <c r="A359">
        <v>357</v>
      </c>
      <c r="C359" s="28"/>
      <c r="D359" s="2" t="s">
        <v>356</v>
      </c>
      <c r="I359"/>
    </row>
    <row r="360" spans="1:16" x14ac:dyDescent="0.25">
      <c r="A360">
        <v>358</v>
      </c>
      <c r="B360" t="s">
        <v>502</v>
      </c>
      <c r="C360" s="28" t="s">
        <v>454</v>
      </c>
      <c r="D360" s="4" t="s">
        <v>503</v>
      </c>
      <c r="E360" s="11">
        <v>1517</v>
      </c>
      <c r="F360" s="11">
        <v>1517</v>
      </c>
      <c r="G360" s="13">
        <f t="shared" ref="G360:G394" si="90">+F360-E360</f>
        <v>0</v>
      </c>
      <c r="H360" s="7">
        <f t="shared" ref="H360:H394" si="91">(F360-E360)/ABS(E360)</f>
        <v>0</v>
      </c>
      <c r="I360" s="8">
        <v>83.5202093596059</v>
      </c>
      <c r="J360" s="9">
        <f t="shared" ref="J360:J394" si="92">(I360*H360)+I360</f>
        <v>83.5202093596059</v>
      </c>
      <c r="K360" s="3">
        <f t="shared" ref="K360:K394" si="93">J360-I360</f>
        <v>0</v>
      </c>
      <c r="L360" s="7">
        <f t="shared" ref="L360:L394" si="94">(J360-I360)/ABS(I360)</f>
        <v>0</v>
      </c>
      <c r="M360" t="s">
        <v>7</v>
      </c>
      <c r="O360" s="3">
        <f>E360-'305245 - P0424'!F360</f>
        <v>0</v>
      </c>
      <c r="P360" s="30">
        <f>I360-'305245 - P0424'!J360</f>
        <v>0</v>
      </c>
    </row>
    <row r="361" spans="1:16" x14ac:dyDescent="0.25">
      <c r="A361">
        <v>359</v>
      </c>
      <c r="B361" t="s">
        <v>290</v>
      </c>
      <c r="C361" s="28" t="s">
        <v>454</v>
      </c>
      <c r="D361" s="4" t="s">
        <v>498</v>
      </c>
      <c r="E361" s="11">
        <v>1710</v>
      </c>
      <c r="F361" s="11">
        <v>1710</v>
      </c>
      <c r="G361" s="13">
        <f t="shared" si="90"/>
        <v>0</v>
      </c>
      <c r="H361" s="7">
        <f t="shared" si="91"/>
        <v>0</v>
      </c>
      <c r="I361" s="8">
        <v>41.429553882394785</v>
      </c>
      <c r="J361" s="9">
        <f t="shared" si="92"/>
        <v>41.429553882394785</v>
      </c>
      <c r="K361" s="3">
        <f t="shared" si="93"/>
        <v>0</v>
      </c>
      <c r="L361" s="7">
        <f t="shared" si="94"/>
        <v>0</v>
      </c>
      <c r="M361" t="s">
        <v>7</v>
      </c>
      <c r="O361" s="3">
        <f>E361-'305245 - P0424'!F361</f>
        <v>0</v>
      </c>
      <c r="P361" s="30">
        <f>I361-'305245 - P0424'!J361</f>
        <v>0</v>
      </c>
    </row>
    <row r="362" spans="1:16" x14ac:dyDescent="0.25">
      <c r="A362">
        <v>360</v>
      </c>
      <c r="B362" t="s">
        <v>290</v>
      </c>
      <c r="C362" s="28" t="s">
        <v>454</v>
      </c>
      <c r="D362" s="4" t="s">
        <v>495</v>
      </c>
      <c r="E362" s="11">
        <v>76.16</v>
      </c>
      <c r="F362" s="11">
        <v>76.16</v>
      </c>
      <c r="G362" s="13">
        <f t="shared" si="90"/>
        <v>0</v>
      </c>
      <c r="H362" s="7">
        <f t="shared" si="91"/>
        <v>0</v>
      </c>
      <c r="I362" s="8">
        <v>118.41812494751909</v>
      </c>
      <c r="J362" s="9">
        <f t="shared" si="92"/>
        <v>118.41812494751909</v>
      </c>
      <c r="K362" s="3">
        <f t="shared" si="93"/>
        <v>0</v>
      </c>
      <c r="L362" s="7">
        <f t="shared" si="94"/>
        <v>0</v>
      </c>
      <c r="M362" t="s">
        <v>7</v>
      </c>
      <c r="O362" s="3">
        <f>E362-'305245 - P0424'!F362</f>
        <v>0</v>
      </c>
      <c r="P362" s="30">
        <f>I362-'305245 - P0424'!J362</f>
        <v>0</v>
      </c>
    </row>
    <row r="363" spans="1:16" x14ac:dyDescent="0.25">
      <c r="A363">
        <v>361</v>
      </c>
      <c r="B363" t="s">
        <v>290</v>
      </c>
      <c r="C363" s="28" t="s">
        <v>454</v>
      </c>
      <c r="D363" s="4" t="s">
        <v>496</v>
      </c>
      <c r="E363" s="11">
        <v>1860</v>
      </c>
      <c r="F363" s="11">
        <v>1860</v>
      </c>
      <c r="G363" s="13">
        <f t="shared" si="90"/>
        <v>0</v>
      </c>
      <c r="H363" s="7">
        <f t="shared" si="91"/>
        <v>0</v>
      </c>
      <c r="I363" s="8">
        <v>249.52645395508233</v>
      </c>
      <c r="J363" s="9">
        <f t="shared" si="92"/>
        <v>249.52645395508233</v>
      </c>
      <c r="K363" s="3">
        <f t="shared" si="93"/>
        <v>0</v>
      </c>
      <c r="L363" s="7">
        <f t="shared" si="94"/>
        <v>0</v>
      </c>
      <c r="M363" t="s">
        <v>7</v>
      </c>
      <c r="O363" s="3">
        <f>E363-'305245 - P0424'!F363</f>
        <v>0</v>
      </c>
      <c r="P363" s="30">
        <f>I363-'305245 - P0424'!J363</f>
        <v>0</v>
      </c>
    </row>
    <row r="364" spans="1:16" x14ac:dyDescent="0.25">
      <c r="A364">
        <v>362</v>
      </c>
      <c r="B364" t="s">
        <v>483</v>
      </c>
      <c r="C364" s="28" t="s">
        <v>351</v>
      </c>
      <c r="D364" s="4" t="s">
        <v>357</v>
      </c>
      <c r="E364" s="11">
        <v>2709</v>
      </c>
      <c r="F364" s="11">
        <v>2709</v>
      </c>
      <c r="G364" s="13">
        <f t="shared" si="90"/>
        <v>0</v>
      </c>
      <c r="H364" s="7">
        <f t="shared" si="91"/>
        <v>0</v>
      </c>
      <c r="I364" s="8">
        <v>5.1687034714890512</v>
      </c>
      <c r="J364" s="9">
        <f t="shared" si="92"/>
        <v>5.1687034714890512</v>
      </c>
      <c r="K364" s="3">
        <f t="shared" si="93"/>
        <v>0</v>
      </c>
      <c r="L364" s="7">
        <f t="shared" si="94"/>
        <v>0</v>
      </c>
      <c r="M364" t="s">
        <v>7</v>
      </c>
      <c r="O364" s="3">
        <f>E364-'305245 - P0424'!F364</f>
        <v>0</v>
      </c>
      <c r="P364" s="30">
        <f>I364-'305245 - P0424'!J364</f>
        <v>0</v>
      </c>
    </row>
    <row r="365" spans="1:16" x14ac:dyDescent="0.25">
      <c r="A365">
        <v>363</v>
      </c>
      <c r="B365" t="s">
        <v>484</v>
      </c>
      <c r="C365" s="28" t="s">
        <v>351</v>
      </c>
      <c r="D365" s="4" t="s">
        <v>358</v>
      </c>
      <c r="E365" s="11">
        <v>2709</v>
      </c>
      <c r="F365" s="11">
        <v>2709</v>
      </c>
      <c r="G365" s="13">
        <f t="shared" si="90"/>
        <v>0</v>
      </c>
      <c r="H365" s="7">
        <f t="shared" si="91"/>
        <v>0</v>
      </c>
      <c r="I365" s="8">
        <v>8.0702736339232413</v>
      </c>
      <c r="J365" s="9">
        <f t="shared" si="92"/>
        <v>8.0702736339232413</v>
      </c>
      <c r="K365" s="3">
        <f t="shared" si="93"/>
        <v>0</v>
      </c>
      <c r="L365" s="7">
        <f t="shared" si="94"/>
        <v>0</v>
      </c>
      <c r="M365" t="s">
        <v>7</v>
      </c>
      <c r="O365" s="3">
        <f>E365-'305245 - P0424'!F365</f>
        <v>0</v>
      </c>
      <c r="P365" s="30">
        <f>I365-'305245 - P0424'!J365</f>
        <v>0</v>
      </c>
    </row>
    <row r="366" spans="1:16" x14ac:dyDescent="0.25">
      <c r="A366">
        <v>364</v>
      </c>
      <c r="B366" t="s">
        <v>290</v>
      </c>
      <c r="C366" s="28" t="s">
        <v>351</v>
      </c>
      <c r="D366" s="4" t="s">
        <v>359</v>
      </c>
      <c r="E366" s="11">
        <v>2709</v>
      </c>
      <c r="F366" s="11">
        <v>2709</v>
      </c>
      <c r="G366" s="13">
        <f t="shared" si="90"/>
        <v>0</v>
      </c>
      <c r="H366" s="7">
        <f t="shared" si="91"/>
        <v>0</v>
      </c>
      <c r="I366" s="8">
        <v>11.040593760943526</v>
      </c>
      <c r="J366" s="9">
        <f t="shared" si="92"/>
        <v>11.040593760943526</v>
      </c>
      <c r="K366" s="3">
        <f t="shared" si="93"/>
        <v>0</v>
      </c>
      <c r="L366" s="7">
        <f t="shared" si="94"/>
        <v>0</v>
      </c>
      <c r="M366" t="s">
        <v>7</v>
      </c>
      <c r="O366" s="3">
        <f>E366-'305245 - P0424'!F366</f>
        <v>0</v>
      </c>
      <c r="P366" s="30">
        <f>I366-'305245 - P0424'!J366</f>
        <v>0</v>
      </c>
    </row>
    <row r="367" spans="1:16" x14ac:dyDescent="0.25">
      <c r="A367">
        <v>365</v>
      </c>
      <c r="B367" t="s">
        <v>476</v>
      </c>
      <c r="C367" s="28" t="s">
        <v>351</v>
      </c>
      <c r="D367" s="4" t="s">
        <v>360</v>
      </c>
      <c r="E367" s="11">
        <v>3148</v>
      </c>
      <c r="F367" s="11">
        <v>3148</v>
      </c>
      <c r="G367" s="13">
        <f t="shared" si="90"/>
        <v>0</v>
      </c>
      <c r="H367" s="7">
        <f t="shared" si="91"/>
        <v>0</v>
      </c>
      <c r="I367" s="8">
        <v>14.3</v>
      </c>
      <c r="J367" s="9">
        <f t="shared" si="92"/>
        <v>14.3</v>
      </c>
      <c r="K367" s="3">
        <f t="shared" si="93"/>
        <v>0</v>
      </c>
      <c r="L367" s="7">
        <f t="shared" si="94"/>
        <v>0</v>
      </c>
      <c r="M367" t="s">
        <v>7</v>
      </c>
      <c r="O367" s="3">
        <f>E367-'305245 - P0424'!F367</f>
        <v>0</v>
      </c>
      <c r="P367" s="30">
        <f>I367-'305245 - P0424'!J367</f>
        <v>0</v>
      </c>
    </row>
    <row r="368" spans="1:16" x14ac:dyDescent="0.25">
      <c r="A368">
        <v>366</v>
      </c>
      <c r="B368" t="s">
        <v>478</v>
      </c>
      <c r="C368" s="28" t="s">
        <v>351</v>
      </c>
      <c r="D368" s="4" t="s">
        <v>361</v>
      </c>
      <c r="E368" s="11">
        <v>3065</v>
      </c>
      <c r="F368" s="11">
        <v>3065</v>
      </c>
      <c r="G368" s="13">
        <f t="shared" si="90"/>
        <v>0</v>
      </c>
      <c r="H368" s="7">
        <f t="shared" si="91"/>
        <v>0</v>
      </c>
      <c r="I368" s="8">
        <v>19.904756025519848</v>
      </c>
      <c r="J368" s="9">
        <f t="shared" si="92"/>
        <v>19.904756025519848</v>
      </c>
      <c r="K368" s="3">
        <f t="shared" si="93"/>
        <v>0</v>
      </c>
      <c r="L368" s="7">
        <f t="shared" si="94"/>
        <v>0</v>
      </c>
      <c r="M368" t="s">
        <v>7</v>
      </c>
      <c r="O368" s="3">
        <f>E368-'305245 - P0424'!F368</f>
        <v>0</v>
      </c>
      <c r="P368" s="30">
        <f>I368-'305245 - P0424'!J368</f>
        <v>0</v>
      </c>
    </row>
    <row r="369" spans="1:16" x14ac:dyDescent="0.25">
      <c r="A369">
        <v>367</v>
      </c>
      <c r="B369" t="s">
        <v>445</v>
      </c>
      <c r="C369" s="28" t="s">
        <v>351</v>
      </c>
      <c r="D369" s="4" t="s">
        <v>362</v>
      </c>
      <c r="E369" s="11">
        <v>3065</v>
      </c>
      <c r="F369" s="11">
        <v>3065</v>
      </c>
      <c r="G369" s="13">
        <f t="shared" si="90"/>
        <v>0</v>
      </c>
      <c r="H369" s="7">
        <f t="shared" si="91"/>
        <v>0</v>
      </c>
      <c r="I369" s="8">
        <v>23.00692071335494</v>
      </c>
      <c r="J369" s="9">
        <f t="shared" si="92"/>
        <v>23.00692071335494</v>
      </c>
      <c r="K369" s="3">
        <f t="shared" si="93"/>
        <v>0</v>
      </c>
      <c r="L369" s="7">
        <f t="shared" si="94"/>
        <v>0</v>
      </c>
      <c r="M369" t="s">
        <v>7</v>
      </c>
      <c r="O369" s="3">
        <f>E369-'305245 - P0424'!F369</f>
        <v>0</v>
      </c>
      <c r="P369" s="30">
        <f>I369-'305245 - P0424'!J369</f>
        <v>0</v>
      </c>
    </row>
    <row r="370" spans="1:16" x14ac:dyDescent="0.25">
      <c r="A370">
        <v>368</v>
      </c>
      <c r="B370" t="s">
        <v>478</v>
      </c>
      <c r="C370" s="28" t="s">
        <v>351</v>
      </c>
      <c r="D370" s="4" t="s">
        <v>363</v>
      </c>
      <c r="E370" s="11">
        <v>3135</v>
      </c>
      <c r="F370" s="11">
        <v>3135</v>
      </c>
      <c r="G370" s="13">
        <f t="shared" si="90"/>
        <v>0</v>
      </c>
      <c r="H370" s="7">
        <f t="shared" si="91"/>
        <v>0</v>
      </c>
      <c r="I370" s="8">
        <v>26.876311326468805</v>
      </c>
      <c r="J370" s="9">
        <f t="shared" si="92"/>
        <v>26.876311326468805</v>
      </c>
      <c r="K370" s="3">
        <f t="shared" si="93"/>
        <v>0</v>
      </c>
      <c r="L370" s="7">
        <f t="shared" si="94"/>
        <v>0</v>
      </c>
      <c r="M370" t="s">
        <v>7</v>
      </c>
      <c r="O370" s="3">
        <f>E370-'305245 - P0424'!F370</f>
        <v>0</v>
      </c>
      <c r="P370" s="30">
        <f>I370-'305245 - P0424'!J370</f>
        <v>0</v>
      </c>
    </row>
    <row r="371" spans="1:16" x14ac:dyDescent="0.25">
      <c r="A371">
        <v>369</v>
      </c>
      <c r="B371" t="s">
        <v>481</v>
      </c>
      <c r="C371" s="28" t="s">
        <v>351</v>
      </c>
      <c r="D371" s="4" t="s">
        <v>364</v>
      </c>
      <c r="E371" s="11">
        <v>2931</v>
      </c>
      <c r="F371" s="11">
        <v>2931</v>
      </c>
      <c r="G371" s="13">
        <f t="shared" si="90"/>
        <v>0</v>
      </c>
      <c r="H371" s="7">
        <f t="shared" si="91"/>
        <v>0</v>
      </c>
      <c r="I371" s="8">
        <v>5.5842827924987404</v>
      </c>
      <c r="J371" s="9">
        <f t="shared" si="92"/>
        <v>5.5842827924987404</v>
      </c>
      <c r="K371" s="3">
        <f t="shared" si="93"/>
        <v>0</v>
      </c>
      <c r="L371" s="7">
        <f t="shared" si="94"/>
        <v>0</v>
      </c>
      <c r="M371" t="s">
        <v>7</v>
      </c>
      <c r="O371" s="3">
        <f>E371-'305245 - P0424'!F371</f>
        <v>0</v>
      </c>
      <c r="P371" s="30">
        <f>I371-'305245 - P0424'!J371</f>
        <v>0</v>
      </c>
    </row>
    <row r="372" spans="1:16" x14ac:dyDescent="0.25">
      <c r="A372">
        <v>370</v>
      </c>
      <c r="B372" t="s">
        <v>479</v>
      </c>
      <c r="C372" t="s">
        <v>365</v>
      </c>
      <c r="D372" s="4" t="s">
        <v>366</v>
      </c>
      <c r="E372" s="11">
        <v>3205</v>
      </c>
      <c r="F372" s="11">
        <v>3205</v>
      </c>
      <c r="G372" s="13">
        <f t="shared" si="90"/>
        <v>0</v>
      </c>
      <c r="H372" s="7">
        <f t="shared" si="91"/>
        <v>0</v>
      </c>
      <c r="I372" s="8">
        <v>12.576720322698609</v>
      </c>
      <c r="J372" s="9">
        <f t="shared" si="92"/>
        <v>12.576720322698609</v>
      </c>
      <c r="K372" s="3">
        <f t="shared" si="93"/>
        <v>0</v>
      </c>
      <c r="L372" s="7">
        <f t="shared" si="94"/>
        <v>0</v>
      </c>
      <c r="M372" t="s">
        <v>7</v>
      </c>
      <c r="O372" s="3">
        <f>E372-'305245 - P0424'!F372</f>
        <v>0</v>
      </c>
      <c r="P372" s="30">
        <f>I372-'305245 - P0424'!J372</f>
        <v>0</v>
      </c>
    </row>
    <row r="373" spans="1:16" x14ac:dyDescent="0.25">
      <c r="A373">
        <v>371</v>
      </c>
      <c r="B373" t="s">
        <v>470</v>
      </c>
      <c r="C373" t="s">
        <v>365</v>
      </c>
      <c r="D373" s="4" t="s">
        <v>367</v>
      </c>
      <c r="E373" s="11">
        <v>2952</v>
      </c>
      <c r="F373" s="11">
        <v>2952</v>
      </c>
      <c r="G373" s="13">
        <f t="shared" si="90"/>
        <v>0</v>
      </c>
      <c r="H373" s="7">
        <f t="shared" si="91"/>
        <v>0</v>
      </c>
      <c r="I373" s="8">
        <v>24.324911704207679</v>
      </c>
      <c r="J373" s="9">
        <f t="shared" si="92"/>
        <v>24.324911704207679</v>
      </c>
      <c r="K373" s="3">
        <f t="shared" si="93"/>
        <v>0</v>
      </c>
      <c r="L373" s="7">
        <f t="shared" si="94"/>
        <v>0</v>
      </c>
      <c r="M373" t="s">
        <v>7</v>
      </c>
      <c r="O373" s="3">
        <f>E373-'305245 - P0424'!F373</f>
        <v>0</v>
      </c>
      <c r="P373" s="30">
        <f>I373-'305245 - P0424'!J373</f>
        <v>0</v>
      </c>
    </row>
    <row r="374" spans="1:16" x14ac:dyDescent="0.25">
      <c r="A374">
        <v>372</v>
      </c>
      <c r="B374" t="s">
        <v>303</v>
      </c>
      <c r="C374" t="s">
        <v>365</v>
      </c>
      <c r="D374" s="4" t="s">
        <v>368</v>
      </c>
      <c r="E374" s="11">
        <v>2702</v>
      </c>
      <c r="F374" s="11">
        <v>2702</v>
      </c>
      <c r="G374" s="13">
        <f t="shared" si="90"/>
        <v>0</v>
      </c>
      <c r="H374" s="7">
        <f t="shared" si="91"/>
        <v>0</v>
      </c>
      <c r="I374" s="8">
        <v>40.51093209547124</v>
      </c>
      <c r="J374" s="9">
        <f>(I374*H374)+I374</f>
        <v>40.51093209547124</v>
      </c>
      <c r="K374" s="3">
        <f t="shared" si="93"/>
        <v>0</v>
      </c>
      <c r="L374" s="7">
        <f t="shared" si="94"/>
        <v>0</v>
      </c>
      <c r="M374" t="s">
        <v>7</v>
      </c>
      <c r="O374" s="3">
        <f>E374-'305245 - P0424'!F374</f>
        <v>0</v>
      </c>
      <c r="P374" s="30">
        <f>I374-'305245 - P0424'!J374</f>
        <v>0</v>
      </c>
    </row>
    <row r="375" spans="1:16" x14ac:dyDescent="0.25">
      <c r="A375">
        <v>373</v>
      </c>
      <c r="B375" t="s">
        <v>290</v>
      </c>
      <c r="C375" t="s">
        <v>365</v>
      </c>
      <c r="D375" s="4" t="s">
        <v>369</v>
      </c>
      <c r="E375" s="11">
        <v>2702</v>
      </c>
      <c r="F375" s="11">
        <v>2702</v>
      </c>
      <c r="G375" s="13">
        <f t="shared" si="90"/>
        <v>0</v>
      </c>
      <c r="H375" s="7">
        <f t="shared" si="91"/>
        <v>0</v>
      </c>
      <c r="I375" s="8">
        <v>50.641879791355422</v>
      </c>
      <c r="J375" s="9">
        <f t="shared" si="92"/>
        <v>50.641879791355422</v>
      </c>
      <c r="K375" s="3">
        <f t="shared" si="93"/>
        <v>0</v>
      </c>
      <c r="L375" s="7">
        <f t="shared" si="94"/>
        <v>0</v>
      </c>
      <c r="M375" t="s">
        <v>7</v>
      </c>
      <c r="O375" s="3">
        <f>E375-'305245 - P0424'!F375</f>
        <v>0</v>
      </c>
      <c r="P375" s="30">
        <f>I375-'305245 - P0424'!J375</f>
        <v>0</v>
      </c>
    </row>
    <row r="376" spans="1:16" x14ac:dyDescent="0.25">
      <c r="A376">
        <v>374</v>
      </c>
      <c r="B376" t="s">
        <v>470</v>
      </c>
      <c r="C376" t="s">
        <v>365</v>
      </c>
      <c r="D376" s="4" t="s">
        <v>370</v>
      </c>
      <c r="E376" s="11">
        <v>2702</v>
      </c>
      <c r="F376" s="11">
        <v>2702</v>
      </c>
      <c r="G376" s="13">
        <f t="shared" si="90"/>
        <v>0</v>
      </c>
      <c r="H376" s="7">
        <f t="shared" si="91"/>
        <v>0</v>
      </c>
      <c r="I376" s="8">
        <v>60.769079441442358</v>
      </c>
      <c r="J376" s="9">
        <f t="shared" si="92"/>
        <v>60.769079441442358</v>
      </c>
      <c r="K376" s="3">
        <f t="shared" si="93"/>
        <v>0</v>
      </c>
      <c r="L376" s="7">
        <f t="shared" si="94"/>
        <v>0</v>
      </c>
      <c r="M376" t="s">
        <v>7</v>
      </c>
      <c r="O376" s="3">
        <f>E376-'305245 - P0424'!F376</f>
        <v>0</v>
      </c>
      <c r="P376" s="30">
        <f>I376-'305245 - P0424'!J376</f>
        <v>0</v>
      </c>
    </row>
    <row r="377" spans="1:16" x14ac:dyDescent="0.25">
      <c r="A377">
        <v>375</v>
      </c>
      <c r="B377" t="s">
        <v>479</v>
      </c>
      <c r="C377" t="s">
        <v>365</v>
      </c>
      <c r="D377" s="4" t="s">
        <v>371</v>
      </c>
      <c r="E377" s="11">
        <v>3868</v>
      </c>
      <c r="F377" s="11">
        <v>3868</v>
      </c>
      <c r="G377" s="13">
        <f t="shared" si="90"/>
        <v>0</v>
      </c>
      <c r="H377" s="7">
        <f t="shared" si="91"/>
        <v>0</v>
      </c>
      <c r="I377" s="8">
        <v>63.401973632327376</v>
      </c>
      <c r="J377" s="9">
        <f t="shared" si="92"/>
        <v>63.401973632327376</v>
      </c>
      <c r="K377" s="3">
        <f t="shared" si="93"/>
        <v>0</v>
      </c>
      <c r="L377" s="7">
        <f t="shared" si="94"/>
        <v>0</v>
      </c>
      <c r="M377" t="s">
        <v>7</v>
      </c>
      <c r="O377" s="3">
        <f>E377-'305245 - P0424'!F377</f>
        <v>0</v>
      </c>
      <c r="P377" s="30">
        <f>I377-'305245 - P0424'!J377</f>
        <v>0</v>
      </c>
    </row>
    <row r="378" spans="1:16" x14ac:dyDescent="0.25">
      <c r="A378">
        <v>376</v>
      </c>
      <c r="B378" t="s">
        <v>479</v>
      </c>
      <c r="C378" t="s">
        <v>365</v>
      </c>
      <c r="D378" s="4" t="s">
        <v>372</v>
      </c>
      <c r="E378" s="11">
        <v>3928</v>
      </c>
      <c r="F378" s="11">
        <v>3928</v>
      </c>
      <c r="G378" s="13">
        <f t="shared" si="90"/>
        <v>0</v>
      </c>
      <c r="H378" s="7">
        <f t="shared" si="91"/>
        <v>0</v>
      </c>
      <c r="I378" s="8">
        <v>80.721941958125299</v>
      </c>
      <c r="J378" s="9">
        <f t="shared" si="92"/>
        <v>80.721941958125299</v>
      </c>
      <c r="K378" s="3">
        <f t="shared" si="93"/>
        <v>0</v>
      </c>
      <c r="L378" s="7">
        <f t="shared" si="94"/>
        <v>0</v>
      </c>
      <c r="M378" t="s">
        <v>7</v>
      </c>
      <c r="O378" s="3">
        <f>E378-'305245 - P0424'!F378</f>
        <v>0</v>
      </c>
      <c r="P378" s="30">
        <f>I378-'305245 - P0424'!J378</f>
        <v>0</v>
      </c>
    </row>
    <row r="379" spans="1:16" x14ac:dyDescent="0.25">
      <c r="A379">
        <v>377</v>
      </c>
      <c r="B379" t="s">
        <v>473</v>
      </c>
      <c r="C379" t="s">
        <v>365</v>
      </c>
      <c r="D379" s="4" t="s">
        <v>373</v>
      </c>
      <c r="E379" s="11">
        <v>3928</v>
      </c>
      <c r="F379" s="11">
        <v>3928</v>
      </c>
      <c r="G379" s="13">
        <f t="shared" si="90"/>
        <v>0</v>
      </c>
      <c r="H379" s="7">
        <f t="shared" si="91"/>
        <v>0</v>
      </c>
      <c r="I379" s="8">
        <v>100.90409723646053</v>
      </c>
      <c r="J379" s="9">
        <f t="shared" si="92"/>
        <v>100.90409723646053</v>
      </c>
      <c r="K379" s="3">
        <f t="shared" si="93"/>
        <v>0</v>
      </c>
      <c r="L379" s="7">
        <f t="shared" si="94"/>
        <v>0</v>
      </c>
      <c r="M379" t="s">
        <v>7</v>
      </c>
      <c r="O379" s="3">
        <f>E379-'305245 - P0424'!F379</f>
        <v>0</v>
      </c>
      <c r="P379" s="30">
        <f>I379-'305245 - P0424'!J379</f>
        <v>0</v>
      </c>
    </row>
    <row r="380" spans="1:16" x14ac:dyDescent="0.25">
      <c r="A380">
        <v>378</v>
      </c>
      <c r="B380" t="s">
        <v>470</v>
      </c>
      <c r="C380" t="s">
        <v>365</v>
      </c>
      <c r="D380" s="4" t="s">
        <v>374</v>
      </c>
      <c r="E380" s="11">
        <v>3928</v>
      </c>
      <c r="F380" s="11">
        <v>3928</v>
      </c>
      <c r="G380" s="13">
        <f t="shared" si="90"/>
        <v>0</v>
      </c>
      <c r="H380" s="7">
        <f t="shared" si="91"/>
        <v>0</v>
      </c>
      <c r="I380" s="8">
        <v>121.08871182445142</v>
      </c>
      <c r="J380" s="9">
        <f t="shared" si="92"/>
        <v>121.08871182445142</v>
      </c>
      <c r="K380" s="3">
        <f t="shared" si="93"/>
        <v>0</v>
      </c>
      <c r="L380" s="7">
        <f t="shared" si="94"/>
        <v>0</v>
      </c>
      <c r="M380" t="s">
        <v>7</v>
      </c>
      <c r="O380" s="3">
        <f>E380-'305245 - P0424'!F380</f>
        <v>0</v>
      </c>
      <c r="P380" s="30">
        <f>I380-'305245 - P0424'!J380</f>
        <v>0</v>
      </c>
    </row>
    <row r="381" spans="1:16" x14ac:dyDescent="0.25">
      <c r="A381">
        <v>379</v>
      </c>
      <c r="B381" t="s">
        <v>470</v>
      </c>
      <c r="C381" t="s">
        <v>365</v>
      </c>
      <c r="D381" s="4" t="s">
        <v>375</v>
      </c>
      <c r="E381" s="11">
        <v>3700</v>
      </c>
      <c r="F381" s="11">
        <v>3700</v>
      </c>
      <c r="G381" s="13">
        <f t="shared" si="90"/>
        <v>0</v>
      </c>
      <c r="H381" s="7">
        <f t="shared" si="91"/>
        <v>0</v>
      </c>
      <c r="I381" s="8">
        <v>119.12776534176258</v>
      </c>
      <c r="J381" s="9">
        <f t="shared" si="92"/>
        <v>119.12776534176258</v>
      </c>
      <c r="K381" s="3">
        <f t="shared" si="93"/>
        <v>0</v>
      </c>
      <c r="L381" s="7">
        <f t="shared" si="94"/>
        <v>0</v>
      </c>
      <c r="M381" t="s">
        <v>7</v>
      </c>
      <c r="O381" s="3">
        <f>E381-'305245 - P0424'!F381</f>
        <v>0</v>
      </c>
      <c r="P381" s="30">
        <f>I381-'305245 - P0424'!J381</f>
        <v>0</v>
      </c>
    </row>
    <row r="382" spans="1:16" x14ac:dyDescent="0.25">
      <c r="A382">
        <v>380</v>
      </c>
      <c r="B382" t="s">
        <v>290</v>
      </c>
      <c r="C382" t="s">
        <v>365</v>
      </c>
      <c r="D382" s="4" t="s">
        <v>376</v>
      </c>
      <c r="E382" s="11">
        <v>3700</v>
      </c>
      <c r="F382" s="11">
        <v>3700</v>
      </c>
      <c r="G382" s="13">
        <f t="shared" si="90"/>
        <v>0</v>
      </c>
      <c r="H382" s="7">
        <f t="shared" si="91"/>
        <v>0</v>
      </c>
      <c r="I382" s="8">
        <v>208.45869530604656</v>
      </c>
      <c r="J382" s="9">
        <f t="shared" si="92"/>
        <v>208.45869530604656</v>
      </c>
      <c r="K382" s="3">
        <f t="shared" si="93"/>
        <v>0</v>
      </c>
      <c r="L382" s="7">
        <f t="shared" si="94"/>
        <v>0</v>
      </c>
      <c r="M382" t="s">
        <v>7</v>
      </c>
      <c r="O382" s="3">
        <f>E382-'305245 - P0424'!F382</f>
        <v>0</v>
      </c>
      <c r="P382" s="30">
        <f>I382-'305245 - P0424'!J382</f>
        <v>0</v>
      </c>
    </row>
    <row r="383" spans="1:16" x14ac:dyDescent="0.25">
      <c r="A383">
        <v>381</v>
      </c>
      <c r="B383" t="s">
        <v>303</v>
      </c>
      <c r="C383" t="s">
        <v>365</v>
      </c>
      <c r="D383" s="4" t="s">
        <v>377</v>
      </c>
      <c r="E383" s="11">
        <v>5269</v>
      </c>
      <c r="F383" s="11">
        <v>5269</v>
      </c>
      <c r="G383" s="13">
        <f t="shared" si="90"/>
        <v>0</v>
      </c>
      <c r="H383" s="7">
        <f t="shared" si="91"/>
        <v>0</v>
      </c>
      <c r="I383" s="8">
        <v>195.32781627941307</v>
      </c>
      <c r="J383" s="9">
        <f t="shared" si="92"/>
        <v>195.32781627941307</v>
      </c>
      <c r="K383" s="3">
        <f t="shared" si="93"/>
        <v>0</v>
      </c>
      <c r="L383" s="7">
        <f t="shared" si="94"/>
        <v>0</v>
      </c>
      <c r="M383" t="s">
        <v>7</v>
      </c>
      <c r="O383" s="3">
        <f>E383-'305245 - P0424'!F383</f>
        <v>0</v>
      </c>
      <c r="P383" s="30">
        <f>I383-'305245 - P0424'!J383</f>
        <v>0</v>
      </c>
    </row>
    <row r="384" spans="1:16" x14ac:dyDescent="0.25">
      <c r="A384">
        <v>382</v>
      </c>
      <c r="B384" t="s">
        <v>303</v>
      </c>
      <c r="C384" t="s">
        <v>365</v>
      </c>
      <c r="D384" s="4" t="s">
        <v>378</v>
      </c>
      <c r="E384" s="11">
        <v>5395</v>
      </c>
      <c r="F384" s="11">
        <v>5395</v>
      </c>
      <c r="G384" s="13">
        <f t="shared" si="90"/>
        <v>0</v>
      </c>
      <c r="H384" s="7">
        <f t="shared" si="91"/>
        <v>0</v>
      </c>
      <c r="I384" s="8">
        <v>519.78770475648537</v>
      </c>
      <c r="J384" s="9">
        <f t="shared" si="92"/>
        <v>519.78770475648537</v>
      </c>
      <c r="K384" s="3">
        <f t="shared" si="93"/>
        <v>0</v>
      </c>
      <c r="L384" s="7">
        <f t="shared" si="94"/>
        <v>0</v>
      </c>
      <c r="M384" t="s">
        <v>7</v>
      </c>
      <c r="O384" s="3">
        <f>E384-'305245 - P0424'!F384</f>
        <v>0</v>
      </c>
      <c r="P384" s="30">
        <f>I384-'305245 - P0424'!J384</f>
        <v>0</v>
      </c>
    </row>
    <row r="385" spans="1:16" x14ac:dyDescent="0.25">
      <c r="A385">
        <v>383</v>
      </c>
      <c r="B385" t="s">
        <v>290</v>
      </c>
      <c r="C385" t="s">
        <v>365</v>
      </c>
      <c r="D385" s="4" t="s">
        <v>379</v>
      </c>
      <c r="E385" s="11">
        <v>5200</v>
      </c>
      <c r="F385" s="11">
        <v>5200</v>
      </c>
      <c r="G385" s="13">
        <f t="shared" si="90"/>
        <v>0</v>
      </c>
      <c r="H385" s="7">
        <f t="shared" si="91"/>
        <v>0</v>
      </c>
      <c r="I385" s="8">
        <v>341.80468131321027</v>
      </c>
      <c r="J385" s="9">
        <f t="shared" si="92"/>
        <v>341.80468131321027</v>
      </c>
      <c r="K385" s="3">
        <f t="shared" si="93"/>
        <v>0</v>
      </c>
      <c r="L385" s="7">
        <f t="shared" si="94"/>
        <v>0</v>
      </c>
      <c r="M385" t="s">
        <v>7</v>
      </c>
      <c r="O385" s="3">
        <f>E385-'305245 - P0424'!F385</f>
        <v>0</v>
      </c>
      <c r="P385" s="30">
        <f>I385-'305245 - P0424'!J385</f>
        <v>0</v>
      </c>
    </row>
    <row r="386" spans="1:16" x14ac:dyDescent="0.25">
      <c r="A386">
        <v>384</v>
      </c>
      <c r="B386" t="s">
        <v>485</v>
      </c>
      <c r="C386" t="s">
        <v>343</v>
      </c>
      <c r="D386" s="4" t="s">
        <v>380</v>
      </c>
      <c r="E386" s="12">
        <v>9.0500000000000007</v>
      </c>
      <c r="F386" s="12">
        <v>9.0500000000000007</v>
      </c>
      <c r="G386" s="13">
        <f t="shared" si="90"/>
        <v>0</v>
      </c>
      <c r="H386" s="7">
        <f t="shared" si="91"/>
        <v>0</v>
      </c>
      <c r="I386" s="8">
        <v>9.4511903255813987</v>
      </c>
      <c r="J386" s="9">
        <f t="shared" si="92"/>
        <v>9.4511903255813987</v>
      </c>
      <c r="K386" s="3">
        <f t="shared" si="93"/>
        <v>0</v>
      </c>
      <c r="L386" s="7">
        <f t="shared" si="94"/>
        <v>0</v>
      </c>
      <c r="M386" t="s">
        <v>121</v>
      </c>
      <c r="O386" s="3">
        <f>E386-'305245 - P0424'!F386</f>
        <v>0</v>
      </c>
      <c r="P386" s="30">
        <f>I386-'305245 - P0424'!J386</f>
        <v>0</v>
      </c>
    </row>
    <row r="387" spans="1:16" x14ac:dyDescent="0.25">
      <c r="A387">
        <v>385</v>
      </c>
      <c r="B387" t="s">
        <v>290</v>
      </c>
      <c r="C387" t="s">
        <v>343</v>
      </c>
      <c r="D387" s="4" t="s">
        <v>381</v>
      </c>
      <c r="E387" s="12">
        <v>17.38</v>
      </c>
      <c r="F387" s="12">
        <v>17.38</v>
      </c>
      <c r="G387" s="13">
        <f t="shared" si="90"/>
        <v>0</v>
      </c>
      <c r="H387" s="7">
        <f t="shared" si="91"/>
        <v>0</v>
      </c>
      <c r="I387" s="8">
        <v>18.138687748031494</v>
      </c>
      <c r="J387" s="9">
        <f t="shared" si="92"/>
        <v>18.138687748031494</v>
      </c>
      <c r="K387" s="3">
        <f t="shared" si="93"/>
        <v>0</v>
      </c>
      <c r="L387" s="7">
        <f t="shared" si="94"/>
        <v>0</v>
      </c>
      <c r="M387" t="s">
        <v>121</v>
      </c>
      <c r="O387" s="3">
        <f>E387-'305245 - P0424'!F387</f>
        <v>0</v>
      </c>
      <c r="P387" s="30">
        <f>I387-'305245 - P0424'!J387</f>
        <v>0</v>
      </c>
    </row>
    <row r="388" spans="1:16" x14ac:dyDescent="0.25">
      <c r="A388">
        <v>386</v>
      </c>
      <c r="B388" t="s">
        <v>481</v>
      </c>
      <c r="C388" s="28" t="s">
        <v>382</v>
      </c>
      <c r="D388" s="4" t="s">
        <v>383</v>
      </c>
      <c r="E388" s="14">
        <v>112.02</v>
      </c>
      <c r="F388" s="14">
        <v>112.02</v>
      </c>
      <c r="G388" s="6">
        <f t="shared" si="90"/>
        <v>0</v>
      </c>
      <c r="H388" s="7">
        <f t="shared" si="91"/>
        <v>0</v>
      </c>
      <c r="I388" s="8">
        <v>334.74445542845763</v>
      </c>
      <c r="J388" s="9">
        <f t="shared" si="92"/>
        <v>334.74445542845763</v>
      </c>
      <c r="K388" s="3">
        <f t="shared" si="93"/>
        <v>0</v>
      </c>
      <c r="L388" s="7">
        <f t="shared" si="94"/>
        <v>0</v>
      </c>
      <c r="M388" t="s">
        <v>121</v>
      </c>
      <c r="O388" s="3">
        <f>E388-'305245 - P0424'!F388</f>
        <v>0</v>
      </c>
      <c r="P388" s="30">
        <f>I388-'305245 - P0424'!J388</f>
        <v>0</v>
      </c>
    </row>
    <row r="389" spans="1:16" x14ac:dyDescent="0.25">
      <c r="A389">
        <v>387</v>
      </c>
      <c r="B389" t="s">
        <v>482</v>
      </c>
      <c r="C389" s="28" t="s">
        <v>343</v>
      </c>
      <c r="D389" s="4" t="s">
        <v>384</v>
      </c>
      <c r="E389" s="11">
        <v>35.4</v>
      </c>
      <c r="F389" s="11">
        <v>35.4</v>
      </c>
      <c r="G389" s="6">
        <f t="shared" si="90"/>
        <v>0</v>
      </c>
      <c r="H389" s="7">
        <f t="shared" si="91"/>
        <v>0</v>
      </c>
      <c r="I389" s="8">
        <v>53.73333333333332</v>
      </c>
      <c r="J389" s="9">
        <f t="shared" si="92"/>
        <v>53.73333333333332</v>
      </c>
      <c r="K389" s="3">
        <f t="shared" si="93"/>
        <v>0</v>
      </c>
      <c r="L389" s="7">
        <f t="shared" si="94"/>
        <v>0</v>
      </c>
      <c r="M389" t="s">
        <v>150</v>
      </c>
      <c r="O389" s="3">
        <f>E389-'305245 - P0424'!F389</f>
        <v>0</v>
      </c>
      <c r="P389" s="30">
        <f>I389-'305245 - P0424'!J389</f>
        <v>0</v>
      </c>
    </row>
    <row r="390" spans="1:16" x14ac:dyDescent="0.25">
      <c r="A390">
        <v>388</v>
      </c>
      <c r="B390" t="s">
        <v>476</v>
      </c>
      <c r="C390" s="28" t="s">
        <v>385</v>
      </c>
      <c r="D390" s="4" t="s">
        <v>386</v>
      </c>
      <c r="E390" s="11">
        <v>70.2</v>
      </c>
      <c r="F390" s="11">
        <v>70.2</v>
      </c>
      <c r="G390" s="6">
        <f t="shared" si="90"/>
        <v>0</v>
      </c>
      <c r="H390" s="7">
        <f t="shared" si="91"/>
        <v>0</v>
      </c>
      <c r="I390" s="8">
        <v>114.84819573542534</v>
      </c>
      <c r="J390" s="9">
        <f t="shared" si="92"/>
        <v>114.84819573542534</v>
      </c>
      <c r="K390" s="3">
        <f t="shared" si="93"/>
        <v>0</v>
      </c>
      <c r="L390" s="7">
        <f t="shared" si="94"/>
        <v>0</v>
      </c>
      <c r="M390" t="s">
        <v>150</v>
      </c>
      <c r="O390" s="3">
        <f>E390-'305245 - P0424'!F390</f>
        <v>0</v>
      </c>
      <c r="P390" s="30">
        <f>I390-'305245 - P0424'!J390</f>
        <v>0</v>
      </c>
    </row>
    <row r="391" spans="1:16" x14ac:dyDescent="0.25">
      <c r="A391">
        <v>389</v>
      </c>
      <c r="B391" t="s">
        <v>445</v>
      </c>
      <c r="C391" s="28" t="s">
        <v>351</v>
      </c>
      <c r="D391" s="4" t="s">
        <v>500</v>
      </c>
      <c r="E391" s="11">
        <v>208</v>
      </c>
      <c r="F391" s="11">
        <v>208</v>
      </c>
      <c r="G391" s="6">
        <f t="shared" si="90"/>
        <v>0</v>
      </c>
      <c r="H391" s="7">
        <f t="shared" si="91"/>
        <v>0</v>
      </c>
      <c r="I391" s="8">
        <v>297.15636363636361</v>
      </c>
      <c r="J391" s="9">
        <f t="shared" si="92"/>
        <v>297.15636363636361</v>
      </c>
      <c r="K391" s="3">
        <f t="shared" si="93"/>
        <v>0</v>
      </c>
      <c r="L391" s="7">
        <f t="shared" si="94"/>
        <v>0</v>
      </c>
      <c r="M391" t="s">
        <v>150</v>
      </c>
      <c r="O391" s="3">
        <f>E391-'305245 - P0424'!F391</f>
        <v>0</v>
      </c>
      <c r="P391" s="30">
        <f>I391-'305245 - P0424'!J391</f>
        <v>0</v>
      </c>
    </row>
    <row r="392" spans="1:16" x14ac:dyDescent="0.25">
      <c r="A392">
        <v>390</v>
      </c>
      <c r="B392" t="s">
        <v>387</v>
      </c>
      <c r="C392" s="28" t="s">
        <v>351</v>
      </c>
      <c r="D392" s="4" t="s">
        <v>388</v>
      </c>
      <c r="E392" s="12">
        <v>13.11</v>
      </c>
      <c r="F392" s="12">
        <v>13.11</v>
      </c>
      <c r="G392" s="6">
        <f t="shared" si="90"/>
        <v>0</v>
      </c>
      <c r="H392" s="7">
        <f t="shared" si="91"/>
        <v>0</v>
      </c>
      <c r="I392" s="8">
        <v>15.06</v>
      </c>
      <c r="J392" s="9">
        <f t="shared" si="92"/>
        <v>15.06</v>
      </c>
      <c r="K392" s="3">
        <f t="shared" si="93"/>
        <v>0</v>
      </c>
      <c r="L392" s="7">
        <f t="shared" si="94"/>
        <v>0</v>
      </c>
      <c r="M392" t="s">
        <v>150</v>
      </c>
      <c r="O392" s="3">
        <f>E392-'305245 - P0424'!F392</f>
        <v>0</v>
      </c>
      <c r="P392" s="30">
        <f>I392-'305245 - P0424'!J392</f>
        <v>0</v>
      </c>
    </row>
    <row r="393" spans="1:16" x14ac:dyDescent="0.25">
      <c r="A393">
        <v>391</v>
      </c>
      <c r="B393" t="s">
        <v>387</v>
      </c>
      <c r="C393" s="28" t="s">
        <v>351</v>
      </c>
      <c r="D393" s="4" t="s">
        <v>389</v>
      </c>
      <c r="E393" s="12">
        <v>27.99</v>
      </c>
      <c r="F393" s="12">
        <v>27.99</v>
      </c>
      <c r="G393" s="6">
        <f t="shared" si="90"/>
        <v>0</v>
      </c>
      <c r="H393" s="7">
        <f t="shared" si="91"/>
        <v>0</v>
      </c>
      <c r="I393" s="8">
        <v>32.15</v>
      </c>
      <c r="J393" s="9">
        <f t="shared" si="92"/>
        <v>32.15</v>
      </c>
      <c r="K393" s="3">
        <f t="shared" si="93"/>
        <v>0</v>
      </c>
      <c r="L393" s="7">
        <f t="shared" si="94"/>
        <v>0</v>
      </c>
      <c r="M393" t="s">
        <v>150</v>
      </c>
      <c r="O393" s="3">
        <f>E393-'305245 - P0424'!F393</f>
        <v>0</v>
      </c>
      <c r="P393" s="30">
        <f>I393-'305245 - P0424'!J393</f>
        <v>0</v>
      </c>
    </row>
    <row r="394" spans="1:16" x14ac:dyDescent="0.25">
      <c r="A394">
        <v>392</v>
      </c>
      <c r="B394" t="s">
        <v>387</v>
      </c>
      <c r="C394" s="28" t="s">
        <v>351</v>
      </c>
      <c r="D394" s="4" t="s">
        <v>390</v>
      </c>
      <c r="E394" s="12">
        <v>24.27</v>
      </c>
      <c r="F394" s="12">
        <v>24.27</v>
      </c>
      <c r="G394" s="6">
        <f t="shared" si="90"/>
        <v>0</v>
      </c>
      <c r="H394" s="7">
        <f t="shared" si="91"/>
        <v>0</v>
      </c>
      <c r="I394" s="8">
        <v>27.88</v>
      </c>
      <c r="J394" s="9">
        <f t="shared" si="92"/>
        <v>27.88</v>
      </c>
      <c r="K394" s="3">
        <f t="shared" si="93"/>
        <v>0</v>
      </c>
      <c r="L394" s="7">
        <f t="shared" si="94"/>
        <v>0</v>
      </c>
      <c r="M394" t="s">
        <v>150</v>
      </c>
      <c r="O394" s="3">
        <f>E394-'305245 - P0424'!F394</f>
        <v>0</v>
      </c>
      <c r="P394" s="30">
        <f>I394-'305245 - P0424'!J394</f>
        <v>0</v>
      </c>
    </row>
    <row r="395" spans="1:16" x14ac:dyDescent="0.25">
      <c r="A395">
        <v>393</v>
      </c>
      <c r="C395" s="28"/>
      <c r="D395" s="2" t="s">
        <v>391</v>
      </c>
      <c r="M395" t="s">
        <v>150</v>
      </c>
    </row>
    <row r="396" spans="1:16" x14ac:dyDescent="0.25">
      <c r="A396">
        <v>394</v>
      </c>
      <c r="B396" t="s">
        <v>322</v>
      </c>
      <c r="C396" s="28" t="s">
        <v>354</v>
      </c>
      <c r="D396" s="4" t="s">
        <v>392</v>
      </c>
      <c r="E396" s="12">
        <v>3.7791000000000001</v>
      </c>
      <c r="F396" s="12">
        <v>3.7791000000000001</v>
      </c>
      <c r="G396" s="6">
        <f t="shared" ref="G396:G413" si="95">+F396-E396</f>
        <v>0</v>
      </c>
      <c r="H396" s="7">
        <f t="shared" ref="H396:H413" si="96">(F396-E396)/ABS(E396)</f>
        <v>0</v>
      </c>
      <c r="I396" s="8">
        <v>7.5582000000000003</v>
      </c>
      <c r="J396" s="9">
        <f t="shared" ref="J396:J413" si="97">(I396*H396)+I396</f>
        <v>7.5582000000000003</v>
      </c>
      <c r="K396" s="3">
        <f t="shared" ref="K396:K413" si="98">J396-I396</f>
        <v>0</v>
      </c>
      <c r="L396" s="7">
        <f t="shared" ref="L396:L413" si="99">(J396-I396)/ABS(I396)</f>
        <v>0</v>
      </c>
      <c r="M396" t="s">
        <v>150</v>
      </c>
      <c r="O396" s="3">
        <f>E396-'305245 - P0424'!F396</f>
        <v>0</v>
      </c>
      <c r="P396" s="30">
        <f>I396-'305245 - P0424'!J396</f>
        <v>0</v>
      </c>
    </row>
    <row r="397" spans="1:16" x14ac:dyDescent="0.25">
      <c r="A397">
        <v>395</v>
      </c>
      <c r="B397" t="s">
        <v>476</v>
      </c>
      <c r="C397" s="28" t="s">
        <v>354</v>
      </c>
      <c r="D397" s="4" t="s">
        <v>393</v>
      </c>
      <c r="E397" s="12">
        <v>1.81</v>
      </c>
      <c r="F397" s="12">
        <v>1.81</v>
      </c>
      <c r="G397" s="6">
        <f t="shared" si="95"/>
        <v>0</v>
      </c>
      <c r="H397" s="7">
        <f t="shared" si="96"/>
        <v>0</v>
      </c>
      <c r="I397" s="8">
        <v>3.62</v>
      </c>
      <c r="J397" s="9">
        <f t="shared" si="97"/>
        <v>3.62</v>
      </c>
      <c r="K397" s="3">
        <f t="shared" si="98"/>
        <v>0</v>
      </c>
      <c r="L397" s="7">
        <f t="shared" si="99"/>
        <v>0</v>
      </c>
      <c r="M397" t="s">
        <v>150</v>
      </c>
      <c r="O397" s="3">
        <f>E397-'305245 - P0424'!F397</f>
        <v>0</v>
      </c>
      <c r="P397" s="30">
        <f>I397-'305245 - P0424'!J397</f>
        <v>0</v>
      </c>
    </row>
    <row r="398" spans="1:16" x14ac:dyDescent="0.25">
      <c r="A398">
        <v>396</v>
      </c>
      <c r="B398" t="s">
        <v>480</v>
      </c>
      <c r="C398" s="28" t="s">
        <v>354</v>
      </c>
      <c r="D398" s="4" t="s">
        <v>394</v>
      </c>
      <c r="E398" s="12">
        <v>3.01</v>
      </c>
      <c r="F398" s="12">
        <v>3.01</v>
      </c>
      <c r="G398" s="6">
        <f t="shared" si="95"/>
        <v>0</v>
      </c>
      <c r="H398" s="7">
        <f t="shared" si="96"/>
        <v>0</v>
      </c>
      <c r="I398" s="8">
        <v>6.02</v>
      </c>
      <c r="J398" s="9">
        <f t="shared" si="97"/>
        <v>6.02</v>
      </c>
      <c r="K398" s="3">
        <f t="shared" si="98"/>
        <v>0</v>
      </c>
      <c r="L398" s="7">
        <f t="shared" si="99"/>
        <v>0</v>
      </c>
      <c r="M398" t="s">
        <v>150</v>
      </c>
      <c r="O398" s="3">
        <f>E398-'305245 - P0424'!F398</f>
        <v>0</v>
      </c>
      <c r="P398" s="30">
        <f>I398-'305245 - P0424'!J398</f>
        <v>0</v>
      </c>
    </row>
    <row r="399" spans="1:16" x14ac:dyDescent="0.25">
      <c r="A399">
        <v>397</v>
      </c>
      <c r="B399" t="s">
        <v>470</v>
      </c>
      <c r="C399" s="28" t="s">
        <v>354</v>
      </c>
      <c r="D399" s="4" t="s">
        <v>395</v>
      </c>
      <c r="E399" s="12">
        <v>27.08</v>
      </c>
      <c r="F399" s="12">
        <v>27.08</v>
      </c>
      <c r="G399" s="6">
        <f t="shared" si="95"/>
        <v>0</v>
      </c>
      <c r="H399" s="7">
        <f t="shared" si="96"/>
        <v>0</v>
      </c>
      <c r="I399" s="8">
        <v>54.16</v>
      </c>
      <c r="J399" s="9">
        <f t="shared" si="97"/>
        <v>54.16</v>
      </c>
      <c r="K399" s="3">
        <f t="shared" si="98"/>
        <v>0</v>
      </c>
      <c r="L399" s="7">
        <f t="shared" si="99"/>
        <v>0</v>
      </c>
      <c r="M399" t="s">
        <v>150</v>
      </c>
      <c r="O399" s="3">
        <f>E399-'305245 - P0424'!F399</f>
        <v>0</v>
      </c>
      <c r="P399" s="30">
        <f>I399-'305245 - P0424'!J399</f>
        <v>0</v>
      </c>
    </row>
    <row r="400" spans="1:16" x14ac:dyDescent="0.25">
      <c r="A400">
        <v>398</v>
      </c>
      <c r="B400" t="s">
        <v>303</v>
      </c>
      <c r="C400" s="28" t="s">
        <v>354</v>
      </c>
      <c r="D400" s="4" t="s">
        <v>396</v>
      </c>
      <c r="E400" s="12">
        <v>18.07</v>
      </c>
      <c r="F400" s="12">
        <v>18.07</v>
      </c>
      <c r="G400" s="6">
        <f t="shared" si="95"/>
        <v>0</v>
      </c>
      <c r="H400" s="7">
        <f t="shared" si="96"/>
        <v>0</v>
      </c>
      <c r="I400" s="8">
        <v>32.273257621040045</v>
      </c>
      <c r="J400" s="9">
        <f t="shared" si="97"/>
        <v>32.273257621040045</v>
      </c>
      <c r="K400" s="3">
        <f t="shared" si="98"/>
        <v>0</v>
      </c>
      <c r="L400" s="7">
        <f t="shared" si="99"/>
        <v>0</v>
      </c>
      <c r="M400" t="s">
        <v>150</v>
      </c>
      <c r="O400" s="3">
        <f>E400-'305245 - P0424'!F400</f>
        <v>0</v>
      </c>
      <c r="P400" s="30">
        <f>I400-'305245 - P0424'!J400</f>
        <v>0</v>
      </c>
    </row>
    <row r="401" spans="1:16" x14ac:dyDescent="0.25">
      <c r="A401">
        <v>399</v>
      </c>
      <c r="B401" t="s">
        <v>303</v>
      </c>
      <c r="C401" s="28" t="s">
        <v>354</v>
      </c>
      <c r="D401" s="4" t="s">
        <v>397</v>
      </c>
      <c r="E401" s="12">
        <v>11.92</v>
      </c>
      <c r="F401" s="12">
        <v>11.92</v>
      </c>
      <c r="G401" s="6">
        <f t="shared" si="95"/>
        <v>0</v>
      </c>
      <c r="H401" s="7">
        <f t="shared" si="96"/>
        <v>0</v>
      </c>
      <c r="I401" s="8">
        <v>23.863213242453746</v>
      </c>
      <c r="J401" s="9">
        <f t="shared" si="97"/>
        <v>23.863213242453746</v>
      </c>
      <c r="K401" s="3">
        <f t="shared" si="98"/>
        <v>0</v>
      </c>
      <c r="L401" s="7">
        <f t="shared" si="99"/>
        <v>0</v>
      </c>
      <c r="M401" t="s">
        <v>150</v>
      </c>
      <c r="O401" s="3">
        <f>E401-'305245 - P0424'!F401</f>
        <v>0</v>
      </c>
      <c r="P401" s="30">
        <f>I401-'305245 - P0424'!J401</f>
        <v>0</v>
      </c>
    </row>
    <row r="402" spans="1:16" x14ac:dyDescent="0.25">
      <c r="A402">
        <v>400</v>
      </c>
      <c r="B402" t="s">
        <v>303</v>
      </c>
      <c r="C402" s="28" t="s">
        <v>354</v>
      </c>
      <c r="D402" s="4" t="s">
        <v>398</v>
      </c>
      <c r="E402" s="12">
        <v>12.97</v>
      </c>
      <c r="F402" s="12">
        <v>12.97</v>
      </c>
      <c r="G402" s="6">
        <f t="shared" si="95"/>
        <v>0</v>
      </c>
      <c r="H402" s="7">
        <f t="shared" si="96"/>
        <v>0</v>
      </c>
      <c r="I402" s="8">
        <v>25.96322291853178</v>
      </c>
      <c r="J402" s="9">
        <f t="shared" si="97"/>
        <v>25.96322291853178</v>
      </c>
      <c r="K402" s="3">
        <f t="shared" si="98"/>
        <v>0</v>
      </c>
      <c r="L402" s="7">
        <f t="shared" si="99"/>
        <v>0</v>
      </c>
      <c r="M402" t="s">
        <v>150</v>
      </c>
      <c r="O402" s="3">
        <f>E402-'305245 - P0424'!F402</f>
        <v>0</v>
      </c>
      <c r="P402" s="30">
        <f>I402-'305245 - P0424'!J402</f>
        <v>0</v>
      </c>
    </row>
    <row r="403" spans="1:16" x14ac:dyDescent="0.25">
      <c r="A403">
        <v>401</v>
      </c>
      <c r="B403" t="s">
        <v>475</v>
      </c>
      <c r="C403" s="28" t="s">
        <v>354</v>
      </c>
      <c r="D403" s="4" t="s">
        <v>399</v>
      </c>
      <c r="E403" s="12">
        <v>51.3</v>
      </c>
      <c r="F403" s="12">
        <v>51.3</v>
      </c>
      <c r="G403" s="6">
        <f t="shared" si="95"/>
        <v>0</v>
      </c>
      <c r="H403" s="7">
        <f t="shared" si="96"/>
        <v>0</v>
      </c>
      <c r="I403" s="8">
        <v>102.6</v>
      </c>
      <c r="J403" s="9">
        <f t="shared" si="97"/>
        <v>102.6</v>
      </c>
      <c r="K403" s="3">
        <f t="shared" si="98"/>
        <v>0</v>
      </c>
      <c r="L403" s="7">
        <f t="shared" si="99"/>
        <v>0</v>
      </c>
      <c r="M403" t="s">
        <v>150</v>
      </c>
      <c r="O403" s="3">
        <f>E403-'305245 - P0424'!F403</f>
        <v>0</v>
      </c>
      <c r="P403" s="30">
        <f>I403-'305245 - P0424'!J403</f>
        <v>0</v>
      </c>
    </row>
    <row r="404" spans="1:16" x14ac:dyDescent="0.25">
      <c r="A404">
        <v>402</v>
      </c>
      <c r="B404" t="s">
        <v>479</v>
      </c>
      <c r="C404" s="28" t="s">
        <v>354</v>
      </c>
      <c r="D404" s="4" t="s">
        <v>400</v>
      </c>
      <c r="E404" s="12">
        <v>21.37</v>
      </c>
      <c r="F404" s="12">
        <v>21.37</v>
      </c>
      <c r="G404" s="6">
        <f t="shared" si="95"/>
        <v>0</v>
      </c>
      <c r="H404" s="7">
        <f t="shared" si="96"/>
        <v>0</v>
      </c>
      <c r="I404" s="8">
        <v>42.74</v>
      </c>
      <c r="J404" s="9">
        <f t="shared" si="97"/>
        <v>42.74</v>
      </c>
      <c r="K404" s="3">
        <f t="shared" si="98"/>
        <v>0</v>
      </c>
      <c r="L404" s="7">
        <f t="shared" si="99"/>
        <v>0</v>
      </c>
      <c r="M404" t="s">
        <v>150</v>
      </c>
      <c r="O404" s="3">
        <f>E404-'305245 - P0424'!F404</f>
        <v>0</v>
      </c>
      <c r="P404" s="30">
        <f>I404-'305245 - P0424'!J404</f>
        <v>0</v>
      </c>
    </row>
    <row r="405" spans="1:16" x14ac:dyDescent="0.25">
      <c r="A405">
        <v>403</v>
      </c>
      <c r="B405" t="s">
        <v>476</v>
      </c>
      <c r="C405" s="28" t="s">
        <v>354</v>
      </c>
      <c r="D405" s="4" t="s">
        <v>401</v>
      </c>
      <c r="E405" s="12">
        <v>37.51</v>
      </c>
      <c r="F405" s="12">
        <v>37.51</v>
      </c>
      <c r="G405" s="6">
        <f t="shared" si="95"/>
        <v>0</v>
      </c>
      <c r="H405" s="7">
        <f t="shared" si="96"/>
        <v>0</v>
      </c>
      <c r="I405" s="8">
        <v>75.02</v>
      </c>
      <c r="J405" s="9">
        <f t="shared" si="97"/>
        <v>75.02</v>
      </c>
      <c r="K405" s="3">
        <f t="shared" si="98"/>
        <v>0</v>
      </c>
      <c r="L405" s="7">
        <f t="shared" si="99"/>
        <v>0</v>
      </c>
      <c r="M405" t="s">
        <v>150</v>
      </c>
      <c r="O405" s="3">
        <f>E405-'305245 - P0424'!F405</f>
        <v>0</v>
      </c>
      <c r="P405" s="30">
        <f>I405-'305245 - P0424'!J405</f>
        <v>0</v>
      </c>
    </row>
    <row r="406" spans="1:16" x14ac:dyDescent="0.25">
      <c r="A406">
        <v>404</v>
      </c>
      <c r="B406" t="s">
        <v>476</v>
      </c>
      <c r="C406" s="28" t="s">
        <v>354</v>
      </c>
      <c r="D406" s="4" t="s">
        <v>402</v>
      </c>
      <c r="E406" s="12">
        <v>1.79</v>
      </c>
      <c r="F406" s="12">
        <v>1.79</v>
      </c>
      <c r="G406" s="6">
        <f t="shared" si="95"/>
        <v>0</v>
      </c>
      <c r="H406" s="7">
        <f t="shared" si="96"/>
        <v>0</v>
      </c>
      <c r="I406" s="8">
        <v>4</v>
      </c>
      <c r="J406" s="9">
        <f t="shared" si="97"/>
        <v>4</v>
      </c>
      <c r="K406" s="3">
        <f t="shared" si="98"/>
        <v>0</v>
      </c>
      <c r="L406" s="7">
        <f t="shared" si="99"/>
        <v>0</v>
      </c>
      <c r="M406" t="s">
        <v>150</v>
      </c>
      <c r="O406" s="3">
        <f>E406-'305245 - P0424'!F406</f>
        <v>0</v>
      </c>
      <c r="P406" s="30">
        <f>I406-'305245 - P0424'!J406</f>
        <v>0</v>
      </c>
    </row>
    <row r="407" spans="1:16" x14ac:dyDescent="0.25">
      <c r="A407">
        <v>405</v>
      </c>
      <c r="B407" t="s">
        <v>476</v>
      </c>
      <c r="C407" s="28" t="s">
        <v>354</v>
      </c>
      <c r="D407" s="4" t="s">
        <v>403</v>
      </c>
      <c r="E407" s="12">
        <v>2.4700000000000002</v>
      </c>
      <c r="F407" s="12">
        <v>2.4700000000000002</v>
      </c>
      <c r="G407" s="6">
        <f t="shared" si="95"/>
        <v>0</v>
      </c>
      <c r="H407" s="7">
        <f t="shared" si="96"/>
        <v>0</v>
      </c>
      <c r="I407" s="8">
        <v>5</v>
      </c>
      <c r="J407" s="9">
        <f t="shared" si="97"/>
        <v>5</v>
      </c>
      <c r="K407" s="3">
        <f t="shared" si="98"/>
        <v>0</v>
      </c>
      <c r="L407" s="7">
        <f t="shared" si="99"/>
        <v>0</v>
      </c>
      <c r="M407" t="s">
        <v>150</v>
      </c>
      <c r="O407" s="3">
        <f>E407-'305245 - P0424'!F407</f>
        <v>0</v>
      </c>
      <c r="P407" s="30">
        <f>I407-'305245 - P0424'!J407</f>
        <v>0</v>
      </c>
    </row>
    <row r="408" spans="1:16" x14ac:dyDescent="0.25">
      <c r="A408">
        <v>406</v>
      </c>
      <c r="B408" t="s">
        <v>474</v>
      </c>
      <c r="C408" s="28" t="s">
        <v>354</v>
      </c>
      <c r="D408" s="4" t="s">
        <v>404</v>
      </c>
      <c r="E408" s="12">
        <v>6.48</v>
      </c>
      <c r="F408" s="12">
        <v>6.48</v>
      </c>
      <c r="G408" s="6">
        <f t="shared" si="95"/>
        <v>0</v>
      </c>
      <c r="H408" s="7">
        <f t="shared" si="96"/>
        <v>0</v>
      </c>
      <c r="I408" s="8">
        <v>12.96</v>
      </c>
      <c r="J408" s="9">
        <f t="shared" si="97"/>
        <v>12.96</v>
      </c>
      <c r="K408" s="3">
        <f t="shared" si="98"/>
        <v>0</v>
      </c>
      <c r="L408" s="7">
        <f t="shared" si="99"/>
        <v>0</v>
      </c>
      <c r="M408" t="s">
        <v>150</v>
      </c>
      <c r="O408" s="3">
        <f>E408-'305245 - P0424'!F408</f>
        <v>0</v>
      </c>
      <c r="P408" s="30">
        <f>I408-'305245 - P0424'!J408</f>
        <v>0</v>
      </c>
    </row>
    <row r="409" spans="1:16" x14ac:dyDescent="0.25">
      <c r="A409">
        <v>407</v>
      </c>
      <c r="B409" t="s">
        <v>474</v>
      </c>
      <c r="C409" s="28" t="s">
        <v>354</v>
      </c>
      <c r="D409" s="4" t="s">
        <v>405</v>
      </c>
      <c r="E409" s="12">
        <v>10.78</v>
      </c>
      <c r="F409" s="12">
        <v>10.78</v>
      </c>
      <c r="G409" s="6">
        <f t="shared" si="95"/>
        <v>0</v>
      </c>
      <c r="H409" s="7">
        <f t="shared" si="96"/>
        <v>0</v>
      </c>
      <c r="I409" s="8">
        <v>21.56</v>
      </c>
      <c r="J409" s="9">
        <f t="shared" si="97"/>
        <v>21.56</v>
      </c>
      <c r="K409" s="3">
        <f t="shared" si="98"/>
        <v>0</v>
      </c>
      <c r="L409" s="7">
        <f t="shared" si="99"/>
        <v>0</v>
      </c>
      <c r="M409" t="s">
        <v>150</v>
      </c>
      <c r="O409" s="3">
        <f>E409-'305245 - P0424'!F409</f>
        <v>0</v>
      </c>
      <c r="P409" s="30">
        <f>I409-'305245 - P0424'!J409</f>
        <v>0</v>
      </c>
    </row>
    <row r="410" spans="1:16" x14ac:dyDescent="0.25">
      <c r="A410">
        <v>408</v>
      </c>
      <c r="B410" t="s">
        <v>474</v>
      </c>
      <c r="C410" s="28" t="s">
        <v>354</v>
      </c>
      <c r="D410" s="4" t="s">
        <v>406</v>
      </c>
      <c r="E410" s="12">
        <v>13.22</v>
      </c>
      <c r="F410" s="12">
        <v>13.22</v>
      </c>
      <c r="G410" s="6">
        <f t="shared" si="95"/>
        <v>0</v>
      </c>
      <c r="H410" s="7">
        <f t="shared" si="96"/>
        <v>0</v>
      </c>
      <c r="I410" s="8">
        <v>26.44</v>
      </c>
      <c r="J410" s="9">
        <f t="shared" si="97"/>
        <v>26.44</v>
      </c>
      <c r="K410" s="3">
        <f t="shared" si="98"/>
        <v>0</v>
      </c>
      <c r="L410" s="7">
        <f t="shared" si="99"/>
        <v>0</v>
      </c>
      <c r="M410" t="s">
        <v>150</v>
      </c>
      <c r="O410" s="3">
        <f>E410-'305245 - P0424'!F410</f>
        <v>0</v>
      </c>
      <c r="P410" s="30">
        <f>I410-'305245 - P0424'!J410</f>
        <v>0</v>
      </c>
    </row>
    <row r="411" spans="1:16" x14ac:dyDescent="0.25">
      <c r="A411">
        <v>409</v>
      </c>
      <c r="B411" t="s">
        <v>476</v>
      </c>
      <c r="C411" s="28" t="s">
        <v>354</v>
      </c>
      <c r="D411" s="4" t="s">
        <v>407</v>
      </c>
      <c r="E411" s="12">
        <v>14.72</v>
      </c>
      <c r="F411" s="12">
        <v>14.72</v>
      </c>
      <c r="G411" s="6">
        <f t="shared" si="95"/>
        <v>0</v>
      </c>
      <c r="H411" s="7">
        <f t="shared" si="96"/>
        <v>0</v>
      </c>
      <c r="I411" s="8">
        <v>29.44</v>
      </c>
      <c r="J411" s="9">
        <f t="shared" si="97"/>
        <v>29.44</v>
      </c>
      <c r="K411" s="3">
        <f t="shared" si="98"/>
        <v>0</v>
      </c>
      <c r="L411" s="7">
        <f t="shared" si="99"/>
        <v>0</v>
      </c>
      <c r="M411" t="s">
        <v>150</v>
      </c>
      <c r="O411" s="3">
        <f>E411-'305245 - P0424'!F411</f>
        <v>0</v>
      </c>
      <c r="P411" s="30">
        <f>I411-'305245 - P0424'!J411</f>
        <v>0</v>
      </c>
    </row>
    <row r="412" spans="1:16" x14ac:dyDescent="0.25">
      <c r="A412">
        <v>410</v>
      </c>
      <c r="B412" t="s">
        <v>476</v>
      </c>
      <c r="C412" s="28" t="s">
        <v>354</v>
      </c>
      <c r="D412" s="4" t="s">
        <v>408</v>
      </c>
      <c r="E412" s="12">
        <v>3.74</v>
      </c>
      <c r="F412" s="12">
        <v>3.74</v>
      </c>
      <c r="G412" s="6">
        <f t="shared" si="95"/>
        <v>0</v>
      </c>
      <c r="H412" s="7">
        <f t="shared" si="96"/>
        <v>0</v>
      </c>
      <c r="I412" s="8">
        <v>7.48</v>
      </c>
      <c r="J412" s="9">
        <f t="shared" si="97"/>
        <v>7.48</v>
      </c>
      <c r="K412" s="3">
        <f t="shared" si="98"/>
        <v>0</v>
      </c>
      <c r="L412" s="7">
        <f t="shared" si="99"/>
        <v>0</v>
      </c>
      <c r="M412" t="s">
        <v>150</v>
      </c>
      <c r="O412" s="3">
        <f>E412-'305245 - P0424'!F412</f>
        <v>0</v>
      </c>
      <c r="P412" s="30">
        <f>I412-'305245 - P0424'!J412</f>
        <v>0</v>
      </c>
    </row>
    <row r="413" spans="1:16" x14ac:dyDescent="0.25">
      <c r="A413">
        <v>411</v>
      </c>
      <c r="B413" t="s">
        <v>476</v>
      </c>
      <c r="C413" s="28" t="s">
        <v>354</v>
      </c>
      <c r="D413" s="4" t="s">
        <v>409</v>
      </c>
      <c r="E413" s="12">
        <v>5.12</v>
      </c>
      <c r="F413" s="12">
        <v>5.12</v>
      </c>
      <c r="G413" s="6">
        <f t="shared" si="95"/>
        <v>0</v>
      </c>
      <c r="H413" s="7">
        <f t="shared" si="96"/>
        <v>0</v>
      </c>
      <c r="I413" s="8">
        <v>10.24</v>
      </c>
      <c r="J413" s="9">
        <f t="shared" si="97"/>
        <v>10.24</v>
      </c>
      <c r="K413" s="3">
        <f t="shared" si="98"/>
        <v>0</v>
      </c>
      <c r="L413" s="7">
        <f t="shared" si="99"/>
        <v>0</v>
      </c>
      <c r="M413" t="s">
        <v>150</v>
      </c>
      <c r="O413" s="3">
        <f>E413-'305245 - P0424'!F413</f>
        <v>0</v>
      </c>
      <c r="P413" s="30">
        <f>I413-'305245 - P0424'!J413</f>
        <v>0</v>
      </c>
    </row>
    <row r="414" spans="1:16" x14ac:dyDescent="0.25">
      <c r="A414">
        <v>412</v>
      </c>
      <c r="D414" s="2" t="s">
        <v>410</v>
      </c>
      <c r="H414" s="10">
        <f>AVERAGE(H349:H410)</f>
        <v>0</v>
      </c>
    </row>
    <row r="415" spans="1:16" x14ac:dyDescent="0.25">
      <c r="D415" s="2" t="s">
        <v>411</v>
      </c>
    </row>
    <row r="416" spans="1:16" x14ac:dyDescent="0.25">
      <c r="D416" s="17" t="s">
        <v>412</v>
      </c>
      <c r="E416" s="5">
        <v>579</v>
      </c>
      <c r="F416" s="5">
        <v>555</v>
      </c>
      <c r="G416" s="6">
        <f t="shared" ref="G416:G425" si="100">+F416-E416</f>
        <v>-24</v>
      </c>
      <c r="H416" s="7">
        <f t="shared" ref="H416:H425" si="101">(F416-E416)/ABS(E416)</f>
        <v>-4.145077720207254E-2</v>
      </c>
      <c r="J416" s="3"/>
      <c r="K416" s="3"/>
      <c r="L416" s="7"/>
    </row>
    <row r="417" spans="1:16" x14ac:dyDescent="0.25">
      <c r="D417" s="17" t="s">
        <v>413</v>
      </c>
      <c r="E417" s="5">
        <v>558</v>
      </c>
      <c r="F417" s="5">
        <v>545</v>
      </c>
      <c r="G417" s="6">
        <f t="shared" si="100"/>
        <v>-13</v>
      </c>
      <c r="H417" s="7">
        <f t="shared" si="101"/>
        <v>-2.3297491039426525E-2</v>
      </c>
      <c r="J417" s="3"/>
      <c r="K417" s="3"/>
      <c r="L417" s="7"/>
    </row>
    <row r="418" spans="1:16" x14ac:dyDescent="0.25">
      <c r="D418" s="17" t="s">
        <v>414</v>
      </c>
      <c r="E418" s="5">
        <v>858</v>
      </c>
      <c r="F418" s="5">
        <v>863</v>
      </c>
      <c r="G418" s="6">
        <f t="shared" si="100"/>
        <v>5</v>
      </c>
      <c r="H418" s="7">
        <f t="shared" si="101"/>
        <v>5.8275058275058279E-3</v>
      </c>
      <c r="J418" s="3"/>
      <c r="K418" s="3"/>
      <c r="L418" s="7"/>
    </row>
    <row r="419" spans="1:16" x14ac:dyDescent="0.25">
      <c r="D419" s="4" t="s">
        <v>415</v>
      </c>
      <c r="E419" s="5">
        <v>664</v>
      </c>
      <c r="F419" s="5">
        <v>664</v>
      </c>
      <c r="G419" s="6">
        <f t="shared" si="100"/>
        <v>0</v>
      </c>
      <c r="H419" s="7">
        <f t="shared" si="101"/>
        <v>0</v>
      </c>
      <c r="J419" s="3"/>
      <c r="K419" s="3"/>
      <c r="L419" s="7"/>
    </row>
    <row r="420" spans="1:16" x14ac:dyDescent="0.25">
      <c r="D420" s="4" t="s">
        <v>416</v>
      </c>
      <c r="E420" s="5">
        <v>599</v>
      </c>
      <c r="F420" s="5">
        <v>619</v>
      </c>
      <c r="G420" s="6">
        <f t="shared" si="100"/>
        <v>20</v>
      </c>
      <c r="H420" s="7">
        <f t="shared" si="101"/>
        <v>3.3388981636060099E-2</v>
      </c>
      <c r="J420" s="3"/>
      <c r="K420" s="3"/>
      <c r="L420" s="7"/>
    </row>
    <row r="421" spans="1:16" x14ac:dyDescent="0.25">
      <c r="D421" s="4" t="s">
        <v>417</v>
      </c>
      <c r="E421" s="5">
        <v>1510</v>
      </c>
      <c r="F421" s="5">
        <v>1510</v>
      </c>
      <c r="G421" s="6">
        <f t="shared" si="100"/>
        <v>0</v>
      </c>
      <c r="H421" s="7">
        <f t="shared" si="101"/>
        <v>0</v>
      </c>
      <c r="J421" s="3"/>
      <c r="K421" s="3"/>
      <c r="L421" s="7"/>
    </row>
    <row r="422" spans="1:16" x14ac:dyDescent="0.25">
      <c r="D422" s="4" t="s">
        <v>418</v>
      </c>
      <c r="E422" s="5">
        <v>1480</v>
      </c>
      <c r="F422" s="5">
        <v>1500</v>
      </c>
      <c r="G422" s="6">
        <f t="shared" si="100"/>
        <v>20</v>
      </c>
      <c r="H422" s="7">
        <f t="shared" si="101"/>
        <v>1.3513513513513514E-2</v>
      </c>
      <c r="J422" s="3"/>
      <c r="K422" s="3"/>
      <c r="L422" s="7"/>
    </row>
    <row r="423" spans="1:16" x14ac:dyDescent="0.25">
      <c r="D423" s="4" t="s">
        <v>419</v>
      </c>
      <c r="E423" s="5">
        <v>834</v>
      </c>
      <c r="F423" s="5">
        <v>834</v>
      </c>
      <c r="G423" s="6">
        <f t="shared" si="100"/>
        <v>0</v>
      </c>
      <c r="H423" s="7">
        <f t="shared" si="101"/>
        <v>0</v>
      </c>
      <c r="J423" s="3"/>
      <c r="K423" s="3"/>
      <c r="L423" s="7"/>
    </row>
    <row r="424" spans="1:16" x14ac:dyDescent="0.25">
      <c r="D424" s="4" t="s">
        <v>420</v>
      </c>
      <c r="E424" s="5">
        <v>749</v>
      </c>
      <c r="F424" s="5">
        <v>749</v>
      </c>
      <c r="G424" s="6">
        <f t="shared" si="100"/>
        <v>0</v>
      </c>
      <c r="H424" s="7">
        <f t="shared" si="101"/>
        <v>0</v>
      </c>
      <c r="J424" s="3"/>
      <c r="K424" s="3"/>
      <c r="L424" s="7"/>
    </row>
    <row r="425" spans="1:16" x14ac:dyDescent="0.25">
      <c r="D425" s="4" t="s">
        <v>421</v>
      </c>
      <c r="E425" s="5">
        <v>1007</v>
      </c>
      <c r="F425" s="5">
        <v>1007</v>
      </c>
      <c r="G425" s="6">
        <f t="shared" si="100"/>
        <v>0</v>
      </c>
      <c r="H425" s="7">
        <f t="shared" si="101"/>
        <v>0</v>
      </c>
      <c r="J425" s="3"/>
      <c r="K425" s="3"/>
      <c r="L425" s="7"/>
    </row>
    <row r="426" spans="1:16" s="3" customFormat="1" x14ac:dyDescent="0.25">
      <c r="A426"/>
      <c r="B426"/>
      <c r="C426"/>
      <c r="D426" s="2" t="s">
        <v>422</v>
      </c>
      <c r="H426" s="10">
        <f>AVERAGE(H416:H425)</f>
        <v>-1.201826726441963E-3</v>
      </c>
      <c r="J426"/>
      <c r="K426"/>
      <c r="L426"/>
      <c r="M426"/>
      <c r="N426"/>
      <c r="P426" s="30"/>
    </row>
  </sheetData>
  <autoFilter ref="A1:M426" xr:uid="{00000000-0009-0000-0000-000001000000}"/>
  <pageMargins left="0.7" right="0.7" top="0.75" bottom="0.75" header="0.3" footer="0.3"/>
  <pageSetup orientation="portrait" horizontalDpi="1200" verticalDpi="12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0F02-3E48-49EB-AEA4-2A82ACFA0CF5}">
  <dimension ref="A1:P426"/>
  <sheetViews>
    <sheetView workbookViewId="0">
      <pane ySplit="2" topLeftCell="A162" activePane="bottomLeft" state="frozen"/>
      <selection pane="bottomLeft" activeCell="J167" sqref="J167:J191"/>
    </sheetView>
  </sheetViews>
  <sheetFormatPr defaultColWidth="9.140625" defaultRowHeight="15" x14ac:dyDescent="0.25"/>
  <cols>
    <col min="1" max="1" width="4" bestFit="1" customWidth="1"/>
    <col min="2" max="2" width="14.85546875" customWidth="1"/>
    <col min="3" max="3" width="9" customWidth="1"/>
    <col min="4" max="4" width="76.7109375" customWidth="1"/>
    <col min="5" max="5" width="28.42578125" style="3" customWidth="1"/>
    <col min="6" max="6" width="29.5703125" style="3" customWidth="1"/>
    <col min="7" max="7" width="8.28515625" style="3" customWidth="1"/>
    <col min="8" max="8" width="7.7109375" style="3" customWidth="1"/>
    <col min="9" max="9" width="28.42578125" style="3" customWidth="1"/>
    <col min="10" max="10" width="29.5703125" customWidth="1"/>
    <col min="16" max="16" width="9.140625" style="30"/>
  </cols>
  <sheetData>
    <row r="1" spans="1:16" x14ac:dyDescent="0.25">
      <c r="E1" s="1" t="s">
        <v>0</v>
      </c>
      <c r="F1" s="1" t="s">
        <v>0</v>
      </c>
      <c r="G1" s="1"/>
      <c r="H1" s="1"/>
      <c r="I1" s="1" t="s">
        <v>1</v>
      </c>
      <c r="J1" s="1" t="s">
        <v>1</v>
      </c>
      <c r="M1" t="s">
        <v>2</v>
      </c>
    </row>
    <row r="2" spans="1:16" x14ac:dyDescent="0.25">
      <c r="B2" t="s">
        <v>3</v>
      </c>
      <c r="C2" t="s">
        <v>4</v>
      </c>
      <c r="D2" t="s">
        <v>5</v>
      </c>
      <c r="E2" s="1" t="s">
        <v>515</v>
      </c>
      <c r="F2" s="1" t="s">
        <v>517</v>
      </c>
      <c r="G2" s="1"/>
      <c r="H2" s="1"/>
      <c r="I2" s="1" t="s">
        <v>515</v>
      </c>
      <c r="J2" s="1" t="s">
        <v>517</v>
      </c>
    </row>
    <row r="3" spans="1:16" x14ac:dyDescent="0.25">
      <c r="A3">
        <v>1</v>
      </c>
      <c r="D3" s="2" t="s">
        <v>6</v>
      </c>
      <c r="M3" t="s">
        <v>7</v>
      </c>
    </row>
    <row r="4" spans="1:16" x14ac:dyDescent="0.25">
      <c r="A4">
        <v>2</v>
      </c>
      <c r="C4" t="s">
        <v>8</v>
      </c>
      <c r="D4" s="4" t="s">
        <v>9</v>
      </c>
      <c r="E4" s="5">
        <v>711</v>
      </c>
      <c r="F4" s="5">
        <v>751</v>
      </c>
      <c r="G4" s="6">
        <f t="shared" ref="G4:G23" si="0">+F4-E4</f>
        <v>40</v>
      </c>
      <c r="H4" s="7">
        <f t="shared" ref="H4:H23" si="1">(F4-E4)/ABS(E4)</f>
        <v>5.6258790436005623E-2</v>
      </c>
      <c r="I4" s="8">
        <v>857.64889918887604</v>
      </c>
      <c r="J4" s="9">
        <f t="shared" ref="J4:J23" si="2">(I4*H4)+I4</f>
        <v>905.89918887601391</v>
      </c>
      <c r="K4" s="3">
        <f t="shared" ref="K4:K23" si="3">J4-I4</f>
        <v>48.250289687137865</v>
      </c>
      <c r="L4" s="7">
        <f t="shared" ref="L4:L23" si="4">(J4-I4)/ABS(I4)</f>
        <v>5.6258790436005596E-2</v>
      </c>
      <c r="M4" t="s">
        <v>7</v>
      </c>
      <c r="O4" s="3">
        <f>E4-'301055 - P0324'!F4</f>
        <v>0</v>
      </c>
      <c r="P4" s="30">
        <f>I4-'301055 - P0324'!J4</f>
        <v>0</v>
      </c>
    </row>
    <row r="5" spans="1:16" x14ac:dyDescent="0.25">
      <c r="A5">
        <v>3</v>
      </c>
      <c r="D5" s="4" t="s">
        <v>10</v>
      </c>
      <c r="E5" s="8">
        <v>711</v>
      </c>
      <c r="F5" s="8">
        <f>F4</f>
        <v>751</v>
      </c>
      <c r="G5" s="6">
        <f t="shared" si="0"/>
        <v>40</v>
      </c>
      <c r="H5" s="7">
        <f t="shared" si="1"/>
        <v>5.6258790436005623E-2</v>
      </c>
      <c r="I5" s="8">
        <v>857.64889918887604</v>
      </c>
      <c r="J5" s="9">
        <f t="shared" si="2"/>
        <v>905.89918887601391</v>
      </c>
      <c r="K5" s="3">
        <f t="shared" si="3"/>
        <v>48.250289687137865</v>
      </c>
      <c r="L5" s="7">
        <f t="shared" si="4"/>
        <v>5.6258790436005596E-2</v>
      </c>
      <c r="M5" t="s">
        <v>7</v>
      </c>
      <c r="O5" s="3">
        <f>E5-'301055 - P0324'!F5</f>
        <v>0</v>
      </c>
      <c r="P5" s="30">
        <f>I5-'301055 - P0324'!J5</f>
        <v>0</v>
      </c>
    </row>
    <row r="6" spans="1:16" x14ac:dyDescent="0.25">
      <c r="A6">
        <v>4</v>
      </c>
      <c r="D6" s="4" t="s">
        <v>11</v>
      </c>
      <c r="E6" s="8">
        <v>711</v>
      </c>
      <c r="F6" s="8">
        <f>F4</f>
        <v>751</v>
      </c>
      <c r="G6" s="6">
        <f t="shared" si="0"/>
        <v>40</v>
      </c>
      <c r="H6" s="7">
        <f t="shared" si="1"/>
        <v>5.6258790436005623E-2</v>
      </c>
      <c r="I6" s="8">
        <v>857.64889918887604</v>
      </c>
      <c r="J6" s="9">
        <f t="shared" si="2"/>
        <v>905.89918887601391</v>
      </c>
      <c r="K6" s="3">
        <f t="shared" si="3"/>
        <v>48.250289687137865</v>
      </c>
      <c r="L6" s="7">
        <f t="shared" si="4"/>
        <v>5.6258790436005596E-2</v>
      </c>
      <c r="M6" t="s">
        <v>7</v>
      </c>
      <c r="O6" s="3">
        <f>E6-'301055 - P0324'!F6</f>
        <v>0</v>
      </c>
      <c r="P6" s="30">
        <f>I6-'301055 - P0324'!J6</f>
        <v>0</v>
      </c>
    </row>
    <row r="7" spans="1:16" x14ac:dyDescent="0.25">
      <c r="A7">
        <v>5</v>
      </c>
      <c r="C7" t="s">
        <v>8</v>
      </c>
      <c r="D7" s="4" t="s">
        <v>12</v>
      </c>
      <c r="E7" s="5">
        <v>686</v>
      </c>
      <c r="F7" s="5">
        <v>756</v>
      </c>
      <c r="G7" s="6">
        <f t="shared" si="0"/>
        <v>70</v>
      </c>
      <c r="H7" s="7">
        <f t="shared" si="1"/>
        <v>0.10204081632653061</v>
      </c>
      <c r="I7" s="8">
        <v>885.51732673267315</v>
      </c>
      <c r="J7" s="9">
        <f t="shared" si="2"/>
        <v>975.87623762376222</v>
      </c>
      <c r="K7" s="3">
        <f t="shared" si="3"/>
        <v>90.358910891089067</v>
      </c>
      <c r="L7" s="7">
        <f t="shared" si="4"/>
        <v>0.10204081632653057</v>
      </c>
      <c r="M7" t="s">
        <v>7</v>
      </c>
      <c r="N7" s="27"/>
      <c r="O7" s="3">
        <f>E7-'301055 - P0324'!F7</f>
        <v>0</v>
      </c>
      <c r="P7" s="30">
        <f>I7-'301055 - P0324'!J7</f>
        <v>0</v>
      </c>
    </row>
    <row r="8" spans="1:16" x14ac:dyDescent="0.25">
      <c r="A8">
        <v>6</v>
      </c>
      <c r="D8" s="4" t="s">
        <v>13</v>
      </c>
      <c r="E8" s="8">
        <v>686</v>
      </c>
      <c r="F8" s="8">
        <f>F7</f>
        <v>756</v>
      </c>
      <c r="G8" s="6">
        <f t="shared" si="0"/>
        <v>70</v>
      </c>
      <c r="H8" s="7">
        <f t="shared" si="1"/>
        <v>0.10204081632653061</v>
      </c>
      <c r="I8" s="8">
        <v>885.51732673267315</v>
      </c>
      <c r="J8" s="9">
        <f t="shared" si="2"/>
        <v>975.87623762376222</v>
      </c>
      <c r="K8" s="3">
        <f t="shared" si="3"/>
        <v>90.358910891089067</v>
      </c>
      <c r="L8" s="7">
        <f t="shared" si="4"/>
        <v>0.10204081632653057</v>
      </c>
      <c r="M8" t="s">
        <v>7</v>
      </c>
      <c r="N8" s="27"/>
      <c r="O8" s="3">
        <f>E8-'301055 - P0324'!F8</f>
        <v>0</v>
      </c>
      <c r="P8" s="30">
        <f>I8-'301055 - P0324'!J8</f>
        <v>0</v>
      </c>
    </row>
    <row r="9" spans="1:16" x14ac:dyDescent="0.25">
      <c r="A9">
        <v>7</v>
      </c>
      <c r="D9" s="4" t="s">
        <v>14</v>
      </c>
      <c r="E9" s="8">
        <v>686</v>
      </c>
      <c r="F9" s="8">
        <f>F7</f>
        <v>756</v>
      </c>
      <c r="G9" s="6">
        <f t="shared" si="0"/>
        <v>70</v>
      </c>
      <c r="H9" s="7">
        <f t="shared" si="1"/>
        <v>0.10204081632653061</v>
      </c>
      <c r="I9" s="8">
        <v>885.51732673267315</v>
      </c>
      <c r="J9" s="9">
        <f t="shared" si="2"/>
        <v>975.87623762376222</v>
      </c>
      <c r="K9" s="3">
        <f t="shared" si="3"/>
        <v>90.358910891089067</v>
      </c>
      <c r="L9" s="7">
        <f t="shared" si="4"/>
        <v>0.10204081632653057</v>
      </c>
      <c r="M9" t="s">
        <v>7</v>
      </c>
      <c r="N9" s="27"/>
      <c r="O9" s="3">
        <f>E9-'301055 - P0324'!F9</f>
        <v>0</v>
      </c>
      <c r="P9" s="30">
        <f>I9-'301055 - P0324'!J9</f>
        <v>0</v>
      </c>
    </row>
    <row r="10" spans="1:16" x14ac:dyDescent="0.25">
      <c r="A10">
        <v>8</v>
      </c>
      <c r="C10" t="s">
        <v>8</v>
      </c>
      <c r="D10" s="4" t="s">
        <v>15</v>
      </c>
      <c r="E10" s="5">
        <v>961</v>
      </c>
      <c r="F10" s="5">
        <v>940</v>
      </c>
      <c r="G10" s="6">
        <f t="shared" si="0"/>
        <v>-21</v>
      </c>
      <c r="H10" s="7">
        <f t="shared" si="1"/>
        <v>-2.1852237252861603E-2</v>
      </c>
      <c r="I10" s="8">
        <v>1276.3037357877643</v>
      </c>
      <c r="J10" s="9">
        <f t="shared" si="2"/>
        <v>1248.4136437466163</v>
      </c>
      <c r="K10" s="3">
        <f t="shared" si="3"/>
        <v>-27.890092041147909</v>
      </c>
      <c r="L10" s="7">
        <f t="shared" si="4"/>
        <v>-2.1852237252861676E-2</v>
      </c>
      <c r="M10" t="s">
        <v>7</v>
      </c>
      <c r="N10" s="27"/>
      <c r="O10" s="3">
        <f>E10-'301055 - P0324'!F10</f>
        <v>0</v>
      </c>
      <c r="P10" s="30">
        <f>I10-'301055 - P0324'!J10</f>
        <v>0</v>
      </c>
    </row>
    <row r="11" spans="1:16" x14ac:dyDescent="0.25">
      <c r="A11">
        <v>9</v>
      </c>
      <c r="D11" s="4" t="s">
        <v>16</v>
      </c>
      <c r="E11" s="8">
        <v>961</v>
      </c>
      <c r="F11" s="8">
        <f>F10</f>
        <v>940</v>
      </c>
      <c r="G11" s="6">
        <f t="shared" si="0"/>
        <v>-21</v>
      </c>
      <c r="H11" s="7">
        <f t="shared" si="1"/>
        <v>-2.1852237252861603E-2</v>
      </c>
      <c r="I11" s="8">
        <v>1276.3037357877643</v>
      </c>
      <c r="J11" s="9">
        <f t="shared" si="2"/>
        <v>1248.4136437466163</v>
      </c>
      <c r="K11" s="3">
        <f t="shared" si="3"/>
        <v>-27.890092041147909</v>
      </c>
      <c r="L11" s="7">
        <f t="shared" si="4"/>
        <v>-2.1852237252861676E-2</v>
      </c>
      <c r="M11" t="s">
        <v>7</v>
      </c>
      <c r="N11" s="27"/>
      <c r="O11" s="3">
        <f>E11-'301055 - P0324'!F11</f>
        <v>0</v>
      </c>
      <c r="P11" s="30">
        <f>I11-'301055 - P0324'!J11</f>
        <v>0</v>
      </c>
    </row>
    <row r="12" spans="1:16" x14ac:dyDescent="0.25">
      <c r="A12">
        <v>10</v>
      </c>
      <c r="C12" t="s">
        <v>8</v>
      </c>
      <c r="D12" s="4" t="s">
        <v>17</v>
      </c>
      <c r="E12" s="5">
        <v>858</v>
      </c>
      <c r="F12" s="5">
        <v>866</v>
      </c>
      <c r="G12" s="6">
        <f t="shared" si="0"/>
        <v>8</v>
      </c>
      <c r="H12" s="7">
        <f t="shared" si="1"/>
        <v>9.324009324009324E-3</v>
      </c>
      <c r="I12" s="8">
        <v>1023.4647887323947</v>
      </c>
      <c r="J12" s="9">
        <f t="shared" si="2"/>
        <v>1033.0075839653307</v>
      </c>
      <c r="K12" s="3">
        <f t="shared" si="3"/>
        <v>9.5427952329359869</v>
      </c>
      <c r="L12" s="7">
        <f t="shared" si="4"/>
        <v>9.3240093240092321E-3</v>
      </c>
      <c r="M12" t="s">
        <v>7</v>
      </c>
      <c r="N12" s="27"/>
      <c r="O12" s="3">
        <f>E12-'301055 - P0324'!F12</f>
        <v>0</v>
      </c>
      <c r="P12" s="30">
        <f>I12-'301055 - P0324'!J12</f>
        <v>0</v>
      </c>
    </row>
    <row r="13" spans="1:16" x14ac:dyDescent="0.25">
      <c r="A13">
        <v>11</v>
      </c>
      <c r="D13" s="4" t="s">
        <v>18</v>
      </c>
      <c r="E13" s="8">
        <v>858</v>
      </c>
      <c r="F13" s="8">
        <f>F12</f>
        <v>866</v>
      </c>
      <c r="G13" s="6">
        <f t="shared" si="0"/>
        <v>8</v>
      </c>
      <c r="H13" s="7">
        <f t="shared" si="1"/>
        <v>9.324009324009324E-3</v>
      </c>
      <c r="I13" s="8">
        <v>1023.4647887323947</v>
      </c>
      <c r="J13" s="9">
        <f t="shared" si="2"/>
        <v>1033.0075839653307</v>
      </c>
      <c r="K13" s="3">
        <f t="shared" si="3"/>
        <v>9.5427952329359869</v>
      </c>
      <c r="L13" s="7">
        <f t="shared" si="4"/>
        <v>9.3240093240092321E-3</v>
      </c>
      <c r="M13" t="s">
        <v>7</v>
      </c>
      <c r="N13" s="27"/>
      <c r="O13" s="3">
        <f>E13-'301055 - P0324'!F13</f>
        <v>0</v>
      </c>
      <c r="P13" s="30">
        <f>I13-'301055 - P0324'!J13</f>
        <v>0</v>
      </c>
    </row>
    <row r="14" spans="1:16" x14ac:dyDescent="0.25">
      <c r="A14">
        <v>12</v>
      </c>
      <c r="D14" s="4" t="s">
        <v>19</v>
      </c>
      <c r="E14" s="5">
        <v>871</v>
      </c>
      <c r="F14" s="5">
        <v>866</v>
      </c>
      <c r="G14" s="6">
        <f t="shared" si="0"/>
        <v>-5</v>
      </c>
      <c r="H14" s="7">
        <f t="shared" si="1"/>
        <v>-5.7405281285878304E-3</v>
      </c>
      <c r="I14" s="8">
        <v>1119.6064472800535</v>
      </c>
      <c r="J14" s="9">
        <f t="shared" si="2"/>
        <v>1113.1793149764942</v>
      </c>
      <c r="K14" s="3">
        <f t="shared" si="3"/>
        <v>-6.4271323035593468</v>
      </c>
      <c r="L14" s="7">
        <f t="shared" si="4"/>
        <v>-5.7405281285877515E-3</v>
      </c>
      <c r="M14" t="s">
        <v>7</v>
      </c>
      <c r="N14" s="27"/>
      <c r="O14" s="3">
        <f>E14-'301055 - P0324'!F14</f>
        <v>0</v>
      </c>
      <c r="P14" s="30">
        <f>I14-'301055 - P0324'!J14</f>
        <v>0</v>
      </c>
    </row>
    <row r="15" spans="1:16" x14ac:dyDescent="0.25">
      <c r="A15">
        <v>13</v>
      </c>
      <c r="D15" s="4" t="s">
        <v>20</v>
      </c>
      <c r="E15" s="8">
        <v>871</v>
      </c>
      <c r="F15" s="8">
        <f>F14</f>
        <v>866</v>
      </c>
      <c r="G15" s="6">
        <f t="shared" si="0"/>
        <v>-5</v>
      </c>
      <c r="H15" s="7">
        <f t="shared" si="1"/>
        <v>-5.7405281285878304E-3</v>
      </c>
      <c r="I15" s="8">
        <v>1119.6064472800535</v>
      </c>
      <c r="J15" s="9">
        <f t="shared" si="2"/>
        <v>1113.1793149764942</v>
      </c>
      <c r="K15" s="3">
        <f t="shared" si="3"/>
        <v>-6.4271323035593468</v>
      </c>
      <c r="L15" s="7">
        <f t="shared" si="4"/>
        <v>-5.7405281285877515E-3</v>
      </c>
      <c r="M15" t="s">
        <v>7</v>
      </c>
      <c r="N15" s="27"/>
      <c r="O15" s="3">
        <f>E15-'301055 - P0324'!F15</f>
        <v>0</v>
      </c>
      <c r="P15" s="30">
        <f>I15-'301055 - P0324'!J15</f>
        <v>0</v>
      </c>
    </row>
    <row r="16" spans="1:16" x14ac:dyDescent="0.25">
      <c r="A16">
        <v>14</v>
      </c>
      <c r="C16" t="s">
        <v>8</v>
      </c>
      <c r="D16" s="4" t="s">
        <v>21</v>
      </c>
      <c r="E16" s="5">
        <v>862</v>
      </c>
      <c r="F16" s="5">
        <v>835</v>
      </c>
      <c r="G16" s="6">
        <f t="shared" si="0"/>
        <v>-27</v>
      </c>
      <c r="H16" s="7">
        <f t="shared" si="1"/>
        <v>-3.1322505800464036E-2</v>
      </c>
      <c r="I16" s="8">
        <v>1214.2150537634409</v>
      </c>
      <c r="J16" s="9">
        <f t="shared" si="2"/>
        <v>1176.1827956989248</v>
      </c>
      <c r="K16" s="3">
        <f t="shared" si="3"/>
        <v>-38.0322580645161</v>
      </c>
      <c r="L16" s="7">
        <f t="shared" si="4"/>
        <v>-3.1322505800464015E-2</v>
      </c>
      <c r="M16" t="s">
        <v>7</v>
      </c>
      <c r="N16" s="27"/>
      <c r="O16" s="3">
        <f>E16-'301055 - P0324'!F16</f>
        <v>0</v>
      </c>
      <c r="P16" s="30">
        <f>I16-'301055 - P0324'!J16</f>
        <v>0</v>
      </c>
    </row>
    <row r="17" spans="1:16" x14ac:dyDescent="0.25">
      <c r="A17">
        <v>15</v>
      </c>
      <c r="D17" s="4" t="s">
        <v>22</v>
      </c>
      <c r="E17" s="8">
        <v>862</v>
      </c>
      <c r="F17" s="8">
        <f>F16</f>
        <v>835</v>
      </c>
      <c r="G17" s="6">
        <f t="shared" si="0"/>
        <v>-27</v>
      </c>
      <c r="H17" s="7">
        <f t="shared" si="1"/>
        <v>-3.1322505800464036E-2</v>
      </c>
      <c r="I17" s="8">
        <v>1214.2150537634409</v>
      </c>
      <c r="J17" s="9">
        <f t="shared" si="2"/>
        <v>1176.1827956989248</v>
      </c>
      <c r="K17" s="3">
        <f t="shared" si="3"/>
        <v>-38.0322580645161</v>
      </c>
      <c r="L17" s="7">
        <f t="shared" si="4"/>
        <v>-3.1322505800464015E-2</v>
      </c>
      <c r="M17" t="s">
        <v>7</v>
      </c>
      <c r="N17" s="27"/>
      <c r="O17" s="3">
        <f>E17-'301055 - P0324'!F17</f>
        <v>0</v>
      </c>
      <c r="P17" s="30">
        <f>I17-'301055 - P0324'!J17</f>
        <v>0</v>
      </c>
    </row>
    <row r="18" spans="1:16" x14ac:dyDescent="0.25">
      <c r="A18">
        <v>16</v>
      </c>
      <c r="C18" t="s">
        <v>8</v>
      </c>
      <c r="D18" s="4" t="s">
        <v>23</v>
      </c>
      <c r="E18" s="5">
        <v>1122</v>
      </c>
      <c r="F18" s="5">
        <v>1177</v>
      </c>
      <c r="G18" s="6">
        <f t="shared" si="0"/>
        <v>55</v>
      </c>
      <c r="H18" s="7">
        <f t="shared" si="1"/>
        <v>4.9019607843137254E-2</v>
      </c>
      <c r="I18" s="8">
        <v>1559.319620253164</v>
      </c>
      <c r="J18" s="9">
        <f t="shared" si="2"/>
        <v>1635.7568565400838</v>
      </c>
      <c r="K18" s="3">
        <f t="shared" si="3"/>
        <v>76.43723628691987</v>
      </c>
      <c r="L18" s="7">
        <f t="shared" si="4"/>
        <v>4.9019607843137296E-2</v>
      </c>
      <c r="M18" t="s">
        <v>7</v>
      </c>
      <c r="N18" s="27"/>
      <c r="O18" s="3">
        <f>E18-'301055 - P0324'!F18</f>
        <v>0</v>
      </c>
      <c r="P18" s="30">
        <f>I18-'301055 - P0324'!J18</f>
        <v>0</v>
      </c>
    </row>
    <row r="19" spans="1:16" x14ac:dyDescent="0.25">
      <c r="A19">
        <v>17</v>
      </c>
      <c r="D19" s="4" t="s">
        <v>24</v>
      </c>
      <c r="E19" s="8">
        <v>1122</v>
      </c>
      <c r="F19" s="8">
        <f>F18</f>
        <v>1177</v>
      </c>
      <c r="G19" s="6">
        <f t="shared" si="0"/>
        <v>55</v>
      </c>
      <c r="H19" s="7">
        <f t="shared" si="1"/>
        <v>4.9019607843137254E-2</v>
      </c>
      <c r="I19" s="8">
        <v>1559.319620253164</v>
      </c>
      <c r="J19" s="9">
        <f t="shared" si="2"/>
        <v>1635.7568565400838</v>
      </c>
      <c r="K19" s="3">
        <f t="shared" si="3"/>
        <v>76.43723628691987</v>
      </c>
      <c r="L19" s="7">
        <f t="shared" si="4"/>
        <v>4.9019607843137296E-2</v>
      </c>
      <c r="M19" t="s">
        <v>7</v>
      </c>
      <c r="N19" s="27"/>
      <c r="O19" s="3">
        <f>E19-'301055 - P0324'!F19</f>
        <v>0</v>
      </c>
      <c r="P19" s="30">
        <f>I19-'301055 - P0324'!J19</f>
        <v>0</v>
      </c>
    </row>
    <row r="20" spans="1:16" x14ac:dyDescent="0.25">
      <c r="A20">
        <v>18</v>
      </c>
      <c r="C20" t="s">
        <v>8</v>
      </c>
      <c r="D20" s="4" t="s">
        <v>25</v>
      </c>
      <c r="E20" s="5">
        <v>52.88</v>
      </c>
      <c r="F20" s="5">
        <v>54.56</v>
      </c>
      <c r="G20" s="6">
        <f t="shared" si="0"/>
        <v>1.6799999999999997</v>
      </c>
      <c r="H20" s="7">
        <f t="shared" si="1"/>
        <v>3.1770045385779114E-2</v>
      </c>
      <c r="I20" s="8">
        <v>2655.7885430087163</v>
      </c>
      <c r="J20" s="9">
        <f t="shared" si="2"/>
        <v>2740.1630655551353</v>
      </c>
      <c r="K20" s="3">
        <f t="shared" si="3"/>
        <v>84.37452254641903</v>
      </c>
      <c r="L20" s="7">
        <f t="shared" si="4"/>
        <v>3.1770045385779086E-2</v>
      </c>
      <c r="M20" t="s">
        <v>7</v>
      </c>
      <c r="N20" s="27"/>
      <c r="O20" s="3">
        <f>E20-'301055 - P0324'!F20</f>
        <v>0</v>
      </c>
      <c r="P20" s="30">
        <f>I20-'301055 - P0324'!J20</f>
        <v>0</v>
      </c>
    </row>
    <row r="21" spans="1:16" x14ac:dyDescent="0.25">
      <c r="A21">
        <v>19</v>
      </c>
      <c r="C21" t="s">
        <v>8</v>
      </c>
      <c r="D21" s="4" t="s">
        <v>26</v>
      </c>
      <c r="E21" s="5">
        <v>15.33</v>
      </c>
      <c r="F21" s="5">
        <v>15.33</v>
      </c>
      <c r="G21" s="6">
        <f t="shared" si="0"/>
        <v>0</v>
      </c>
      <c r="H21" s="7">
        <f t="shared" si="1"/>
        <v>0</v>
      </c>
      <c r="I21" s="8">
        <v>34.808415460805989</v>
      </c>
      <c r="J21" s="9">
        <f t="shared" si="2"/>
        <v>34.808415460805989</v>
      </c>
      <c r="K21" s="3">
        <f t="shared" si="3"/>
        <v>0</v>
      </c>
      <c r="L21" s="7">
        <f t="shared" si="4"/>
        <v>0</v>
      </c>
      <c r="M21" t="s">
        <v>7</v>
      </c>
      <c r="O21" s="3">
        <f>E21-'301055 - P0324'!F21</f>
        <v>0</v>
      </c>
      <c r="P21" s="30">
        <f>I21-'301055 - P0324'!J21</f>
        <v>0</v>
      </c>
    </row>
    <row r="22" spans="1:16" x14ac:dyDescent="0.25">
      <c r="A22">
        <v>20</v>
      </c>
      <c r="C22" t="s">
        <v>8</v>
      </c>
      <c r="D22" s="4" t="s">
        <v>27</v>
      </c>
      <c r="E22" s="5">
        <v>1410</v>
      </c>
      <c r="F22" s="5">
        <v>1410</v>
      </c>
      <c r="G22" s="6">
        <f t="shared" si="0"/>
        <v>0</v>
      </c>
      <c r="H22" s="7">
        <f t="shared" si="1"/>
        <v>0</v>
      </c>
      <c r="I22" s="8">
        <v>2013.3638443935931</v>
      </c>
      <c r="J22" s="9">
        <f t="shared" si="2"/>
        <v>2013.3638443935931</v>
      </c>
      <c r="K22" s="3">
        <f t="shared" si="3"/>
        <v>0</v>
      </c>
      <c r="L22" s="7">
        <f t="shared" si="4"/>
        <v>0</v>
      </c>
      <c r="M22" t="s">
        <v>7</v>
      </c>
      <c r="N22" s="27"/>
      <c r="O22" s="3">
        <f>E22-'301055 - P0324'!F22</f>
        <v>0</v>
      </c>
      <c r="P22" s="30">
        <f>I22-'301055 - P0324'!J22</f>
        <v>0</v>
      </c>
    </row>
    <row r="23" spans="1:16" x14ac:dyDescent="0.25">
      <c r="A23">
        <v>21</v>
      </c>
      <c r="D23" s="4" t="s">
        <v>28</v>
      </c>
      <c r="E23" s="8">
        <v>1410</v>
      </c>
      <c r="F23" s="8">
        <f>F22</f>
        <v>1410</v>
      </c>
      <c r="G23" s="6">
        <f t="shared" si="0"/>
        <v>0</v>
      </c>
      <c r="H23" s="7">
        <f t="shared" si="1"/>
        <v>0</v>
      </c>
      <c r="I23" s="8">
        <v>2013.3638443935931</v>
      </c>
      <c r="J23" s="9">
        <f t="shared" si="2"/>
        <v>2013.3638443935931</v>
      </c>
      <c r="K23" s="3">
        <f t="shared" si="3"/>
        <v>0</v>
      </c>
      <c r="L23" s="7">
        <f t="shared" si="4"/>
        <v>0</v>
      </c>
      <c r="M23" t="s">
        <v>7</v>
      </c>
      <c r="N23" s="27"/>
      <c r="O23" s="3">
        <f>E23-'301055 - P0324'!F23</f>
        <v>0</v>
      </c>
      <c r="P23" s="30">
        <f>I23-'301055 - P0324'!J23</f>
        <v>0</v>
      </c>
    </row>
    <row r="24" spans="1:16" x14ac:dyDescent="0.25">
      <c r="A24">
        <v>22</v>
      </c>
      <c r="D24" s="2" t="s">
        <v>29</v>
      </c>
      <c r="H24" s="10">
        <f>AVERAGE(H4:H23)</f>
        <v>2.5276277882192704E-2</v>
      </c>
      <c r="L24" s="10">
        <f>AVERAGE(L4:L23)</f>
        <v>2.5276277882192683E-2</v>
      </c>
    </row>
    <row r="25" spans="1:16" x14ac:dyDescent="0.25">
      <c r="A25">
        <v>23</v>
      </c>
      <c r="D25" s="2" t="s">
        <v>30</v>
      </c>
      <c r="M25" t="s">
        <v>7</v>
      </c>
    </row>
    <row r="26" spans="1:16" x14ac:dyDescent="0.25">
      <c r="A26">
        <v>24</v>
      </c>
      <c r="D26" s="4" t="s">
        <v>31</v>
      </c>
      <c r="E26" s="5">
        <v>486</v>
      </c>
      <c r="F26" s="5">
        <v>551</v>
      </c>
      <c r="G26" s="6">
        <f t="shared" ref="G26:G31" si="5">+F26-E26</f>
        <v>65</v>
      </c>
      <c r="H26" s="7">
        <f t="shared" ref="H26:H31" si="6">(F26-E26)/ABS(E26)</f>
        <v>0.13374485596707819</v>
      </c>
      <c r="I26" s="8">
        <v>636</v>
      </c>
      <c r="J26" s="9">
        <f t="shared" ref="J26:J31" si="7">(I26*H26)+I26</f>
        <v>721.06172839506178</v>
      </c>
      <c r="K26" s="3">
        <f t="shared" ref="K26:K31" si="8">J26-I26</f>
        <v>85.061728395061778</v>
      </c>
      <c r="L26" s="7">
        <f t="shared" ref="L26:L31" si="9">(J26-I26)/ABS(I26)</f>
        <v>0.13374485596707827</v>
      </c>
      <c r="M26" t="s">
        <v>7</v>
      </c>
      <c r="O26" s="3">
        <f>E26-'301055 - P0324'!F26</f>
        <v>0</v>
      </c>
      <c r="P26" s="30">
        <f>I26-'301055 - P0324'!J26</f>
        <v>0</v>
      </c>
    </row>
    <row r="27" spans="1:16" x14ac:dyDescent="0.25">
      <c r="A27">
        <v>25</v>
      </c>
      <c r="D27" s="4" t="s">
        <v>32</v>
      </c>
      <c r="E27" s="5">
        <v>561</v>
      </c>
      <c r="F27" s="5">
        <v>616</v>
      </c>
      <c r="G27" s="6">
        <f t="shared" si="5"/>
        <v>55</v>
      </c>
      <c r="H27" s="7">
        <f t="shared" si="6"/>
        <v>9.8039215686274508E-2</v>
      </c>
      <c r="I27" s="8">
        <v>674</v>
      </c>
      <c r="J27" s="9">
        <f t="shared" si="7"/>
        <v>740.07843137254906</v>
      </c>
      <c r="K27" s="3">
        <f t="shared" si="8"/>
        <v>66.078431372549062</v>
      </c>
      <c r="L27" s="7">
        <f t="shared" si="9"/>
        <v>9.8039215686274578E-2</v>
      </c>
      <c r="M27" t="s">
        <v>7</v>
      </c>
      <c r="O27" s="3">
        <f>E27-'301055 - P0324'!F27</f>
        <v>0</v>
      </c>
      <c r="P27" s="30">
        <f>I27-'301055 - P0324'!J27</f>
        <v>0</v>
      </c>
    </row>
    <row r="28" spans="1:16" x14ac:dyDescent="0.25">
      <c r="A28">
        <v>26</v>
      </c>
      <c r="D28" s="4" t="s">
        <v>33</v>
      </c>
      <c r="E28" s="5">
        <v>561</v>
      </c>
      <c r="F28" s="5">
        <v>616</v>
      </c>
      <c r="G28" s="6">
        <f t="shared" si="5"/>
        <v>55</v>
      </c>
      <c r="H28" s="7">
        <f t="shared" si="6"/>
        <v>9.8039215686274508E-2</v>
      </c>
      <c r="I28" s="8">
        <v>633</v>
      </c>
      <c r="J28" s="9">
        <f t="shared" si="7"/>
        <v>695.05882352941171</v>
      </c>
      <c r="K28" s="3">
        <f t="shared" si="8"/>
        <v>62.058823529411711</v>
      </c>
      <c r="L28" s="7">
        <f t="shared" si="9"/>
        <v>9.8039215686274425E-2</v>
      </c>
      <c r="M28" t="s">
        <v>7</v>
      </c>
      <c r="O28" s="3">
        <f>E28-'301055 - P0324'!F28</f>
        <v>0</v>
      </c>
      <c r="P28" s="30">
        <f>I28-'301055 - P0324'!J28</f>
        <v>0</v>
      </c>
    </row>
    <row r="29" spans="1:16" x14ac:dyDescent="0.25">
      <c r="A29">
        <v>27</v>
      </c>
      <c r="D29" s="4" t="s">
        <v>34</v>
      </c>
      <c r="E29" s="5">
        <v>456</v>
      </c>
      <c r="F29" s="5">
        <v>486</v>
      </c>
      <c r="G29" s="6">
        <f t="shared" si="5"/>
        <v>30</v>
      </c>
      <c r="H29" s="7">
        <f t="shared" si="6"/>
        <v>6.5789473684210523E-2</v>
      </c>
      <c r="I29" s="8">
        <v>550</v>
      </c>
      <c r="J29" s="9">
        <f t="shared" si="7"/>
        <v>586.18421052631584</v>
      </c>
      <c r="K29" s="3">
        <f t="shared" si="8"/>
        <v>36.184210526315837</v>
      </c>
      <c r="L29" s="7">
        <f t="shared" si="9"/>
        <v>6.578947368421062E-2</v>
      </c>
      <c r="M29" t="s">
        <v>7</v>
      </c>
      <c r="O29" s="3">
        <f>E29-'301055 - P0324'!F29</f>
        <v>0</v>
      </c>
      <c r="P29" s="30">
        <f>I29-'301055 - P0324'!J29</f>
        <v>0</v>
      </c>
    </row>
    <row r="30" spans="1:16" x14ac:dyDescent="0.25">
      <c r="A30">
        <v>28</v>
      </c>
      <c r="D30" s="4" t="s">
        <v>35</v>
      </c>
      <c r="E30" s="5">
        <v>566</v>
      </c>
      <c r="F30" s="5">
        <v>606</v>
      </c>
      <c r="G30" s="6">
        <f t="shared" si="5"/>
        <v>40</v>
      </c>
      <c r="H30" s="7">
        <f t="shared" si="6"/>
        <v>7.0671378091872794E-2</v>
      </c>
      <c r="I30" s="8">
        <v>669</v>
      </c>
      <c r="J30" s="9">
        <f t="shared" si="7"/>
        <v>716.27915194346292</v>
      </c>
      <c r="K30" s="3">
        <f t="shared" si="8"/>
        <v>47.279151943462921</v>
      </c>
      <c r="L30" s="7">
        <f t="shared" si="9"/>
        <v>7.0671378091872822E-2</v>
      </c>
      <c r="M30" t="s">
        <v>7</v>
      </c>
      <c r="O30" s="3">
        <f>E30-'301055 - P0324'!F30</f>
        <v>0</v>
      </c>
      <c r="P30" s="30">
        <f>I30-'301055 - P0324'!J30</f>
        <v>0</v>
      </c>
    </row>
    <row r="31" spans="1:16" x14ac:dyDescent="0.25">
      <c r="A31">
        <v>29</v>
      </c>
      <c r="D31" s="4" t="s">
        <v>36</v>
      </c>
      <c r="E31" s="5">
        <v>566</v>
      </c>
      <c r="F31" s="5">
        <v>606</v>
      </c>
      <c r="G31" s="6">
        <f t="shared" si="5"/>
        <v>40</v>
      </c>
      <c r="H31" s="7">
        <f t="shared" si="6"/>
        <v>7.0671378091872794E-2</v>
      </c>
      <c r="I31" s="8">
        <v>632</v>
      </c>
      <c r="J31" s="9">
        <f t="shared" si="7"/>
        <v>676.66431095406358</v>
      </c>
      <c r="K31" s="3">
        <f t="shared" si="8"/>
        <v>44.664310954063581</v>
      </c>
      <c r="L31" s="7">
        <f t="shared" si="9"/>
        <v>7.0671378091872752E-2</v>
      </c>
      <c r="M31" t="s">
        <v>7</v>
      </c>
      <c r="O31" s="3">
        <f>E31-'301055 - P0324'!F31</f>
        <v>0</v>
      </c>
      <c r="P31" s="30">
        <f>I31-'301055 - P0324'!J31</f>
        <v>0</v>
      </c>
    </row>
    <row r="32" spans="1:16" x14ac:dyDescent="0.25">
      <c r="A32">
        <v>30</v>
      </c>
      <c r="D32" s="2" t="s">
        <v>37</v>
      </c>
      <c r="H32" s="10">
        <f>AVERAGE(H26:H31)</f>
        <v>8.949258620126388E-2</v>
      </c>
      <c r="L32" s="10">
        <f>AVERAGE(L26:L31)</f>
        <v>8.9492586201263921E-2</v>
      </c>
    </row>
    <row r="33" spans="1:16" x14ac:dyDescent="0.25">
      <c r="A33">
        <v>31</v>
      </c>
      <c r="D33" s="2" t="s">
        <v>38</v>
      </c>
      <c r="M33" t="s">
        <v>7</v>
      </c>
    </row>
    <row r="34" spans="1:16" x14ac:dyDescent="0.25">
      <c r="A34">
        <v>32</v>
      </c>
      <c r="D34" s="4" t="s">
        <v>39</v>
      </c>
      <c r="E34" s="5">
        <v>605</v>
      </c>
      <c r="F34" s="5">
        <v>655</v>
      </c>
      <c r="G34" s="6">
        <f t="shared" ref="G34:G62" si="10">+F34-E34</f>
        <v>50</v>
      </c>
      <c r="H34" s="7">
        <f t="shared" ref="H34:H62" si="11">(F34-E34)/ABS(E34)</f>
        <v>8.2644628099173556E-2</v>
      </c>
      <c r="I34" s="8">
        <v>687.92672413793082</v>
      </c>
      <c r="J34" s="9">
        <f t="shared" ref="J34:J62" si="12">(I34*H34)+I34</f>
        <v>744.78017241379291</v>
      </c>
      <c r="K34" s="3">
        <f t="shared" ref="K34:K62" si="13">J34-I34</f>
        <v>56.853448275862092</v>
      </c>
      <c r="L34" s="7">
        <f t="shared" ref="L34:L62" si="14">(J34-I34)/ABS(I34)</f>
        <v>8.2644628099173612E-2</v>
      </c>
      <c r="M34" t="s">
        <v>7</v>
      </c>
      <c r="O34" s="3">
        <f>E34-'301055 - P0324'!F34</f>
        <v>0</v>
      </c>
      <c r="P34" s="30">
        <f>I34-'301055 - P0324'!J34</f>
        <v>0</v>
      </c>
    </row>
    <row r="35" spans="1:16" x14ac:dyDescent="0.25">
      <c r="A35">
        <v>33</v>
      </c>
      <c r="D35" s="4" t="s">
        <v>40</v>
      </c>
      <c r="E35" s="8">
        <v>605</v>
      </c>
      <c r="F35" s="8">
        <f>F34</f>
        <v>655</v>
      </c>
      <c r="G35" s="6">
        <f t="shared" si="10"/>
        <v>50</v>
      </c>
      <c r="H35" s="7">
        <f t="shared" si="11"/>
        <v>8.2644628099173556E-2</v>
      </c>
      <c r="I35" s="8">
        <v>687.92672413793105</v>
      </c>
      <c r="J35" s="9">
        <f t="shared" si="12"/>
        <v>744.78017241379314</v>
      </c>
      <c r="K35" s="3">
        <f t="shared" si="13"/>
        <v>56.853448275862092</v>
      </c>
      <c r="L35" s="7">
        <f t="shared" si="14"/>
        <v>8.2644628099173584E-2</v>
      </c>
      <c r="M35" t="s">
        <v>7</v>
      </c>
      <c r="O35" s="3">
        <f>E35-'301055 - P0324'!F35</f>
        <v>0</v>
      </c>
      <c r="P35" s="30">
        <f>I35-'301055 - P0324'!J35</f>
        <v>0</v>
      </c>
    </row>
    <row r="36" spans="1:16" x14ac:dyDescent="0.25">
      <c r="A36">
        <v>34</v>
      </c>
      <c r="D36" s="4" t="s">
        <v>41</v>
      </c>
      <c r="E36" s="8">
        <v>605</v>
      </c>
      <c r="F36" s="8">
        <f>F34</f>
        <v>655</v>
      </c>
      <c r="G36" s="6">
        <f t="shared" si="10"/>
        <v>50</v>
      </c>
      <c r="H36" s="7">
        <f t="shared" si="11"/>
        <v>8.2644628099173556E-2</v>
      </c>
      <c r="I36" s="8">
        <v>687.92672413793105</v>
      </c>
      <c r="J36" s="9">
        <f t="shared" si="12"/>
        <v>744.78017241379314</v>
      </c>
      <c r="K36" s="3">
        <f t="shared" si="13"/>
        <v>56.853448275862092</v>
      </c>
      <c r="L36" s="7">
        <f t="shared" si="14"/>
        <v>8.2644628099173584E-2</v>
      </c>
      <c r="M36" t="s">
        <v>7</v>
      </c>
      <c r="O36" s="3">
        <f>E36-'301055 - P0324'!F36</f>
        <v>0</v>
      </c>
      <c r="P36" s="30">
        <f>I36-'301055 - P0324'!J36</f>
        <v>0</v>
      </c>
    </row>
    <row r="37" spans="1:16" x14ac:dyDescent="0.25">
      <c r="A37">
        <v>35</v>
      </c>
      <c r="D37" s="4" t="s">
        <v>42</v>
      </c>
      <c r="E37" s="8">
        <v>605</v>
      </c>
      <c r="F37" s="8">
        <f>F34</f>
        <v>655</v>
      </c>
      <c r="G37" s="6">
        <f t="shared" si="10"/>
        <v>50</v>
      </c>
      <c r="H37" s="7">
        <f t="shared" si="11"/>
        <v>8.2644628099173556E-2</v>
      </c>
      <c r="I37" s="8">
        <v>687.92672413793105</v>
      </c>
      <c r="J37" s="9">
        <f t="shared" si="12"/>
        <v>744.78017241379314</v>
      </c>
      <c r="K37" s="3">
        <f t="shared" si="13"/>
        <v>56.853448275862092</v>
      </c>
      <c r="L37" s="7">
        <f t="shared" si="14"/>
        <v>8.2644628099173584E-2</v>
      </c>
      <c r="M37" t="s">
        <v>7</v>
      </c>
      <c r="O37" s="3">
        <f>E37-'301055 - P0324'!F37</f>
        <v>0</v>
      </c>
      <c r="P37" s="30">
        <f>I37-'301055 - P0324'!J37</f>
        <v>0</v>
      </c>
    </row>
    <row r="38" spans="1:16" x14ac:dyDescent="0.25">
      <c r="A38">
        <v>36</v>
      </c>
      <c r="D38" s="4" t="s">
        <v>43</v>
      </c>
      <c r="E38" s="8">
        <v>605</v>
      </c>
      <c r="F38" s="8">
        <f>F34</f>
        <v>655</v>
      </c>
      <c r="G38" s="6">
        <f t="shared" si="10"/>
        <v>50</v>
      </c>
      <c r="H38" s="7">
        <f t="shared" si="11"/>
        <v>8.2644628099173556E-2</v>
      </c>
      <c r="I38" s="8">
        <v>687.92672413793105</v>
      </c>
      <c r="J38" s="9">
        <f t="shared" si="12"/>
        <v>744.78017241379314</v>
      </c>
      <c r="K38" s="3">
        <f t="shared" si="13"/>
        <v>56.853448275862092</v>
      </c>
      <c r="L38" s="7">
        <f t="shared" si="14"/>
        <v>8.2644628099173584E-2</v>
      </c>
      <c r="M38" t="s">
        <v>7</v>
      </c>
      <c r="O38" s="3">
        <f>E38-'301055 - P0324'!F38</f>
        <v>0</v>
      </c>
      <c r="P38" s="30">
        <f>I38-'301055 - P0324'!J38</f>
        <v>0</v>
      </c>
    </row>
    <row r="39" spans="1:16" x14ac:dyDescent="0.25">
      <c r="A39">
        <v>37</v>
      </c>
      <c r="D39" s="4" t="s">
        <v>44</v>
      </c>
      <c r="E39" s="8">
        <v>605</v>
      </c>
      <c r="F39" s="8">
        <f>F34</f>
        <v>655</v>
      </c>
      <c r="G39" s="6">
        <f t="shared" si="10"/>
        <v>50</v>
      </c>
      <c r="H39" s="7">
        <f t="shared" si="11"/>
        <v>8.2644628099173556E-2</v>
      </c>
      <c r="I39" s="8">
        <v>687.92672413793105</v>
      </c>
      <c r="J39" s="9">
        <f t="shared" si="12"/>
        <v>744.78017241379314</v>
      </c>
      <c r="K39" s="3">
        <f t="shared" si="13"/>
        <v>56.853448275862092</v>
      </c>
      <c r="L39" s="7">
        <f t="shared" si="14"/>
        <v>8.2644628099173584E-2</v>
      </c>
      <c r="M39" t="s">
        <v>7</v>
      </c>
      <c r="O39" s="3">
        <f>E39-'301055 - P0324'!F39</f>
        <v>0</v>
      </c>
      <c r="P39" s="30">
        <f>I39-'301055 - P0324'!J39</f>
        <v>0</v>
      </c>
    </row>
    <row r="40" spans="1:16" x14ac:dyDescent="0.25">
      <c r="A40">
        <v>38</v>
      </c>
      <c r="D40" s="4" t="s">
        <v>45</v>
      </c>
      <c r="E40" s="8">
        <v>605</v>
      </c>
      <c r="F40" s="8">
        <f>F34</f>
        <v>655</v>
      </c>
      <c r="G40" s="6">
        <f t="shared" si="10"/>
        <v>50</v>
      </c>
      <c r="H40" s="7">
        <f t="shared" si="11"/>
        <v>8.2644628099173556E-2</v>
      </c>
      <c r="I40" s="8">
        <v>687.92672413793105</v>
      </c>
      <c r="J40" s="9">
        <f t="shared" si="12"/>
        <v>744.78017241379314</v>
      </c>
      <c r="K40" s="3">
        <f t="shared" si="13"/>
        <v>56.853448275862092</v>
      </c>
      <c r="L40" s="7">
        <f t="shared" si="14"/>
        <v>8.2644628099173584E-2</v>
      </c>
      <c r="M40" t="s">
        <v>7</v>
      </c>
      <c r="O40" s="3">
        <f>E40-'301055 - P0324'!F40</f>
        <v>0</v>
      </c>
      <c r="P40" s="30">
        <f>I40-'301055 - P0324'!J40</f>
        <v>0</v>
      </c>
    </row>
    <row r="41" spans="1:16" x14ac:dyDescent="0.25">
      <c r="A41">
        <v>39</v>
      </c>
      <c r="D41" s="4" t="s">
        <v>46</v>
      </c>
      <c r="E41" s="8">
        <v>605</v>
      </c>
      <c r="F41" s="8">
        <f>F35</f>
        <v>655</v>
      </c>
      <c r="G41" s="6">
        <f t="shared" si="10"/>
        <v>50</v>
      </c>
      <c r="H41" s="7">
        <f t="shared" si="11"/>
        <v>8.2644628099173556E-2</v>
      </c>
      <c r="I41" s="8">
        <v>687.92672413793105</v>
      </c>
      <c r="J41" s="9">
        <f t="shared" si="12"/>
        <v>744.78017241379314</v>
      </c>
      <c r="K41" s="3">
        <f t="shared" si="13"/>
        <v>56.853448275862092</v>
      </c>
      <c r="L41" s="7">
        <f t="shared" si="14"/>
        <v>8.2644628099173584E-2</v>
      </c>
      <c r="M41" t="s">
        <v>7</v>
      </c>
      <c r="O41" s="3">
        <f>E41-'301055 - P0324'!F41</f>
        <v>0</v>
      </c>
      <c r="P41" s="30">
        <f>I41-'301055 - P0324'!J41</f>
        <v>0</v>
      </c>
    </row>
    <row r="42" spans="1:16" x14ac:dyDescent="0.25">
      <c r="A42">
        <v>40</v>
      </c>
      <c r="D42" s="4" t="s">
        <v>47</v>
      </c>
      <c r="E42" s="5">
        <v>580</v>
      </c>
      <c r="F42" s="5">
        <v>615</v>
      </c>
      <c r="G42" s="6">
        <f t="shared" si="10"/>
        <v>35</v>
      </c>
      <c r="H42" s="7">
        <f t="shared" si="11"/>
        <v>6.0344827586206899E-2</v>
      </c>
      <c r="I42" s="8">
        <v>661.42307692307713</v>
      </c>
      <c r="J42" s="9">
        <f t="shared" si="12"/>
        <v>701.33653846153868</v>
      </c>
      <c r="K42" s="3">
        <f t="shared" si="13"/>
        <v>39.913461538461547</v>
      </c>
      <c r="L42" s="7">
        <f t="shared" si="14"/>
        <v>6.0344827586206892E-2</v>
      </c>
      <c r="M42" t="s">
        <v>7</v>
      </c>
      <c r="O42" s="3">
        <f>E42-'301055 - P0324'!F42</f>
        <v>0</v>
      </c>
      <c r="P42" s="30">
        <f>I42-'301055 - P0324'!J42</f>
        <v>0</v>
      </c>
    </row>
    <row r="43" spans="1:16" x14ac:dyDescent="0.25">
      <c r="A43">
        <v>41</v>
      </c>
      <c r="D43" s="4" t="s">
        <v>48</v>
      </c>
      <c r="E43" s="8">
        <v>580</v>
      </c>
      <c r="F43" s="8">
        <f>F42</f>
        <v>615</v>
      </c>
      <c r="G43" s="6">
        <f t="shared" si="10"/>
        <v>35</v>
      </c>
      <c r="H43" s="7">
        <f t="shared" si="11"/>
        <v>6.0344827586206899E-2</v>
      </c>
      <c r="I43" s="8">
        <v>661.42307692307713</v>
      </c>
      <c r="J43" s="9">
        <f t="shared" si="12"/>
        <v>701.33653846153868</v>
      </c>
      <c r="K43" s="3">
        <f t="shared" si="13"/>
        <v>39.913461538461547</v>
      </c>
      <c r="L43" s="7">
        <f t="shared" si="14"/>
        <v>6.0344827586206892E-2</v>
      </c>
      <c r="M43" t="s">
        <v>7</v>
      </c>
      <c r="O43" s="3">
        <f>E43-'301055 - P0324'!F43</f>
        <v>0</v>
      </c>
      <c r="P43" s="30">
        <f>I43-'301055 - P0324'!J43</f>
        <v>0</v>
      </c>
    </row>
    <row r="44" spans="1:16" x14ac:dyDescent="0.25">
      <c r="A44">
        <v>42</v>
      </c>
      <c r="D44" s="4" t="s">
        <v>49</v>
      </c>
      <c r="E44" s="8">
        <v>580</v>
      </c>
      <c r="F44" s="8">
        <f>F42</f>
        <v>615</v>
      </c>
      <c r="G44" s="6">
        <f t="shared" si="10"/>
        <v>35</v>
      </c>
      <c r="H44" s="7">
        <f t="shared" si="11"/>
        <v>6.0344827586206899E-2</v>
      </c>
      <c r="I44" s="8">
        <v>661.42307692307713</v>
      </c>
      <c r="J44" s="9">
        <f t="shared" si="12"/>
        <v>701.33653846153868</v>
      </c>
      <c r="K44" s="3">
        <f t="shared" si="13"/>
        <v>39.913461538461547</v>
      </c>
      <c r="L44" s="7">
        <f t="shared" si="14"/>
        <v>6.0344827586206892E-2</v>
      </c>
      <c r="M44" t="s">
        <v>7</v>
      </c>
      <c r="O44" s="3">
        <f>E44-'301055 - P0324'!F44</f>
        <v>0</v>
      </c>
      <c r="P44" s="30">
        <f>I44-'301055 - P0324'!J44</f>
        <v>0</v>
      </c>
    </row>
    <row r="45" spans="1:16" x14ac:dyDescent="0.25">
      <c r="A45">
        <v>43</v>
      </c>
      <c r="D45" s="4" t="s">
        <v>50</v>
      </c>
      <c r="E45" s="8">
        <v>580</v>
      </c>
      <c r="F45" s="8">
        <f>F42</f>
        <v>615</v>
      </c>
      <c r="G45" s="6">
        <f t="shared" si="10"/>
        <v>35</v>
      </c>
      <c r="H45" s="7">
        <f t="shared" si="11"/>
        <v>6.0344827586206899E-2</v>
      </c>
      <c r="I45" s="8">
        <v>661.42307692307713</v>
      </c>
      <c r="J45" s="9">
        <f t="shared" si="12"/>
        <v>701.33653846153868</v>
      </c>
      <c r="K45" s="3">
        <f t="shared" si="13"/>
        <v>39.913461538461547</v>
      </c>
      <c r="L45" s="7">
        <f t="shared" si="14"/>
        <v>6.0344827586206892E-2</v>
      </c>
      <c r="M45" t="s">
        <v>7</v>
      </c>
      <c r="O45" s="3">
        <f>E45-'301055 - P0324'!F45</f>
        <v>0</v>
      </c>
      <c r="P45" s="30">
        <f>I45-'301055 - P0324'!J45</f>
        <v>0</v>
      </c>
    </row>
    <row r="46" spans="1:16" x14ac:dyDescent="0.25">
      <c r="A46">
        <v>44</v>
      </c>
      <c r="D46" s="4" t="s">
        <v>51</v>
      </c>
      <c r="E46" s="8">
        <v>580</v>
      </c>
      <c r="F46" s="8">
        <f>F42</f>
        <v>615</v>
      </c>
      <c r="G46" s="6">
        <f t="shared" si="10"/>
        <v>35</v>
      </c>
      <c r="H46" s="7">
        <f t="shared" si="11"/>
        <v>6.0344827586206899E-2</v>
      </c>
      <c r="I46" s="8">
        <v>661.42307692307713</v>
      </c>
      <c r="J46" s="9">
        <f t="shared" si="12"/>
        <v>701.33653846153868</v>
      </c>
      <c r="K46" s="3">
        <f t="shared" si="13"/>
        <v>39.913461538461547</v>
      </c>
      <c r="L46" s="7">
        <f t="shared" si="14"/>
        <v>6.0344827586206892E-2</v>
      </c>
      <c r="M46" t="s">
        <v>7</v>
      </c>
      <c r="O46" s="3">
        <f>E46-'301055 - P0324'!F46</f>
        <v>0</v>
      </c>
      <c r="P46" s="30">
        <f>I46-'301055 - P0324'!J46</f>
        <v>0</v>
      </c>
    </row>
    <row r="47" spans="1:16" x14ac:dyDescent="0.25">
      <c r="A47">
        <v>45</v>
      </c>
      <c r="D47" s="4" t="s">
        <v>52</v>
      </c>
      <c r="E47" s="8">
        <v>580</v>
      </c>
      <c r="F47" s="8">
        <f>F42</f>
        <v>615</v>
      </c>
      <c r="G47" s="6">
        <f t="shared" si="10"/>
        <v>35</v>
      </c>
      <c r="H47" s="7">
        <f t="shared" si="11"/>
        <v>6.0344827586206899E-2</v>
      </c>
      <c r="I47" s="8">
        <v>661.42307692307713</v>
      </c>
      <c r="J47" s="9">
        <f t="shared" si="12"/>
        <v>701.33653846153868</v>
      </c>
      <c r="K47" s="3">
        <f t="shared" si="13"/>
        <v>39.913461538461547</v>
      </c>
      <c r="L47" s="7">
        <f t="shared" si="14"/>
        <v>6.0344827586206892E-2</v>
      </c>
      <c r="M47" t="s">
        <v>7</v>
      </c>
      <c r="O47" s="3">
        <f>E47-'301055 - P0324'!F47</f>
        <v>0</v>
      </c>
      <c r="P47" s="30">
        <f>I47-'301055 - P0324'!J47</f>
        <v>0</v>
      </c>
    </row>
    <row r="48" spans="1:16" x14ac:dyDescent="0.25">
      <c r="A48">
        <v>46</v>
      </c>
      <c r="D48" s="4" t="s">
        <v>53</v>
      </c>
      <c r="E48" s="8">
        <v>580</v>
      </c>
      <c r="F48" s="8">
        <f>F42</f>
        <v>615</v>
      </c>
      <c r="G48" s="6">
        <f t="shared" si="10"/>
        <v>35</v>
      </c>
      <c r="H48" s="7">
        <f t="shared" si="11"/>
        <v>6.0344827586206899E-2</v>
      </c>
      <c r="I48" s="8">
        <v>661.42307692307713</v>
      </c>
      <c r="J48" s="9">
        <f t="shared" si="12"/>
        <v>701.33653846153868</v>
      </c>
      <c r="K48" s="3">
        <f t="shared" si="13"/>
        <v>39.913461538461547</v>
      </c>
      <c r="L48" s="7">
        <f t="shared" si="14"/>
        <v>6.0344827586206892E-2</v>
      </c>
      <c r="M48" t="s">
        <v>7</v>
      </c>
      <c r="O48" s="3">
        <f>E48-'301055 - P0324'!F48</f>
        <v>0</v>
      </c>
      <c r="P48" s="30">
        <f>I48-'301055 - P0324'!J48</f>
        <v>0</v>
      </c>
    </row>
    <row r="49" spans="1:16" x14ac:dyDescent="0.25">
      <c r="A49">
        <v>47</v>
      </c>
      <c r="D49" s="4" t="s">
        <v>54</v>
      </c>
      <c r="E49" s="8">
        <v>580</v>
      </c>
      <c r="F49" s="8">
        <f>F43</f>
        <v>615</v>
      </c>
      <c r="G49" s="6">
        <f t="shared" si="10"/>
        <v>35</v>
      </c>
      <c r="H49" s="7">
        <f t="shared" si="11"/>
        <v>6.0344827586206899E-2</v>
      </c>
      <c r="I49" s="8">
        <v>661.42307692307713</v>
      </c>
      <c r="J49" s="9">
        <f t="shared" si="12"/>
        <v>701.33653846153868</v>
      </c>
      <c r="K49" s="3">
        <f t="shared" si="13"/>
        <v>39.913461538461547</v>
      </c>
      <c r="L49" s="7">
        <f t="shared" si="14"/>
        <v>6.0344827586206892E-2</v>
      </c>
      <c r="M49" t="s">
        <v>7</v>
      </c>
      <c r="O49" s="3">
        <f>E49-'301055 - P0324'!F49</f>
        <v>0</v>
      </c>
      <c r="P49" s="30">
        <f>I49-'301055 - P0324'!J49</f>
        <v>0</v>
      </c>
    </row>
    <row r="50" spans="1:16" x14ac:dyDescent="0.25">
      <c r="A50">
        <v>48</v>
      </c>
      <c r="D50" s="4" t="s">
        <v>55</v>
      </c>
      <c r="E50" s="5">
        <v>475</v>
      </c>
      <c r="F50" s="5">
        <v>520</v>
      </c>
      <c r="G50" s="6">
        <f t="shared" si="10"/>
        <v>45</v>
      </c>
      <c r="H50" s="7">
        <f t="shared" si="11"/>
        <v>9.4736842105263161E-2</v>
      </c>
      <c r="I50" s="8">
        <v>588.01223241590219</v>
      </c>
      <c r="J50" s="9">
        <f t="shared" si="12"/>
        <v>643.71865443425077</v>
      </c>
      <c r="K50" s="3">
        <f t="shared" si="13"/>
        <v>55.706422018348576</v>
      </c>
      <c r="L50" s="7">
        <f t="shared" si="14"/>
        <v>9.4736842105263064E-2</v>
      </c>
      <c r="M50" t="s">
        <v>7</v>
      </c>
      <c r="O50" s="3">
        <f>E50-'301055 - P0324'!F50</f>
        <v>0</v>
      </c>
      <c r="P50" s="30">
        <f>I50-'301055 - P0324'!J50</f>
        <v>0</v>
      </c>
    </row>
    <row r="51" spans="1:16" x14ac:dyDescent="0.25">
      <c r="A51">
        <v>49</v>
      </c>
      <c r="D51" s="4" t="s">
        <v>56</v>
      </c>
      <c r="E51" s="8">
        <v>475</v>
      </c>
      <c r="F51" s="8">
        <f>F50</f>
        <v>520</v>
      </c>
      <c r="G51" s="6">
        <f t="shared" si="10"/>
        <v>45</v>
      </c>
      <c r="H51" s="7">
        <f t="shared" si="11"/>
        <v>9.4736842105263161E-2</v>
      </c>
      <c r="I51" s="8">
        <v>588.01223241590219</v>
      </c>
      <c r="J51" s="9">
        <f t="shared" si="12"/>
        <v>643.71865443425077</v>
      </c>
      <c r="K51" s="3">
        <f t="shared" si="13"/>
        <v>55.706422018348576</v>
      </c>
      <c r="L51" s="7">
        <f t="shared" si="14"/>
        <v>9.4736842105263064E-2</v>
      </c>
      <c r="M51" t="s">
        <v>7</v>
      </c>
      <c r="O51" s="3">
        <f>E51-'301055 - P0324'!F51</f>
        <v>0</v>
      </c>
      <c r="P51" s="30">
        <f>I51-'301055 - P0324'!J51</f>
        <v>0</v>
      </c>
    </row>
    <row r="52" spans="1:16" x14ac:dyDescent="0.25">
      <c r="A52">
        <v>50</v>
      </c>
      <c r="D52" s="4" t="s">
        <v>57</v>
      </c>
      <c r="E52" s="8">
        <v>475</v>
      </c>
      <c r="F52" s="8">
        <f>F50</f>
        <v>520</v>
      </c>
      <c r="G52" s="6">
        <f t="shared" si="10"/>
        <v>45</v>
      </c>
      <c r="H52" s="7">
        <f t="shared" si="11"/>
        <v>9.4736842105263161E-2</v>
      </c>
      <c r="I52" s="8">
        <v>588.01223241590219</v>
      </c>
      <c r="J52" s="9">
        <f t="shared" si="12"/>
        <v>643.71865443425077</v>
      </c>
      <c r="K52" s="3">
        <f t="shared" si="13"/>
        <v>55.706422018348576</v>
      </c>
      <c r="L52" s="7">
        <f t="shared" si="14"/>
        <v>9.4736842105263064E-2</v>
      </c>
      <c r="M52" t="s">
        <v>7</v>
      </c>
      <c r="O52" s="3">
        <f>E52-'301055 - P0324'!F52</f>
        <v>0</v>
      </c>
      <c r="P52" s="30">
        <f>I52-'301055 - P0324'!J52</f>
        <v>0</v>
      </c>
    </row>
    <row r="53" spans="1:16" x14ac:dyDescent="0.25">
      <c r="A53">
        <v>51</v>
      </c>
      <c r="D53" s="4" t="s">
        <v>58</v>
      </c>
      <c r="E53" s="8">
        <v>475</v>
      </c>
      <c r="F53" s="8">
        <f>F50</f>
        <v>520</v>
      </c>
      <c r="G53" s="6">
        <f t="shared" si="10"/>
        <v>45</v>
      </c>
      <c r="H53" s="7">
        <f t="shared" si="11"/>
        <v>9.4736842105263161E-2</v>
      </c>
      <c r="I53" s="8">
        <v>588.01223241590219</v>
      </c>
      <c r="J53" s="9">
        <f t="shared" si="12"/>
        <v>643.71865443425077</v>
      </c>
      <c r="K53" s="3">
        <f t="shared" si="13"/>
        <v>55.706422018348576</v>
      </c>
      <c r="L53" s="7">
        <f t="shared" si="14"/>
        <v>9.4736842105263064E-2</v>
      </c>
      <c r="M53" t="s">
        <v>7</v>
      </c>
      <c r="O53" s="3">
        <f>E53-'301055 - P0324'!F53</f>
        <v>0</v>
      </c>
      <c r="P53" s="30">
        <f>I53-'301055 - P0324'!J53</f>
        <v>0</v>
      </c>
    </row>
    <row r="54" spans="1:16" x14ac:dyDescent="0.25">
      <c r="A54">
        <v>52</v>
      </c>
      <c r="D54" s="4" t="s">
        <v>59</v>
      </c>
      <c r="E54" s="5">
        <v>458</v>
      </c>
      <c r="F54" s="5">
        <v>508</v>
      </c>
      <c r="G54" s="6">
        <f t="shared" si="10"/>
        <v>50</v>
      </c>
      <c r="H54" s="7">
        <f t="shared" si="11"/>
        <v>0.1091703056768559</v>
      </c>
      <c r="I54" s="8">
        <v>730.93905191873591</v>
      </c>
      <c r="J54" s="9">
        <f t="shared" si="12"/>
        <v>810.73589164785551</v>
      </c>
      <c r="K54" s="3">
        <f t="shared" si="13"/>
        <v>79.796839729119597</v>
      </c>
      <c r="L54" s="7">
        <f t="shared" si="14"/>
        <v>0.10917030567685583</v>
      </c>
      <c r="M54" t="s">
        <v>7</v>
      </c>
      <c r="O54" s="3">
        <f>E54-'301055 - P0324'!F54</f>
        <v>0</v>
      </c>
      <c r="P54" s="30">
        <f>I54-'301055 - P0324'!J54</f>
        <v>0</v>
      </c>
    </row>
    <row r="55" spans="1:16" x14ac:dyDescent="0.25">
      <c r="A55">
        <v>53</v>
      </c>
      <c r="D55" s="4" t="s">
        <v>60</v>
      </c>
      <c r="E55" s="8">
        <v>458</v>
      </c>
      <c r="F55" s="8">
        <f>F54</f>
        <v>508</v>
      </c>
      <c r="G55" s="6">
        <f t="shared" si="10"/>
        <v>50</v>
      </c>
      <c r="H55" s="7">
        <f t="shared" si="11"/>
        <v>0.1091703056768559</v>
      </c>
      <c r="I55" s="8">
        <v>730.93905191873591</v>
      </c>
      <c r="J55" s="9">
        <f t="shared" si="12"/>
        <v>810.73589164785551</v>
      </c>
      <c r="K55" s="3">
        <f t="shared" si="13"/>
        <v>79.796839729119597</v>
      </c>
      <c r="L55" s="7">
        <f t="shared" si="14"/>
        <v>0.10917030567685583</v>
      </c>
      <c r="M55" t="s">
        <v>7</v>
      </c>
      <c r="O55" s="3">
        <f>E55-'301055 - P0324'!F55</f>
        <v>0</v>
      </c>
      <c r="P55" s="30">
        <f>I55-'301055 - P0324'!J55</f>
        <v>0</v>
      </c>
    </row>
    <row r="56" spans="1:16" x14ac:dyDescent="0.25">
      <c r="A56">
        <v>54</v>
      </c>
      <c r="D56" s="4" t="s">
        <v>61</v>
      </c>
      <c r="E56" s="8">
        <v>458</v>
      </c>
      <c r="F56" s="8">
        <f>F54</f>
        <v>508</v>
      </c>
      <c r="G56" s="6">
        <f t="shared" si="10"/>
        <v>50</v>
      </c>
      <c r="H56" s="7">
        <f t="shared" si="11"/>
        <v>0.1091703056768559</v>
      </c>
      <c r="I56" s="8">
        <v>730.93905191873591</v>
      </c>
      <c r="J56" s="9">
        <f t="shared" si="12"/>
        <v>810.73589164785551</v>
      </c>
      <c r="K56" s="3">
        <f t="shared" si="13"/>
        <v>79.796839729119597</v>
      </c>
      <c r="L56" s="7">
        <f t="shared" si="14"/>
        <v>0.10917030567685583</v>
      </c>
      <c r="M56" t="s">
        <v>7</v>
      </c>
      <c r="O56" s="3">
        <f>E56-'301055 - P0324'!F56</f>
        <v>0</v>
      </c>
      <c r="P56" s="30">
        <f>I56-'301055 - P0324'!J56</f>
        <v>0</v>
      </c>
    </row>
    <row r="57" spans="1:16" x14ac:dyDescent="0.25">
      <c r="A57">
        <v>55</v>
      </c>
      <c r="D57" s="4" t="s">
        <v>62</v>
      </c>
      <c r="E57" s="8">
        <v>458</v>
      </c>
      <c r="F57" s="8">
        <f>F54</f>
        <v>508</v>
      </c>
      <c r="G57" s="6">
        <f t="shared" si="10"/>
        <v>50</v>
      </c>
      <c r="H57" s="7">
        <f t="shared" si="11"/>
        <v>0.1091703056768559</v>
      </c>
      <c r="I57" s="8">
        <v>730.93905191873591</v>
      </c>
      <c r="J57" s="9">
        <f t="shared" si="12"/>
        <v>810.73589164785551</v>
      </c>
      <c r="K57" s="3">
        <f t="shared" si="13"/>
        <v>79.796839729119597</v>
      </c>
      <c r="L57" s="7">
        <f t="shared" si="14"/>
        <v>0.10917030567685583</v>
      </c>
      <c r="M57" t="s">
        <v>7</v>
      </c>
      <c r="O57" s="3">
        <f>E57-'301055 - P0324'!F57</f>
        <v>0</v>
      </c>
      <c r="P57" s="30">
        <f>I57-'301055 - P0324'!J57</f>
        <v>0</v>
      </c>
    </row>
    <row r="58" spans="1:16" x14ac:dyDescent="0.25">
      <c r="A58">
        <v>56</v>
      </c>
      <c r="D58" s="4" t="s">
        <v>63</v>
      </c>
      <c r="E58" s="8">
        <v>458</v>
      </c>
      <c r="F58" s="8">
        <f>F54</f>
        <v>508</v>
      </c>
      <c r="G58" s="6">
        <f t="shared" si="10"/>
        <v>50</v>
      </c>
      <c r="H58" s="7">
        <f t="shared" si="11"/>
        <v>0.1091703056768559</v>
      </c>
      <c r="I58" s="8">
        <v>730.93905191873591</v>
      </c>
      <c r="J58" s="9">
        <f t="shared" si="12"/>
        <v>810.73589164785551</v>
      </c>
      <c r="K58" s="3">
        <f t="shared" si="13"/>
        <v>79.796839729119597</v>
      </c>
      <c r="L58" s="7">
        <f t="shared" si="14"/>
        <v>0.10917030567685583</v>
      </c>
      <c r="M58" t="s">
        <v>7</v>
      </c>
      <c r="O58" s="3">
        <f>E58-'301055 - P0324'!F58</f>
        <v>0</v>
      </c>
      <c r="P58" s="30">
        <f>I58-'301055 - P0324'!J58</f>
        <v>0</v>
      </c>
    </row>
    <row r="59" spans="1:16" x14ac:dyDescent="0.25">
      <c r="A59">
        <v>57</v>
      </c>
      <c r="D59" s="4" t="s">
        <v>64</v>
      </c>
      <c r="E59" s="5">
        <v>548</v>
      </c>
      <c r="F59" s="5">
        <v>568</v>
      </c>
      <c r="G59" s="6">
        <f t="shared" si="10"/>
        <v>20</v>
      </c>
      <c r="H59" s="7">
        <f t="shared" si="11"/>
        <v>3.6496350364963501E-2</v>
      </c>
      <c r="I59" s="8">
        <v>787.36802973977694</v>
      </c>
      <c r="J59" s="9">
        <f t="shared" si="12"/>
        <v>816.10408921933083</v>
      </c>
      <c r="K59" s="3">
        <f t="shared" si="13"/>
        <v>28.736059479553887</v>
      </c>
      <c r="L59" s="7">
        <f t="shared" si="14"/>
        <v>3.6496350364963487E-2</v>
      </c>
      <c r="M59" t="s">
        <v>7</v>
      </c>
      <c r="O59" s="3">
        <f>E59-'301055 - P0324'!F59</f>
        <v>0</v>
      </c>
      <c r="P59" s="30">
        <f>I59-'301055 - P0324'!J59</f>
        <v>0</v>
      </c>
    </row>
    <row r="60" spans="1:16" x14ac:dyDescent="0.25">
      <c r="A60">
        <v>58</v>
      </c>
      <c r="D60" s="4" t="s">
        <v>65</v>
      </c>
      <c r="E60" s="8">
        <v>548</v>
      </c>
      <c r="F60" s="8">
        <f>F59</f>
        <v>568</v>
      </c>
      <c r="G60" s="6">
        <f t="shared" si="10"/>
        <v>20</v>
      </c>
      <c r="H60" s="7">
        <f t="shared" si="11"/>
        <v>3.6496350364963501E-2</v>
      </c>
      <c r="I60" s="8">
        <v>787.36802973977694</v>
      </c>
      <c r="J60" s="9">
        <f t="shared" si="12"/>
        <v>816.10408921933083</v>
      </c>
      <c r="K60" s="3">
        <f t="shared" si="13"/>
        <v>28.736059479553887</v>
      </c>
      <c r="L60" s="7">
        <f t="shared" si="14"/>
        <v>3.6496350364963487E-2</v>
      </c>
      <c r="M60" t="s">
        <v>7</v>
      </c>
      <c r="O60" s="3">
        <f>E60-'301055 - P0324'!F60</f>
        <v>0</v>
      </c>
      <c r="P60" s="30">
        <f>I60-'301055 - P0324'!J60</f>
        <v>0</v>
      </c>
    </row>
    <row r="61" spans="1:16" x14ac:dyDescent="0.25">
      <c r="A61">
        <v>59</v>
      </c>
      <c r="D61" s="4" t="s">
        <v>66</v>
      </c>
      <c r="E61" s="8">
        <v>548</v>
      </c>
      <c r="F61" s="8">
        <f>F59</f>
        <v>568</v>
      </c>
      <c r="G61" s="6">
        <f t="shared" si="10"/>
        <v>20</v>
      </c>
      <c r="H61" s="7">
        <f t="shared" si="11"/>
        <v>3.6496350364963501E-2</v>
      </c>
      <c r="I61" s="8">
        <v>787.36802973977694</v>
      </c>
      <c r="J61" s="9">
        <f t="shared" si="12"/>
        <v>816.10408921933083</v>
      </c>
      <c r="K61" s="3">
        <f t="shared" si="13"/>
        <v>28.736059479553887</v>
      </c>
      <c r="L61" s="7">
        <f t="shared" si="14"/>
        <v>3.6496350364963487E-2</v>
      </c>
      <c r="M61" t="s">
        <v>7</v>
      </c>
      <c r="O61" s="3">
        <f>E61-'301055 - P0324'!F61</f>
        <v>0</v>
      </c>
      <c r="P61" s="30">
        <f>I61-'301055 - P0324'!J61</f>
        <v>0</v>
      </c>
    </row>
    <row r="62" spans="1:16" x14ac:dyDescent="0.25">
      <c r="A62">
        <v>60</v>
      </c>
      <c r="D62" s="4" t="s">
        <v>67</v>
      </c>
      <c r="E62" s="8">
        <v>548</v>
      </c>
      <c r="F62" s="8">
        <f>F59</f>
        <v>568</v>
      </c>
      <c r="G62" s="6">
        <f t="shared" si="10"/>
        <v>20</v>
      </c>
      <c r="H62" s="7">
        <f t="shared" si="11"/>
        <v>3.6496350364963501E-2</v>
      </c>
      <c r="I62" s="8">
        <v>787.36802973977694</v>
      </c>
      <c r="J62" s="9">
        <f t="shared" si="12"/>
        <v>816.10408921933083</v>
      </c>
      <c r="K62" s="3">
        <f t="shared" si="13"/>
        <v>28.736059479553887</v>
      </c>
      <c r="L62" s="7">
        <f t="shared" si="14"/>
        <v>3.6496350364963487E-2</v>
      </c>
      <c r="M62" t="s">
        <v>7</v>
      </c>
      <c r="O62" s="3">
        <f>E62-'301055 - P0324'!F62</f>
        <v>0</v>
      </c>
      <c r="P62" s="30">
        <f>I62-'301055 - P0324'!J62</f>
        <v>0</v>
      </c>
    </row>
    <row r="63" spans="1:16" x14ac:dyDescent="0.25">
      <c r="A63">
        <v>61</v>
      </c>
      <c r="D63" s="2"/>
      <c r="G63" s="6"/>
      <c r="H63" s="10">
        <f>AVERAGE(H34:H62)</f>
        <v>7.6368963577525137E-2</v>
      </c>
      <c r="J63" s="3"/>
      <c r="K63" s="3"/>
      <c r="L63" s="10">
        <f>AVERAGE(L34:L62)</f>
        <v>7.6368963577525123E-2</v>
      </c>
    </row>
    <row r="64" spans="1:16" x14ac:dyDescent="0.25">
      <c r="A64">
        <v>62</v>
      </c>
      <c r="D64" s="2" t="s">
        <v>68</v>
      </c>
      <c r="G64" s="6"/>
      <c r="H64" s="7"/>
      <c r="J64" s="3"/>
      <c r="K64" s="3"/>
      <c r="L64" s="7"/>
    </row>
    <row r="65" spans="1:16" x14ac:dyDescent="0.25">
      <c r="A65">
        <v>63</v>
      </c>
      <c r="D65" s="4" t="s">
        <v>69</v>
      </c>
      <c r="E65" s="5">
        <v>565</v>
      </c>
      <c r="F65" s="5">
        <v>587</v>
      </c>
      <c r="G65" s="6">
        <f t="shared" ref="G65:G71" si="15">+F65-E65</f>
        <v>22</v>
      </c>
      <c r="H65" s="7">
        <f t="shared" ref="H65:H71" si="16">(F65-E65)/ABS(E65)</f>
        <v>3.8938053097345132E-2</v>
      </c>
      <c r="I65" s="8">
        <v>689.11475409836078</v>
      </c>
      <c r="J65" s="9">
        <f t="shared" ref="J65:J90" si="17">(I65*H65)+I65</f>
        <v>715.9475409836067</v>
      </c>
      <c r="K65" s="3">
        <f t="shared" ref="K65:K71" si="18">J65-I65</f>
        <v>26.832786885245923</v>
      </c>
      <c r="L65" s="7">
        <f t="shared" ref="L65:L71" si="19">(J65-I65)/ABS(I65)</f>
        <v>3.893805309734516E-2</v>
      </c>
      <c r="M65" t="s">
        <v>7</v>
      </c>
      <c r="O65" s="3">
        <f>E65-'301055 - P0324'!F65</f>
        <v>0</v>
      </c>
      <c r="P65" s="30">
        <f>I65-'301055 - P0324'!J65</f>
        <v>0</v>
      </c>
    </row>
    <row r="66" spans="1:16" x14ac:dyDescent="0.25">
      <c r="A66">
        <v>64</v>
      </c>
      <c r="D66" s="4" t="s">
        <v>70</v>
      </c>
      <c r="E66" s="8">
        <v>565</v>
      </c>
      <c r="F66" s="8">
        <f>F65</f>
        <v>587</v>
      </c>
      <c r="G66" s="6">
        <f t="shared" si="15"/>
        <v>22</v>
      </c>
      <c r="H66" s="7">
        <f t="shared" si="16"/>
        <v>3.8938053097345132E-2</v>
      </c>
      <c r="I66" s="8">
        <v>689.11475409836078</v>
      </c>
      <c r="J66" s="9">
        <f t="shared" si="17"/>
        <v>715.9475409836067</v>
      </c>
      <c r="K66" s="3">
        <f t="shared" si="18"/>
        <v>26.832786885245923</v>
      </c>
      <c r="L66" s="7">
        <f t="shared" si="19"/>
        <v>3.893805309734516E-2</v>
      </c>
      <c r="M66" t="s">
        <v>7</v>
      </c>
      <c r="O66" s="3">
        <f>E66-'301055 - P0324'!F66</f>
        <v>0</v>
      </c>
      <c r="P66" s="30">
        <f>I66-'301055 - P0324'!J66</f>
        <v>0</v>
      </c>
    </row>
    <row r="67" spans="1:16" x14ac:dyDescent="0.25">
      <c r="A67">
        <v>65</v>
      </c>
      <c r="D67" s="4" t="s">
        <v>71</v>
      </c>
      <c r="E67" s="8">
        <v>565</v>
      </c>
      <c r="F67" s="8">
        <f>F65</f>
        <v>587</v>
      </c>
      <c r="G67" s="6">
        <f t="shared" si="15"/>
        <v>22</v>
      </c>
      <c r="H67" s="7">
        <f t="shared" si="16"/>
        <v>3.8938053097345132E-2</v>
      </c>
      <c r="I67" s="8">
        <v>689.11475409836078</v>
      </c>
      <c r="J67" s="9">
        <f t="shared" si="17"/>
        <v>715.9475409836067</v>
      </c>
      <c r="K67" s="3">
        <f t="shared" si="18"/>
        <v>26.832786885245923</v>
      </c>
      <c r="L67" s="7">
        <f t="shared" si="19"/>
        <v>3.893805309734516E-2</v>
      </c>
      <c r="M67" t="s">
        <v>7</v>
      </c>
      <c r="O67" s="3">
        <f>E67-'301055 - P0324'!F67</f>
        <v>0</v>
      </c>
      <c r="P67" s="30">
        <f>I67-'301055 - P0324'!J67</f>
        <v>0</v>
      </c>
    </row>
    <row r="68" spans="1:16" x14ac:dyDescent="0.25">
      <c r="A68">
        <v>66</v>
      </c>
      <c r="D68" s="4" t="s">
        <v>72</v>
      </c>
      <c r="E68" s="8">
        <v>565</v>
      </c>
      <c r="F68" s="8">
        <f>F65</f>
        <v>587</v>
      </c>
      <c r="G68" s="6">
        <f t="shared" si="15"/>
        <v>22</v>
      </c>
      <c r="H68" s="7">
        <f t="shared" si="16"/>
        <v>3.8938053097345132E-2</v>
      </c>
      <c r="I68" s="8">
        <v>689.11475409836078</v>
      </c>
      <c r="J68" s="9">
        <f t="shared" si="17"/>
        <v>715.9475409836067</v>
      </c>
      <c r="K68" s="3">
        <f t="shared" si="18"/>
        <v>26.832786885245923</v>
      </c>
      <c r="L68" s="7">
        <f t="shared" si="19"/>
        <v>3.893805309734516E-2</v>
      </c>
      <c r="M68" t="s">
        <v>7</v>
      </c>
      <c r="O68" s="3">
        <f>E68-'301055 - P0324'!F68</f>
        <v>0</v>
      </c>
      <c r="P68" s="30">
        <f>I68-'301055 - P0324'!J68</f>
        <v>0</v>
      </c>
    </row>
    <row r="69" spans="1:16" x14ac:dyDescent="0.25">
      <c r="A69">
        <v>67</v>
      </c>
      <c r="D69" s="4" t="s">
        <v>73</v>
      </c>
      <c r="E69" s="8">
        <v>565</v>
      </c>
      <c r="F69" s="8">
        <f>F65</f>
        <v>587</v>
      </c>
      <c r="G69" s="6">
        <f t="shared" si="15"/>
        <v>22</v>
      </c>
      <c r="H69" s="7">
        <f t="shared" si="16"/>
        <v>3.8938053097345132E-2</v>
      </c>
      <c r="I69" s="8">
        <v>689.11475409836078</v>
      </c>
      <c r="J69" s="9">
        <f t="shared" si="17"/>
        <v>715.9475409836067</v>
      </c>
      <c r="K69" s="3">
        <f t="shared" si="18"/>
        <v>26.832786885245923</v>
      </c>
      <c r="L69" s="7">
        <f t="shared" si="19"/>
        <v>3.893805309734516E-2</v>
      </c>
      <c r="M69" t="s">
        <v>7</v>
      </c>
      <c r="O69" s="3">
        <f>E69-'301055 - P0324'!F69</f>
        <v>0</v>
      </c>
      <c r="P69" s="30">
        <f>I69-'301055 - P0324'!J69</f>
        <v>0</v>
      </c>
    </row>
    <row r="70" spans="1:16" x14ac:dyDescent="0.25">
      <c r="A70">
        <v>68</v>
      </c>
      <c r="D70" s="4" t="s">
        <v>74</v>
      </c>
      <c r="E70" s="8">
        <v>565</v>
      </c>
      <c r="F70" s="8">
        <f>F65</f>
        <v>587</v>
      </c>
      <c r="G70" s="6">
        <f t="shared" si="15"/>
        <v>22</v>
      </c>
      <c r="H70" s="7">
        <f t="shared" si="16"/>
        <v>3.8938053097345132E-2</v>
      </c>
      <c r="I70" s="8">
        <v>689.11475409836078</v>
      </c>
      <c r="J70" s="9">
        <f t="shared" si="17"/>
        <v>715.9475409836067</v>
      </c>
      <c r="K70" s="3">
        <f t="shared" si="18"/>
        <v>26.832786885245923</v>
      </c>
      <c r="L70" s="7">
        <f t="shared" si="19"/>
        <v>3.893805309734516E-2</v>
      </c>
      <c r="M70" t="s">
        <v>7</v>
      </c>
      <c r="O70" s="3">
        <f>E70-'301055 - P0324'!F70</f>
        <v>0</v>
      </c>
      <c r="P70" s="30">
        <f>I70-'301055 - P0324'!J70</f>
        <v>0</v>
      </c>
    </row>
    <row r="71" spans="1:16" x14ac:dyDescent="0.25">
      <c r="A71">
        <v>69</v>
      </c>
      <c r="D71" s="4" t="s">
        <v>75</v>
      </c>
      <c r="E71" s="8">
        <v>565</v>
      </c>
      <c r="F71" s="8">
        <f>F67</f>
        <v>587</v>
      </c>
      <c r="G71" s="6">
        <f t="shared" si="15"/>
        <v>22</v>
      </c>
      <c r="H71" s="7">
        <f t="shared" si="16"/>
        <v>3.8938053097345132E-2</v>
      </c>
      <c r="I71" s="8">
        <v>689.11475409836078</v>
      </c>
      <c r="J71" s="9">
        <f t="shared" si="17"/>
        <v>715.9475409836067</v>
      </c>
      <c r="K71" s="3">
        <f t="shared" si="18"/>
        <v>26.832786885245923</v>
      </c>
      <c r="L71" s="7">
        <f t="shared" si="19"/>
        <v>3.893805309734516E-2</v>
      </c>
      <c r="M71" t="s">
        <v>7</v>
      </c>
      <c r="O71" s="3">
        <f>E71-'301055 - P0324'!F71</f>
        <v>0</v>
      </c>
      <c r="P71" s="30">
        <f>I71-'301055 - P0324'!J71</f>
        <v>0</v>
      </c>
    </row>
    <row r="72" spans="1:16" x14ac:dyDescent="0.25">
      <c r="A72">
        <v>70</v>
      </c>
      <c r="D72" s="4" t="s">
        <v>76</v>
      </c>
      <c r="E72" s="5">
        <v>613</v>
      </c>
      <c r="F72" s="5">
        <v>643</v>
      </c>
      <c r="G72" s="6">
        <f>+F72-E72</f>
        <v>30</v>
      </c>
      <c r="H72" s="7">
        <f>(F72-E72)/ABS(E72)</f>
        <v>4.8939641109298535E-2</v>
      </c>
      <c r="I72" s="8">
        <v>859.81427581427579</v>
      </c>
      <c r="J72" s="9">
        <f t="shared" si="17"/>
        <v>901.89327789327785</v>
      </c>
      <c r="K72" s="3">
        <f>J72-I72</f>
        <v>42.079002079002066</v>
      </c>
      <c r="L72" s="7">
        <f>(J72-I72)/ABS(I72)</f>
        <v>4.8939641109298521E-2</v>
      </c>
      <c r="M72" t="s">
        <v>7</v>
      </c>
      <c r="O72" s="3">
        <f>E72-'301055 - P0324'!F72</f>
        <v>0</v>
      </c>
      <c r="P72" s="30">
        <f>I72-'301055 - P0324'!J72</f>
        <v>0</v>
      </c>
    </row>
    <row r="73" spans="1:16" x14ac:dyDescent="0.25">
      <c r="A73">
        <v>71</v>
      </c>
      <c r="D73" s="4" t="s">
        <v>77</v>
      </c>
      <c r="E73" s="8">
        <v>613</v>
      </c>
      <c r="F73" s="8">
        <f>F72</f>
        <v>643</v>
      </c>
      <c r="G73" s="6">
        <f>+F73-E73</f>
        <v>30</v>
      </c>
      <c r="H73" s="7">
        <f>(F73-E73)/ABS(E73)</f>
        <v>4.8939641109298535E-2</v>
      </c>
      <c r="I73" s="8">
        <v>859.81427581427579</v>
      </c>
      <c r="J73" s="9">
        <f t="shared" si="17"/>
        <v>901.89327789327785</v>
      </c>
      <c r="K73" s="3">
        <f>J73-I73</f>
        <v>42.079002079002066</v>
      </c>
      <c r="L73" s="7">
        <f>(J73-I73)/ABS(I73)</f>
        <v>4.8939641109298521E-2</v>
      </c>
      <c r="M73" t="s">
        <v>7</v>
      </c>
      <c r="O73" s="3">
        <f>E73-'301055 - P0324'!F73</f>
        <v>0</v>
      </c>
      <c r="P73" s="30">
        <f>I73-'301055 - P0324'!J73</f>
        <v>0</v>
      </c>
    </row>
    <row r="74" spans="1:16" x14ac:dyDescent="0.25">
      <c r="A74">
        <v>72</v>
      </c>
      <c r="D74" s="4" t="s">
        <v>78</v>
      </c>
      <c r="E74" s="8">
        <v>613</v>
      </c>
      <c r="F74" s="8">
        <f>F72</f>
        <v>643</v>
      </c>
      <c r="G74" s="6">
        <f>+F74-E74</f>
        <v>30</v>
      </c>
      <c r="H74" s="7">
        <f>(F74-E74)/ABS(E74)</f>
        <v>4.8939641109298535E-2</v>
      </c>
      <c r="I74" s="8">
        <v>859.81427581427579</v>
      </c>
      <c r="J74" s="9">
        <f t="shared" si="17"/>
        <v>901.89327789327785</v>
      </c>
      <c r="K74" s="3">
        <f>J74-I74</f>
        <v>42.079002079002066</v>
      </c>
      <c r="L74" s="7">
        <f>(J74-I74)/ABS(I74)</f>
        <v>4.8939641109298521E-2</v>
      </c>
      <c r="M74" t="s">
        <v>7</v>
      </c>
      <c r="O74" s="3">
        <f>E74-'301055 - P0324'!F74</f>
        <v>0</v>
      </c>
      <c r="P74" s="30">
        <f>I74-'301055 - P0324'!J74</f>
        <v>0</v>
      </c>
    </row>
    <row r="75" spans="1:16" x14ac:dyDescent="0.25">
      <c r="A75">
        <v>73</v>
      </c>
      <c r="D75" s="4" t="s">
        <v>79</v>
      </c>
      <c r="E75" s="8">
        <v>613</v>
      </c>
      <c r="F75" s="8">
        <f>F72</f>
        <v>643</v>
      </c>
      <c r="G75" s="6">
        <f>+F75-E75</f>
        <v>30</v>
      </c>
      <c r="H75" s="7">
        <f>(F75-E75)/ABS(E75)</f>
        <v>4.8939641109298535E-2</v>
      </c>
      <c r="I75" s="8">
        <v>859.81427581427579</v>
      </c>
      <c r="J75" s="9">
        <f t="shared" si="17"/>
        <v>901.89327789327785</v>
      </c>
      <c r="K75" s="3">
        <f>J75-I75</f>
        <v>42.079002079002066</v>
      </c>
      <c r="L75" s="7">
        <f>(J75-I75)/ABS(I75)</f>
        <v>4.8939641109298521E-2</v>
      </c>
      <c r="M75" t="s">
        <v>7</v>
      </c>
      <c r="O75" s="3">
        <f>E75-'301055 - P0324'!F75</f>
        <v>0</v>
      </c>
      <c r="P75" s="30">
        <f>I75-'301055 - P0324'!J75</f>
        <v>0</v>
      </c>
    </row>
    <row r="76" spans="1:16" x14ac:dyDescent="0.25">
      <c r="A76">
        <v>74</v>
      </c>
      <c r="D76" s="4" t="s">
        <v>80</v>
      </c>
      <c r="E76" s="8">
        <v>613</v>
      </c>
      <c r="F76" s="8">
        <f>F72</f>
        <v>643</v>
      </c>
      <c r="G76" s="6">
        <f>+F76-E76</f>
        <v>30</v>
      </c>
      <c r="H76" s="7">
        <f>(F76-E76)/ABS(E76)</f>
        <v>4.8939641109298535E-2</v>
      </c>
      <c r="I76" s="8">
        <v>859.81427581427579</v>
      </c>
      <c r="J76" s="9">
        <f t="shared" si="17"/>
        <v>901.89327789327785</v>
      </c>
      <c r="K76" s="3">
        <f>J76-I76</f>
        <v>42.079002079002066</v>
      </c>
      <c r="L76" s="7">
        <f>(J76-I76)/ABS(I76)</f>
        <v>4.8939641109298521E-2</v>
      </c>
      <c r="M76" t="s">
        <v>7</v>
      </c>
      <c r="O76" s="3">
        <f>E76-'301055 - P0324'!F76</f>
        <v>0</v>
      </c>
      <c r="P76" s="30">
        <f>I76-'301055 - P0324'!J76</f>
        <v>0</v>
      </c>
    </row>
    <row r="77" spans="1:16" x14ac:dyDescent="0.25">
      <c r="A77">
        <v>75</v>
      </c>
      <c r="D77" s="4" t="s">
        <v>81</v>
      </c>
      <c r="E77" s="8">
        <v>613</v>
      </c>
      <c r="F77" s="8">
        <f t="shared" ref="F77" si="20">F74</f>
        <v>643</v>
      </c>
      <c r="G77" s="6">
        <f t="shared" ref="G77" si="21">+F77-E77</f>
        <v>30</v>
      </c>
      <c r="H77" s="7">
        <f t="shared" ref="H77" si="22">(F77-E77)/ABS(E77)</f>
        <v>4.8939641109298535E-2</v>
      </c>
      <c r="I77" s="8">
        <v>859.81427581427579</v>
      </c>
      <c r="J77" s="9">
        <f t="shared" si="17"/>
        <v>901.89327789327785</v>
      </c>
      <c r="K77" s="3">
        <f t="shared" ref="K77" si="23">J77-I77</f>
        <v>42.079002079002066</v>
      </c>
      <c r="L77" s="7">
        <f t="shared" ref="L77" si="24">(J77-I77)/ABS(I77)</f>
        <v>4.8939641109298521E-2</v>
      </c>
      <c r="M77" t="s">
        <v>7</v>
      </c>
      <c r="O77" s="3">
        <f>E77-'301055 - P0324'!F77</f>
        <v>0</v>
      </c>
      <c r="P77" s="30">
        <f>I77-'301055 - P0324'!J77</f>
        <v>0</v>
      </c>
    </row>
    <row r="78" spans="1:16" x14ac:dyDescent="0.25">
      <c r="A78">
        <v>76</v>
      </c>
      <c r="D78" s="4" t="s">
        <v>82</v>
      </c>
      <c r="E78" s="5">
        <v>708</v>
      </c>
      <c r="F78" s="5">
        <v>718</v>
      </c>
      <c r="G78" s="6">
        <f>+F78-E78</f>
        <v>10</v>
      </c>
      <c r="H78" s="7">
        <f>(F78-E78)/ABS(E78)</f>
        <v>1.4124293785310734E-2</v>
      </c>
      <c r="I78" s="8">
        <v>896.30575916230373</v>
      </c>
      <c r="J78" s="9">
        <f t="shared" si="17"/>
        <v>908.96544502617803</v>
      </c>
      <c r="K78" s="3">
        <f>J78-I78</f>
        <v>12.659685863874302</v>
      </c>
      <c r="L78" s="7">
        <f>(J78-I78)/ABS(I78)</f>
        <v>1.4124293785310684E-2</v>
      </c>
      <c r="M78" t="s">
        <v>7</v>
      </c>
      <c r="O78" s="3">
        <f>E78-'301055 - P0324'!F78</f>
        <v>0</v>
      </c>
      <c r="P78" s="30">
        <f>I78-'301055 - P0324'!J78</f>
        <v>0</v>
      </c>
    </row>
    <row r="79" spans="1:16" x14ac:dyDescent="0.25">
      <c r="A79">
        <v>77</v>
      </c>
      <c r="D79" s="4" t="s">
        <v>83</v>
      </c>
      <c r="E79" s="8">
        <v>708</v>
      </c>
      <c r="F79" s="8">
        <f>F78</f>
        <v>718</v>
      </c>
      <c r="G79" s="6">
        <f>+F79-E79</f>
        <v>10</v>
      </c>
      <c r="H79" s="7">
        <f>(F79-E79)/ABS(E79)</f>
        <v>1.4124293785310734E-2</v>
      </c>
      <c r="I79" s="8">
        <v>896.30575916230373</v>
      </c>
      <c r="J79" s="9">
        <f t="shared" si="17"/>
        <v>908.96544502617803</v>
      </c>
      <c r="K79" s="3">
        <f>J79-I79</f>
        <v>12.659685863874302</v>
      </c>
      <c r="L79" s="7">
        <f>(J79-I79)/ABS(I79)</f>
        <v>1.4124293785310684E-2</v>
      </c>
      <c r="M79" t="s">
        <v>7</v>
      </c>
      <c r="O79" s="3">
        <f>E79-'301055 - P0324'!F79</f>
        <v>0</v>
      </c>
      <c r="P79" s="30">
        <f>I79-'301055 - P0324'!J79</f>
        <v>0</v>
      </c>
    </row>
    <row r="80" spans="1:16" x14ac:dyDescent="0.25">
      <c r="A80">
        <v>78</v>
      </c>
      <c r="D80" s="4" t="s">
        <v>84</v>
      </c>
      <c r="E80" s="8">
        <v>708</v>
      </c>
      <c r="F80" s="8">
        <f>F78</f>
        <v>718</v>
      </c>
      <c r="G80" s="6">
        <f>+F80-E80</f>
        <v>10</v>
      </c>
      <c r="H80" s="7">
        <f>(F80-E80)/ABS(E80)</f>
        <v>1.4124293785310734E-2</v>
      </c>
      <c r="I80" s="8">
        <v>896.30575916230373</v>
      </c>
      <c r="J80" s="9">
        <f t="shared" si="17"/>
        <v>908.96544502617803</v>
      </c>
      <c r="K80" s="3">
        <f>J80-I80</f>
        <v>12.659685863874302</v>
      </c>
      <c r="L80" s="7">
        <f>(J80-I80)/ABS(I80)</f>
        <v>1.4124293785310684E-2</v>
      </c>
      <c r="M80" t="s">
        <v>7</v>
      </c>
      <c r="O80" s="3">
        <f>E80-'301055 - P0324'!F80</f>
        <v>0</v>
      </c>
      <c r="P80" s="30">
        <f>I80-'301055 - P0324'!J80</f>
        <v>0</v>
      </c>
    </row>
    <row r="81" spans="1:16" x14ac:dyDescent="0.25">
      <c r="A81">
        <v>79</v>
      </c>
      <c r="D81" s="4" t="s">
        <v>85</v>
      </c>
      <c r="E81" s="8">
        <v>708</v>
      </c>
      <c r="F81" s="8">
        <f>F78</f>
        <v>718</v>
      </c>
      <c r="G81" s="6">
        <f>+F81-E81</f>
        <v>10</v>
      </c>
      <c r="H81" s="7">
        <f>(F81-E81)/ABS(E81)</f>
        <v>1.4124293785310734E-2</v>
      </c>
      <c r="I81" s="8">
        <v>896.30575916230373</v>
      </c>
      <c r="J81" s="9">
        <f t="shared" si="17"/>
        <v>908.96544502617803</v>
      </c>
      <c r="K81" s="3">
        <f>J81-I81</f>
        <v>12.659685863874302</v>
      </c>
      <c r="L81" s="7">
        <f>(J81-I81)/ABS(I81)</f>
        <v>1.4124293785310684E-2</v>
      </c>
      <c r="M81" t="s">
        <v>7</v>
      </c>
      <c r="O81" s="3">
        <f>E81-'301055 - P0324'!F81</f>
        <v>0</v>
      </c>
      <c r="P81" s="30">
        <f>I81-'301055 - P0324'!J81</f>
        <v>0</v>
      </c>
    </row>
    <row r="82" spans="1:16" x14ac:dyDescent="0.25">
      <c r="A82">
        <v>80</v>
      </c>
      <c r="D82" s="4" t="s">
        <v>86</v>
      </c>
      <c r="E82" s="8">
        <v>708</v>
      </c>
      <c r="F82" s="8">
        <f>F78</f>
        <v>718</v>
      </c>
      <c r="G82" s="6">
        <f>+F82-E82</f>
        <v>10</v>
      </c>
      <c r="H82" s="7">
        <f>(F82-E82)/ABS(E82)</f>
        <v>1.4124293785310734E-2</v>
      </c>
      <c r="I82" s="8">
        <v>896.30575916230373</v>
      </c>
      <c r="J82" s="9">
        <f t="shared" si="17"/>
        <v>908.96544502617803</v>
      </c>
      <c r="K82" s="3">
        <f>J82-I82</f>
        <v>12.659685863874302</v>
      </c>
      <c r="L82" s="7">
        <f>(J82-I82)/ABS(I82)</f>
        <v>1.4124293785310684E-2</v>
      </c>
      <c r="M82" t="s">
        <v>7</v>
      </c>
      <c r="O82" s="3">
        <f>E82-'301055 - P0324'!F82</f>
        <v>0</v>
      </c>
      <c r="P82" s="30">
        <f>I82-'301055 - P0324'!J82</f>
        <v>0</v>
      </c>
    </row>
    <row r="83" spans="1:16" x14ac:dyDescent="0.25">
      <c r="A83">
        <v>81</v>
      </c>
      <c r="D83" s="4" t="s">
        <v>87</v>
      </c>
      <c r="E83" s="8">
        <v>708</v>
      </c>
      <c r="F83" s="8">
        <f>F80</f>
        <v>718</v>
      </c>
      <c r="G83" s="6">
        <f t="shared" ref="G83" si="25">+F83-E83</f>
        <v>10</v>
      </c>
      <c r="H83" s="7">
        <f t="shared" ref="H83" si="26">(F83-E83)/ABS(E83)</f>
        <v>1.4124293785310734E-2</v>
      </c>
      <c r="I83" s="8">
        <v>896.30575916230373</v>
      </c>
      <c r="J83" s="9">
        <f t="shared" si="17"/>
        <v>908.96544502617803</v>
      </c>
      <c r="K83" s="3">
        <f t="shared" ref="K83" si="27">J83-I83</f>
        <v>12.659685863874302</v>
      </c>
      <c r="L83" s="7">
        <f t="shared" ref="L83" si="28">(J83-I83)/ABS(I83)</f>
        <v>1.4124293785310684E-2</v>
      </c>
      <c r="M83" t="s">
        <v>7</v>
      </c>
      <c r="O83" s="3">
        <f>E83-'301055 - P0324'!F83</f>
        <v>0</v>
      </c>
      <c r="P83" s="30">
        <f>I83-'301055 - P0324'!J83</f>
        <v>0</v>
      </c>
    </row>
    <row r="84" spans="1:16" x14ac:dyDescent="0.25">
      <c r="A84">
        <v>82</v>
      </c>
      <c r="D84" s="4" t="s">
        <v>493</v>
      </c>
      <c r="E84" s="5">
        <v>783</v>
      </c>
      <c r="F84" s="5">
        <v>798</v>
      </c>
      <c r="G84" s="6">
        <f>+F84-E84</f>
        <v>15</v>
      </c>
      <c r="H84" s="7">
        <f>(F84-E84)/ABS(E84)</f>
        <v>1.9157088122605363E-2</v>
      </c>
      <c r="I84" s="8">
        <v>1003.0059220092531</v>
      </c>
      <c r="J84" s="9">
        <f t="shared" si="17"/>
        <v>1022.2205948446795</v>
      </c>
      <c r="K84" s="3">
        <f>J84-I84</f>
        <v>19.214672835426313</v>
      </c>
      <c r="L84" s="7">
        <f>(J84-I84)/ABS(I84)</f>
        <v>1.9157088122605373E-2</v>
      </c>
      <c r="M84" t="s">
        <v>7</v>
      </c>
      <c r="O84" s="3">
        <f>E84-'301055 - P0324'!F84</f>
        <v>0</v>
      </c>
      <c r="P84" s="30">
        <f>I84-'301055 - P0324'!J84</f>
        <v>0</v>
      </c>
    </row>
    <row r="85" spans="1:16" x14ac:dyDescent="0.25">
      <c r="A85">
        <v>83</v>
      </c>
      <c r="D85" s="4" t="s">
        <v>88</v>
      </c>
      <c r="E85" s="8">
        <v>783</v>
      </c>
      <c r="F85" s="8">
        <f>F84</f>
        <v>798</v>
      </c>
      <c r="G85" s="6">
        <f>+F85-E85</f>
        <v>15</v>
      </c>
      <c r="H85" s="7">
        <f>(F85-E85)/ABS(E85)</f>
        <v>1.9157088122605363E-2</v>
      </c>
      <c r="I85" s="8">
        <v>1003.0059220092531</v>
      </c>
      <c r="J85" s="9">
        <f t="shared" si="17"/>
        <v>1022.2205948446795</v>
      </c>
      <c r="K85" s="3">
        <f>J85-I85</f>
        <v>19.214672835426313</v>
      </c>
      <c r="L85" s="7">
        <f>(J85-I85)/ABS(I85)</f>
        <v>1.9157088122605373E-2</v>
      </c>
      <c r="M85" t="s">
        <v>7</v>
      </c>
      <c r="O85" s="3">
        <f>E85-'301055 - P0324'!F85</f>
        <v>0</v>
      </c>
      <c r="P85" s="30">
        <f>I85-'301055 - P0324'!J85</f>
        <v>0</v>
      </c>
    </row>
    <row r="86" spans="1:16" x14ac:dyDescent="0.25">
      <c r="A86">
        <v>84</v>
      </c>
      <c r="D86" s="4" t="s">
        <v>89</v>
      </c>
      <c r="E86" s="8">
        <v>783</v>
      </c>
      <c r="F86" s="8">
        <f>F84</f>
        <v>798</v>
      </c>
      <c r="G86" s="6">
        <f>+F86-E86</f>
        <v>15</v>
      </c>
      <c r="H86" s="7">
        <f>(F86-E86)/ABS(E86)</f>
        <v>1.9157088122605363E-2</v>
      </c>
      <c r="I86" s="8">
        <v>1003.0059220092531</v>
      </c>
      <c r="J86" s="9">
        <f t="shared" si="17"/>
        <v>1022.2205948446795</v>
      </c>
      <c r="K86" s="3">
        <f>J86-I86</f>
        <v>19.214672835426313</v>
      </c>
      <c r="L86" s="7">
        <f>(J86-I86)/ABS(I86)</f>
        <v>1.9157088122605373E-2</v>
      </c>
      <c r="M86" t="s">
        <v>7</v>
      </c>
      <c r="O86" s="3">
        <f>E86-'301055 - P0324'!F86</f>
        <v>0</v>
      </c>
      <c r="P86" s="30">
        <f>I86-'301055 - P0324'!J86</f>
        <v>0</v>
      </c>
    </row>
    <row r="87" spans="1:16" x14ac:dyDescent="0.25">
      <c r="A87">
        <v>85</v>
      </c>
      <c r="D87" s="4" t="s">
        <v>90</v>
      </c>
      <c r="E87" s="8">
        <v>783</v>
      </c>
      <c r="F87" s="8">
        <f>F84</f>
        <v>798</v>
      </c>
      <c r="G87" s="6">
        <f>+F87-E87</f>
        <v>15</v>
      </c>
      <c r="H87" s="7">
        <f>(F87-E87)/ABS(E87)</f>
        <v>1.9157088122605363E-2</v>
      </c>
      <c r="I87" s="8">
        <v>1003.0059220092531</v>
      </c>
      <c r="J87" s="9">
        <f t="shared" si="17"/>
        <v>1022.2205948446795</v>
      </c>
      <c r="K87" s="3">
        <f>J87-I87</f>
        <v>19.214672835426313</v>
      </c>
      <c r="L87" s="7">
        <f>(J87-I87)/ABS(I87)</f>
        <v>1.9157088122605373E-2</v>
      </c>
      <c r="M87" t="s">
        <v>7</v>
      </c>
      <c r="O87" s="3">
        <f>E87-'301055 - P0324'!F87</f>
        <v>0</v>
      </c>
      <c r="P87" s="30">
        <f>I87-'301055 - P0324'!J87</f>
        <v>0</v>
      </c>
    </row>
    <row r="88" spans="1:16" x14ac:dyDescent="0.25">
      <c r="A88">
        <v>86</v>
      </c>
      <c r="D88" s="4" t="s">
        <v>91</v>
      </c>
      <c r="E88" s="8">
        <v>783</v>
      </c>
      <c r="F88" s="8">
        <f>F84</f>
        <v>798</v>
      </c>
      <c r="G88" s="6">
        <f>+F88-E88</f>
        <v>15</v>
      </c>
      <c r="H88" s="7">
        <f>(F88-E88)/ABS(E88)</f>
        <v>1.9157088122605363E-2</v>
      </c>
      <c r="I88" s="8">
        <v>1003.0059220092531</v>
      </c>
      <c r="J88" s="9">
        <f t="shared" si="17"/>
        <v>1022.2205948446795</v>
      </c>
      <c r="K88" s="3">
        <f>J88-I88</f>
        <v>19.214672835426313</v>
      </c>
      <c r="L88" s="7">
        <f>(J88-I88)/ABS(I88)</f>
        <v>1.9157088122605373E-2</v>
      </c>
      <c r="M88" t="s">
        <v>7</v>
      </c>
      <c r="O88" s="3">
        <f>E88-'301055 - P0324'!F88</f>
        <v>0</v>
      </c>
      <c r="P88" s="30">
        <f>I88-'301055 - P0324'!J88</f>
        <v>0</v>
      </c>
    </row>
    <row r="89" spans="1:16" x14ac:dyDescent="0.25">
      <c r="A89">
        <v>87</v>
      </c>
      <c r="D89" s="4" t="s">
        <v>92</v>
      </c>
      <c r="E89" s="8">
        <v>783</v>
      </c>
      <c r="F89" s="8">
        <f t="shared" ref="F89" si="29">F86</f>
        <v>798</v>
      </c>
      <c r="G89" s="6">
        <f t="shared" ref="G89:G90" si="30">+F89-E89</f>
        <v>15</v>
      </c>
      <c r="H89" s="7">
        <f t="shared" ref="H89:H90" si="31">(F89-E89)/ABS(E89)</f>
        <v>1.9157088122605363E-2</v>
      </c>
      <c r="I89" s="8">
        <v>1003.0059220092531</v>
      </c>
      <c r="J89" s="9">
        <f t="shared" si="17"/>
        <v>1022.2205948446795</v>
      </c>
      <c r="K89" s="3">
        <f t="shared" ref="K89:K90" si="32">J89-I89</f>
        <v>19.214672835426313</v>
      </c>
      <c r="L89" s="7">
        <f t="shared" ref="L89:L90" si="33">(J89-I89)/ABS(I89)</f>
        <v>1.9157088122605373E-2</v>
      </c>
      <c r="M89" t="s">
        <v>7</v>
      </c>
      <c r="O89" s="3">
        <f>E89-'301055 - P0324'!F89</f>
        <v>0</v>
      </c>
      <c r="P89" s="30">
        <f>I89-'301055 - P0324'!J89</f>
        <v>0</v>
      </c>
    </row>
    <row r="90" spans="1:16" x14ac:dyDescent="0.25">
      <c r="A90">
        <v>88</v>
      </c>
      <c r="C90" t="s">
        <v>8</v>
      </c>
      <c r="D90" s="4" t="s">
        <v>93</v>
      </c>
      <c r="E90" s="5">
        <v>12.27</v>
      </c>
      <c r="F90" s="5">
        <v>12.27</v>
      </c>
      <c r="G90" s="6">
        <f t="shared" si="30"/>
        <v>0</v>
      </c>
      <c r="H90" s="7">
        <f t="shared" si="31"/>
        <v>0</v>
      </c>
      <c r="I90" s="8">
        <v>2463.8490419471786</v>
      </c>
      <c r="J90" s="9">
        <f t="shared" si="17"/>
        <v>2463.8490419471786</v>
      </c>
      <c r="K90" s="3">
        <f t="shared" si="32"/>
        <v>0</v>
      </c>
      <c r="L90" s="7">
        <f t="shared" si="33"/>
        <v>0</v>
      </c>
      <c r="M90" t="s">
        <v>7</v>
      </c>
      <c r="O90" s="3">
        <f>E90-'301055 - P0324'!F90</f>
        <v>0</v>
      </c>
      <c r="P90" s="30">
        <f>I90-'301055 - P0324'!J90</f>
        <v>0</v>
      </c>
    </row>
    <row r="91" spans="1:16" x14ac:dyDescent="0.25">
      <c r="A91">
        <v>89</v>
      </c>
      <c r="D91" s="2" t="s">
        <v>94</v>
      </c>
      <c r="H91" s="10">
        <f>AVERAGE(H65:H90)</f>
        <v>2.9457404222488624E-2</v>
      </c>
      <c r="I91"/>
      <c r="L91" s="10">
        <f>AVERAGE(L65:L89)</f>
        <v>3.0635700391388142E-2</v>
      </c>
    </row>
    <row r="92" spans="1:16" x14ac:dyDescent="0.25">
      <c r="A92">
        <v>90</v>
      </c>
      <c r="D92" s="2" t="s">
        <v>95</v>
      </c>
      <c r="I92"/>
      <c r="M92" t="s">
        <v>7</v>
      </c>
      <c r="O92" s="3">
        <f>E92-'301055 - P0324'!F92</f>
        <v>0</v>
      </c>
      <c r="P92" s="30">
        <f>I92-'301055 - P0324'!J92</f>
        <v>0</v>
      </c>
    </row>
    <row r="93" spans="1:16" x14ac:dyDescent="0.25">
      <c r="A93">
        <v>91</v>
      </c>
      <c r="D93" s="4" t="s">
        <v>96</v>
      </c>
      <c r="E93" s="5">
        <v>450</v>
      </c>
      <c r="F93" s="5">
        <v>495</v>
      </c>
      <c r="G93" s="6">
        <f t="shared" ref="G93:G101" si="34">+F93-E93</f>
        <v>45</v>
      </c>
      <c r="H93" s="7">
        <f t="shared" ref="H93:H101" si="35">(F93-E93)/ABS(E93)</f>
        <v>0.1</v>
      </c>
      <c r="I93" s="8">
        <v>510.33519553072631</v>
      </c>
      <c r="J93" s="9">
        <f t="shared" ref="J93:J101" si="36">(I93*H93)+I93</f>
        <v>561.36871508379897</v>
      </c>
      <c r="K93" s="3">
        <f t="shared" ref="K93:K101" si="37">J93-I93</f>
        <v>51.033519553072665</v>
      </c>
      <c r="L93" s="7">
        <f t="shared" ref="L93:L101" si="38">(J93-I93)/ABS(I93)</f>
        <v>0.10000000000000006</v>
      </c>
      <c r="M93" t="s">
        <v>7</v>
      </c>
      <c r="O93" s="3">
        <f>E93-'301055 - P0324'!F93</f>
        <v>0</v>
      </c>
      <c r="P93" s="30">
        <f>I93-'301055 - P0324'!J93</f>
        <v>0</v>
      </c>
    </row>
    <row r="94" spans="1:16" x14ac:dyDescent="0.25">
      <c r="A94">
        <v>92</v>
      </c>
      <c r="D94" s="4" t="s">
        <v>97</v>
      </c>
      <c r="E94" s="5">
        <v>470</v>
      </c>
      <c r="F94" s="5">
        <v>515</v>
      </c>
      <c r="G94" s="6">
        <f t="shared" si="34"/>
        <v>45</v>
      </c>
      <c r="H94" s="7">
        <f t="shared" si="35"/>
        <v>9.5744680851063829E-2</v>
      </c>
      <c r="I94" s="8">
        <v>540.88902513795222</v>
      </c>
      <c r="J94" s="9">
        <f t="shared" si="36"/>
        <v>592.67627222562851</v>
      </c>
      <c r="K94" s="3">
        <f t="shared" si="37"/>
        <v>51.787247087676292</v>
      </c>
      <c r="L94" s="7">
        <f t="shared" si="38"/>
        <v>9.5744680851063857E-2</v>
      </c>
      <c r="M94" t="s">
        <v>7</v>
      </c>
      <c r="O94" s="3">
        <f>E94-'301055 - P0324'!F94</f>
        <v>0</v>
      </c>
      <c r="P94" s="30">
        <f>I94-'301055 - P0324'!J94</f>
        <v>0</v>
      </c>
    </row>
    <row r="95" spans="1:16" x14ac:dyDescent="0.25">
      <c r="A95">
        <v>93</v>
      </c>
      <c r="D95" s="4" t="s">
        <v>98</v>
      </c>
      <c r="E95" s="5">
        <v>470</v>
      </c>
      <c r="F95" s="5">
        <v>515</v>
      </c>
      <c r="G95" s="6">
        <f t="shared" si="34"/>
        <v>45</v>
      </c>
      <c r="H95" s="7">
        <f t="shared" si="35"/>
        <v>9.5744680851063829E-2</v>
      </c>
      <c r="I95" s="8">
        <v>537.71919068056388</v>
      </c>
      <c r="J95" s="9">
        <f t="shared" si="36"/>
        <v>589.20294297976682</v>
      </c>
      <c r="K95" s="3">
        <f t="shared" si="37"/>
        <v>51.483752299202934</v>
      </c>
      <c r="L95" s="7">
        <f t="shared" si="38"/>
        <v>9.5744680851063843E-2</v>
      </c>
      <c r="M95" t="s">
        <v>7</v>
      </c>
      <c r="O95" s="3">
        <f>E95-'301055 - P0324'!F95</f>
        <v>0</v>
      </c>
      <c r="P95" s="30">
        <f>I95-'301055 - P0324'!J95</f>
        <v>0</v>
      </c>
    </row>
    <row r="96" spans="1:16" x14ac:dyDescent="0.25">
      <c r="A96">
        <v>94</v>
      </c>
      <c r="D96" s="4" t="s">
        <v>99</v>
      </c>
      <c r="E96" s="5">
        <v>470</v>
      </c>
      <c r="F96" s="5">
        <v>515</v>
      </c>
      <c r="G96" s="6">
        <f t="shared" si="34"/>
        <v>45</v>
      </c>
      <c r="H96" s="7">
        <f t="shared" si="35"/>
        <v>9.5744680851063829E-2</v>
      </c>
      <c r="I96" s="8">
        <v>554</v>
      </c>
      <c r="J96" s="9">
        <f t="shared" si="36"/>
        <v>607.04255319148933</v>
      </c>
      <c r="K96" s="3">
        <f t="shared" si="37"/>
        <v>53.042553191489333</v>
      </c>
      <c r="L96" s="7">
        <f t="shared" si="38"/>
        <v>9.5744680851063774E-2</v>
      </c>
      <c r="M96" t="s">
        <v>7</v>
      </c>
      <c r="O96" s="3">
        <f>E96-'301055 - P0324'!F96</f>
        <v>0</v>
      </c>
      <c r="P96" s="30">
        <f>I96-'301055 - P0324'!J96</f>
        <v>0</v>
      </c>
    </row>
    <row r="97" spans="1:16" x14ac:dyDescent="0.25">
      <c r="A97">
        <v>95</v>
      </c>
      <c r="D97" s="4" t="s">
        <v>100</v>
      </c>
      <c r="E97" s="5">
        <v>668</v>
      </c>
      <c r="F97" s="5">
        <v>710</v>
      </c>
      <c r="G97" s="6">
        <f t="shared" si="34"/>
        <v>42</v>
      </c>
      <c r="H97" s="7">
        <f t="shared" si="35"/>
        <v>6.2874251497005984E-2</v>
      </c>
      <c r="I97" s="8">
        <v>785.76291793313067</v>
      </c>
      <c r="J97" s="9">
        <f t="shared" si="36"/>
        <v>835.16717325227955</v>
      </c>
      <c r="K97" s="3">
        <f t="shared" si="37"/>
        <v>49.404255319148888</v>
      </c>
      <c r="L97" s="7">
        <f>(J97-I97)/ABS(I97)</f>
        <v>6.2874251497005929E-2</v>
      </c>
      <c r="M97" t="s">
        <v>7</v>
      </c>
      <c r="O97" s="3">
        <f>E97-'301055 - P0324'!F97</f>
        <v>0</v>
      </c>
      <c r="P97" s="30">
        <f>I97-'301055 - P0324'!J97</f>
        <v>0</v>
      </c>
    </row>
    <row r="98" spans="1:16" x14ac:dyDescent="0.25">
      <c r="A98">
        <v>96</v>
      </c>
      <c r="C98" t="s">
        <v>8</v>
      </c>
      <c r="D98" s="29" t="s">
        <v>101</v>
      </c>
      <c r="E98" s="5">
        <v>965</v>
      </c>
      <c r="F98" s="5">
        <v>980</v>
      </c>
      <c r="G98" s="6">
        <f t="shared" si="34"/>
        <v>15</v>
      </c>
      <c r="H98" s="7">
        <f t="shared" si="35"/>
        <v>1.5544041450777202E-2</v>
      </c>
      <c r="I98" s="8">
        <v>1150</v>
      </c>
      <c r="J98" s="9">
        <f t="shared" si="36"/>
        <v>1167.8756476683939</v>
      </c>
      <c r="K98" s="3">
        <f t="shared" si="37"/>
        <v>17.875647668393867</v>
      </c>
      <c r="L98" s="7">
        <f t="shared" si="38"/>
        <v>1.5544041450777276E-2</v>
      </c>
      <c r="M98" t="s">
        <v>7</v>
      </c>
      <c r="O98" s="3">
        <f>E98-'301055 - P0324'!F98</f>
        <v>0</v>
      </c>
      <c r="P98" s="30">
        <f>I98-'301055 - P0324'!J98</f>
        <v>0</v>
      </c>
    </row>
    <row r="99" spans="1:16" x14ac:dyDescent="0.25">
      <c r="A99">
        <v>97</v>
      </c>
      <c r="C99" t="s">
        <v>8</v>
      </c>
      <c r="D99" s="4" t="s">
        <v>102</v>
      </c>
      <c r="E99" s="5">
        <v>1154</v>
      </c>
      <c r="F99" s="5">
        <v>1169</v>
      </c>
      <c r="G99" s="6">
        <f t="shared" si="34"/>
        <v>15</v>
      </c>
      <c r="H99" s="7">
        <f t="shared" si="35"/>
        <v>1.2998266897746967E-2</v>
      </c>
      <c r="I99" s="8">
        <v>1515.7975948830363</v>
      </c>
      <c r="J99" s="9">
        <f t="shared" si="36"/>
        <v>1535.5003365842888</v>
      </c>
      <c r="K99" s="3">
        <f t="shared" si="37"/>
        <v>19.702741701252535</v>
      </c>
      <c r="L99" s="7">
        <f t="shared" si="38"/>
        <v>1.2998266897746899E-2</v>
      </c>
      <c r="M99" t="s">
        <v>7</v>
      </c>
      <c r="O99" s="3">
        <f>E99-'301055 - P0324'!F99</f>
        <v>0</v>
      </c>
      <c r="P99" s="30">
        <f>I99-'301055 - P0324'!J99</f>
        <v>0</v>
      </c>
    </row>
    <row r="100" spans="1:16" x14ac:dyDescent="0.25">
      <c r="A100">
        <v>98</v>
      </c>
      <c r="D100" s="4" t="s">
        <v>103</v>
      </c>
      <c r="E100" s="5">
        <v>16.64</v>
      </c>
      <c r="F100" s="5">
        <v>17.600000000000001</v>
      </c>
      <c r="G100" s="6">
        <f t="shared" si="34"/>
        <v>0.96000000000000085</v>
      </c>
      <c r="H100" s="7">
        <f t="shared" si="35"/>
        <v>5.7692307692307744E-2</v>
      </c>
      <c r="I100" s="8">
        <v>44.55</v>
      </c>
      <c r="J100" s="9">
        <f t="shared" si="36"/>
        <v>47.120192307692307</v>
      </c>
      <c r="K100" s="3">
        <f t="shared" si="37"/>
        <v>2.5701923076923094</v>
      </c>
      <c r="L100" s="7">
        <f t="shared" si="38"/>
        <v>5.7692307692307737E-2</v>
      </c>
      <c r="M100" t="s">
        <v>7</v>
      </c>
      <c r="O100" s="3">
        <f>E100-'301055 - P0324'!F100</f>
        <v>0</v>
      </c>
      <c r="P100" s="30">
        <f>I100-'301055 - P0324'!J100</f>
        <v>0</v>
      </c>
    </row>
    <row r="101" spans="1:16" x14ac:dyDescent="0.25">
      <c r="A101">
        <v>99</v>
      </c>
      <c r="C101" t="s">
        <v>8</v>
      </c>
      <c r="D101" s="4" t="s">
        <v>104</v>
      </c>
      <c r="E101" s="5">
        <v>1675</v>
      </c>
      <c r="F101" s="5">
        <v>1720</v>
      </c>
      <c r="G101" s="6">
        <f t="shared" si="34"/>
        <v>45</v>
      </c>
      <c r="H101" s="7">
        <f t="shared" si="35"/>
        <v>2.6865671641791045E-2</v>
      </c>
      <c r="I101" s="8">
        <v>2769.2857142857147</v>
      </c>
      <c r="J101" s="9">
        <f t="shared" si="36"/>
        <v>2843.6844349680173</v>
      </c>
      <c r="K101" s="3">
        <f t="shared" si="37"/>
        <v>74.39872068230261</v>
      </c>
      <c r="L101" s="7">
        <f t="shared" si="38"/>
        <v>2.6865671641790982E-2</v>
      </c>
      <c r="M101" t="s">
        <v>7</v>
      </c>
      <c r="O101" s="3">
        <f>E101-'301055 - P0324'!F101</f>
        <v>0</v>
      </c>
      <c r="P101" s="30">
        <f>I101-'301055 - P0324'!J101</f>
        <v>0</v>
      </c>
    </row>
    <row r="102" spans="1:16" x14ac:dyDescent="0.25">
      <c r="A102">
        <v>100</v>
      </c>
      <c r="D102" s="2" t="s">
        <v>105</v>
      </c>
      <c r="H102" s="10">
        <f>AVERAGE(H93:H101)</f>
        <v>6.2578731303646717E-2</v>
      </c>
      <c r="I102"/>
      <c r="L102" s="10">
        <f>AVERAGE(L93:L101)</f>
        <v>6.2578731303646704E-2</v>
      </c>
    </row>
    <row r="103" spans="1:16" x14ac:dyDescent="0.25">
      <c r="A103">
        <v>101</v>
      </c>
      <c r="D103" s="2" t="s">
        <v>106</v>
      </c>
      <c r="G103" s="6"/>
      <c r="H103" s="7"/>
      <c r="I103"/>
      <c r="M103" t="s">
        <v>106</v>
      </c>
    </row>
    <row r="104" spans="1:16" x14ac:dyDescent="0.25">
      <c r="A104">
        <v>102</v>
      </c>
      <c r="C104" t="s">
        <v>8</v>
      </c>
      <c r="D104" s="4" t="s">
        <v>107</v>
      </c>
      <c r="E104" s="5">
        <v>46.11</v>
      </c>
      <c r="F104" s="5">
        <v>46.11</v>
      </c>
      <c r="G104" s="6">
        <f t="shared" ref="G104:G115" si="39">+F104-E104</f>
        <v>0</v>
      </c>
      <c r="H104" s="7">
        <f t="shared" ref="H104:H115" si="40">(F104-E104)/ABS(E104)</f>
        <v>0</v>
      </c>
      <c r="I104" s="8">
        <v>85.406538115384606</v>
      </c>
      <c r="J104" s="9">
        <f t="shared" ref="J104:J115" si="41">(I104*H104)+I104</f>
        <v>85.406538115384606</v>
      </c>
      <c r="K104" s="3">
        <f t="shared" ref="K104:K115" si="42">J104-I104</f>
        <v>0</v>
      </c>
      <c r="L104" s="7">
        <f t="shared" ref="L104:L115" si="43">(J104-I104)/ABS(I104)</f>
        <v>0</v>
      </c>
      <c r="M104" t="s">
        <v>106</v>
      </c>
      <c r="O104" s="3">
        <f>E104-'301055 - P0324'!F104</f>
        <v>0</v>
      </c>
      <c r="P104" s="30">
        <f>I104-'301055 - P0324'!J104</f>
        <v>0</v>
      </c>
    </row>
    <row r="105" spans="1:16" x14ac:dyDescent="0.25">
      <c r="A105">
        <v>103</v>
      </c>
      <c r="C105" t="s">
        <v>8</v>
      </c>
      <c r="D105" s="4" t="s">
        <v>108</v>
      </c>
      <c r="E105" s="5">
        <v>51.96</v>
      </c>
      <c r="F105" s="5">
        <v>51.96</v>
      </c>
      <c r="G105" s="6">
        <f t="shared" si="39"/>
        <v>0</v>
      </c>
      <c r="H105" s="7">
        <f t="shared" si="40"/>
        <v>0</v>
      </c>
      <c r="I105" s="8">
        <v>80.176901208617949</v>
      </c>
      <c r="J105" s="9">
        <f t="shared" si="41"/>
        <v>80.176901208617949</v>
      </c>
      <c r="K105" s="3">
        <f>J105-I105</f>
        <v>0</v>
      </c>
      <c r="L105" s="7">
        <f>(J105-I105)/ABS(I105)</f>
        <v>0</v>
      </c>
      <c r="M105" t="s">
        <v>106</v>
      </c>
      <c r="O105" s="3">
        <f>E105-'301055 - P0324'!F105</f>
        <v>0</v>
      </c>
      <c r="P105" s="30">
        <f>I105-'301055 - P0324'!J105</f>
        <v>0</v>
      </c>
    </row>
    <row r="106" spans="1:16" x14ac:dyDescent="0.25">
      <c r="A106">
        <v>104</v>
      </c>
      <c r="C106" t="s">
        <v>8</v>
      </c>
      <c r="D106" s="4" t="s">
        <v>109</v>
      </c>
      <c r="E106" s="12">
        <v>3.19</v>
      </c>
      <c r="F106" s="12">
        <v>3.19</v>
      </c>
      <c r="G106" s="6">
        <f t="shared" si="39"/>
        <v>0</v>
      </c>
      <c r="H106" s="7">
        <f t="shared" si="40"/>
        <v>0</v>
      </c>
      <c r="I106" s="8">
        <v>3.8745328209552197</v>
      </c>
      <c r="J106" s="9">
        <f t="shared" si="41"/>
        <v>3.8745328209552197</v>
      </c>
      <c r="K106" s="3">
        <f t="shared" si="42"/>
        <v>0</v>
      </c>
      <c r="L106" s="7">
        <f t="shared" si="43"/>
        <v>0</v>
      </c>
      <c r="M106" t="s">
        <v>106</v>
      </c>
      <c r="O106" s="3">
        <f>E106-'301055 - P0324'!F106</f>
        <v>0</v>
      </c>
      <c r="P106" s="30">
        <f>I106-'301055 - P0324'!J106</f>
        <v>0</v>
      </c>
    </row>
    <row r="107" spans="1:16" x14ac:dyDescent="0.25">
      <c r="A107">
        <v>105</v>
      </c>
      <c r="C107" t="s">
        <v>8</v>
      </c>
      <c r="D107" s="4" t="s">
        <v>110</v>
      </c>
      <c r="E107" s="12">
        <v>3.48</v>
      </c>
      <c r="F107" s="12">
        <v>3.48</v>
      </c>
      <c r="G107" s="6">
        <f t="shared" si="39"/>
        <v>0</v>
      </c>
      <c r="H107" s="7">
        <f t="shared" si="40"/>
        <v>0</v>
      </c>
      <c r="I107" s="8">
        <v>4.0655928193903108</v>
      </c>
      <c r="J107" s="9">
        <f t="shared" si="41"/>
        <v>4.0655928193903108</v>
      </c>
      <c r="K107" s="3">
        <f t="shared" si="42"/>
        <v>0</v>
      </c>
      <c r="L107" s="7">
        <f t="shared" si="43"/>
        <v>0</v>
      </c>
      <c r="M107" t="s">
        <v>106</v>
      </c>
      <c r="O107" s="3">
        <f>E107-'301055 - P0324'!F107</f>
        <v>0</v>
      </c>
      <c r="P107" s="30">
        <f>I107-'301055 - P0324'!J107</f>
        <v>0</v>
      </c>
    </row>
    <row r="108" spans="1:16" x14ac:dyDescent="0.25">
      <c r="A108">
        <v>106</v>
      </c>
      <c r="C108" t="s">
        <v>8</v>
      </c>
      <c r="D108" s="4" t="s">
        <v>111</v>
      </c>
      <c r="E108" s="12">
        <v>7.89</v>
      </c>
      <c r="F108" s="12">
        <v>7.89</v>
      </c>
      <c r="G108" s="6">
        <f t="shared" si="39"/>
        <v>0</v>
      </c>
      <c r="H108" s="7">
        <f t="shared" si="40"/>
        <v>0</v>
      </c>
      <c r="I108" s="8">
        <v>8.9203191080353719</v>
      </c>
      <c r="J108" s="9">
        <f t="shared" si="41"/>
        <v>8.9203191080353719</v>
      </c>
      <c r="K108" s="3">
        <f t="shared" si="42"/>
        <v>0</v>
      </c>
      <c r="L108" s="7">
        <f t="shared" si="43"/>
        <v>0</v>
      </c>
      <c r="M108" t="s">
        <v>106</v>
      </c>
      <c r="O108" s="3">
        <f>E108-'301055 - P0324'!F108</f>
        <v>0</v>
      </c>
      <c r="P108" s="30">
        <f>I108-'301055 - P0324'!J108</f>
        <v>0</v>
      </c>
    </row>
    <row r="109" spans="1:16" x14ac:dyDescent="0.25">
      <c r="A109">
        <v>107</v>
      </c>
      <c r="C109" t="s">
        <v>8</v>
      </c>
      <c r="D109" s="4" t="s">
        <v>112</v>
      </c>
      <c r="E109" s="12">
        <v>9.34</v>
      </c>
      <c r="F109" s="12">
        <v>9.34</v>
      </c>
      <c r="G109" s="6">
        <f t="shared" si="39"/>
        <v>0</v>
      </c>
      <c r="H109" s="7">
        <f t="shared" si="40"/>
        <v>0</v>
      </c>
      <c r="I109" s="8">
        <v>10.432893234927514</v>
      </c>
      <c r="J109" s="9">
        <f t="shared" si="41"/>
        <v>10.432893234927514</v>
      </c>
      <c r="K109" s="3">
        <f t="shared" si="42"/>
        <v>0</v>
      </c>
      <c r="L109" s="7">
        <f t="shared" si="43"/>
        <v>0</v>
      </c>
      <c r="M109" t="s">
        <v>106</v>
      </c>
      <c r="O109" s="3">
        <f>E109-'301055 - P0324'!F109</f>
        <v>0</v>
      </c>
      <c r="P109" s="30">
        <f>I109-'301055 - P0324'!J109</f>
        <v>0</v>
      </c>
    </row>
    <row r="110" spans="1:16" x14ac:dyDescent="0.25">
      <c r="A110">
        <v>108</v>
      </c>
      <c r="C110" t="s">
        <v>8</v>
      </c>
      <c r="D110" s="4" t="s">
        <v>113</v>
      </c>
      <c r="E110" s="12">
        <v>3.79</v>
      </c>
      <c r="F110" s="12">
        <v>3.79</v>
      </c>
      <c r="G110" s="6">
        <f t="shared" si="39"/>
        <v>0</v>
      </c>
      <c r="H110" s="7">
        <f t="shared" si="40"/>
        <v>0</v>
      </c>
      <c r="I110" s="8">
        <v>5.2944973572314407</v>
      </c>
      <c r="J110" s="9">
        <f t="shared" si="41"/>
        <v>5.2944973572314407</v>
      </c>
      <c r="K110" s="3">
        <f>J110-I110</f>
        <v>0</v>
      </c>
      <c r="L110" s="7">
        <f>(J110-I110)/ABS(I110)</f>
        <v>0</v>
      </c>
      <c r="M110" t="s">
        <v>106</v>
      </c>
      <c r="O110" s="3">
        <f>E110-'301055 - P0324'!F110</f>
        <v>0</v>
      </c>
      <c r="P110" s="30">
        <f>I110-'301055 - P0324'!J110</f>
        <v>0</v>
      </c>
    </row>
    <row r="111" spans="1:16" x14ac:dyDescent="0.25">
      <c r="A111">
        <v>109</v>
      </c>
      <c r="C111" t="s">
        <v>8</v>
      </c>
      <c r="D111" s="4" t="s">
        <v>114</v>
      </c>
      <c r="E111" s="12">
        <v>4.95</v>
      </c>
      <c r="F111" s="12">
        <v>4.95</v>
      </c>
      <c r="G111" s="6">
        <f t="shared" si="39"/>
        <v>0</v>
      </c>
      <c r="H111" s="7">
        <f t="shared" si="40"/>
        <v>0</v>
      </c>
      <c r="I111" s="8">
        <v>6.6523403553892901</v>
      </c>
      <c r="J111" s="9">
        <f t="shared" si="41"/>
        <v>6.6523403553892901</v>
      </c>
      <c r="K111" s="3">
        <f t="shared" si="42"/>
        <v>0</v>
      </c>
      <c r="L111" s="7">
        <f t="shared" si="43"/>
        <v>0</v>
      </c>
      <c r="M111" t="s">
        <v>106</v>
      </c>
      <c r="O111" s="3">
        <f>E111-'301055 - P0324'!F111</f>
        <v>0</v>
      </c>
      <c r="P111" s="30">
        <f>I111-'301055 - P0324'!J111</f>
        <v>0</v>
      </c>
    </row>
    <row r="112" spans="1:16" x14ac:dyDescent="0.25">
      <c r="A112">
        <v>110</v>
      </c>
      <c r="C112" t="s">
        <v>8</v>
      </c>
      <c r="D112" s="4" t="s">
        <v>115</v>
      </c>
      <c r="E112" s="12">
        <v>6.16</v>
      </c>
      <c r="F112" s="12">
        <v>6.16</v>
      </c>
      <c r="G112" s="6">
        <f t="shared" si="39"/>
        <v>0</v>
      </c>
      <c r="H112" s="7">
        <f t="shared" si="40"/>
        <v>0</v>
      </c>
      <c r="I112" s="8">
        <v>7.8767696532032376</v>
      </c>
      <c r="J112" s="9">
        <f t="shared" si="41"/>
        <v>7.8767696532032376</v>
      </c>
      <c r="K112" s="3">
        <f t="shared" si="42"/>
        <v>0</v>
      </c>
      <c r="L112" s="7">
        <f t="shared" si="43"/>
        <v>0</v>
      </c>
      <c r="M112" t="s">
        <v>106</v>
      </c>
      <c r="O112" s="3">
        <f>E112-'301055 - P0324'!F112</f>
        <v>0</v>
      </c>
      <c r="P112" s="30">
        <f>I112-'301055 - P0324'!J112</f>
        <v>0</v>
      </c>
    </row>
    <row r="113" spans="1:16" x14ac:dyDescent="0.25">
      <c r="A113">
        <v>111</v>
      </c>
      <c r="C113" t="s">
        <v>8</v>
      </c>
      <c r="D113" s="4" t="s">
        <v>116</v>
      </c>
      <c r="E113" s="12">
        <v>7.33</v>
      </c>
      <c r="F113" s="12">
        <v>7.33</v>
      </c>
      <c r="G113" s="6">
        <f t="shared" si="39"/>
        <v>0</v>
      </c>
      <c r="H113" s="7">
        <f t="shared" si="40"/>
        <v>0</v>
      </c>
      <c r="I113" s="8">
        <v>9.6975016766020872</v>
      </c>
      <c r="J113" s="9">
        <f t="shared" si="41"/>
        <v>9.6975016766020872</v>
      </c>
      <c r="K113" s="3">
        <f t="shared" si="42"/>
        <v>0</v>
      </c>
      <c r="L113" s="7">
        <f t="shared" si="43"/>
        <v>0</v>
      </c>
      <c r="M113" t="s">
        <v>106</v>
      </c>
      <c r="O113" s="3">
        <f>E113-'301055 - P0324'!F113</f>
        <v>0</v>
      </c>
      <c r="P113" s="30">
        <f>I113-'301055 - P0324'!J113</f>
        <v>0</v>
      </c>
    </row>
    <row r="114" spans="1:16" x14ac:dyDescent="0.25">
      <c r="A114">
        <v>112</v>
      </c>
      <c r="C114" t="s">
        <v>8</v>
      </c>
      <c r="D114" s="4" t="s">
        <v>117</v>
      </c>
      <c r="E114" s="12">
        <v>8.39</v>
      </c>
      <c r="F114" s="12">
        <v>8.39</v>
      </c>
      <c r="G114" s="6">
        <f t="shared" si="39"/>
        <v>0</v>
      </c>
      <c r="H114" s="7">
        <f t="shared" si="40"/>
        <v>0</v>
      </c>
      <c r="I114" s="8">
        <v>9.9493819659061415</v>
      </c>
      <c r="J114" s="9">
        <f t="shared" si="41"/>
        <v>9.9493819659061415</v>
      </c>
      <c r="K114" s="3">
        <f t="shared" si="42"/>
        <v>0</v>
      </c>
      <c r="L114" s="7">
        <f t="shared" si="43"/>
        <v>0</v>
      </c>
      <c r="M114" t="s">
        <v>106</v>
      </c>
      <c r="O114" s="3">
        <f>E114-'301055 - P0324'!F114</f>
        <v>0</v>
      </c>
      <c r="P114" s="30">
        <f>I114-'301055 - P0324'!J114</f>
        <v>0</v>
      </c>
    </row>
    <row r="115" spans="1:16" x14ac:dyDescent="0.25">
      <c r="A115">
        <v>113</v>
      </c>
      <c r="C115" t="s">
        <v>8</v>
      </c>
      <c r="D115" s="4" t="s">
        <v>118</v>
      </c>
      <c r="E115" s="12">
        <v>9.39</v>
      </c>
      <c r="F115" s="12">
        <v>9.39</v>
      </c>
      <c r="G115" s="6">
        <f t="shared" si="39"/>
        <v>0</v>
      </c>
      <c r="H115" s="7">
        <f t="shared" si="40"/>
        <v>0</v>
      </c>
      <c r="I115" s="8">
        <v>11.783981312354875</v>
      </c>
      <c r="J115" s="9">
        <f t="shared" si="41"/>
        <v>11.783981312354875</v>
      </c>
      <c r="K115" s="3">
        <f t="shared" si="42"/>
        <v>0</v>
      </c>
      <c r="L115" s="7">
        <f t="shared" si="43"/>
        <v>0</v>
      </c>
      <c r="M115" t="s">
        <v>106</v>
      </c>
      <c r="O115" s="3">
        <f>E115-'301055 - P0324'!F115</f>
        <v>0</v>
      </c>
      <c r="P115" s="30">
        <f>I115-'301055 - P0324'!J115</f>
        <v>0</v>
      </c>
    </row>
    <row r="116" spans="1:16" x14ac:dyDescent="0.25">
      <c r="A116">
        <v>114</v>
      </c>
      <c r="D116" s="2" t="s">
        <v>119</v>
      </c>
      <c r="H116" s="10">
        <f>AVERAGE(H104:H115)</f>
        <v>0</v>
      </c>
      <c r="I116"/>
      <c r="L116" s="10">
        <f>AVERAGE(L104:L115)</f>
        <v>0</v>
      </c>
    </row>
    <row r="117" spans="1:16" x14ac:dyDescent="0.25">
      <c r="A117">
        <v>115</v>
      </c>
      <c r="D117" s="2" t="s">
        <v>120</v>
      </c>
      <c r="I117"/>
      <c r="M117" t="s">
        <v>121</v>
      </c>
    </row>
    <row r="118" spans="1:16" x14ac:dyDescent="0.25">
      <c r="A118">
        <v>116</v>
      </c>
      <c r="C118" t="s">
        <v>8</v>
      </c>
      <c r="D118" s="4" t="s">
        <v>456</v>
      </c>
      <c r="E118" s="12">
        <v>6.3</v>
      </c>
      <c r="F118" s="12">
        <v>6.3</v>
      </c>
      <c r="G118" s="13">
        <f t="shared" ref="G118:G153" si="44">+F118-E118</f>
        <v>0</v>
      </c>
      <c r="H118" s="7">
        <f t="shared" ref="H118:H155" si="45">(F118-E118)/ABS(E118)</f>
        <v>0</v>
      </c>
      <c r="I118" s="8">
        <v>8.2214999999999989</v>
      </c>
      <c r="J118" s="9">
        <f t="shared" ref="J118:J155" si="46">(I118*H118)+I118</f>
        <v>8.2214999999999989</v>
      </c>
      <c r="K118" s="3">
        <f t="shared" ref="K118:K155" si="47">J118-I118</f>
        <v>0</v>
      </c>
      <c r="L118" s="7">
        <f t="shared" ref="L118:L155" si="48">(J118-I118)/ABS(I118)</f>
        <v>0</v>
      </c>
      <c r="M118" t="s">
        <v>121</v>
      </c>
      <c r="O118" s="3">
        <f>E118-'301055 - P0324'!F118</f>
        <v>0</v>
      </c>
      <c r="P118" s="30">
        <f>I118-'301055 - P0324'!J118</f>
        <v>0</v>
      </c>
    </row>
    <row r="119" spans="1:16" x14ac:dyDescent="0.25">
      <c r="A119">
        <v>117</v>
      </c>
      <c r="C119" t="s">
        <v>8</v>
      </c>
      <c r="D119" s="4" t="s">
        <v>457</v>
      </c>
      <c r="E119" s="12">
        <v>6.93</v>
      </c>
      <c r="F119" s="12">
        <v>6.93</v>
      </c>
      <c r="G119" s="13">
        <f t="shared" si="44"/>
        <v>0</v>
      </c>
      <c r="H119" s="7">
        <f t="shared" si="45"/>
        <v>0</v>
      </c>
      <c r="I119" s="8">
        <v>8.9245000000000001</v>
      </c>
      <c r="J119" s="9">
        <f t="shared" si="46"/>
        <v>8.9245000000000001</v>
      </c>
      <c r="K119" s="3">
        <f t="shared" si="47"/>
        <v>0</v>
      </c>
      <c r="L119" s="7">
        <f t="shared" si="48"/>
        <v>0</v>
      </c>
      <c r="M119" t="s">
        <v>121</v>
      </c>
      <c r="O119" s="3">
        <f>E119-'301055 - P0324'!F119</f>
        <v>0</v>
      </c>
      <c r="P119" s="30">
        <f>I119-'301055 - P0324'!J119</f>
        <v>0</v>
      </c>
    </row>
    <row r="120" spans="1:16" x14ac:dyDescent="0.25">
      <c r="A120">
        <v>118</v>
      </c>
      <c r="C120" t="s">
        <v>8</v>
      </c>
      <c r="D120" s="4" t="s">
        <v>458</v>
      </c>
      <c r="E120" s="12">
        <v>7.98</v>
      </c>
      <c r="F120" s="12">
        <v>7.98</v>
      </c>
      <c r="G120" s="13">
        <f t="shared" si="44"/>
        <v>0</v>
      </c>
      <c r="H120" s="7">
        <f t="shared" si="45"/>
        <v>0</v>
      </c>
      <c r="I120" s="8">
        <v>10.762500000000001</v>
      </c>
      <c r="J120" s="9">
        <f t="shared" si="46"/>
        <v>10.762500000000001</v>
      </c>
      <c r="K120" s="3">
        <f t="shared" si="47"/>
        <v>0</v>
      </c>
      <c r="L120" s="7">
        <f t="shared" si="48"/>
        <v>0</v>
      </c>
      <c r="M120" t="s">
        <v>121</v>
      </c>
      <c r="O120" s="3">
        <f>E120-'301055 - P0324'!F120</f>
        <v>0</v>
      </c>
      <c r="P120" s="30">
        <f>I120-'301055 - P0324'!J120</f>
        <v>0</v>
      </c>
    </row>
    <row r="121" spans="1:16" x14ac:dyDescent="0.25">
      <c r="A121">
        <v>119</v>
      </c>
      <c r="C121" t="s">
        <v>8</v>
      </c>
      <c r="D121" s="4" t="s">
        <v>460</v>
      </c>
      <c r="E121" s="12">
        <v>10.08</v>
      </c>
      <c r="F121" s="12">
        <v>10.08</v>
      </c>
      <c r="G121" s="6">
        <f t="shared" si="44"/>
        <v>0</v>
      </c>
      <c r="H121" s="7">
        <f t="shared" si="45"/>
        <v>0</v>
      </c>
      <c r="I121" s="8">
        <v>14.563499999999999</v>
      </c>
      <c r="J121" s="9">
        <f t="shared" si="46"/>
        <v>14.563499999999999</v>
      </c>
      <c r="K121" s="3">
        <f t="shared" si="47"/>
        <v>0</v>
      </c>
      <c r="L121" s="7">
        <f t="shared" si="48"/>
        <v>0</v>
      </c>
      <c r="M121" t="s">
        <v>121</v>
      </c>
      <c r="O121" s="3">
        <f>E121-'301055 - P0324'!F121</f>
        <v>0</v>
      </c>
      <c r="P121" s="30">
        <f>I121-'301055 - P0324'!J121</f>
        <v>0</v>
      </c>
    </row>
    <row r="122" spans="1:16" x14ac:dyDescent="0.25">
      <c r="A122">
        <v>120</v>
      </c>
      <c r="C122" t="s">
        <v>8</v>
      </c>
      <c r="D122" s="4" t="s">
        <v>459</v>
      </c>
      <c r="E122" s="14">
        <v>26.88</v>
      </c>
      <c r="F122" s="14">
        <v>26.88</v>
      </c>
      <c r="G122" s="6">
        <f t="shared" si="44"/>
        <v>0</v>
      </c>
      <c r="H122" s="7">
        <f t="shared" si="45"/>
        <v>0</v>
      </c>
      <c r="I122" s="8">
        <v>39.973499999999994</v>
      </c>
      <c r="J122" s="9">
        <f t="shared" si="46"/>
        <v>39.973499999999994</v>
      </c>
      <c r="K122" s="3">
        <f t="shared" si="47"/>
        <v>0</v>
      </c>
      <c r="L122" s="7">
        <f t="shared" si="48"/>
        <v>0</v>
      </c>
      <c r="M122" t="s">
        <v>121</v>
      </c>
      <c r="O122" s="3">
        <f>E122-'301055 - P0324'!F122</f>
        <v>0</v>
      </c>
      <c r="P122" s="30">
        <f>I122-'301055 - P0324'!J122</f>
        <v>0</v>
      </c>
    </row>
    <row r="123" spans="1:16" x14ac:dyDescent="0.25">
      <c r="A123">
        <v>121</v>
      </c>
      <c r="C123" t="s">
        <v>8</v>
      </c>
      <c r="D123" s="4" t="s">
        <v>122</v>
      </c>
      <c r="E123" s="12">
        <v>6.25</v>
      </c>
      <c r="F123" s="12">
        <v>6.25</v>
      </c>
      <c r="G123" s="6">
        <f t="shared" si="44"/>
        <v>0</v>
      </c>
      <c r="H123" s="7">
        <f t="shared" si="45"/>
        <v>0</v>
      </c>
      <c r="I123" s="8">
        <v>6.930903510039002</v>
      </c>
      <c r="J123" s="9">
        <f t="shared" si="46"/>
        <v>6.930903510039002</v>
      </c>
      <c r="K123" s="3">
        <f t="shared" si="47"/>
        <v>0</v>
      </c>
      <c r="L123" s="7">
        <f t="shared" si="48"/>
        <v>0</v>
      </c>
      <c r="M123" t="s">
        <v>121</v>
      </c>
      <c r="O123" s="3">
        <f>E123-'301055 - P0324'!F123</f>
        <v>0</v>
      </c>
      <c r="P123" s="30">
        <f>I123-'301055 - P0324'!J123</f>
        <v>0</v>
      </c>
    </row>
    <row r="124" spans="1:16" x14ac:dyDescent="0.25">
      <c r="A124">
        <v>122</v>
      </c>
      <c r="C124" t="s">
        <v>8</v>
      </c>
      <c r="D124" s="4" t="s">
        <v>123</v>
      </c>
      <c r="E124" s="12">
        <v>8.6300000000000008</v>
      </c>
      <c r="F124" s="12">
        <v>8.6300000000000008</v>
      </c>
      <c r="G124" s="13">
        <f t="shared" si="44"/>
        <v>0</v>
      </c>
      <c r="H124" s="7">
        <f t="shared" si="45"/>
        <v>0</v>
      </c>
      <c r="I124" s="8">
        <v>8.7073886883273168</v>
      </c>
      <c r="J124" s="9">
        <f t="shared" si="46"/>
        <v>8.7073886883273168</v>
      </c>
      <c r="K124" s="3">
        <f t="shared" si="47"/>
        <v>0</v>
      </c>
      <c r="L124" s="7">
        <f t="shared" si="48"/>
        <v>0</v>
      </c>
      <c r="M124" t="s">
        <v>121</v>
      </c>
      <c r="O124" s="3">
        <f>E124-'301055 - P0324'!F124</f>
        <v>0</v>
      </c>
      <c r="P124" s="30">
        <f>I124-'301055 - P0324'!J124</f>
        <v>0</v>
      </c>
    </row>
    <row r="125" spans="1:16" x14ac:dyDescent="0.25">
      <c r="A125">
        <v>123</v>
      </c>
      <c r="C125" t="s">
        <v>8</v>
      </c>
      <c r="D125" s="4" t="s">
        <v>124</v>
      </c>
      <c r="E125" s="12">
        <v>9.82</v>
      </c>
      <c r="F125" s="12">
        <v>9.82</v>
      </c>
      <c r="G125" s="13">
        <f t="shared" si="44"/>
        <v>0</v>
      </c>
      <c r="H125" s="7">
        <f t="shared" si="45"/>
        <v>0</v>
      </c>
      <c r="I125" s="8">
        <v>10.822370370370372</v>
      </c>
      <c r="J125" s="9">
        <f t="shared" si="46"/>
        <v>10.822370370370372</v>
      </c>
      <c r="K125" s="3">
        <f t="shared" si="47"/>
        <v>0</v>
      </c>
      <c r="L125" s="7">
        <f t="shared" si="48"/>
        <v>0</v>
      </c>
      <c r="M125" t="s">
        <v>121</v>
      </c>
      <c r="O125" s="3">
        <f>E125-'301055 - P0324'!F125</f>
        <v>0</v>
      </c>
      <c r="P125" s="30">
        <f>I125-'301055 - P0324'!J125</f>
        <v>0</v>
      </c>
    </row>
    <row r="126" spans="1:16" x14ac:dyDescent="0.25">
      <c r="A126">
        <v>124</v>
      </c>
      <c r="C126" t="s">
        <v>8</v>
      </c>
      <c r="D126" s="4" t="s">
        <v>125</v>
      </c>
      <c r="E126" s="12">
        <v>11.01</v>
      </c>
      <c r="F126" s="12">
        <v>11.01</v>
      </c>
      <c r="G126" s="13">
        <f t="shared" si="44"/>
        <v>0</v>
      </c>
      <c r="H126" s="7">
        <f t="shared" si="45"/>
        <v>0</v>
      </c>
      <c r="I126" s="8">
        <v>12.518858490566037</v>
      </c>
      <c r="J126" s="9">
        <f t="shared" si="46"/>
        <v>12.518858490566037</v>
      </c>
      <c r="K126" s="3">
        <f t="shared" si="47"/>
        <v>0</v>
      </c>
      <c r="L126" s="7">
        <f t="shared" si="48"/>
        <v>0</v>
      </c>
      <c r="M126" t="s">
        <v>121</v>
      </c>
      <c r="O126" s="3">
        <f>E126-'301055 - P0324'!F126</f>
        <v>0</v>
      </c>
      <c r="P126" s="30">
        <f>I126-'301055 - P0324'!J126</f>
        <v>0</v>
      </c>
    </row>
    <row r="127" spans="1:16" x14ac:dyDescent="0.25">
      <c r="A127">
        <v>125</v>
      </c>
      <c r="C127" t="s">
        <v>8</v>
      </c>
      <c r="D127" s="4" t="s">
        <v>126</v>
      </c>
      <c r="E127" s="12">
        <v>12.13</v>
      </c>
      <c r="F127" s="12">
        <v>12.13</v>
      </c>
      <c r="G127" s="6">
        <f t="shared" si="44"/>
        <v>0</v>
      </c>
      <c r="H127" s="7">
        <f t="shared" si="45"/>
        <v>0</v>
      </c>
      <c r="I127" s="8">
        <v>13.092551369863015</v>
      </c>
      <c r="J127" s="9">
        <f t="shared" si="46"/>
        <v>13.092551369863015</v>
      </c>
      <c r="K127" s="3">
        <f t="shared" si="47"/>
        <v>0</v>
      </c>
      <c r="L127" s="7">
        <f t="shared" si="48"/>
        <v>0</v>
      </c>
      <c r="M127" t="s">
        <v>121</v>
      </c>
      <c r="O127" s="3">
        <f>E127-'301055 - P0324'!F127</f>
        <v>0</v>
      </c>
      <c r="P127" s="30">
        <f>I127-'301055 - P0324'!J127</f>
        <v>0</v>
      </c>
    </row>
    <row r="128" spans="1:16" x14ac:dyDescent="0.25">
      <c r="A128">
        <v>126</v>
      </c>
      <c r="C128" t="s">
        <v>8</v>
      </c>
      <c r="D128" s="4" t="s">
        <v>127</v>
      </c>
      <c r="E128" s="12">
        <v>16.18</v>
      </c>
      <c r="F128" s="12">
        <v>16.18</v>
      </c>
      <c r="G128" s="6">
        <f t="shared" si="44"/>
        <v>0</v>
      </c>
      <c r="H128" s="7">
        <f t="shared" si="45"/>
        <v>0</v>
      </c>
      <c r="I128" s="8">
        <v>18.131712053429638</v>
      </c>
      <c r="J128" s="9">
        <f t="shared" si="46"/>
        <v>18.131712053429638</v>
      </c>
      <c r="K128" s="3">
        <f t="shared" si="47"/>
        <v>0</v>
      </c>
      <c r="L128" s="7">
        <f t="shared" si="48"/>
        <v>0</v>
      </c>
      <c r="M128" t="s">
        <v>121</v>
      </c>
      <c r="O128" s="3">
        <f>E128-'301055 - P0324'!F128</f>
        <v>0</v>
      </c>
      <c r="P128" s="30">
        <f>I128-'301055 - P0324'!J128</f>
        <v>0</v>
      </c>
    </row>
    <row r="129" spans="1:16" x14ac:dyDescent="0.25">
      <c r="A129">
        <v>127</v>
      </c>
      <c r="C129" t="s">
        <v>8</v>
      </c>
      <c r="D129" s="4" t="s">
        <v>128</v>
      </c>
      <c r="E129" s="12">
        <v>7.18</v>
      </c>
      <c r="F129" s="12">
        <v>7.18</v>
      </c>
      <c r="G129" s="6">
        <f t="shared" si="44"/>
        <v>0</v>
      </c>
      <c r="H129" s="7">
        <f t="shared" si="45"/>
        <v>0</v>
      </c>
      <c r="I129" s="8">
        <v>8.8881221902017273</v>
      </c>
      <c r="J129" s="9">
        <f t="shared" si="46"/>
        <v>8.8881221902017273</v>
      </c>
      <c r="K129" s="3">
        <f t="shared" si="47"/>
        <v>0</v>
      </c>
      <c r="L129" s="7">
        <f t="shared" si="48"/>
        <v>0</v>
      </c>
      <c r="M129" t="s">
        <v>121</v>
      </c>
      <c r="O129" s="3">
        <f>E129-'301055 - P0324'!F129</f>
        <v>0</v>
      </c>
      <c r="P129" s="30">
        <f>I129-'301055 - P0324'!J129</f>
        <v>0</v>
      </c>
    </row>
    <row r="130" spans="1:16" x14ac:dyDescent="0.25">
      <c r="A130">
        <v>128</v>
      </c>
      <c r="C130" t="s">
        <v>8</v>
      </c>
      <c r="D130" s="22" t="s">
        <v>504</v>
      </c>
      <c r="E130" s="12">
        <v>7.18</v>
      </c>
      <c r="F130" s="12">
        <v>7.18</v>
      </c>
      <c r="G130" s="6">
        <f t="shared" si="44"/>
        <v>0</v>
      </c>
      <c r="H130" s="7">
        <f t="shared" si="45"/>
        <v>0</v>
      </c>
      <c r="I130" s="8">
        <v>8.8881221902017273</v>
      </c>
      <c r="J130" s="9">
        <f t="shared" si="46"/>
        <v>8.8881221902017273</v>
      </c>
      <c r="K130" s="3">
        <f t="shared" si="47"/>
        <v>0</v>
      </c>
      <c r="L130" s="7">
        <f t="shared" si="48"/>
        <v>0</v>
      </c>
      <c r="M130" t="s">
        <v>121</v>
      </c>
      <c r="O130" s="3">
        <f>E130-'301055 - P0324'!F130</f>
        <v>0</v>
      </c>
      <c r="P130" s="30">
        <f>I130-'301055 - P0324'!J130</f>
        <v>0</v>
      </c>
    </row>
    <row r="131" spans="1:16" x14ac:dyDescent="0.25">
      <c r="A131">
        <v>129</v>
      </c>
      <c r="C131" t="s">
        <v>8</v>
      </c>
      <c r="D131" s="4" t="s">
        <v>129</v>
      </c>
      <c r="E131" s="12">
        <v>31.782399999999999</v>
      </c>
      <c r="F131" s="12">
        <v>31.782399999999999</v>
      </c>
      <c r="G131" s="6">
        <f t="shared" si="44"/>
        <v>0</v>
      </c>
      <c r="H131" s="7">
        <f t="shared" si="45"/>
        <v>0</v>
      </c>
      <c r="I131" s="8">
        <v>42.795999999999999</v>
      </c>
      <c r="J131" s="9">
        <f t="shared" si="46"/>
        <v>42.795999999999999</v>
      </c>
      <c r="K131" s="3">
        <f t="shared" si="47"/>
        <v>0</v>
      </c>
      <c r="L131" s="7">
        <f t="shared" si="48"/>
        <v>0</v>
      </c>
      <c r="M131" t="s">
        <v>121</v>
      </c>
      <c r="O131" s="3">
        <f>E131-'301055 - P0324'!F131</f>
        <v>0</v>
      </c>
      <c r="P131" s="30">
        <f>I131-'301055 - P0324'!J131</f>
        <v>0</v>
      </c>
    </row>
    <row r="132" spans="1:16" x14ac:dyDescent="0.25">
      <c r="A132">
        <v>130</v>
      </c>
      <c r="C132" t="s">
        <v>8</v>
      </c>
      <c r="D132" s="4" t="s">
        <v>130</v>
      </c>
      <c r="E132" s="14">
        <v>38.08</v>
      </c>
      <c r="F132" s="14">
        <v>38.08</v>
      </c>
      <c r="G132" s="6">
        <f t="shared" si="44"/>
        <v>0</v>
      </c>
      <c r="H132" s="7">
        <f t="shared" si="45"/>
        <v>0</v>
      </c>
      <c r="I132" s="8">
        <v>43.505252249795468</v>
      </c>
      <c r="J132" s="9">
        <f t="shared" si="46"/>
        <v>43.505252249795468</v>
      </c>
      <c r="K132" s="3">
        <f t="shared" si="47"/>
        <v>0</v>
      </c>
      <c r="L132" s="7">
        <f t="shared" si="48"/>
        <v>0</v>
      </c>
      <c r="M132" t="s">
        <v>121</v>
      </c>
      <c r="O132" s="3">
        <f>E132-'301055 - P0324'!F132</f>
        <v>0</v>
      </c>
      <c r="P132" s="30">
        <f>I132-'301055 - P0324'!J132</f>
        <v>0</v>
      </c>
    </row>
    <row r="133" spans="1:16" x14ac:dyDescent="0.25">
      <c r="A133">
        <v>131</v>
      </c>
      <c r="C133" t="s">
        <v>8</v>
      </c>
      <c r="D133" s="4" t="s">
        <v>131</v>
      </c>
      <c r="E133" s="14">
        <v>38.08</v>
      </c>
      <c r="F133" s="14">
        <v>38.08</v>
      </c>
      <c r="G133" s="6">
        <f t="shared" si="44"/>
        <v>0</v>
      </c>
      <c r="H133" s="7">
        <f t="shared" si="45"/>
        <v>0</v>
      </c>
      <c r="I133" s="8">
        <v>57.541818816471228</v>
      </c>
      <c r="J133" s="9">
        <f t="shared" si="46"/>
        <v>57.541818816471228</v>
      </c>
      <c r="K133" s="3">
        <f t="shared" si="47"/>
        <v>0</v>
      </c>
      <c r="L133" s="7">
        <f t="shared" si="48"/>
        <v>0</v>
      </c>
      <c r="M133" t="s">
        <v>121</v>
      </c>
      <c r="O133" s="3">
        <f>E133-'301055 - P0324'!F133</f>
        <v>0</v>
      </c>
      <c r="P133" s="30">
        <f>I133-'301055 - P0324'!J133</f>
        <v>0</v>
      </c>
    </row>
    <row r="134" spans="1:16" x14ac:dyDescent="0.25">
      <c r="A134">
        <v>132</v>
      </c>
      <c r="C134" t="s">
        <v>8</v>
      </c>
      <c r="D134" s="4" t="s">
        <v>132</v>
      </c>
      <c r="E134" s="12">
        <v>15.8436</v>
      </c>
      <c r="F134" s="12">
        <v>15.8436</v>
      </c>
      <c r="G134" s="6">
        <f t="shared" si="44"/>
        <v>0</v>
      </c>
      <c r="H134" s="7">
        <f t="shared" si="45"/>
        <v>0</v>
      </c>
      <c r="I134" s="8">
        <v>19.584000000000003</v>
      </c>
      <c r="J134" s="9">
        <f t="shared" si="46"/>
        <v>19.584000000000003</v>
      </c>
      <c r="K134" s="3">
        <f t="shared" si="47"/>
        <v>0</v>
      </c>
      <c r="L134" s="7">
        <f t="shared" si="48"/>
        <v>0</v>
      </c>
      <c r="M134" t="s">
        <v>121</v>
      </c>
      <c r="O134" s="3">
        <f>E134-'301055 - P0324'!F134</f>
        <v>0</v>
      </c>
      <c r="P134" s="30">
        <f>I134-'301055 - P0324'!J134</f>
        <v>0</v>
      </c>
    </row>
    <row r="135" spans="1:16" x14ac:dyDescent="0.25">
      <c r="A135">
        <v>133</v>
      </c>
      <c r="C135" t="s">
        <v>8</v>
      </c>
      <c r="D135" s="4" t="s">
        <v>133</v>
      </c>
      <c r="E135" s="12">
        <v>36.493200000000002</v>
      </c>
      <c r="F135" s="12">
        <v>36.493200000000002</v>
      </c>
      <c r="G135" s="6">
        <f t="shared" si="44"/>
        <v>0</v>
      </c>
      <c r="H135" s="7">
        <f t="shared" si="45"/>
        <v>0</v>
      </c>
      <c r="I135" s="8">
        <v>43.51</v>
      </c>
      <c r="J135" s="9">
        <f t="shared" si="46"/>
        <v>43.51</v>
      </c>
      <c r="K135" s="3">
        <f t="shared" si="47"/>
        <v>0</v>
      </c>
      <c r="L135" s="7">
        <f t="shared" si="48"/>
        <v>0</v>
      </c>
      <c r="M135" t="s">
        <v>121</v>
      </c>
      <c r="O135" s="3">
        <f>E135-'301055 - P0324'!F135</f>
        <v>0</v>
      </c>
      <c r="P135" s="30">
        <f>I135-'301055 - P0324'!J135</f>
        <v>0</v>
      </c>
    </row>
    <row r="136" spans="1:16" x14ac:dyDescent="0.25">
      <c r="A136">
        <v>134</v>
      </c>
      <c r="C136" t="s">
        <v>8</v>
      </c>
      <c r="D136" s="4" t="s">
        <v>134</v>
      </c>
      <c r="E136" s="12">
        <v>54.151200000000003</v>
      </c>
      <c r="F136" s="12">
        <v>54.151200000000003</v>
      </c>
      <c r="G136" s="6">
        <f t="shared" si="44"/>
        <v>0</v>
      </c>
      <c r="H136" s="7">
        <f t="shared" si="45"/>
        <v>0</v>
      </c>
      <c r="I136" s="8">
        <v>92.212972774869115</v>
      </c>
      <c r="J136" s="9">
        <f t="shared" si="46"/>
        <v>92.212972774869115</v>
      </c>
      <c r="K136" s="3">
        <f t="shared" si="47"/>
        <v>0</v>
      </c>
      <c r="L136" s="7">
        <f t="shared" si="48"/>
        <v>0</v>
      </c>
      <c r="M136" t="s">
        <v>121</v>
      </c>
      <c r="O136" s="3">
        <f>E136-'301055 - P0324'!F136</f>
        <v>0</v>
      </c>
      <c r="P136" s="30">
        <f>I136-'301055 - P0324'!J136</f>
        <v>0</v>
      </c>
    </row>
    <row r="137" spans="1:16" x14ac:dyDescent="0.25">
      <c r="A137">
        <v>135</v>
      </c>
      <c r="C137" t="s">
        <v>8</v>
      </c>
      <c r="D137" s="4" t="s">
        <v>135</v>
      </c>
      <c r="E137" s="12">
        <v>6.0588000000000006</v>
      </c>
      <c r="F137" s="12">
        <v>6.0588000000000006</v>
      </c>
      <c r="G137" s="6">
        <f t="shared" si="44"/>
        <v>0</v>
      </c>
      <c r="H137" s="7">
        <f t="shared" si="45"/>
        <v>0</v>
      </c>
      <c r="I137" s="8">
        <v>9.417600000000002</v>
      </c>
      <c r="J137" s="9">
        <f t="shared" si="46"/>
        <v>9.417600000000002</v>
      </c>
      <c r="K137" s="3">
        <f t="shared" si="47"/>
        <v>0</v>
      </c>
      <c r="L137" s="7">
        <f t="shared" si="48"/>
        <v>0</v>
      </c>
      <c r="M137" t="s">
        <v>121</v>
      </c>
      <c r="O137" s="3">
        <f>E137-'301055 - P0324'!F137</f>
        <v>0</v>
      </c>
      <c r="P137" s="30">
        <f>I137-'301055 - P0324'!J137</f>
        <v>0</v>
      </c>
    </row>
    <row r="138" spans="1:16" x14ac:dyDescent="0.25">
      <c r="A138">
        <v>136</v>
      </c>
      <c r="C138" t="s">
        <v>8</v>
      </c>
      <c r="D138" s="4" t="s">
        <v>136</v>
      </c>
      <c r="E138" s="12">
        <v>10.7028</v>
      </c>
      <c r="F138" s="12">
        <v>10.7028</v>
      </c>
      <c r="G138" s="6">
        <f t="shared" si="44"/>
        <v>0</v>
      </c>
      <c r="H138" s="7">
        <f t="shared" si="45"/>
        <v>0</v>
      </c>
      <c r="I138" s="8">
        <v>14.990400000000001</v>
      </c>
      <c r="J138" s="9">
        <f t="shared" si="46"/>
        <v>14.990400000000001</v>
      </c>
      <c r="K138" s="3">
        <f t="shared" si="47"/>
        <v>0</v>
      </c>
      <c r="L138" s="7">
        <f t="shared" si="48"/>
        <v>0</v>
      </c>
      <c r="M138" t="s">
        <v>121</v>
      </c>
      <c r="O138" s="3">
        <f>E138-'301055 - P0324'!F138</f>
        <v>0</v>
      </c>
      <c r="P138" s="30">
        <f>I138-'301055 - P0324'!J138</f>
        <v>0</v>
      </c>
    </row>
    <row r="139" spans="1:16" x14ac:dyDescent="0.25">
      <c r="A139">
        <v>137</v>
      </c>
      <c r="C139" t="s">
        <v>8</v>
      </c>
      <c r="D139" s="4" t="s">
        <v>137</v>
      </c>
      <c r="E139" s="12">
        <v>16.0488</v>
      </c>
      <c r="F139" s="12">
        <v>16.0488</v>
      </c>
      <c r="G139" s="6">
        <f t="shared" si="44"/>
        <v>0</v>
      </c>
      <c r="H139" s="7">
        <f t="shared" si="45"/>
        <v>0</v>
      </c>
      <c r="I139" s="8">
        <v>22.485600000000002</v>
      </c>
      <c r="J139" s="9">
        <f t="shared" si="46"/>
        <v>22.485600000000002</v>
      </c>
      <c r="K139" s="3">
        <f t="shared" si="47"/>
        <v>0</v>
      </c>
      <c r="L139" s="7">
        <f t="shared" si="48"/>
        <v>0</v>
      </c>
      <c r="M139" t="s">
        <v>121</v>
      </c>
      <c r="O139" s="3">
        <f>E139-'301055 - P0324'!F139</f>
        <v>0</v>
      </c>
      <c r="P139" s="30">
        <f>I139-'301055 - P0324'!J139</f>
        <v>0</v>
      </c>
    </row>
    <row r="140" spans="1:16" x14ac:dyDescent="0.25">
      <c r="A140">
        <v>138</v>
      </c>
      <c r="C140" t="s">
        <v>8</v>
      </c>
      <c r="D140" s="4" t="s">
        <v>138</v>
      </c>
      <c r="E140" s="12">
        <v>21.4056</v>
      </c>
      <c r="F140" s="12">
        <v>21.4056</v>
      </c>
      <c r="G140" s="6">
        <f t="shared" si="44"/>
        <v>0</v>
      </c>
      <c r="H140" s="7">
        <f t="shared" si="45"/>
        <v>0</v>
      </c>
      <c r="I140" s="8">
        <v>31.557599999999997</v>
      </c>
      <c r="J140" s="9">
        <f t="shared" si="46"/>
        <v>31.557599999999997</v>
      </c>
      <c r="K140" s="3">
        <f t="shared" si="47"/>
        <v>0</v>
      </c>
      <c r="L140" s="7">
        <f t="shared" si="48"/>
        <v>0</v>
      </c>
      <c r="M140" t="s">
        <v>121</v>
      </c>
      <c r="O140" s="3">
        <f>E140-'301055 - P0324'!F140</f>
        <v>0</v>
      </c>
      <c r="P140" s="30">
        <f>I140-'301055 - P0324'!J140</f>
        <v>0</v>
      </c>
    </row>
    <row r="141" spans="1:16" x14ac:dyDescent="0.25">
      <c r="A141">
        <v>139</v>
      </c>
      <c r="C141" t="s">
        <v>8</v>
      </c>
      <c r="D141" s="4" t="s">
        <v>139</v>
      </c>
      <c r="E141" s="12">
        <v>29.019600000000001</v>
      </c>
      <c r="F141" s="12">
        <v>29.019600000000001</v>
      </c>
      <c r="G141" s="6">
        <f>+F141-E141</f>
        <v>0</v>
      </c>
      <c r="H141" s="7">
        <f t="shared" si="45"/>
        <v>0</v>
      </c>
      <c r="I141" s="8">
        <v>45.165599999999998</v>
      </c>
      <c r="J141" s="9">
        <f t="shared" si="46"/>
        <v>45.165599999999998</v>
      </c>
      <c r="K141" s="3">
        <f t="shared" si="47"/>
        <v>0</v>
      </c>
      <c r="L141" s="7">
        <f t="shared" si="48"/>
        <v>0</v>
      </c>
      <c r="M141" t="s">
        <v>121</v>
      </c>
      <c r="O141" s="3">
        <f>E141-'301055 - P0324'!F141</f>
        <v>0</v>
      </c>
      <c r="P141" s="30">
        <f>I141-'301055 - P0324'!J141</f>
        <v>0</v>
      </c>
    </row>
    <row r="142" spans="1:16" x14ac:dyDescent="0.25">
      <c r="A142">
        <v>140</v>
      </c>
      <c r="C142" t="s">
        <v>8</v>
      </c>
      <c r="D142" s="4" t="s">
        <v>140</v>
      </c>
      <c r="E142" s="12">
        <v>34.819200000000002</v>
      </c>
      <c r="F142" s="12">
        <v>34.819200000000002</v>
      </c>
      <c r="G142" s="6">
        <f t="shared" si="44"/>
        <v>0</v>
      </c>
      <c r="H142" s="7">
        <f t="shared" si="45"/>
        <v>0</v>
      </c>
      <c r="I142" s="8">
        <v>54.205199999999998</v>
      </c>
      <c r="J142" s="9">
        <f t="shared" si="46"/>
        <v>54.205199999999998</v>
      </c>
      <c r="K142" s="3">
        <f t="shared" si="47"/>
        <v>0</v>
      </c>
      <c r="L142" s="7">
        <f t="shared" si="48"/>
        <v>0</v>
      </c>
      <c r="M142" t="s">
        <v>121</v>
      </c>
      <c r="O142" s="3">
        <f>E142-'301055 - P0324'!F142</f>
        <v>0</v>
      </c>
      <c r="P142" s="30">
        <f>I142-'301055 - P0324'!J142</f>
        <v>0</v>
      </c>
    </row>
    <row r="143" spans="1:16" x14ac:dyDescent="0.25">
      <c r="A143">
        <v>141</v>
      </c>
      <c r="C143" t="s">
        <v>8</v>
      </c>
      <c r="D143" s="4" t="s">
        <v>141</v>
      </c>
      <c r="E143" s="12">
        <v>7.7867999999999995</v>
      </c>
      <c r="F143" s="12">
        <v>7.7867999999999995</v>
      </c>
      <c r="G143" s="6">
        <f t="shared" si="44"/>
        <v>0</v>
      </c>
      <c r="H143" s="7">
        <f t="shared" si="45"/>
        <v>0</v>
      </c>
      <c r="I143" s="8">
        <v>11.102399999999999</v>
      </c>
      <c r="J143" s="9">
        <f t="shared" si="46"/>
        <v>11.102399999999999</v>
      </c>
      <c r="K143" s="3">
        <f t="shared" si="47"/>
        <v>0</v>
      </c>
      <c r="L143" s="7">
        <f t="shared" si="48"/>
        <v>0</v>
      </c>
      <c r="M143" t="s">
        <v>121</v>
      </c>
      <c r="O143" s="3">
        <f>E143-'301055 - P0324'!F143</f>
        <v>0</v>
      </c>
      <c r="P143" s="30">
        <f>I143-'301055 - P0324'!J143</f>
        <v>0</v>
      </c>
    </row>
    <row r="144" spans="1:16" x14ac:dyDescent="0.25">
      <c r="A144">
        <v>142</v>
      </c>
      <c r="C144" t="s">
        <v>8</v>
      </c>
      <c r="D144" s="4" t="s">
        <v>142</v>
      </c>
      <c r="E144" s="12">
        <v>12.0528</v>
      </c>
      <c r="F144" s="12">
        <v>12.0528</v>
      </c>
      <c r="G144" s="6">
        <f t="shared" si="44"/>
        <v>0</v>
      </c>
      <c r="H144" s="7">
        <f t="shared" si="45"/>
        <v>0</v>
      </c>
      <c r="I144" s="8">
        <v>16.880400000000002</v>
      </c>
      <c r="J144" s="9">
        <f t="shared" si="46"/>
        <v>16.880400000000002</v>
      </c>
      <c r="K144" s="3">
        <f t="shared" si="47"/>
        <v>0</v>
      </c>
      <c r="L144" s="7">
        <f t="shared" si="48"/>
        <v>0</v>
      </c>
      <c r="M144" t="s">
        <v>121</v>
      </c>
      <c r="O144" s="3">
        <f>E144-'301055 - P0324'!F144</f>
        <v>0</v>
      </c>
      <c r="P144" s="30">
        <f>I144-'301055 - P0324'!J144</f>
        <v>0</v>
      </c>
    </row>
    <row r="145" spans="1:16" x14ac:dyDescent="0.25">
      <c r="A145">
        <v>143</v>
      </c>
      <c r="C145" t="s">
        <v>8</v>
      </c>
      <c r="D145" s="4" t="s">
        <v>143</v>
      </c>
      <c r="E145" s="12">
        <v>18.0792</v>
      </c>
      <c r="F145" s="12">
        <v>18.0792</v>
      </c>
      <c r="G145" s="6">
        <f t="shared" si="44"/>
        <v>0</v>
      </c>
      <c r="H145" s="7">
        <f t="shared" si="45"/>
        <v>0</v>
      </c>
      <c r="I145" s="8">
        <v>25.315200000000004</v>
      </c>
      <c r="J145" s="9">
        <f t="shared" si="46"/>
        <v>25.315200000000004</v>
      </c>
      <c r="K145" s="3">
        <f t="shared" si="47"/>
        <v>0</v>
      </c>
      <c r="L145" s="7">
        <f t="shared" si="48"/>
        <v>0</v>
      </c>
      <c r="M145" t="s">
        <v>121</v>
      </c>
      <c r="O145" s="3">
        <f>E145-'301055 - P0324'!F145</f>
        <v>0</v>
      </c>
      <c r="P145" s="30">
        <f>I145-'301055 - P0324'!J145</f>
        <v>0</v>
      </c>
    </row>
    <row r="146" spans="1:16" x14ac:dyDescent="0.25">
      <c r="A146">
        <v>144</v>
      </c>
      <c r="C146" t="s">
        <v>8</v>
      </c>
      <c r="D146" s="4" t="s">
        <v>144</v>
      </c>
      <c r="E146" s="12">
        <v>24.094799999999999</v>
      </c>
      <c r="F146" s="12">
        <v>24.094799999999999</v>
      </c>
      <c r="G146" s="6">
        <f t="shared" si="44"/>
        <v>0</v>
      </c>
      <c r="H146" s="7">
        <f t="shared" si="45"/>
        <v>0</v>
      </c>
      <c r="I146" s="8">
        <v>35.531999999999996</v>
      </c>
      <c r="J146" s="9">
        <f t="shared" si="46"/>
        <v>35.531999999999996</v>
      </c>
      <c r="K146" s="3">
        <f t="shared" si="47"/>
        <v>0</v>
      </c>
      <c r="L146" s="7">
        <f t="shared" si="48"/>
        <v>0</v>
      </c>
      <c r="M146" t="s">
        <v>121</v>
      </c>
      <c r="O146" s="3">
        <f>E146-'301055 - P0324'!F146</f>
        <v>0</v>
      </c>
      <c r="P146" s="30">
        <f>I146-'301055 - P0324'!J146</f>
        <v>0</v>
      </c>
    </row>
    <row r="147" spans="1:16" x14ac:dyDescent="0.25">
      <c r="A147">
        <v>145</v>
      </c>
      <c r="C147" t="s">
        <v>8</v>
      </c>
      <c r="D147" s="4" t="s">
        <v>145</v>
      </c>
      <c r="E147" s="12">
        <v>33.706800000000001</v>
      </c>
      <c r="F147" s="12">
        <v>33.706800000000001</v>
      </c>
      <c r="G147" s="6">
        <f t="shared" si="44"/>
        <v>0</v>
      </c>
      <c r="H147" s="7">
        <f t="shared" si="45"/>
        <v>0</v>
      </c>
      <c r="I147" s="8">
        <v>52.433999999999997</v>
      </c>
      <c r="J147" s="9">
        <f t="shared" si="46"/>
        <v>52.433999999999997</v>
      </c>
      <c r="K147" s="3">
        <f t="shared" si="47"/>
        <v>0</v>
      </c>
      <c r="L147" s="7">
        <f t="shared" si="48"/>
        <v>0</v>
      </c>
      <c r="M147" t="s">
        <v>121</v>
      </c>
      <c r="O147" s="3">
        <f>E147-'301055 - P0324'!F147</f>
        <v>0</v>
      </c>
      <c r="P147" s="30">
        <f>I147-'301055 - P0324'!J147</f>
        <v>0</v>
      </c>
    </row>
    <row r="148" spans="1:16" x14ac:dyDescent="0.25">
      <c r="A148">
        <v>146</v>
      </c>
      <c r="C148" t="s">
        <v>8</v>
      </c>
      <c r="D148" s="4" t="s">
        <v>146</v>
      </c>
      <c r="E148" s="12">
        <v>40.456800000000001</v>
      </c>
      <c r="F148" s="12">
        <v>40.456800000000001</v>
      </c>
      <c r="G148" s="6">
        <f t="shared" si="44"/>
        <v>0</v>
      </c>
      <c r="H148" s="7">
        <f t="shared" si="45"/>
        <v>0</v>
      </c>
      <c r="I148" s="8">
        <v>62.91</v>
      </c>
      <c r="J148" s="9">
        <f t="shared" si="46"/>
        <v>62.91</v>
      </c>
      <c r="K148" s="3">
        <f t="shared" si="47"/>
        <v>0</v>
      </c>
      <c r="L148" s="7">
        <f t="shared" si="48"/>
        <v>0</v>
      </c>
      <c r="M148" t="s">
        <v>121</v>
      </c>
      <c r="O148" s="3">
        <f>E148-'301055 - P0324'!F148</f>
        <v>0</v>
      </c>
      <c r="P148" s="30">
        <f>I148-'301055 - P0324'!J148</f>
        <v>0</v>
      </c>
    </row>
    <row r="149" spans="1:16" x14ac:dyDescent="0.25">
      <c r="A149">
        <v>147</v>
      </c>
      <c r="C149" t="s">
        <v>8</v>
      </c>
      <c r="D149" s="4" t="s">
        <v>147</v>
      </c>
      <c r="E149" s="12">
        <v>7.0091999999999999</v>
      </c>
      <c r="F149" s="12">
        <v>7.0091999999999999</v>
      </c>
      <c r="G149" s="6">
        <f t="shared" si="44"/>
        <v>0</v>
      </c>
      <c r="H149" s="7">
        <f t="shared" si="45"/>
        <v>0</v>
      </c>
      <c r="I149" s="8">
        <v>10.471083890410959</v>
      </c>
      <c r="J149" s="9">
        <f t="shared" si="46"/>
        <v>10.471083890410959</v>
      </c>
      <c r="K149" s="3">
        <f t="shared" si="47"/>
        <v>0</v>
      </c>
      <c r="L149" s="7">
        <f t="shared" si="48"/>
        <v>0</v>
      </c>
      <c r="M149" t="s">
        <v>121</v>
      </c>
      <c r="O149" s="3">
        <f>E149-'301055 - P0324'!F149</f>
        <v>0</v>
      </c>
      <c r="P149" s="30">
        <f>I149-'301055 - P0324'!J149</f>
        <v>0</v>
      </c>
    </row>
    <row r="150" spans="1:16" x14ac:dyDescent="0.25">
      <c r="A150">
        <v>148</v>
      </c>
      <c r="C150" t="s">
        <v>8</v>
      </c>
      <c r="D150" s="4" t="s">
        <v>448</v>
      </c>
      <c r="E150" s="12">
        <v>6.97</v>
      </c>
      <c r="F150" s="12">
        <v>6.97</v>
      </c>
      <c r="G150" s="6">
        <f t="shared" si="44"/>
        <v>0</v>
      </c>
      <c r="H150" s="7">
        <f t="shared" si="45"/>
        <v>0</v>
      </c>
      <c r="I150" s="8">
        <v>8.7200000000000006</v>
      </c>
      <c r="J150" s="9">
        <f t="shared" si="46"/>
        <v>8.7200000000000006</v>
      </c>
      <c r="K150" s="3">
        <f t="shared" si="47"/>
        <v>0</v>
      </c>
      <c r="L150" s="7">
        <f t="shared" si="48"/>
        <v>0</v>
      </c>
      <c r="M150" t="s">
        <v>121</v>
      </c>
      <c r="O150" s="3">
        <f>E150-'301055 - P0324'!F150</f>
        <v>0</v>
      </c>
      <c r="P150" s="30">
        <f>I150-'301055 - P0324'!J150</f>
        <v>0</v>
      </c>
    </row>
    <row r="151" spans="1:16" x14ac:dyDescent="0.25">
      <c r="A151">
        <v>149</v>
      </c>
      <c r="C151" t="s">
        <v>8</v>
      </c>
      <c r="D151" s="4" t="s">
        <v>449</v>
      </c>
      <c r="E151" s="12">
        <v>8.33</v>
      </c>
      <c r="F151" s="12">
        <v>8.33</v>
      </c>
      <c r="G151" s="6">
        <f t="shared" si="44"/>
        <v>0</v>
      </c>
      <c r="H151" s="7">
        <f t="shared" si="45"/>
        <v>0</v>
      </c>
      <c r="I151" s="8">
        <v>10.42</v>
      </c>
      <c r="J151" s="9">
        <f t="shared" si="46"/>
        <v>10.42</v>
      </c>
      <c r="K151" s="3">
        <f t="shared" si="47"/>
        <v>0</v>
      </c>
      <c r="L151" s="7">
        <f t="shared" si="48"/>
        <v>0</v>
      </c>
      <c r="M151" t="s">
        <v>121</v>
      </c>
      <c r="O151" s="3">
        <f>E151-'301055 - P0324'!F151</f>
        <v>0</v>
      </c>
      <c r="P151" s="30">
        <f>I151-'301055 - P0324'!J151</f>
        <v>0</v>
      </c>
    </row>
    <row r="152" spans="1:16" x14ac:dyDescent="0.25">
      <c r="A152">
        <v>150</v>
      </c>
      <c r="C152" t="s">
        <v>8</v>
      </c>
      <c r="D152" s="4" t="s">
        <v>450</v>
      </c>
      <c r="E152" s="12">
        <v>12.49</v>
      </c>
      <c r="F152" s="12">
        <v>12.49</v>
      </c>
      <c r="G152" s="6">
        <f t="shared" si="44"/>
        <v>0</v>
      </c>
      <c r="H152" s="7">
        <f t="shared" si="45"/>
        <v>0</v>
      </c>
      <c r="I152" s="8">
        <v>15.62</v>
      </c>
      <c r="J152" s="9">
        <f t="shared" si="46"/>
        <v>15.62</v>
      </c>
      <c r="K152" s="3">
        <f t="shared" si="47"/>
        <v>0</v>
      </c>
      <c r="L152" s="7">
        <f t="shared" si="48"/>
        <v>0</v>
      </c>
      <c r="M152" t="s">
        <v>121</v>
      </c>
      <c r="O152" s="3">
        <f>E152-'301055 - P0324'!F152</f>
        <v>0</v>
      </c>
      <c r="P152" s="30">
        <f>I152-'301055 - P0324'!J152</f>
        <v>0</v>
      </c>
    </row>
    <row r="153" spans="1:16" x14ac:dyDescent="0.25">
      <c r="A153">
        <v>151</v>
      </c>
      <c r="C153" t="s">
        <v>8</v>
      </c>
      <c r="D153" s="4" t="s">
        <v>451</v>
      </c>
      <c r="E153" s="12">
        <v>16.27</v>
      </c>
      <c r="F153" s="12">
        <v>16.27</v>
      </c>
      <c r="G153" s="6">
        <f t="shared" si="44"/>
        <v>0</v>
      </c>
      <c r="H153" s="7">
        <f t="shared" si="45"/>
        <v>0</v>
      </c>
      <c r="I153" s="8">
        <v>21.41</v>
      </c>
      <c r="J153" s="9">
        <f t="shared" si="46"/>
        <v>21.41</v>
      </c>
      <c r="K153" s="3">
        <f t="shared" si="47"/>
        <v>0</v>
      </c>
      <c r="L153" s="7">
        <f t="shared" si="48"/>
        <v>0</v>
      </c>
      <c r="M153" t="s">
        <v>121</v>
      </c>
      <c r="O153" s="3">
        <f>E153-'301055 - P0324'!F153</f>
        <v>0</v>
      </c>
      <c r="P153" s="30">
        <f>I153-'301055 - P0324'!J153</f>
        <v>0</v>
      </c>
    </row>
    <row r="154" spans="1:16" x14ac:dyDescent="0.25">
      <c r="A154">
        <v>152</v>
      </c>
      <c r="C154" t="s">
        <v>8</v>
      </c>
      <c r="D154" s="4" t="s">
        <v>452</v>
      </c>
      <c r="E154" s="12">
        <v>20.329999999999998</v>
      </c>
      <c r="F154" s="12">
        <v>20.329999999999998</v>
      </c>
      <c r="G154" s="6">
        <f>+F154-E154</f>
        <v>0</v>
      </c>
      <c r="H154" s="7">
        <f t="shared" si="45"/>
        <v>0</v>
      </c>
      <c r="I154" s="8">
        <v>28.24</v>
      </c>
      <c r="J154" s="9">
        <f t="shared" si="46"/>
        <v>28.24</v>
      </c>
      <c r="K154" s="3">
        <f t="shared" si="47"/>
        <v>0</v>
      </c>
      <c r="L154" s="7">
        <f t="shared" si="48"/>
        <v>0</v>
      </c>
      <c r="M154" t="s">
        <v>121</v>
      </c>
      <c r="O154" s="3">
        <f>E154-'301055 - P0324'!F154</f>
        <v>0</v>
      </c>
      <c r="P154" s="30">
        <f>I154-'301055 - P0324'!J154</f>
        <v>0</v>
      </c>
    </row>
    <row r="155" spans="1:16" x14ac:dyDescent="0.25">
      <c r="A155">
        <v>153</v>
      </c>
      <c r="C155" t="s">
        <v>8</v>
      </c>
      <c r="D155" s="4" t="s">
        <v>453</v>
      </c>
      <c r="E155" s="12">
        <v>24.4</v>
      </c>
      <c r="F155" s="12">
        <v>24.4</v>
      </c>
      <c r="G155" s="6">
        <f t="shared" ref="G155" si="49">+F155-E155</f>
        <v>0</v>
      </c>
      <c r="H155" s="7">
        <f t="shared" si="45"/>
        <v>0</v>
      </c>
      <c r="I155" s="8">
        <v>33.89</v>
      </c>
      <c r="J155" s="9">
        <f t="shared" si="46"/>
        <v>33.89</v>
      </c>
      <c r="K155" s="3">
        <f t="shared" si="47"/>
        <v>0</v>
      </c>
      <c r="L155" s="7">
        <f t="shared" si="48"/>
        <v>0</v>
      </c>
      <c r="M155" t="s">
        <v>121</v>
      </c>
      <c r="O155" s="3">
        <f>E155-'301055 - P0324'!F155</f>
        <v>0</v>
      </c>
      <c r="P155" s="30">
        <f>I155-'301055 - P0324'!J155</f>
        <v>0</v>
      </c>
    </row>
    <row r="156" spans="1:16" x14ac:dyDescent="0.25">
      <c r="A156">
        <v>154</v>
      </c>
      <c r="D156" s="2" t="s">
        <v>148</v>
      </c>
      <c r="F156" s="15"/>
      <c r="H156" s="10">
        <f>AVERAGE(H123:H149)</f>
        <v>0</v>
      </c>
      <c r="I156"/>
    </row>
    <row r="157" spans="1:16" x14ac:dyDescent="0.25">
      <c r="A157">
        <v>155</v>
      </c>
      <c r="D157" s="2" t="s">
        <v>149</v>
      </c>
      <c r="I157"/>
      <c r="M157" t="s">
        <v>150</v>
      </c>
    </row>
    <row r="158" spans="1:16" x14ac:dyDescent="0.25">
      <c r="A158">
        <v>156</v>
      </c>
      <c r="C158" t="s">
        <v>8</v>
      </c>
      <c r="D158" s="4" t="s">
        <v>151</v>
      </c>
      <c r="E158" s="12">
        <v>37.49</v>
      </c>
      <c r="F158" s="12">
        <v>37.49</v>
      </c>
      <c r="G158" s="6">
        <f t="shared" ref="G158:G164" si="50">+F158-E158</f>
        <v>0</v>
      </c>
      <c r="H158" s="7">
        <f t="shared" ref="H158:H164" si="51">(F158-E158)/ABS(E158)</f>
        <v>0</v>
      </c>
      <c r="I158" s="12">
        <v>40.250769230769222</v>
      </c>
      <c r="J158" s="12">
        <f t="shared" ref="J158:J164" si="52">(I158*H158)+I158</f>
        <v>40.250769230769222</v>
      </c>
      <c r="K158" s="3">
        <f t="shared" ref="K158:K164" si="53">J158-I158</f>
        <v>0</v>
      </c>
      <c r="L158" s="7">
        <f t="shared" ref="L158:L164" si="54">(J158-I158)/ABS(I158)</f>
        <v>0</v>
      </c>
      <c r="M158" t="s">
        <v>150</v>
      </c>
      <c r="O158" s="3">
        <f>E158-'301055 - P0324'!F158</f>
        <v>0</v>
      </c>
      <c r="P158" s="30">
        <f>I158-'301055 - P0324'!J158</f>
        <v>0</v>
      </c>
    </row>
    <row r="159" spans="1:16" x14ac:dyDescent="0.25">
      <c r="A159">
        <v>157</v>
      </c>
      <c r="C159" t="s">
        <v>8</v>
      </c>
      <c r="D159" s="4" t="s">
        <v>152</v>
      </c>
      <c r="E159" s="12">
        <v>6.1</v>
      </c>
      <c r="F159" s="12">
        <v>6.1</v>
      </c>
      <c r="G159" s="6">
        <f t="shared" si="50"/>
        <v>0</v>
      </c>
      <c r="H159" s="7">
        <f t="shared" si="51"/>
        <v>0</v>
      </c>
      <c r="I159" s="12">
        <v>13.248680851063828</v>
      </c>
      <c r="J159" s="12">
        <f t="shared" si="52"/>
        <v>13.248680851063828</v>
      </c>
      <c r="K159" s="3">
        <f t="shared" si="53"/>
        <v>0</v>
      </c>
      <c r="L159" s="7">
        <f t="shared" si="54"/>
        <v>0</v>
      </c>
      <c r="M159" t="s">
        <v>150</v>
      </c>
      <c r="O159" s="3">
        <f>E159-'301055 - P0324'!F159</f>
        <v>0</v>
      </c>
      <c r="P159" s="30">
        <f>I159-'301055 - P0324'!J159</f>
        <v>0</v>
      </c>
    </row>
    <row r="160" spans="1:16" x14ac:dyDescent="0.25">
      <c r="A160">
        <v>158</v>
      </c>
      <c r="C160" t="s">
        <v>8</v>
      </c>
      <c r="D160" s="4" t="s">
        <v>153</v>
      </c>
      <c r="E160" s="12">
        <v>11.16</v>
      </c>
      <c r="F160" s="12">
        <v>11.16</v>
      </c>
      <c r="G160" s="6">
        <f t="shared" si="50"/>
        <v>0</v>
      </c>
      <c r="H160" s="7">
        <f t="shared" si="51"/>
        <v>0</v>
      </c>
      <c r="I160" s="12">
        <v>22.971018518518513</v>
      </c>
      <c r="J160" s="12">
        <f t="shared" si="52"/>
        <v>22.971018518518513</v>
      </c>
      <c r="K160" s="3">
        <f t="shared" si="53"/>
        <v>0</v>
      </c>
      <c r="L160" s="7">
        <f t="shared" si="54"/>
        <v>0</v>
      </c>
      <c r="M160" t="s">
        <v>150</v>
      </c>
      <c r="O160" s="3">
        <f>E160-'301055 - P0324'!F160</f>
        <v>0</v>
      </c>
      <c r="P160" s="30">
        <f>I160-'301055 - P0324'!J160</f>
        <v>0</v>
      </c>
    </row>
    <row r="161" spans="1:16" x14ac:dyDescent="0.25">
      <c r="A161">
        <v>159</v>
      </c>
      <c r="D161" s="4" t="s">
        <v>154</v>
      </c>
      <c r="E161" s="12">
        <v>6.8040000000000003</v>
      </c>
      <c r="F161" s="12">
        <v>6.8040000000000003</v>
      </c>
      <c r="G161" s="6">
        <f t="shared" si="50"/>
        <v>0</v>
      </c>
      <c r="H161" s="7">
        <f t="shared" si="51"/>
        <v>0</v>
      </c>
      <c r="I161" s="12">
        <v>22.285410234150319</v>
      </c>
      <c r="J161" s="12">
        <f t="shared" si="52"/>
        <v>22.285410234150319</v>
      </c>
      <c r="K161" s="3">
        <f t="shared" si="53"/>
        <v>0</v>
      </c>
      <c r="L161" s="7">
        <f t="shared" si="54"/>
        <v>0</v>
      </c>
      <c r="M161" t="s">
        <v>150</v>
      </c>
      <c r="O161" s="3">
        <f>E161-'301055 - P0324'!F161</f>
        <v>0</v>
      </c>
      <c r="P161" s="30">
        <f>I161-'301055 - P0324'!J161</f>
        <v>0</v>
      </c>
    </row>
    <row r="162" spans="1:16" x14ac:dyDescent="0.25">
      <c r="A162">
        <v>160</v>
      </c>
      <c r="C162" t="s">
        <v>8</v>
      </c>
      <c r="D162" s="4" t="s">
        <v>155</v>
      </c>
      <c r="E162" s="12">
        <v>18.05</v>
      </c>
      <c r="F162" s="12">
        <v>18.05</v>
      </c>
      <c r="G162" s="6">
        <f t="shared" si="50"/>
        <v>0</v>
      </c>
      <c r="H162" s="7">
        <f t="shared" si="51"/>
        <v>0</v>
      </c>
      <c r="I162" s="12">
        <v>28.933702479338844</v>
      </c>
      <c r="J162" s="12">
        <f t="shared" si="52"/>
        <v>28.933702479338844</v>
      </c>
      <c r="K162" s="3">
        <f t="shared" si="53"/>
        <v>0</v>
      </c>
      <c r="L162" s="7">
        <f t="shared" si="54"/>
        <v>0</v>
      </c>
      <c r="M162" t="s">
        <v>150</v>
      </c>
      <c r="O162" s="3">
        <f>E162-'301055 - P0324'!F162</f>
        <v>0</v>
      </c>
      <c r="P162" s="30">
        <f>I162-'301055 - P0324'!J162</f>
        <v>0</v>
      </c>
    </row>
    <row r="163" spans="1:16" x14ac:dyDescent="0.25">
      <c r="A163">
        <v>161</v>
      </c>
      <c r="D163" s="4" t="s">
        <v>156</v>
      </c>
      <c r="E163" s="12">
        <v>0.4</v>
      </c>
      <c r="F163" s="12">
        <v>0.4</v>
      </c>
      <c r="G163" s="6">
        <f t="shared" si="50"/>
        <v>0</v>
      </c>
      <c r="H163" s="7">
        <f t="shared" si="51"/>
        <v>0</v>
      </c>
      <c r="I163" s="12">
        <v>1.1076923076923078</v>
      </c>
      <c r="J163" s="12">
        <f t="shared" si="52"/>
        <v>1.1076923076923078</v>
      </c>
      <c r="K163" s="3">
        <f t="shared" si="53"/>
        <v>0</v>
      </c>
      <c r="L163" s="7">
        <f t="shared" si="54"/>
        <v>0</v>
      </c>
      <c r="M163" t="s">
        <v>150</v>
      </c>
      <c r="O163" s="3">
        <f>E163-'301055 - P0324'!F163</f>
        <v>0</v>
      </c>
      <c r="P163" s="30">
        <f>I163-'301055 - P0324'!J163</f>
        <v>0</v>
      </c>
    </row>
    <row r="164" spans="1:16" x14ac:dyDescent="0.25">
      <c r="A164">
        <v>162</v>
      </c>
      <c r="C164" t="s">
        <v>8</v>
      </c>
      <c r="D164" s="4" t="s">
        <v>157</v>
      </c>
      <c r="E164" s="12">
        <v>5.99</v>
      </c>
      <c r="F164" s="12">
        <v>5.99</v>
      </c>
      <c r="G164" s="6">
        <f t="shared" si="50"/>
        <v>0</v>
      </c>
      <c r="H164" s="7">
        <f t="shared" si="51"/>
        <v>0</v>
      </c>
      <c r="I164" s="12">
        <v>10.65</v>
      </c>
      <c r="J164" s="12">
        <f t="shared" si="52"/>
        <v>10.65</v>
      </c>
      <c r="K164" s="3">
        <f t="shared" si="53"/>
        <v>0</v>
      </c>
      <c r="L164" s="7">
        <f t="shared" si="54"/>
        <v>0</v>
      </c>
      <c r="M164" t="s">
        <v>150</v>
      </c>
      <c r="O164" s="3">
        <f>E164-'301055 - P0324'!F164</f>
        <v>0</v>
      </c>
      <c r="P164" s="30">
        <f>I164-'301055 - P0324'!J164</f>
        <v>0</v>
      </c>
    </row>
    <row r="165" spans="1:16" x14ac:dyDescent="0.25">
      <c r="A165">
        <v>163</v>
      </c>
      <c r="D165" s="2" t="s">
        <v>158</v>
      </c>
      <c r="H165" s="10">
        <f>AVERAGE(H158:H163)</f>
        <v>0</v>
      </c>
      <c r="I165"/>
    </row>
    <row r="166" spans="1:16" x14ac:dyDescent="0.25">
      <c r="A166">
        <v>164</v>
      </c>
      <c r="D166" s="2" t="s">
        <v>159</v>
      </c>
      <c r="I166"/>
    </row>
    <row r="167" spans="1:16" x14ac:dyDescent="0.25">
      <c r="A167">
        <v>165</v>
      </c>
      <c r="C167" t="s">
        <v>8</v>
      </c>
      <c r="D167" s="4" t="s">
        <v>160</v>
      </c>
      <c r="E167" s="5">
        <v>3.34</v>
      </c>
      <c r="F167" s="5">
        <v>3.34</v>
      </c>
      <c r="G167" s="6">
        <f t="shared" ref="G167:G191" si="55">+F167-E167</f>
        <v>0</v>
      </c>
      <c r="H167" s="7">
        <f t="shared" ref="H167:H191" si="56">(F167-E167)/ABS(E167)</f>
        <v>0</v>
      </c>
      <c r="I167" s="8">
        <v>6.1290657389972267</v>
      </c>
      <c r="J167" s="9">
        <f t="shared" ref="J167:J191" si="57">(I167*H167)+I167</f>
        <v>6.1290657389972267</v>
      </c>
      <c r="K167" s="3">
        <f t="shared" ref="K167:K191" si="58">J167-I167</f>
        <v>0</v>
      </c>
      <c r="L167" s="7">
        <f t="shared" ref="L167:L191" si="59">(J167-I167)/ABS(I167)</f>
        <v>0</v>
      </c>
      <c r="M167" t="s">
        <v>150</v>
      </c>
      <c r="O167" s="3">
        <f>E167-'301055 - P0324'!F167</f>
        <v>0</v>
      </c>
      <c r="P167" s="30">
        <f>I167-'301055 - P0324'!J167</f>
        <v>0</v>
      </c>
    </row>
    <row r="168" spans="1:16" x14ac:dyDescent="0.25">
      <c r="A168">
        <v>166</v>
      </c>
      <c r="C168" t="s">
        <v>8</v>
      </c>
      <c r="D168" s="4" t="s">
        <v>161</v>
      </c>
      <c r="E168" s="5">
        <v>4.17</v>
      </c>
      <c r="F168" s="5">
        <v>5.01</v>
      </c>
      <c r="G168" s="6">
        <f t="shared" si="55"/>
        <v>0.83999999999999986</v>
      </c>
      <c r="H168" s="7">
        <f t="shared" si="56"/>
        <v>0.20143884892086328</v>
      </c>
      <c r="I168" s="8">
        <v>8.8595399379795996</v>
      </c>
      <c r="J168" s="9">
        <f t="shared" si="57"/>
        <v>10.644195465054626</v>
      </c>
      <c r="K168" s="3">
        <f t="shared" si="58"/>
        <v>1.7846555270750262</v>
      </c>
      <c r="L168" s="7">
        <f t="shared" si="59"/>
        <v>0.20143884892086319</v>
      </c>
      <c r="M168" t="s">
        <v>150</v>
      </c>
      <c r="O168" s="3">
        <f>E168-'301055 - P0324'!F168</f>
        <v>0</v>
      </c>
      <c r="P168" s="30">
        <f>I168-'301055 - P0324'!J168</f>
        <v>0</v>
      </c>
    </row>
    <row r="169" spans="1:16" x14ac:dyDescent="0.25">
      <c r="A169">
        <v>167</v>
      </c>
      <c r="C169" t="s">
        <v>8</v>
      </c>
      <c r="D169" s="4" t="s">
        <v>162</v>
      </c>
      <c r="E169" s="5">
        <v>4.6500000000000004</v>
      </c>
      <c r="F169" s="5">
        <v>4.53</v>
      </c>
      <c r="G169" s="6">
        <f t="shared" si="55"/>
        <v>-0.12000000000000011</v>
      </c>
      <c r="H169" s="7">
        <f t="shared" si="56"/>
        <v>-2.5806451612903247E-2</v>
      </c>
      <c r="I169" s="8">
        <v>6.5993171022995547</v>
      </c>
      <c r="J169" s="9">
        <f t="shared" si="57"/>
        <v>6.4290121448208568</v>
      </c>
      <c r="K169" s="3">
        <f t="shared" si="58"/>
        <v>-0.17030495747869789</v>
      </c>
      <c r="L169" s="7">
        <f t="shared" si="59"/>
        <v>-2.5806451612903181E-2</v>
      </c>
      <c r="M169" t="s">
        <v>150</v>
      </c>
      <c r="O169" s="3">
        <f>E169-'301055 - P0324'!F169</f>
        <v>0</v>
      </c>
      <c r="P169" s="30">
        <f>I169-'301055 - P0324'!J169</f>
        <v>0</v>
      </c>
    </row>
    <row r="170" spans="1:16" x14ac:dyDescent="0.25">
      <c r="A170">
        <v>168</v>
      </c>
      <c r="C170" t="s">
        <v>8</v>
      </c>
      <c r="D170" s="4" t="s">
        <v>163</v>
      </c>
      <c r="E170" s="5">
        <v>15.35</v>
      </c>
      <c r="F170" s="5">
        <v>18.13</v>
      </c>
      <c r="G170" s="6">
        <f t="shared" si="55"/>
        <v>2.7799999999999994</v>
      </c>
      <c r="H170" s="7">
        <f t="shared" si="56"/>
        <v>0.18110749185667749</v>
      </c>
      <c r="I170" s="8">
        <v>22.942750812259177</v>
      </c>
      <c r="J170" s="9">
        <f t="shared" si="57"/>
        <v>27.097854868160187</v>
      </c>
      <c r="K170" s="3">
        <f t="shared" si="58"/>
        <v>4.1551040559010097</v>
      </c>
      <c r="L170" s="7">
        <f t="shared" si="59"/>
        <v>0.18110749185667749</v>
      </c>
      <c r="M170" t="s">
        <v>150</v>
      </c>
      <c r="O170" s="3">
        <f>E170-'301055 - P0324'!F170</f>
        <v>0</v>
      </c>
      <c r="P170" s="30">
        <f>I170-'301055 - P0324'!J170</f>
        <v>0</v>
      </c>
    </row>
    <row r="171" spans="1:16" x14ac:dyDescent="0.25">
      <c r="A171">
        <v>169</v>
      </c>
      <c r="C171" t="s">
        <v>8</v>
      </c>
      <c r="D171" s="4" t="s">
        <v>164</v>
      </c>
      <c r="E171" s="5">
        <v>1700</v>
      </c>
      <c r="F171" s="5">
        <v>1700</v>
      </c>
      <c r="G171" s="6">
        <f t="shared" si="55"/>
        <v>0</v>
      </c>
      <c r="H171" s="7">
        <f t="shared" si="56"/>
        <v>0</v>
      </c>
      <c r="I171" s="8">
        <v>45.101581324280765</v>
      </c>
      <c r="J171" s="9">
        <f t="shared" si="57"/>
        <v>45.101581324280765</v>
      </c>
      <c r="K171" s="3">
        <f t="shared" si="58"/>
        <v>0</v>
      </c>
      <c r="L171" s="7">
        <f t="shared" si="59"/>
        <v>0</v>
      </c>
      <c r="M171" t="s">
        <v>150</v>
      </c>
      <c r="O171" s="3">
        <f>E171-'301055 - P0324'!F171</f>
        <v>0</v>
      </c>
      <c r="P171" s="30">
        <f>I171-'301055 - P0324'!J171</f>
        <v>0</v>
      </c>
    </row>
    <row r="172" spans="1:16" x14ac:dyDescent="0.25">
      <c r="A172">
        <v>170</v>
      </c>
      <c r="C172" t="s">
        <v>8</v>
      </c>
      <c r="D172" s="4" t="s">
        <v>165</v>
      </c>
      <c r="E172" s="5">
        <v>1560</v>
      </c>
      <c r="F172" s="5">
        <v>1700</v>
      </c>
      <c r="G172" s="6">
        <f t="shared" si="55"/>
        <v>140</v>
      </c>
      <c r="H172" s="7">
        <f t="shared" si="56"/>
        <v>8.9743589743589744E-2</v>
      </c>
      <c r="I172" s="8">
        <v>2467.1012006861065</v>
      </c>
      <c r="J172" s="9">
        <f t="shared" si="57"/>
        <v>2688.5077186963981</v>
      </c>
      <c r="K172" s="3">
        <f t="shared" si="58"/>
        <v>221.40651801029162</v>
      </c>
      <c r="L172" s="7">
        <f t="shared" si="59"/>
        <v>8.9743589743589744E-2</v>
      </c>
      <c r="M172" t="s">
        <v>150</v>
      </c>
      <c r="O172" s="3">
        <f>E172-'301055 - P0324'!F172</f>
        <v>0</v>
      </c>
      <c r="P172" s="30">
        <f>I172-'301055 - P0324'!J172</f>
        <v>0</v>
      </c>
    </row>
    <row r="173" spans="1:16" x14ac:dyDescent="0.25">
      <c r="A173">
        <v>171</v>
      </c>
      <c r="C173" t="s">
        <v>8</v>
      </c>
      <c r="D173" s="4" t="s">
        <v>166</v>
      </c>
      <c r="E173" s="5">
        <v>18.45</v>
      </c>
      <c r="F173" s="5">
        <v>18.45</v>
      </c>
      <c r="G173" s="6">
        <f t="shared" si="55"/>
        <v>0</v>
      </c>
      <c r="H173" s="7">
        <f t="shared" si="56"/>
        <v>0</v>
      </c>
      <c r="I173" s="8">
        <v>32.593520987016632</v>
      </c>
      <c r="J173" s="9">
        <f t="shared" si="57"/>
        <v>32.593520987016632</v>
      </c>
      <c r="K173" s="3">
        <f t="shared" si="58"/>
        <v>0</v>
      </c>
      <c r="L173" s="7">
        <f t="shared" si="59"/>
        <v>0</v>
      </c>
      <c r="M173" t="s">
        <v>150</v>
      </c>
      <c r="O173" s="3">
        <f>E173-'301055 - P0324'!F173</f>
        <v>0</v>
      </c>
      <c r="P173" s="30">
        <f>I173-'301055 - P0324'!J173</f>
        <v>0</v>
      </c>
    </row>
    <row r="174" spans="1:16" x14ac:dyDescent="0.25">
      <c r="A174">
        <v>172</v>
      </c>
      <c r="C174" t="s">
        <v>8</v>
      </c>
      <c r="D174" s="4" t="s">
        <v>167</v>
      </c>
      <c r="E174" s="11">
        <v>4.0199999999999996</v>
      </c>
      <c r="F174" s="11">
        <v>4.0199999999999996</v>
      </c>
      <c r="G174" s="6">
        <f t="shared" si="55"/>
        <v>0</v>
      </c>
      <c r="H174" s="7">
        <f t="shared" si="56"/>
        <v>0</v>
      </c>
      <c r="I174" s="8">
        <v>15.098612891135524</v>
      </c>
      <c r="J174" s="9">
        <f t="shared" si="57"/>
        <v>15.098612891135524</v>
      </c>
      <c r="K174" s="3">
        <f t="shared" si="58"/>
        <v>0</v>
      </c>
      <c r="L174" s="7">
        <f t="shared" si="59"/>
        <v>0</v>
      </c>
      <c r="M174" t="s">
        <v>150</v>
      </c>
      <c r="O174" s="3">
        <f>E174-'301055 - P0324'!F174</f>
        <v>0</v>
      </c>
      <c r="P174" s="30">
        <f>I174-'301055 - P0324'!J174</f>
        <v>0</v>
      </c>
    </row>
    <row r="175" spans="1:16" x14ac:dyDescent="0.25">
      <c r="A175">
        <v>173</v>
      </c>
      <c r="C175" t="s">
        <v>8</v>
      </c>
      <c r="D175" s="4" t="s">
        <v>168</v>
      </c>
      <c r="E175" s="11">
        <v>0.59</v>
      </c>
      <c r="F175" s="11">
        <v>0.59</v>
      </c>
      <c r="G175" s="6">
        <f t="shared" si="55"/>
        <v>0</v>
      </c>
      <c r="H175" s="7">
        <f t="shared" si="56"/>
        <v>0</v>
      </c>
      <c r="I175" s="8">
        <v>2.1049549224666428</v>
      </c>
      <c r="J175" s="9">
        <f t="shared" si="57"/>
        <v>2.1049549224666428</v>
      </c>
      <c r="K175" s="3">
        <f t="shared" si="58"/>
        <v>0</v>
      </c>
      <c r="L175" s="7">
        <f t="shared" si="59"/>
        <v>0</v>
      </c>
      <c r="M175" t="s">
        <v>150</v>
      </c>
      <c r="O175" s="3">
        <f>E175-'301055 - P0324'!F175</f>
        <v>0</v>
      </c>
      <c r="P175" s="30">
        <f>I175-'301055 - P0324'!J175</f>
        <v>0</v>
      </c>
    </row>
    <row r="176" spans="1:16" x14ac:dyDescent="0.25">
      <c r="A176">
        <v>174</v>
      </c>
      <c r="C176" t="s">
        <v>8</v>
      </c>
      <c r="D176" s="4" t="s">
        <v>169</v>
      </c>
      <c r="E176" s="11">
        <v>0.63</v>
      </c>
      <c r="F176" s="11">
        <v>0.63</v>
      </c>
      <c r="G176" s="6">
        <f t="shared" si="55"/>
        <v>0</v>
      </c>
      <c r="H176" s="7">
        <f t="shared" si="56"/>
        <v>0</v>
      </c>
      <c r="I176" s="8">
        <v>1.9152</v>
      </c>
      <c r="J176" s="9">
        <f t="shared" si="57"/>
        <v>1.9152</v>
      </c>
      <c r="K176" s="3">
        <f t="shared" si="58"/>
        <v>0</v>
      </c>
      <c r="L176" s="7">
        <f t="shared" si="59"/>
        <v>0</v>
      </c>
      <c r="M176" t="s">
        <v>150</v>
      </c>
      <c r="O176" s="3">
        <f>E176-'301055 - P0324'!F176</f>
        <v>0</v>
      </c>
      <c r="P176" s="30">
        <f>I176-'301055 - P0324'!J176</f>
        <v>0</v>
      </c>
    </row>
    <row r="177" spans="1:16" x14ac:dyDescent="0.25">
      <c r="A177">
        <v>175</v>
      </c>
      <c r="C177" t="s">
        <v>8</v>
      </c>
      <c r="D177" s="4" t="s">
        <v>461</v>
      </c>
      <c r="E177" s="11">
        <v>29</v>
      </c>
      <c r="F177" s="11">
        <v>29</v>
      </c>
      <c r="G177" s="6">
        <f t="shared" si="55"/>
        <v>0</v>
      </c>
      <c r="H177" s="7">
        <f t="shared" si="56"/>
        <v>0</v>
      </c>
      <c r="I177" s="8">
        <v>45.490196078431374</v>
      </c>
      <c r="J177" s="9">
        <f t="shared" si="57"/>
        <v>45.490196078431374</v>
      </c>
      <c r="K177" s="3">
        <f t="shared" si="58"/>
        <v>0</v>
      </c>
      <c r="L177" s="7">
        <f t="shared" si="59"/>
        <v>0</v>
      </c>
      <c r="M177" t="s">
        <v>150</v>
      </c>
      <c r="O177" s="3">
        <f>E177-'301055 - P0324'!F177</f>
        <v>0</v>
      </c>
      <c r="P177" s="30">
        <f>I177-'301055 - P0324'!J177</f>
        <v>0</v>
      </c>
    </row>
    <row r="178" spans="1:16" x14ac:dyDescent="0.25">
      <c r="A178">
        <v>176</v>
      </c>
      <c r="C178" t="s">
        <v>8</v>
      </c>
      <c r="D178" s="4" t="s">
        <v>170</v>
      </c>
      <c r="E178" s="11">
        <v>35.4</v>
      </c>
      <c r="F178" s="11">
        <v>35.4</v>
      </c>
      <c r="G178" s="6">
        <f t="shared" si="55"/>
        <v>0</v>
      </c>
      <c r="H178" s="7">
        <f t="shared" si="56"/>
        <v>0</v>
      </c>
      <c r="I178" s="8">
        <v>21.717791411042946</v>
      </c>
      <c r="J178" s="9">
        <f t="shared" si="57"/>
        <v>21.717791411042946</v>
      </c>
      <c r="K178" s="3">
        <f t="shared" si="58"/>
        <v>0</v>
      </c>
      <c r="L178" s="7">
        <f t="shared" si="59"/>
        <v>0</v>
      </c>
      <c r="M178" t="s">
        <v>150</v>
      </c>
      <c r="O178" s="3">
        <f>E178-'301055 - P0324'!F178</f>
        <v>0</v>
      </c>
      <c r="P178" s="30">
        <f>I178-'301055 - P0324'!J178</f>
        <v>0</v>
      </c>
    </row>
    <row r="179" spans="1:16" x14ac:dyDescent="0.25">
      <c r="A179">
        <v>177</v>
      </c>
      <c r="C179" t="s">
        <v>8</v>
      </c>
      <c r="D179" s="4" t="s">
        <v>171</v>
      </c>
      <c r="E179" s="11">
        <v>29.3</v>
      </c>
      <c r="F179" s="11">
        <v>29.3</v>
      </c>
      <c r="G179" s="6">
        <f t="shared" si="55"/>
        <v>0</v>
      </c>
      <c r="H179" s="7">
        <f t="shared" si="56"/>
        <v>0</v>
      </c>
      <c r="I179" s="8">
        <v>20</v>
      </c>
      <c r="J179" s="9">
        <f t="shared" si="57"/>
        <v>20</v>
      </c>
      <c r="K179" s="3">
        <f t="shared" si="58"/>
        <v>0</v>
      </c>
      <c r="L179" s="7">
        <f t="shared" si="59"/>
        <v>0</v>
      </c>
      <c r="M179" t="s">
        <v>150</v>
      </c>
      <c r="O179" s="3">
        <f>E179-'301055 - P0324'!F179</f>
        <v>0</v>
      </c>
      <c r="P179" s="30">
        <f>I179-'301055 - P0324'!J179</f>
        <v>0</v>
      </c>
    </row>
    <row r="180" spans="1:16" x14ac:dyDescent="0.25">
      <c r="A180">
        <v>178</v>
      </c>
      <c r="C180" t="s">
        <v>8</v>
      </c>
      <c r="D180" s="4" t="s">
        <v>172</v>
      </c>
      <c r="E180" s="11">
        <v>24.2</v>
      </c>
      <c r="F180" s="11">
        <v>24.2</v>
      </c>
      <c r="G180" s="6">
        <f t="shared" si="55"/>
        <v>0</v>
      </c>
      <c r="H180" s="7">
        <f t="shared" si="56"/>
        <v>0</v>
      </c>
      <c r="I180" s="8">
        <v>20</v>
      </c>
      <c r="J180" s="9">
        <f t="shared" si="57"/>
        <v>20</v>
      </c>
      <c r="K180" s="3">
        <f t="shared" si="58"/>
        <v>0</v>
      </c>
      <c r="L180" s="7">
        <f t="shared" si="59"/>
        <v>0</v>
      </c>
      <c r="M180" t="s">
        <v>150</v>
      </c>
      <c r="O180" s="3">
        <f>E180-'301055 - P0324'!F180</f>
        <v>0</v>
      </c>
      <c r="P180" s="30">
        <f>I180-'301055 - P0324'!J180</f>
        <v>0</v>
      </c>
    </row>
    <row r="181" spans="1:16" x14ac:dyDescent="0.25">
      <c r="A181">
        <v>179</v>
      </c>
      <c r="C181" t="s">
        <v>8</v>
      </c>
      <c r="D181" s="4" t="s">
        <v>173</v>
      </c>
      <c r="E181" s="12">
        <v>116</v>
      </c>
      <c r="F181" s="12">
        <v>116</v>
      </c>
      <c r="G181" s="6">
        <f t="shared" si="55"/>
        <v>0</v>
      </c>
      <c r="H181" s="7">
        <f t="shared" si="56"/>
        <v>0</v>
      </c>
      <c r="I181" s="8">
        <v>153.29999999999998</v>
      </c>
      <c r="J181" s="9">
        <f t="shared" si="57"/>
        <v>153.29999999999998</v>
      </c>
      <c r="K181" s="3">
        <f t="shared" si="58"/>
        <v>0</v>
      </c>
      <c r="L181" s="7">
        <f t="shared" si="59"/>
        <v>0</v>
      </c>
      <c r="M181" t="s">
        <v>121</v>
      </c>
      <c r="O181" s="3">
        <f>E181-'301055 - P0324'!F181</f>
        <v>0</v>
      </c>
      <c r="P181" s="30">
        <f>I181-'301055 - P0324'!J181</f>
        <v>0</v>
      </c>
    </row>
    <row r="182" spans="1:16" x14ac:dyDescent="0.25">
      <c r="A182">
        <v>180</v>
      </c>
      <c r="C182" t="s">
        <v>8</v>
      </c>
      <c r="D182" s="4" t="s">
        <v>174</v>
      </c>
      <c r="E182" s="12">
        <v>9.98</v>
      </c>
      <c r="F182" s="12">
        <v>9.98</v>
      </c>
      <c r="G182" s="6">
        <f t="shared" si="55"/>
        <v>0</v>
      </c>
      <c r="H182" s="7">
        <f t="shared" si="56"/>
        <v>0</v>
      </c>
      <c r="I182" s="8">
        <v>13.625326315789476</v>
      </c>
      <c r="J182" s="9">
        <f t="shared" si="57"/>
        <v>13.625326315789476</v>
      </c>
      <c r="K182" s="3">
        <f t="shared" si="58"/>
        <v>0</v>
      </c>
      <c r="L182" s="7">
        <f t="shared" si="59"/>
        <v>0</v>
      </c>
      <c r="M182" t="s">
        <v>121</v>
      </c>
      <c r="O182" s="3">
        <f>E182-'301055 - P0324'!F182</f>
        <v>0</v>
      </c>
      <c r="P182" s="30">
        <f>I182-'301055 - P0324'!J182</f>
        <v>0</v>
      </c>
    </row>
    <row r="183" spans="1:16" x14ac:dyDescent="0.25">
      <c r="A183">
        <v>181</v>
      </c>
      <c r="C183" t="s">
        <v>8</v>
      </c>
      <c r="D183" s="4" t="s">
        <v>175</v>
      </c>
      <c r="E183" s="12">
        <v>190.995</v>
      </c>
      <c r="F183" s="12">
        <v>190.995</v>
      </c>
      <c r="G183" s="6">
        <f t="shared" si="55"/>
        <v>0</v>
      </c>
      <c r="H183" s="7">
        <f t="shared" si="56"/>
        <v>0</v>
      </c>
      <c r="I183" s="8">
        <v>251</v>
      </c>
      <c r="J183" s="9">
        <f t="shared" si="57"/>
        <v>251</v>
      </c>
      <c r="K183" s="3">
        <f t="shared" si="58"/>
        <v>0</v>
      </c>
      <c r="L183" s="7">
        <f t="shared" si="59"/>
        <v>0</v>
      </c>
      <c r="M183" t="s">
        <v>121</v>
      </c>
      <c r="O183" s="3">
        <f>E183-'301055 - P0324'!F183</f>
        <v>0</v>
      </c>
      <c r="P183" s="30">
        <f>I183-'301055 - P0324'!J183</f>
        <v>0</v>
      </c>
    </row>
    <row r="184" spans="1:16" x14ac:dyDescent="0.25">
      <c r="A184">
        <v>182</v>
      </c>
      <c r="C184" t="s">
        <v>8</v>
      </c>
      <c r="D184" s="4" t="s">
        <v>176</v>
      </c>
      <c r="E184" s="12">
        <v>14.01</v>
      </c>
      <c r="F184" s="12">
        <v>14.01</v>
      </c>
      <c r="G184" s="6">
        <f t="shared" si="55"/>
        <v>0</v>
      </c>
      <c r="H184" s="7">
        <f t="shared" si="56"/>
        <v>0</v>
      </c>
      <c r="I184" s="8">
        <v>19.616308543063266</v>
      </c>
      <c r="J184" s="9">
        <f t="shared" si="57"/>
        <v>19.616308543063266</v>
      </c>
      <c r="K184" s="3">
        <f t="shared" si="58"/>
        <v>0</v>
      </c>
      <c r="L184" s="7">
        <f t="shared" si="59"/>
        <v>0</v>
      </c>
      <c r="M184" t="s">
        <v>121</v>
      </c>
      <c r="O184" s="3">
        <f>E184-'301055 - P0324'!F184</f>
        <v>0</v>
      </c>
      <c r="P184" s="30">
        <f>I184-'301055 - P0324'!J184</f>
        <v>0</v>
      </c>
    </row>
    <row r="185" spans="1:16" x14ac:dyDescent="0.25">
      <c r="A185">
        <v>183</v>
      </c>
      <c r="C185" t="s">
        <v>8</v>
      </c>
      <c r="D185" s="4" t="s">
        <v>177</v>
      </c>
      <c r="E185" s="12">
        <v>33.25</v>
      </c>
      <c r="F185" s="12">
        <v>33.25</v>
      </c>
      <c r="G185" s="6">
        <f t="shared" si="55"/>
        <v>0</v>
      </c>
      <c r="H185" s="7">
        <f t="shared" si="56"/>
        <v>0</v>
      </c>
      <c r="I185" s="8">
        <v>49.869393819571762</v>
      </c>
      <c r="J185" s="9">
        <f t="shared" si="57"/>
        <v>49.869393819571762</v>
      </c>
      <c r="K185" s="3">
        <f t="shared" si="58"/>
        <v>0</v>
      </c>
      <c r="L185" s="7">
        <f t="shared" si="59"/>
        <v>0</v>
      </c>
      <c r="M185" t="s">
        <v>121</v>
      </c>
      <c r="O185" s="3">
        <f>E185-'301055 - P0324'!F185</f>
        <v>0</v>
      </c>
      <c r="P185" s="30">
        <f>I185-'301055 - P0324'!J185</f>
        <v>0</v>
      </c>
    </row>
    <row r="186" spans="1:16" x14ac:dyDescent="0.25">
      <c r="A186">
        <v>184</v>
      </c>
      <c r="C186" t="s">
        <v>8</v>
      </c>
      <c r="D186" s="4" t="s">
        <v>178</v>
      </c>
      <c r="E186" s="12">
        <v>44.04</v>
      </c>
      <c r="F186" s="12">
        <v>44.04</v>
      </c>
      <c r="G186" s="6">
        <f t="shared" si="55"/>
        <v>0</v>
      </c>
      <c r="H186" s="7">
        <f t="shared" si="56"/>
        <v>0</v>
      </c>
      <c r="I186" s="8">
        <v>61.644476622337386</v>
      </c>
      <c r="J186" s="9">
        <f t="shared" si="57"/>
        <v>61.644476622337386</v>
      </c>
      <c r="K186" s="3">
        <f t="shared" si="58"/>
        <v>0</v>
      </c>
      <c r="L186" s="7">
        <f t="shared" si="59"/>
        <v>0</v>
      </c>
      <c r="M186" t="s">
        <v>121</v>
      </c>
      <c r="O186" s="3">
        <f>E186-'301055 - P0324'!F186</f>
        <v>0</v>
      </c>
      <c r="P186" s="30">
        <f>I186-'301055 - P0324'!J186</f>
        <v>0</v>
      </c>
    </row>
    <row r="187" spans="1:16" x14ac:dyDescent="0.25">
      <c r="A187">
        <v>185</v>
      </c>
      <c r="C187" t="s">
        <v>8</v>
      </c>
      <c r="D187" s="4" t="s">
        <v>179</v>
      </c>
      <c r="E187" s="12">
        <v>144.85</v>
      </c>
      <c r="F187" s="12">
        <v>144.85</v>
      </c>
      <c r="G187" s="6">
        <f t="shared" si="55"/>
        <v>0</v>
      </c>
      <c r="H187" s="7">
        <f t="shared" si="56"/>
        <v>0</v>
      </c>
      <c r="I187" s="8">
        <v>241.42</v>
      </c>
      <c r="J187" s="9">
        <f t="shared" si="57"/>
        <v>241.42</v>
      </c>
      <c r="K187" s="3">
        <f t="shared" si="58"/>
        <v>0</v>
      </c>
      <c r="L187" s="7">
        <f t="shared" si="59"/>
        <v>0</v>
      </c>
      <c r="M187" t="s">
        <v>121</v>
      </c>
      <c r="O187" s="3">
        <f>E187-'301055 - P0324'!F187</f>
        <v>0</v>
      </c>
      <c r="P187" s="30">
        <f>I187-'301055 - P0324'!J187</f>
        <v>0</v>
      </c>
    </row>
    <row r="188" spans="1:16" x14ac:dyDescent="0.25">
      <c r="A188">
        <v>186</v>
      </c>
      <c r="C188" t="s">
        <v>8</v>
      </c>
      <c r="D188" s="4" t="s">
        <v>180</v>
      </c>
      <c r="E188" s="11">
        <v>21.42</v>
      </c>
      <c r="F188" s="11">
        <v>21.42</v>
      </c>
      <c r="G188" s="6">
        <f t="shared" si="55"/>
        <v>0</v>
      </c>
      <c r="H188" s="7">
        <f t="shared" si="56"/>
        <v>0</v>
      </c>
      <c r="I188" s="8">
        <v>36.651079812206568</v>
      </c>
      <c r="J188" s="9">
        <f t="shared" si="57"/>
        <v>36.651079812206568</v>
      </c>
      <c r="K188" s="3">
        <f t="shared" si="58"/>
        <v>0</v>
      </c>
      <c r="L188" s="7">
        <f t="shared" si="59"/>
        <v>0</v>
      </c>
      <c r="M188" t="s">
        <v>150</v>
      </c>
      <c r="O188" s="3">
        <f>E188-'301055 - P0324'!F188</f>
        <v>0</v>
      </c>
      <c r="P188" s="30">
        <f>I188-'301055 - P0324'!J188</f>
        <v>0</v>
      </c>
    </row>
    <row r="189" spans="1:16" x14ac:dyDescent="0.25">
      <c r="A189">
        <v>187</v>
      </c>
      <c r="C189" t="s">
        <v>8</v>
      </c>
      <c r="D189" s="4" t="s">
        <v>181</v>
      </c>
      <c r="E189" s="11">
        <v>32.67</v>
      </c>
      <c r="F189" s="11">
        <v>32.67</v>
      </c>
      <c r="G189" s="6">
        <f t="shared" si="55"/>
        <v>0</v>
      </c>
      <c r="H189" s="7">
        <f t="shared" si="56"/>
        <v>0</v>
      </c>
      <c r="I189" s="8">
        <v>45.558072000000003</v>
      </c>
      <c r="J189" s="9">
        <f t="shared" si="57"/>
        <v>45.558072000000003</v>
      </c>
      <c r="K189" s="3">
        <f t="shared" si="58"/>
        <v>0</v>
      </c>
      <c r="L189" s="7">
        <f t="shared" si="59"/>
        <v>0</v>
      </c>
      <c r="M189" t="s">
        <v>150</v>
      </c>
      <c r="O189" s="3">
        <f>E189-'301055 - P0324'!F189</f>
        <v>0</v>
      </c>
      <c r="P189" s="30">
        <f>I189-'301055 - P0324'!J189</f>
        <v>0</v>
      </c>
    </row>
    <row r="190" spans="1:16" x14ac:dyDescent="0.25">
      <c r="A190">
        <v>188</v>
      </c>
      <c r="C190" t="s">
        <v>8</v>
      </c>
      <c r="D190" s="4" t="s">
        <v>182</v>
      </c>
      <c r="E190" s="11">
        <v>43</v>
      </c>
      <c r="F190" s="11">
        <v>43</v>
      </c>
      <c r="G190" s="13">
        <f t="shared" si="55"/>
        <v>0</v>
      </c>
      <c r="H190" s="7">
        <f t="shared" si="56"/>
        <v>0</v>
      </c>
      <c r="I190" s="8">
        <v>91.806916426512956</v>
      </c>
      <c r="J190" s="9">
        <f t="shared" si="57"/>
        <v>91.806916426512956</v>
      </c>
      <c r="K190" s="3">
        <f t="shared" si="58"/>
        <v>0</v>
      </c>
      <c r="L190" s="7">
        <f t="shared" si="59"/>
        <v>0</v>
      </c>
      <c r="M190" t="s">
        <v>150</v>
      </c>
      <c r="O190" s="3">
        <f>E190-'301055 - P0324'!F190</f>
        <v>0</v>
      </c>
      <c r="P190" s="30">
        <f>I190-'301055 - P0324'!J190</f>
        <v>0</v>
      </c>
    </row>
    <row r="191" spans="1:16" x14ac:dyDescent="0.25">
      <c r="A191">
        <v>189</v>
      </c>
      <c r="C191" t="s">
        <v>8</v>
      </c>
      <c r="D191" s="4" t="s">
        <v>183</v>
      </c>
      <c r="E191" s="11">
        <v>4.24</v>
      </c>
      <c r="F191" s="11">
        <v>4.24</v>
      </c>
      <c r="G191" s="6">
        <f t="shared" si="55"/>
        <v>0</v>
      </c>
      <c r="H191" s="7">
        <f t="shared" si="56"/>
        <v>0</v>
      </c>
      <c r="I191" s="8">
        <v>7.5095819935691317</v>
      </c>
      <c r="J191" s="9">
        <f t="shared" si="57"/>
        <v>7.5095819935691317</v>
      </c>
      <c r="K191" s="3">
        <f t="shared" si="58"/>
        <v>0</v>
      </c>
      <c r="L191" s="7">
        <f t="shared" si="59"/>
        <v>0</v>
      </c>
      <c r="M191" t="s">
        <v>150</v>
      </c>
      <c r="O191" s="3">
        <f>E191-'301055 - P0324'!F191</f>
        <v>0</v>
      </c>
      <c r="P191" s="30">
        <f>I191-'301055 - P0324'!J191</f>
        <v>0</v>
      </c>
    </row>
    <row r="192" spans="1:16" x14ac:dyDescent="0.25">
      <c r="A192">
        <v>190</v>
      </c>
      <c r="D192" s="2" t="s">
        <v>184</v>
      </c>
      <c r="H192" s="10">
        <f>AVERAGE(H167:H191)</f>
        <v>1.785933915632909E-2</v>
      </c>
      <c r="I192"/>
    </row>
    <row r="193" spans="1:16" x14ac:dyDescent="0.25">
      <c r="A193">
        <v>191</v>
      </c>
      <c r="D193" s="2" t="s">
        <v>185</v>
      </c>
      <c r="I193"/>
    </row>
    <row r="194" spans="1:16" x14ac:dyDescent="0.25">
      <c r="A194">
        <v>192</v>
      </c>
      <c r="C194" t="s">
        <v>8</v>
      </c>
      <c r="D194" s="4" t="s">
        <v>186</v>
      </c>
      <c r="E194" s="12">
        <v>1.79</v>
      </c>
      <c r="F194" s="12">
        <v>1.79</v>
      </c>
      <c r="G194" s="6">
        <f t="shared" ref="G194:G241" si="60">+F194-E194</f>
        <v>0</v>
      </c>
      <c r="H194" s="7">
        <f t="shared" ref="H194:H241" si="61">(F194-E194)/ABS(E194)</f>
        <v>0</v>
      </c>
      <c r="I194" s="8">
        <v>2.3437962240000001</v>
      </c>
      <c r="J194" s="9">
        <f t="shared" ref="J194:J241" si="62">(I194*H194)+I194</f>
        <v>2.3437962240000001</v>
      </c>
      <c r="K194" s="3">
        <f t="shared" ref="K194:K241" si="63">J194-I194</f>
        <v>0</v>
      </c>
      <c r="L194" s="7">
        <f t="shared" ref="L194:L241" si="64">(J194-I194)/ABS(I194)</f>
        <v>0</v>
      </c>
      <c r="M194" t="s">
        <v>187</v>
      </c>
      <c r="O194" s="3">
        <f>E194-'301055 - P0324'!F194</f>
        <v>0</v>
      </c>
      <c r="P194" s="30">
        <f>I194-'301055 - P0324'!J194</f>
        <v>0</v>
      </c>
    </row>
    <row r="195" spans="1:16" x14ac:dyDescent="0.25">
      <c r="A195">
        <v>193</v>
      </c>
      <c r="C195" t="s">
        <v>8</v>
      </c>
      <c r="D195" s="4" t="s">
        <v>188</v>
      </c>
      <c r="E195" s="12">
        <v>0.46</v>
      </c>
      <c r="F195" s="12">
        <v>0.46</v>
      </c>
      <c r="G195" s="6">
        <f t="shared" si="60"/>
        <v>0</v>
      </c>
      <c r="H195" s="7">
        <f t="shared" si="61"/>
        <v>0</v>
      </c>
      <c r="I195" s="8">
        <v>0.70471188480000002</v>
      </c>
      <c r="J195" s="9">
        <f t="shared" si="62"/>
        <v>0.70471188480000002</v>
      </c>
      <c r="K195" s="3">
        <f t="shared" si="63"/>
        <v>0</v>
      </c>
      <c r="L195" s="7">
        <f t="shared" si="64"/>
        <v>0</v>
      </c>
      <c r="M195" t="s">
        <v>187</v>
      </c>
      <c r="O195" s="3">
        <f>E195-'301055 - P0324'!F195</f>
        <v>0</v>
      </c>
      <c r="P195" s="30">
        <f>I195-'301055 - P0324'!J195</f>
        <v>0</v>
      </c>
    </row>
    <row r="196" spans="1:16" x14ac:dyDescent="0.25">
      <c r="A196">
        <v>194</v>
      </c>
      <c r="C196" t="s">
        <v>8</v>
      </c>
      <c r="D196" s="4" t="s">
        <v>462</v>
      </c>
      <c r="E196" s="12">
        <v>0.6</v>
      </c>
      <c r="F196" s="12">
        <v>0.6</v>
      </c>
      <c r="G196" s="6">
        <f t="shared" si="60"/>
        <v>0</v>
      </c>
      <c r="H196" s="7">
        <f t="shared" si="61"/>
        <v>0</v>
      </c>
      <c r="I196" s="8">
        <v>1.04</v>
      </c>
      <c r="J196" s="9">
        <f t="shared" si="62"/>
        <v>1.04</v>
      </c>
      <c r="K196" s="3">
        <f t="shared" si="63"/>
        <v>0</v>
      </c>
      <c r="L196" s="7">
        <f t="shared" si="64"/>
        <v>0</v>
      </c>
      <c r="M196" t="s">
        <v>187</v>
      </c>
      <c r="O196" s="3">
        <f>E196-'301055 - P0324'!F196</f>
        <v>0</v>
      </c>
      <c r="P196" s="30">
        <f>I196-'301055 - P0324'!J196</f>
        <v>0</v>
      </c>
    </row>
    <row r="197" spans="1:16" x14ac:dyDescent="0.25">
      <c r="A197">
        <v>195</v>
      </c>
      <c r="C197" t="s">
        <v>8</v>
      </c>
      <c r="D197" s="4" t="s">
        <v>189</v>
      </c>
      <c r="E197" s="12">
        <v>17.88</v>
      </c>
      <c r="F197" s="12">
        <v>17.88</v>
      </c>
      <c r="G197" s="6">
        <f t="shared" si="60"/>
        <v>0</v>
      </c>
      <c r="H197" s="7">
        <f t="shared" si="61"/>
        <v>0</v>
      </c>
      <c r="I197" s="8">
        <v>35.219578060799989</v>
      </c>
      <c r="J197" s="9">
        <f t="shared" si="62"/>
        <v>35.219578060799989</v>
      </c>
      <c r="K197" s="3">
        <f t="shared" si="63"/>
        <v>0</v>
      </c>
      <c r="L197" s="7">
        <f t="shared" si="64"/>
        <v>0</v>
      </c>
      <c r="M197" t="s">
        <v>187</v>
      </c>
      <c r="O197" s="3">
        <f>E197-'301055 - P0324'!F197</f>
        <v>0</v>
      </c>
      <c r="P197" s="30">
        <f>I197-'301055 - P0324'!J197</f>
        <v>0</v>
      </c>
    </row>
    <row r="198" spans="1:16" x14ac:dyDescent="0.25">
      <c r="A198">
        <v>196</v>
      </c>
      <c r="C198" t="s">
        <v>8</v>
      </c>
      <c r="D198" s="4" t="s">
        <v>190</v>
      </c>
      <c r="E198" s="12">
        <v>36.299999999999997</v>
      </c>
      <c r="F198" s="12">
        <v>36.299999999999997</v>
      </c>
      <c r="G198" s="6">
        <f t="shared" si="60"/>
        <v>0</v>
      </c>
      <c r="H198" s="7">
        <f t="shared" si="61"/>
        <v>0</v>
      </c>
      <c r="I198" s="8">
        <v>82.49</v>
      </c>
      <c r="J198" s="9">
        <f t="shared" si="62"/>
        <v>82.49</v>
      </c>
      <c r="K198" s="3">
        <f t="shared" si="63"/>
        <v>0</v>
      </c>
      <c r="L198" s="7">
        <f t="shared" si="64"/>
        <v>0</v>
      </c>
      <c r="M198" t="s">
        <v>187</v>
      </c>
      <c r="O198" s="3">
        <f>E198-'301055 - P0324'!F198</f>
        <v>0</v>
      </c>
      <c r="P198" s="30">
        <f>I198-'301055 - P0324'!J198</f>
        <v>0</v>
      </c>
    </row>
    <row r="199" spans="1:16" x14ac:dyDescent="0.25">
      <c r="A199">
        <v>197</v>
      </c>
      <c r="C199" t="s">
        <v>8</v>
      </c>
      <c r="D199" s="4" t="s">
        <v>487</v>
      </c>
      <c r="E199" s="12">
        <v>5.18</v>
      </c>
      <c r="F199" s="12">
        <v>5.18</v>
      </c>
      <c r="G199" s="6">
        <f t="shared" si="60"/>
        <v>0</v>
      </c>
      <c r="H199" s="7">
        <f t="shared" si="61"/>
        <v>0</v>
      </c>
      <c r="I199" s="8">
        <v>7.13</v>
      </c>
      <c r="J199" s="9">
        <f t="shared" si="62"/>
        <v>7.13</v>
      </c>
      <c r="K199" s="3">
        <f t="shared" si="63"/>
        <v>0</v>
      </c>
      <c r="L199" s="7">
        <f t="shared" si="64"/>
        <v>0</v>
      </c>
      <c r="M199" t="s">
        <v>187</v>
      </c>
      <c r="O199" s="3">
        <f>E199-'301055 - P0324'!F199</f>
        <v>0</v>
      </c>
      <c r="P199" s="30">
        <f>I199-'301055 - P0324'!J199</f>
        <v>0</v>
      </c>
    </row>
    <row r="200" spans="1:16" x14ac:dyDescent="0.25">
      <c r="A200">
        <v>198</v>
      </c>
      <c r="C200" t="s">
        <v>8</v>
      </c>
      <c r="D200" s="4" t="s">
        <v>191</v>
      </c>
      <c r="E200" s="12">
        <v>8.2200000000000006</v>
      </c>
      <c r="F200" s="12">
        <v>8.2200000000000006</v>
      </c>
      <c r="G200" s="6">
        <f t="shared" si="60"/>
        <v>0</v>
      </c>
      <c r="H200" s="7">
        <f t="shared" si="61"/>
        <v>0</v>
      </c>
      <c r="I200" s="8">
        <v>18.68</v>
      </c>
      <c r="J200" s="9">
        <f t="shared" si="62"/>
        <v>18.68</v>
      </c>
      <c r="K200" s="3">
        <f t="shared" si="63"/>
        <v>0</v>
      </c>
      <c r="L200" s="7">
        <f t="shared" si="64"/>
        <v>0</v>
      </c>
      <c r="M200" t="s">
        <v>187</v>
      </c>
      <c r="O200" s="3">
        <f>E200-'301055 - P0324'!F200</f>
        <v>0</v>
      </c>
      <c r="P200" s="30">
        <f>I200-'301055 - P0324'!J200</f>
        <v>0</v>
      </c>
    </row>
    <row r="201" spans="1:16" x14ac:dyDescent="0.25">
      <c r="A201">
        <v>199</v>
      </c>
      <c r="C201" t="s">
        <v>8</v>
      </c>
      <c r="D201" s="4" t="s">
        <v>192</v>
      </c>
      <c r="E201" s="12">
        <v>137.77000000000001</v>
      </c>
      <c r="F201" s="12">
        <v>137.77000000000001</v>
      </c>
      <c r="G201" s="6">
        <f t="shared" si="60"/>
        <v>0</v>
      </c>
      <c r="H201" s="7">
        <f t="shared" si="61"/>
        <v>0</v>
      </c>
      <c r="I201" s="8">
        <v>207.19</v>
      </c>
      <c r="J201" s="9">
        <f t="shared" si="62"/>
        <v>207.19</v>
      </c>
      <c r="K201" s="3">
        <f t="shared" si="63"/>
        <v>0</v>
      </c>
      <c r="L201" s="7">
        <f t="shared" si="64"/>
        <v>0</v>
      </c>
      <c r="M201" t="s">
        <v>187</v>
      </c>
      <c r="O201" s="3">
        <f>E201-'301055 - P0324'!F201</f>
        <v>0</v>
      </c>
      <c r="P201" s="30">
        <f>I201-'301055 - P0324'!J201</f>
        <v>0</v>
      </c>
    </row>
    <row r="202" spans="1:16" x14ac:dyDescent="0.25">
      <c r="A202">
        <v>200</v>
      </c>
      <c r="C202" t="s">
        <v>8</v>
      </c>
      <c r="D202" s="4" t="s">
        <v>193</v>
      </c>
      <c r="E202" s="12">
        <v>123.36</v>
      </c>
      <c r="F202" s="12">
        <v>123.36</v>
      </c>
      <c r="G202" s="6">
        <f t="shared" si="60"/>
        <v>0</v>
      </c>
      <c r="H202" s="7">
        <f t="shared" si="61"/>
        <v>0</v>
      </c>
      <c r="I202" s="8">
        <v>168.12183306239999</v>
      </c>
      <c r="J202" s="9">
        <f t="shared" si="62"/>
        <v>168.12183306239999</v>
      </c>
      <c r="K202" s="3">
        <f t="shared" si="63"/>
        <v>0</v>
      </c>
      <c r="L202" s="7">
        <f t="shared" si="64"/>
        <v>0</v>
      </c>
      <c r="M202" t="s">
        <v>187</v>
      </c>
      <c r="O202" s="3">
        <f>E202-'301055 - P0324'!F202</f>
        <v>0</v>
      </c>
      <c r="P202" s="30">
        <f>I202-'301055 - P0324'!J202</f>
        <v>0</v>
      </c>
    </row>
    <row r="203" spans="1:16" x14ac:dyDescent="0.25">
      <c r="A203">
        <v>201</v>
      </c>
      <c r="C203" t="s">
        <v>8</v>
      </c>
      <c r="D203" s="4" t="s">
        <v>194</v>
      </c>
      <c r="E203" s="12">
        <v>36.909999999999997</v>
      </c>
      <c r="F203" s="12">
        <v>36.909999999999997</v>
      </c>
      <c r="G203" s="6">
        <f t="shared" si="60"/>
        <v>0</v>
      </c>
      <c r="H203" s="7">
        <f t="shared" si="61"/>
        <v>0</v>
      </c>
      <c r="I203" s="8">
        <v>77.662452940799994</v>
      </c>
      <c r="J203" s="9">
        <f t="shared" si="62"/>
        <v>77.662452940799994</v>
      </c>
      <c r="K203" s="3">
        <f t="shared" si="63"/>
        <v>0</v>
      </c>
      <c r="L203" s="7">
        <f t="shared" si="64"/>
        <v>0</v>
      </c>
      <c r="M203" t="s">
        <v>187</v>
      </c>
      <c r="O203" s="3">
        <f>E203-'301055 - P0324'!F203</f>
        <v>0</v>
      </c>
      <c r="P203" s="30">
        <f>I203-'301055 - P0324'!J203</f>
        <v>0</v>
      </c>
    </row>
    <row r="204" spans="1:16" x14ac:dyDescent="0.25">
      <c r="A204">
        <v>202</v>
      </c>
      <c r="C204" t="s">
        <v>8</v>
      </c>
      <c r="D204" s="4" t="s">
        <v>195</v>
      </c>
      <c r="E204" s="12">
        <v>25.49</v>
      </c>
      <c r="F204" s="12">
        <v>25.49</v>
      </c>
      <c r="G204" s="6">
        <f>+F204-E204</f>
        <v>0</v>
      </c>
      <c r="H204" s="7">
        <f>(F204-E204)/ABS(E204)</f>
        <v>0</v>
      </c>
      <c r="I204" s="8">
        <v>39.21</v>
      </c>
      <c r="J204" s="9">
        <f>(I204*H204)+I204</f>
        <v>39.21</v>
      </c>
      <c r="K204" s="3">
        <f>J204-I204</f>
        <v>0</v>
      </c>
      <c r="L204" s="7">
        <f>(J204-I204)/ABS(I204)</f>
        <v>0</v>
      </c>
      <c r="M204" t="s">
        <v>187</v>
      </c>
      <c r="O204" s="3">
        <f>E204-'301055 - P0324'!F204</f>
        <v>0</v>
      </c>
      <c r="P204" s="30">
        <f>I204-'301055 - P0324'!J204</f>
        <v>0</v>
      </c>
    </row>
    <row r="205" spans="1:16" x14ac:dyDescent="0.25">
      <c r="A205">
        <v>203</v>
      </c>
      <c r="C205" t="s">
        <v>8</v>
      </c>
      <c r="D205" s="4" t="s">
        <v>196</v>
      </c>
      <c r="E205" s="12">
        <v>5.72</v>
      </c>
      <c r="F205" s="12">
        <v>5.72</v>
      </c>
      <c r="G205" s="6">
        <f t="shared" si="60"/>
        <v>0</v>
      </c>
      <c r="H205" s="7">
        <f t="shared" si="61"/>
        <v>0</v>
      </c>
      <c r="I205" s="8">
        <v>8.6487367680000027</v>
      </c>
      <c r="J205" s="9">
        <f t="shared" si="62"/>
        <v>8.6487367680000027</v>
      </c>
      <c r="K205" s="3">
        <f t="shared" si="63"/>
        <v>0</v>
      </c>
      <c r="L205" s="7">
        <f t="shared" si="64"/>
        <v>0</v>
      </c>
      <c r="M205" t="s">
        <v>187</v>
      </c>
      <c r="O205" s="3">
        <f>E205-'301055 - P0324'!F205</f>
        <v>0</v>
      </c>
      <c r="P205" s="30">
        <f>I205-'301055 - P0324'!J205</f>
        <v>0</v>
      </c>
    </row>
    <row r="206" spans="1:16" x14ac:dyDescent="0.25">
      <c r="A206">
        <v>204</v>
      </c>
      <c r="C206" t="s">
        <v>8</v>
      </c>
      <c r="D206" s="4" t="s">
        <v>197</v>
      </c>
      <c r="E206" s="12">
        <v>21.44</v>
      </c>
      <c r="F206" s="12">
        <v>21.44</v>
      </c>
      <c r="G206" s="6">
        <f t="shared" si="60"/>
        <v>0</v>
      </c>
      <c r="H206" s="7">
        <f t="shared" si="61"/>
        <v>0</v>
      </c>
      <c r="I206" s="8">
        <v>57.90134784</v>
      </c>
      <c r="J206" s="9">
        <f t="shared" si="62"/>
        <v>57.90134784</v>
      </c>
      <c r="K206" s="3">
        <f t="shared" si="63"/>
        <v>0</v>
      </c>
      <c r="L206" s="7">
        <f t="shared" si="64"/>
        <v>0</v>
      </c>
      <c r="M206" t="s">
        <v>187</v>
      </c>
      <c r="O206" s="3">
        <f>E206-'301055 - P0324'!F206</f>
        <v>0</v>
      </c>
      <c r="P206" s="30">
        <f>I206-'301055 - P0324'!J206</f>
        <v>0</v>
      </c>
    </row>
    <row r="207" spans="1:16" x14ac:dyDescent="0.25">
      <c r="A207">
        <v>205</v>
      </c>
      <c r="C207" t="s">
        <v>8</v>
      </c>
      <c r="D207" s="4" t="s">
        <v>198</v>
      </c>
      <c r="E207" s="12">
        <v>8.5399999999999991</v>
      </c>
      <c r="F207" s="12">
        <v>8.5399999999999991</v>
      </c>
      <c r="G207" s="6">
        <f t="shared" si="60"/>
        <v>0</v>
      </c>
      <c r="H207" s="7">
        <f t="shared" si="61"/>
        <v>0</v>
      </c>
      <c r="I207" s="8">
        <v>17.61</v>
      </c>
      <c r="J207" s="9">
        <f t="shared" si="62"/>
        <v>17.61</v>
      </c>
      <c r="K207" s="3">
        <f t="shared" si="63"/>
        <v>0</v>
      </c>
      <c r="L207" s="7">
        <f t="shared" si="64"/>
        <v>0</v>
      </c>
      <c r="M207" t="s">
        <v>187</v>
      </c>
      <c r="O207" s="3">
        <f>E207-'301055 - P0324'!F207</f>
        <v>0</v>
      </c>
      <c r="P207" s="30">
        <f>I207-'301055 - P0324'!J207</f>
        <v>0</v>
      </c>
    </row>
    <row r="208" spans="1:16" x14ac:dyDescent="0.25">
      <c r="A208">
        <v>206</v>
      </c>
      <c r="C208" t="s">
        <v>8</v>
      </c>
      <c r="D208" s="4" t="s">
        <v>199</v>
      </c>
      <c r="E208" s="12">
        <v>2.2400000000000002</v>
      </c>
      <c r="F208" s="12">
        <v>2.2400000000000002</v>
      </c>
      <c r="G208" s="6">
        <f t="shared" si="60"/>
        <v>0</v>
      </c>
      <c r="H208" s="7">
        <f t="shared" si="61"/>
        <v>0</v>
      </c>
      <c r="I208" s="8">
        <v>3.2169142539130431</v>
      </c>
      <c r="J208" s="9">
        <f t="shared" si="62"/>
        <v>3.2169142539130431</v>
      </c>
      <c r="K208" s="3">
        <f t="shared" si="63"/>
        <v>0</v>
      </c>
      <c r="L208" s="7">
        <f t="shared" si="64"/>
        <v>0</v>
      </c>
      <c r="M208" t="s">
        <v>187</v>
      </c>
      <c r="O208" s="3">
        <f>E208-'301055 - P0324'!F208</f>
        <v>0</v>
      </c>
      <c r="P208" s="30">
        <f>I208-'301055 - P0324'!J208</f>
        <v>0</v>
      </c>
    </row>
    <row r="209" spans="1:16" x14ac:dyDescent="0.25">
      <c r="A209">
        <v>207</v>
      </c>
      <c r="C209" t="s">
        <v>8</v>
      </c>
      <c r="D209" s="4" t="s">
        <v>200</v>
      </c>
      <c r="E209" s="12">
        <v>12.54</v>
      </c>
      <c r="F209" s="12">
        <v>12.54</v>
      </c>
      <c r="G209" s="6">
        <f t="shared" si="60"/>
        <v>0</v>
      </c>
      <c r="H209" s="7">
        <f t="shared" si="61"/>
        <v>0</v>
      </c>
      <c r="I209" s="8">
        <v>18.163175635862068</v>
      </c>
      <c r="J209" s="9">
        <f t="shared" si="62"/>
        <v>18.163175635862068</v>
      </c>
      <c r="K209" s="3">
        <f t="shared" si="63"/>
        <v>0</v>
      </c>
      <c r="L209" s="7">
        <f t="shared" si="64"/>
        <v>0</v>
      </c>
      <c r="M209" t="s">
        <v>187</v>
      </c>
      <c r="O209" s="3">
        <f>E209-'301055 - P0324'!F209</f>
        <v>0</v>
      </c>
      <c r="P209" s="30">
        <f>I209-'301055 - P0324'!J209</f>
        <v>0</v>
      </c>
    </row>
    <row r="210" spans="1:16" x14ac:dyDescent="0.25">
      <c r="A210">
        <v>208</v>
      </c>
      <c r="C210" t="s">
        <v>8</v>
      </c>
      <c r="D210" s="4" t="s">
        <v>201</v>
      </c>
      <c r="E210" s="12">
        <v>13.2</v>
      </c>
      <c r="F210" s="12">
        <v>13.2</v>
      </c>
      <c r="G210" s="6">
        <f t="shared" si="60"/>
        <v>0</v>
      </c>
      <c r="H210" s="7">
        <f t="shared" si="61"/>
        <v>0</v>
      </c>
      <c r="I210" s="8">
        <v>33.770000000000003</v>
      </c>
      <c r="J210" s="9">
        <f t="shared" si="62"/>
        <v>33.770000000000003</v>
      </c>
      <c r="K210" s="3">
        <f t="shared" si="63"/>
        <v>0</v>
      </c>
      <c r="L210" s="7">
        <f t="shared" si="64"/>
        <v>0</v>
      </c>
      <c r="M210" t="s">
        <v>187</v>
      </c>
      <c r="O210" s="3">
        <f>E210-'301055 - P0324'!F210</f>
        <v>0</v>
      </c>
      <c r="P210" s="30">
        <f>I210-'301055 - P0324'!J210</f>
        <v>0</v>
      </c>
    </row>
    <row r="211" spans="1:16" x14ac:dyDescent="0.25">
      <c r="A211">
        <v>209</v>
      </c>
      <c r="C211" t="s">
        <v>8</v>
      </c>
      <c r="D211" s="4" t="s">
        <v>202</v>
      </c>
      <c r="E211" s="12">
        <v>20.100000000000001</v>
      </c>
      <c r="F211" s="12">
        <v>20.100000000000001</v>
      </c>
      <c r="G211" s="6">
        <f t="shared" si="60"/>
        <v>0</v>
      </c>
      <c r="H211" s="7">
        <f t="shared" si="61"/>
        <v>0</v>
      </c>
      <c r="I211" s="8">
        <v>54.326307840000005</v>
      </c>
      <c r="J211" s="9">
        <f t="shared" si="62"/>
        <v>54.326307840000005</v>
      </c>
      <c r="K211" s="3">
        <f t="shared" si="63"/>
        <v>0</v>
      </c>
      <c r="L211" s="7">
        <f t="shared" si="64"/>
        <v>0</v>
      </c>
      <c r="M211" t="s">
        <v>187</v>
      </c>
      <c r="O211" s="3">
        <f>E211-'301055 - P0324'!F211</f>
        <v>0</v>
      </c>
      <c r="P211" s="30">
        <f>I211-'301055 - P0324'!J211</f>
        <v>0</v>
      </c>
    </row>
    <row r="212" spans="1:16" x14ac:dyDescent="0.25">
      <c r="A212">
        <v>210</v>
      </c>
      <c r="C212" t="s">
        <v>8</v>
      </c>
      <c r="D212" s="4" t="s">
        <v>203</v>
      </c>
      <c r="E212" s="12">
        <v>38.64</v>
      </c>
      <c r="F212" s="12">
        <v>38.64</v>
      </c>
      <c r="G212" s="6">
        <f t="shared" si="60"/>
        <v>0</v>
      </c>
      <c r="H212" s="7">
        <f t="shared" si="61"/>
        <v>0</v>
      </c>
      <c r="I212" s="8">
        <v>85.68</v>
      </c>
      <c r="J212" s="9">
        <f t="shared" si="62"/>
        <v>85.68</v>
      </c>
      <c r="K212" s="3">
        <f t="shared" si="63"/>
        <v>0</v>
      </c>
      <c r="L212" s="7">
        <f t="shared" si="64"/>
        <v>0</v>
      </c>
      <c r="M212" t="s">
        <v>187</v>
      </c>
      <c r="O212" s="3">
        <f>E212-'301055 - P0324'!F212</f>
        <v>0</v>
      </c>
      <c r="P212" s="30">
        <f>I212-'301055 - P0324'!J212</f>
        <v>0</v>
      </c>
    </row>
    <row r="213" spans="1:16" x14ac:dyDescent="0.25">
      <c r="A213">
        <v>211</v>
      </c>
      <c r="C213" t="s">
        <v>8</v>
      </c>
      <c r="D213" s="4" t="s">
        <v>204</v>
      </c>
      <c r="E213" s="12">
        <v>17.16</v>
      </c>
      <c r="F213" s="12">
        <v>17.16</v>
      </c>
      <c r="G213" s="6">
        <f t="shared" si="60"/>
        <v>0</v>
      </c>
      <c r="H213" s="7">
        <f t="shared" si="61"/>
        <v>0</v>
      </c>
      <c r="I213" s="8">
        <v>26.391854075214955</v>
      </c>
      <c r="J213" s="9">
        <f t="shared" si="62"/>
        <v>26.391854075214955</v>
      </c>
      <c r="K213" s="3">
        <f t="shared" si="63"/>
        <v>0</v>
      </c>
      <c r="L213" s="7">
        <f t="shared" si="64"/>
        <v>0</v>
      </c>
      <c r="M213" t="s">
        <v>187</v>
      </c>
      <c r="O213" s="3">
        <f>E213-'301055 - P0324'!F213</f>
        <v>0</v>
      </c>
      <c r="P213" s="30">
        <f>I213-'301055 - P0324'!J213</f>
        <v>0</v>
      </c>
    </row>
    <row r="214" spans="1:16" x14ac:dyDescent="0.25">
      <c r="A214">
        <v>212</v>
      </c>
      <c r="C214" t="s">
        <v>8</v>
      </c>
      <c r="D214" s="4" t="s">
        <v>205</v>
      </c>
      <c r="E214" s="12">
        <v>30.07</v>
      </c>
      <c r="F214" s="12">
        <v>30.07</v>
      </c>
      <c r="G214" s="6">
        <f t="shared" si="60"/>
        <v>0</v>
      </c>
      <c r="H214" s="7">
        <f t="shared" si="61"/>
        <v>0</v>
      </c>
      <c r="I214" s="8">
        <v>35.416393485128204</v>
      </c>
      <c r="J214" s="9">
        <f t="shared" si="62"/>
        <v>35.416393485128204</v>
      </c>
      <c r="K214" s="3">
        <f t="shared" si="63"/>
        <v>0</v>
      </c>
      <c r="L214" s="7">
        <f t="shared" si="64"/>
        <v>0</v>
      </c>
      <c r="M214" t="s">
        <v>187</v>
      </c>
      <c r="O214" s="3">
        <f>E214-'301055 - P0324'!F214</f>
        <v>0</v>
      </c>
      <c r="P214" s="30">
        <f>I214-'301055 - P0324'!J214</f>
        <v>0</v>
      </c>
    </row>
    <row r="215" spans="1:16" x14ac:dyDescent="0.25">
      <c r="A215">
        <v>213</v>
      </c>
      <c r="C215" t="s">
        <v>8</v>
      </c>
      <c r="D215" s="4" t="s">
        <v>206</v>
      </c>
      <c r="E215" s="12">
        <v>30.42</v>
      </c>
      <c r="F215" s="12">
        <v>30.42</v>
      </c>
      <c r="G215" s="6">
        <f t="shared" si="60"/>
        <v>0</v>
      </c>
      <c r="H215" s="7">
        <f t="shared" si="61"/>
        <v>0</v>
      </c>
      <c r="I215" s="8">
        <v>42.49</v>
      </c>
      <c r="J215" s="9">
        <f t="shared" si="62"/>
        <v>42.49</v>
      </c>
      <c r="K215" s="3">
        <f t="shared" si="63"/>
        <v>0</v>
      </c>
      <c r="L215" s="7">
        <f t="shared" si="64"/>
        <v>0</v>
      </c>
      <c r="M215" t="s">
        <v>187</v>
      </c>
      <c r="O215" s="3">
        <f>E215-'301055 - P0324'!F215</f>
        <v>0</v>
      </c>
      <c r="P215" s="30">
        <f>I215-'301055 - P0324'!J215</f>
        <v>0</v>
      </c>
    </row>
    <row r="216" spans="1:16" x14ac:dyDescent="0.25">
      <c r="A216">
        <v>214</v>
      </c>
      <c r="C216" t="s">
        <v>8</v>
      </c>
      <c r="D216" s="4" t="s">
        <v>207</v>
      </c>
      <c r="E216" s="12">
        <v>2.4</v>
      </c>
      <c r="F216" s="12">
        <v>2.4</v>
      </c>
      <c r="G216" s="6">
        <f t="shared" si="60"/>
        <v>0</v>
      </c>
      <c r="H216" s="7">
        <f t="shared" si="61"/>
        <v>0</v>
      </c>
      <c r="I216" s="8">
        <v>4.84</v>
      </c>
      <c r="J216" s="9">
        <f t="shared" si="62"/>
        <v>4.84</v>
      </c>
      <c r="K216" s="3">
        <f t="shared" si="63"/>
        <v>0</v>
      </c>
      <c r="L216" s="7">
        <f t="shared" si="64"/>
        <v>0</v>
      </c>
      <c r="M216" t="s">
        <v>187</v>
      </c>
      <c r="O216" s="3">
        <f>E216-'301055 - P0324'!F216</f>
        <v>0</v>
      </c>
      <c r="P216" s="30">
        <f>I216-'301055 - P0324'!J216</f>
        <v>0</v>
      </c>
    </row>
    <row r="217" spans="1:16" x14ac:dyDescent="0.25">
      <c r="A217">
        <v>215</v>
      </c>
      <c r="C217" t="s">
        <v>8</v>
      </c>
      <c r="D217" s="4" t="s">
        <v>208</v>
      </c>
      <c r="E217" s="12">
        <v>3.66</v>
      </c>
      <c r="F217" s="12">
        <v>3.66</v>
      </c>
      <c r="G217" s="6">
        <f t="shared" si="60"/>
        <v>0</v>
      </c>
      <c r="H217" s="7">
        <f t="shared" si="61"/>
        <v>0</v>
      </c>
      <c r="I217" s="8">
        <v>5.4831979136563875</v>
      </c>
      <c r="J217" s="9">
        <f t="shared" si="62"/>
        <v>5.4831979136563875</v>
      </c>
      <c r="K217" s="3">
        <f t="shared" si="63"/>
        <v>0</v>
      </c>
      <c r="L217" s="7">
        <f t="shared" si="64"/>
        <v>0</v>
      </c>
      <c r="M217" t="s">
        <v>187</v>
      </c>
      <c r="O217" s="3">
        <f>E217-'301055 - P0324'!F217</f>
        <v>0</v>
      </c>
      <c r="P217" s="30">
        <f>I217-'301055 - P0324'!J217</f>
        <v>0</v>
      </c>
    </row>
    <row r="218" spans="1:16" x14ac:dyDescent="0.25">
      <c r="A218">
        <v>216</v>
      </c>
      <c r="C218" t="s">
        <v>8</v>
      </c>
      <c r="D218" s="4" t="s">
        <v>209</v>
      </c>
      <c r="E218" s="12">
        <v>3.26</v>
      </c>
      <c r="F218" s="12">
        <v>3.26</v>
      </c>
      <c r="G218" s="13">
        <f t="shared" si="60"/>
        <v>0</v>
      </c>
      <c r="H218" s="7">
        <f t="shared" si="61"/>
        <v>0</v>
      </c>
      <c r="I218" s="8">
        <v>5.48</v>
      </c>
      <c r="J218" s="9">
        <f t="shared" si="62"/>
        <v>5.48</v>
      </c>
      <c r="K218" s="3">
        <f t="shared" si="63"/>
        <v>0</v>
      </c>
      <c r="L218" s="7">
        <f t="shared" si="64"/>
        <v>0</v>
      </c>
      <c r="M218" t="s">
        <v>187</v>
      </c>
      <c r="O218" s="3">
        <f>E218-'301055 - P0324'!F218</f>
        <v>0</v>
      </c>
      <c r="P218" s="30">
        <f>I218-'301055 - P0324'!J218</f>
        <v>0</v>
      </c>
    </row>
    <row r="219" spans="1:16" x14ac:dyDescent="0.25">
      <c r="A219">
        <v>217</v>
      </c>
      <c r="C219" t="s">
        <v>8</v>
      </c>
      <c r="D219" s="4" t="s">
        <v>210</v>
      </c>
      <c r="E219" s="12">
        <v>4.46</v>
      </c>
      <c r="F219" s="12">
        <v>4.46</v>
      </c>
      <c r="G219" s="6">
        <f t="shared" si="60"/>
        <v>0</v>
      </c>
      <c r="H219" s="7">
        <f t="shared" si="61"/>
        <v>0</v>
      </c>
      <c r="I219" s="8">
        <v>6.8717173187003597</v>
      </c>
      <c r="J219" s="9">
        <f t="shared" si="62"/>
        <v>6.8717173187003597</v>
      </c>
      <c r="K219" s="3">
        <f t="shared" si="63"/>
        <v>0</v>
      </c>
      <c r="L219" s="7">
        <f t="shared" si="64"/>
        <v>0</v>
      </c>
      <c r="M219" t="s">
        <v>187</v>
      </c>
      <c r="O219" s="3">
        <f>E219-'301055 - P0324'!F219</f>
        <v>0</v>
      </c>
      <c r="P219" s="30">
        <f>I219-'301055 - P0324'!J219</f>
        <v>0</v>
      </c>
    </row>
    <row r="220" spans="1:16" x14ac:dyDescent="0.25">
      <c r="A220">
        <v>218</v>
      </c>
      <c r="C220" t="s">
        <v>8</v>
      </c>
      <c r="D220" s="4" t="s">
        <v>211</v>
      </c>
      <c r="E220" s="12">
        <v>1.78</v>
      </c>
      <c r="F220" s="12">
        <v>1.78</v>
      </c>
      <c r="G220" s="6">
        <f t="shared" si="60"/>
        <v>0</v>
      </c>
      <c r="H220" s="7">
        <f t="shared" si="61"/>
        <v>0</v>
      </c>
      <c r="I220" s="8">
        <v>3.6982813789090896</v>
      </c>
      <c r="J220" s="9">
        <f t="shared" si="62"/>
        <v>3.6982813789090896</v>
      </c>
      <c r="K220" s="3">
        <f t="shared" si="63"/>
        <v>0</v>
      </c>
      <c r="L220" s="7">
        <f t="shared" si="64"/>
        <v>0</v>
      </c>
      <c r="M220" t="s">
        <v>187</v>
      </c>
      <c r="O220" s="3">
        <f>E220-'301055 - P0324'!F220</f>
        <v>0</v>
      </c>
      <c r="P220" s="30">
        <f>I220-'301055 - P0324'!J220</f>
        <v>0</v>
      </c>
    </row>
    <row r="221" spans="1:16" x14ac:dyDescent="0.25">
      <c r="A221">
        <v>219</v>
      </c>
      <c r="C221" t="s">
        <v>8</v>
      </c>
      <c r="D221" s="4" t="s">
        <v>212</v>
      </c>
      <c r="E221" s="12">
        <v>2.66</v>
      </c>
      <c r="F221" s="12">
        <v>2.66</v>
      </c>
      <c r="G221" s="6">
        <f t="shared" si="60"/>
        <v>0</v>
      </c>
      <c r="H221" s="7">
        <f t="shared" si="61"/>
        <v>0</v>
      </c>
      <c r="I221" s="8">
        <v>4.4491697803636372</v>
      </c>
      <c r="J221" s="9">
        <f t="shared" si="62"/>
        <v>4.4491697803636372</v>
      </c>
      <c r="K221" s="3">
        <f t="shared" si="63"/>
        <v>0</v>
      </c>
      <c r="L221" s="7">
        <f t="shared" si="64"/>
        <v>0</v>
      </c>
      <c r="M221" t="s">
        <v>187</v>
      </c>
      <c r="O221" s="3">
        <f>E221-'301055 - P0324'!F221</f>
        <v>0</v>
      </c>
      <c r="P221" s="30">
        <f>I221-'301055 - P0324'!J221</f>
        <v>0</v>
      </c>
    </row>
    <row r="222" spans="1:16" x14ac:dyDescent="0.25">
      <c r="A222">
        <v>220</v>
      </c>
      <c r="C222" t="s">
        <v>8</v>
      </c>
      <c r="D222" s="4" t="s">
        <v>213</v>
      </c>
      <c r="E222" s="12">
        <v>2.85</v>
      </c>
      <c r="F222" s="12">
        <v>2.85</v>
      </c>
      <c r="G222" s="6">
        <f t="shared" si="60"/>
        <v>0</v>
      </c>
      <c r="H222" s="7">
        <f t="shared" si="61"/>
        <v>0</v>
      </c>
      <c r="I222" s="8">
        <v>7.25</v>
      </c>
      <c r="J222" s="9">
        <f t="shared" si="62"/>
        <v>7.25</v>
      </c>
      <c r="K222" s="3">
        <f t="shared" si="63"/>
        <v>0</v>
      </c>
      <c r="L222" s="7">
        <f t="shared" si="64"/>
        <v>0</v>
      </c>
      <c r="M222" t="s">
        <v>187</v>
      </c>
      <c r="O222" s="3">
        <f>E222-'301055 - P0324'!F222</f>
        <v>0</v>
      </c>
      <c r="P222" s="30">
        <f>I222-'301055 - P0324'!J222</f>
        <v>0</v>
      </c>
    </row>
    <row r="223" spans="1:16" x14ac:dyDescent="0.25">
      <c r="A223">
        <v>221</v>
      </c>
      <c r="C223" t="s">
        <v>8</v>
      </c>
      <c r="D223" s="4" t="s">
        <v>465</v>
      </c>
      <c r="E223" s="12">
        <v>2.5099999999999998</v>
      </c>
      <c r="F223" s="12">
        <v>2.5099999999999998</v>
      </c>
      <c r="G223" s="6">
        <f t="shared" si="60"/>
        <v>0</v>
      </c>
      <c r="H223" s="7">
        <f t="shared" si="61"/>
        <v>0</v>
      </c>
      <c r="I223" s="8">
        <v>4.32</v>
      </c>
      <c r="J223" s="9">
        <f t="shared" si="62"/>
        <v>4.32</v>
      </c>
      <c r="K223" s="3">
        <f t="shared" si="63"/>
        <v>0</v>
      </c>
      <c r="L223" s="7">
        <f t="shared" si="64"/>
        <v>0</v>
      </c>
      <c r="M223" t="s">
        <v>187</v>
      </c>
      <c r="O223" s="3">
        <f>E223-'301055 - P0324'!F223</f>
        <v>0</v>
      </c>
      <c r="P223" s="30">
        <f>I223-'301055 - P0324'!J223</f>
        <v>0</v>
      </c>
    </row>
    <row r="224" spans="1:16" x14ac:dyDescent="0.25">
      <c r="A224">
        <v>222</v>
      </c>
      <c r="C224" t="s">
        <v>8</v>
      </c>
      <c r="D224" s="4" t="s">
        <v>214</v>
      </c>
      <c r="E224" s="12">
        <v>2.69</v>
      </c>
      <c r="F224" s="12">
        <v>2.69</v>
      </c>
      <c r="G224" s="6">
        <f t="shared" si="60"/>
        <v>0</v>
      </c>
      <c r="H224" s="7">
        <f t="shared" si="61"/>
        <v>0</v>
      </c>
      <c r="I224" s="8">
        <v>4.49</v>
      </c>
      <c r="J224" s="9">
        <f t="shared" si="62"/>
        <v>4.49</v>
      </c>
      <c r="K224" s="3">
        <f t="shared" si="63"/>
        <v>0</v>
      </c>
      <c r="L224" s="7">
        <f t="shared" si="64"/>
        <v>0</v>
      </c>
      <c r="M224" t="s">
        <v>187</v>
      </c>
      <c r="O224" s="3">
        <f>E224-'301055 - P0324'!F224</f>
        <v>0</v>
      </c>
      <c r="P224" s="30">
        <f>I224-'301055 - P0324'!J224</f>
        <v>0</v>
      </c>
    </row>
    <row r="225" spans="1:16" x14ac:dyDescent="0.25">
      <c r="A225">
        <v>223</v>
      </c>
      <c r="C225" t="s">
        <v>8</v>
      </c>
      <c r="D225" s="4" t="s">
        <v>215</v>
      </c>
      <c r="E225" s="12">
        <v>0.45</v>
      </c>
      <c r="F225" s="12">
        <v>0.45</v>
      </c>
      <c r="G225" s="6">
        <f t="shared" si="60"/>
        <v>0</v>
      </c>
      <c r="H225" s="7">
        <f t="shared" si="61"/>
        <v>0</v>
      </c>
      <c r="I225" s="8">
        <v>0.70471188480000002</v>
      </c>
      <c r="J225" s="9">
        <f t="shared" si="62"/>
        <v>0.70471188480000002</v>
      </c>
      <c r="K225" s="3">
        <f t="shared" si="63"/>
        <v>0</v>
      </c>
      <c r="L225" s="7">
        <f t="shared" si="64"/>
        <v>0</v>
      </c>
      <c r="M225" t="s">
        <v>187</v>
      </c>
      <c r="O225" s="3">
        <f>E225-'301055 - P0324'!F225</f>
        <v>0</v>
      </c>
      <c r="P225" s="30">
        <f>I225-'301055 - P0324'!J225</f>
        <v>0</v>
      </c>
    </row>
    <row r="226" spans="1:16" x14ac:dyDescent="0.25">
      <c r="A226">
        <v>224</v>
      </c>
      <c r="C226" t="s">
        <v>8</v>
      </c>
      <c r="D226" s="4" t="s">
        <v>216</v>
      </c>
      <c r="E226" s="12">
        <v>1.1000000000000001</v>
      </c>
      <c r="F226" s="12">
        <v>1.1000000000000001</v>
      </c>
      <c r="G226" s="6">
        <f t="shared" si="60"/>
        <v>0</v>
      </c>
      <c r="H226" s="7">
        <f t="shared" si="61"/>
        <v>0</v>
      </c>
      <c r="I226" s="8">
        <v>1.23</v>
      </c>
      <c r="J226" s="9">
        <f t="shared" si="62"/>
        <v>1.23</v>
      </c>
      <c r="K226" s="3">
        <f t="shared" si="63"/>
        <v>0</v>
      </c>
      <c r="L226" s="7">
        <f t="shared" si="64"/>
        <v>0</v>
      </c>
      <c r="M226" t="s">
        <v>187</v>
      </c>
      <c r="O226" s="3">
        <f>E226-'301055 - P0324'!F226</f>
        <v>0</v>
      </c>
      <c r="P226" s="30">
        <f>I226-'301055 - P0324'!J226</f>
        <v>0</v>
      </c>
    </row>
    <row r="227" spans="1:16" x14ac:dyDescent="0.25">
      <c r="A227">
        <v>225</v>
      </c>
      <c r="C227" t="s">
        <v>8</v>
      </c>
      <c r="D227" s="4" t="s">
        <v>217</v>
      </c>
      <c r="E227" s="12">
        <v>1.1000000000000001</v>
      </c>
      <c r="F227" s="12">
        <v>1.1000000000000001</v>
      </c>
      <c r="G227" s="6">
        <f t="shared" si="60"/>
        <v>0</v>
      </c>
      <c r="H227" s="7">
        <f t="shared" si="61"/>
        <v>0</v>
      </c>
      <c r="I227" s="8">
        <v>1.8621752470588233</v>
      </c>
      <c r="J227" s="9">
        <f t="shared" si="62"/>
        <v>1.8621752470588233</v>
      </c>
      <c r="K227" s="3">
        <f t="shared" si="63"/>
        <v>0</v>
      </c>
      <c r="L227" s="7">
        <f t="shared" si="64"/>
        <v>0</v>
      </c>
      <c r="M227" t="s">
        <v>187</v>
      </c>
      <c r="O227" s="3">
        <f>E227-'301055 - P0324'!F227</f>
        <v>0</v>
      </c>
      <c r="P227" s="30">
        <f>I227-'301055 - P0324'!J227</f>
        <v>0</v>
      </c>
    </row>
    <row r="228" spans="1:16" x14ac:dyDescent="0.25">
      <c r="A228">
        <v>226</v>
      </c>
      <c r="C228" t="s">
        <v>8</v>
      </c>
      <c r="D228" s="4" t="s">
        <v>218</v>
      </c>
      <c r="E228" s="12">
        <v>1.28</v>
      </c>
      <c r="F228" s="12">
        <v>1.28</v>
      </c>
      <c r="G228" s="6">
        <f t="shared" si="60"/>
        <v>0</v>
      </c>
      <c r="H228" s="7">
        <f t="shared" si="61"/>
        <v>0</v>
      </c>
      <c r="I228" s="8">
        <v>2.3682151048101265</v>
      </c>
      <c r="J228" s="9">
        <f t="shared" si="62"/>
        <v>2.3682151048101265</v>
      </c>
      <c r="K228" s="3">
        <f t="shared" si="63"/>
        <v>0</v>
      </c>
      <c r="L228" s="7">
        <f t="shared" si="64"/>
        <v>0</v>
      </c>
      <c r="M228" t="s">
        <v>187</v>
      </c>
      <c r="O228" s="3">
        <f>E228-'301055 - P0324'!F228</f>
        <v>0</v>
      </c>
      <c r="P228" s="30">
        <f>I228-'301055 - P0324'!J228</f>
        <v>0</v>
      </c>
    </row>
    <row r="229" spans="1:16" x14ac:dyDescent="0.25">
      <c r="A229">
        <v>227</v>
      </c>
      <c r="C229" t="s">
        <v>8</v>
      </c>
      <c r="D229" s="4" t="s">
        <v>219</v>
      </c>
      <c r="E229" s="12">
        <v>2.64</v>
      </c>
      <c r="F229" s="12">
        <v>2.64</v>
      </c>
      <c r="G229" s="6">
        <f t="shared" si="60"/>
        <v>0</v>
      </c>
      <c r="H229" s="7">
        <f t="shared" si="61"/>
        <v>0</v>
      </c>
      <c r="I229" s="8">
        <v>5.58</v>
      </c>
      <c r="J229" s="9">
        <f t="shared" si="62"/>
        <v>5.58</v>
      </c>
      <c r="K229" s="3">
        <f t="shared" si="63"/>
        <v>0</v>
      </c>
      <c r="L229" s="7">
        <f t="shared" si="64"/>
        <v>0</v>
      </c>
      <c r="M229" t="s">
        <v>187</v>
      </c>
      <c r="O229" s="3">
        <f>E229-'301055 - P0324'!F229</f>
        <v>0</v>
      </c>
      <c r="P229" s="30">
        <f>I229-'301055 - P0324'!J229</f>
        <v>0</v>
      </c>
    </row>
    <row r="230" spans="1:16" x14ac:dyDescent="0.25">
      <c r="A230">
        <v>228</v>
      </c>
      <c r="C230" t="s">
        <v>8</v>
      </c>
      <c r="D230" s="4" t="s">
        <v>220</v>
      </c>
      <c r="E230" s="12">
        <v>0.09</v>
      </c>
      <c r="F230" s="12">
        <v>0.09</v>
      </c>
      <c r="G230" s="6">
        <f t="shared" si="60"/>
        <v>0</v>
      </c>
      <c r="H230" s="7">
        <f t="shared" si="61"/>
        <v>0</v>
      </c>
      <c r="I230" s="8">
        <v>0.19219415040000001</v>
      </c>
      <c r="J230" s="9">
        <f t="shared" si="62"/>
        <v>0.19219415040000001</v>
      </c>
      <c r="K230" s="3">
        <f t="shared" si="63"/>
        <v>0</v>
      </c>
      <c r="L230" s="7">
        <f t="shared" si="64"/>
        <v>0</v>
      </c>
      <c r="M230" t="s">
        <v>187</v>
      </c>
      <c r="O230" s="3">
        <f>E230-'301055 - P0324'!F230</f>
        <v>0</v>
      </c>
      <c r="P230" s="30">
        <f>I230-'301055 - P0324'!J230</f>
        <v>0</v>
      </c>
    </row>
    <row r="231" spans="1:16" x14ac:dyDescent="0.25">
      <c r="A231">
        <v>229</v>
      </c>
      <c r="C231" t="s">
        <v>8</v>
      </c>
      <c r="D231" s="4" t="s">
        <v>221</v>
      </c>
      <c r="E231" s="12">
        <v>1.01</v>
      </c>
      <c r="F231" s="12">
        <v>1.01</v>
      </c>
      <c r="G231" s="6">
        <f t="shared" si="60"/>
        <v>0</v>
      </c>
      <c r="H231" s="7">
        <f t="shared" si="61"/>
        <v>0</v>
      </c>
      <c r="I231" s="8">
        <v>1.6874188799999998</v>
      </c>
      <c r="J231" s="9">
        <f t="shared" si="62"/>
        <v>1.6874188799999998</v>
      </c>
      <c r="K231" s="3">
        <f t="shared" si="63"/>
        <v>0</v>
      </c>
      <c r="L231" s="7">
        <f t="shared" si="64"/>
        <v>0</v>
      </c>
      <c r="M231" t="s">
        <v>187</v>
      </c>
      <c r="O231" s="3">
        <f>E231-'301055 - P0324'!F231</f>
        <v>0</v>
      </c>
      <c r="P231" s="30">
        <f>I231-'301055 - P0324'!J231</f>
        <v>0</v>
      </c>
    </row>
    <row r="232" spans="1:16" x14ac:dyDescent="0.25">
      <c r="A232">
        <v>230</v>
      </c>
      <c r="C232" t="s">
        <v>8</v>
      </c>
      <c r="D232" s="4" t="s">
        <v>222</v>
      </c>
      <c r="E232" s="12">
        <v>0.06</v>
      </c>
      <c r="F232" s="12">
        <v>0.06</v>
      </c>
      <c r="G232" s="6">
        <f t="shared" si="60"/>
        <v>0</v>
      </c>
      <c r="H232" s="7">
        <f t="shared" si="61"/>
        <v>0</v>
      </c>
      <c r="I232" s="8">
        <v>2.29</v>
      </c>
      <c r="J232" s="9">
        <f t="shared" si="62"/>
        <v>2.29</v>
      </c>
      <c r="K232" s="3">
        <f t="shared" si="63"/>
        <v>0</v>
      </c>
      <c r="L232" s="7">
        <f t="shared" si="64"/>
        <v>0</v>
      </c>
      <c r="M232" t="s">
        <v>187</v>
      </c>
      <c r="O232" s="3">
        <f>E232-'301055 - P0324'!F232</f>
        <v>0</v>
      </c>
      <c r="P232" s="30">
        <f>I232-'301055 - P0324'!J232</f>
        <v>0</v>
      </c>
    </row>
    <row r="233" spans="1:16" x14ac:dyDescent="0.25">
      <c r="A233">
        <v>231</v>
      </c>
      <c r="C233" t="s">
        <v>8</v>
      </c>
      <c r="D233" s="4" t="s">
        <v>223</v>
      </c>
      <c r="E233" s="12">
        <v>4.1399999999999997</v>
      </c>
      <c r="F233" s="12">
        <v>4.1399999999999997</v>
      </c>
      <c r="G233" s="6">
        <f t="shared" si="60"/>
        <v>0</v>
      </c>
      <c r="H233" s="7">
        <f t="shared" si="61"/>
        <v>0</v>
      </c>
      <c r="I233" s="8">
        <v>6.49</v>
      </c>
      <c r="J233" s="9">
        <f t="shared" si="62"/>
        <v>6.49</v>
      </c>
      <c r="K233" s="3">
        <f t="shared" si="63"/>
        <v>0</v>
      </c>
      <c r="L233" s="7">
        <f t="shared" si="64"/>
        <v>0</v>
      </c>
      <c r="M233" t="s">
        <v>187</v>
      </c>
      <c r="O233" s="3">
        <f>E233-'301055 - P0324'!F233</f>
        <v>0</v>
      </c>
      <c r="P233" s="30">
        <f>I233-'301055 - P0324'!J233</f>
        <v>0</v>
      </c>
    </row>
    <row r="234" spans="1:16" x14ac:dyDescent="0.25">
      <c r="A234">
        <v>232</v>
      </c>
      <c r="C234" t="s">
        <v>8</v>
      </c>
      <c r="D234" s="4" t="s">
        <v>224</v>
      </c>
      <c r="E234" s="12">
        <v>24.6</v>
      </c>
      <c r="F234" s="12">
        <v>24.6</v>
      </c>
      <c r="G234" s="6">
        <f t="shared" si="60"/>
        <v>0</v>
      </c>
      <c r="H234" s="7">
        <f t="shared" si="61"/>
        <v>0</v>
      </c>
      <c r="I234" s="8">
        <v>37.85520480000001</v>
      </c>
      <c r="J234" s="9">
        <f t="shared" si="62"/>
        <v>37.85520480000001</v>
      </c>
      <c r="K234" s="3">
        <f t="shared" si="63"/>
        <v>0</v>
      </c>
      <c r="L234" s="7">
        <f t="shared" si="64"/>
        <v>0</v>
      </c>
      <c r="M234" t="s">
        <v>187</v>
      </c>
      <c r="O234" s="3">
        <f>E234-'301055 - P0324'!F234</f>
        <v>0</v>
      </c>
      <c r="P234" s="30">
        <f>I234-'301055 - P0324'!J234</f>
        <v>0</v>
      </c>
    </row>
    <row r="235" spans="1:16" x14ac:dyDescent="0.25">
      <c r="A235">
        <v>233</v>
      </c>
      <c r="C235" t="s">
        <v>8</v>
      </c>
      <c r="D235" s="4" t="s">
        <v>225</v>
      </c>
      <c r="E235" s="12">
        <v>8.41</v>
      </c>
      <c r="F235" s="12">
        <v>8.41</v>
      </c>
      <c r="G235" s="6">
        <f t="shared" si="60"/>
        <v>0</v>
      </c>
      <c r="H235" s="7">
        <f t="shared" si="61"/>
        <v>0</v>
      </c>
      <c r="I235" s="8">
        <v>17.605379996335873</v>
      </c>
      <c r="J235" s="9">
        <f t="shared" si="62"/>
        <v>17.605379996335873</v>
      </c>
      <c r="K235" s="3">
        <f t="shared" si="63"/>
        <v>0</v>
      </c>
      <c r="L235" s="7">
        <f t="shared" si="64"/>
        <v>0</v>
      </c>
      <c r="M235" t="s">
        <v>187</v>
      </c>
      <c r="O235" s="3">
        <f>E235-'301055 - P0324'!F235</f>
        <v>0</v>
      </c>
      <c r="P235" s="30">
        <f>I235-'301055 - P0324'!J235</f>
        <v>0</v>
      </c>
    </row>
    <row r="236" spans="1:16" x14ac:dyDescent="0.25">
      <c r="A236">
        <v>234</v>
      </c>
      <c r="C236" t="s">
        <v>8</v>
      </c>
      <c r="D236" s="4" t="s">
        <v>226</v>
      </c>
      <c r="E236" s="12">
        <v>19.87</v>
      </c>
      <c r="F236" s="12">
        <v>19.87</v>
      </c>
      <c r="G236" s="6">
        <f t="shared" si="60"/>
        <v>0</v>
      </c>
      <c r="H236" s="7">
        <f t="shared" si="61"/>
        <v>0</v>
      </c>
      <c r="I236" s="8">
        <v>37.722017205436892</v>
      </c>
      <c r="J236" s="9">
        <f t="shared" si="62"/>
        <v>37.722017205436892</v>
      </c>
      <c r="K236" s="3">
        <f t="shared" si="63"/>
        <v>0</v>
      </c>
      <c r="L236" s="7">
        <f t="shared" si="64"/>
        <v>0</v>
      </c>
      <c r="M236" t="s">
        <v>187</v>
      </c>
      <c r="O236" s="3">
        <f>E236-'301055 - P0324'!F236</f>
        <v>0</v>
      </c>
      <c r="P236" s="30">
        <f>I236-'301055 - P0324'!J236</f>
        <v>0</v>
      </c>
    </row>
    <row r="237" spans="1:16" x14ac:dyDescent="0.25">
      <c r="A237">
        <v>235</v>
      </c>
      <c r="C237" t="s">
        <v>8</v>
      </c>
      <c r="D237" s="4" t="s">
        <v>227</v>
      </c>
      <c r="E237" s="12">
        <v>19.89</v>
      </c>
      <c r="F237" s="12">
        <v>19.89</v>
      </c>
      <c r="G237" s="6">
        <f t="shared" si="60"/>
        <v>0</v>
      </c>
      <c r="H237" s="7">
        <f t="shared" si="61"/>
        <v>0</v>
      </c>
      <c r="I237" s="8">
        <v>39.222494967342996</v>
      </c>
      <c r="J237" s="9">
        <f t="shared" si="62"/>
        <v>39.222494967342996</v>
      </c>
      <c r="K237" s="3">
        <f t="shared" si="63"/>
        <v>0</v>
      </c>
      <c r="L237" s="7">
        <f t="shared" si="64"/>
        <v>0</v>
      </c>
      <c r="M237" t="s">
        <v>187</v>
      </c>
      <c r="O237" s="3">
        <f>E237-'301055 - P0324'!F237</f>
        <v>0</v>
      </c>
      <c r="P237" s="30">
        <f>I237-'301055 - P0324'!J237</f>
        <v>0</v>
      </c>
    </row>
    <row r="238" spans="1:16" x14ac:dyDescent="0.25">
      <c r="A238">
        <v>236</v>
      </c>
      <c r="C238" t="s">
        <v>8</v>
      </c>
      <c r="D238" s="4" t="s">
        <v>228</v>
      </c>
      <c r="E238" s="12">
        <v>4.71</v>
      </c>
      <c r="F238" s="12">
        <v>4.71</v>
      </c>
      <c r="G238" s="6">
        <f t="shared" si="60"/>
        <v>0</v>
      </c>
      <c r="H238" s="7">
        <f t="shared" si="61"/>
        <v>0</v>
      </c>
      <c r="I238" s="8">
        <v>11.98</v>
      </c>
      <c r="J238" s="9">
        <f t="shared" si="62"/>
        <v>11.98</v>
      </c>
      <c r="K238" s="3">
        <f t="shared" si="63"/>
        <v>0</v>
      </c>
      <c r="L238" s="7">
        <f t="shared" si="64"/>
        <v>0</v>
      </c>
      <c r="M238" t="s">
        <v>187</v>
      </c>
      <c r="O238" s="3">
        <f>E238-'301055 - P0324'!F238</f>
        <v>0</v>
      </c>
      <c r="P238" s="30">
        <f>I238-'301055 - P0324'!J238</f>
        <v>0</v>
      </c>
    </row>
    <row r="239" spans="1:16" x14ac:dyDescent="0.25">
      <c r="A239">
        <v>237</v>
      </c>
      <c r="C239" t="s">
        <v>8</v>
      </c>
      <c r="D239" s="4" t="s">
        <v>229</v>
      </c>
      <c r="E239" s="12">
        <v>51.79</v>
      </c>
      <c r="F239" s="12">
        <v>51.79</v>
      </c>
      <c r="G239" s="6">
        <f t="shared" si="60"/>
        <v>0</v>
      </c>
      <c r="H239" s="7">
        <f t="shared" si="61"/>
        <v>0</v>
      </c>
      <c r="I239" s="8">
        <v>79.680000000000007</v>
      </c>
      <c r="J239" s="9">
        <f t="shared" si="62"/>
        <v>79.680000000000007</v>
      </c>
      <c r="K239" s="3">
        <f t="shared" si="63"/>
        <v>0</v>
      </c>
      <c r="L239" s="7">
        <f t="shared" si="64"/>
        <v>0</v>
      </c>
      <c r="M239" t="s">
        <v>187</v>
      </c>
      <c r="O239" s="3">
        <f>E239-'301055 - P0324'!F239</f>
        <v>0</v>
      </c>
      <c r="P239" s="30">
        <f>I239-'301055 - P0324'!J239</f>
        <v>0</v>
      </c>
    </row>
    <row r="240" spans="1:16" x14ac:dyDescent="0.25">
      <c r="A240">
        <v>238</v>
      </c>
      <c r="C240" t="s">
        <v>8</v>
      </c>
      <c r="D240" s="4" t="s">
        <v>230</v>
      </c>
      <c r="E240" s="12">
        <v>9.76</v>
      </c>
      <c r="F240" s="12">
        <v>9.76</v>
      </c>
      <c r="G240" s="6">
        <f t="shared" si="60"/>
        <v>0</v>
      </c>
      <c r="H240" s="7">
        <f t="shared" si="61"/>
        <v>0</v>
      </c>
      <c r="I240" s="8">
        <v>19.82</v>
      </c>
      <c r="J240" s="9">
        <f t="shared" si="62"/>
        <v>19.82</v>
      </c>
      <c r="K240" s="3">
        <f t="shared" si="63"/>
        <v>0</v>
      </c>
      <c r="L240" s="7">
        <f t="shared" si="64"/>
        <v>0</v>
      </c>
      <c r="M240" t="s">
        <v>187</v>
      </c>
      <c r="O240" s="3">
        <f>E240-'301055 - P0324'!F240</f>
        <v>0</v>
      </c>
      <c r="P240" s="30">
        <f>I240-'301055 - P0324'!J240</f>
        <v>0</v>
      </c>
    </row>
    <row r="241" spans="1:16" x14ac:dyDescent="0.25">
      <c r="A241">
        <v>239</v>
      </c>
      <c r="C241" t="s">
        <v>8</v>
      </c>
      <c r="D241" s="4" t="s">
        <v>231</v>
      </c>
      <c r="E241" s="12">
        <v>2.87</v>
      </c>
      <c r="F241" s="12">
        <v>2.87</v>
      </c>
      <c r="G241" s="6">
        <f t="shared" si="60"/>
        <v>0</v>
      </c>
      <c r="H241" s="7">
        <f t="shared" si="61"/>
        <v>0</v>
      </c>
      <c r="I241" s="8">
        <v>5.82</v>
      </c>
      <c r="J241" s="9">
        <f t="shared" si="62"/>
        <v>5.82</v>
      </c>
      <c r="K241" s="3">
        <f t="shared" si="63"/>
        <v>0</v>
      </c>
      <c r="L241" s="7">
        <f t="shared" si="64"/>
        <v>0</v>
      </c>
      <c r="M241" t="s">
        <v>187</v>
      </c>
      <c r="O241" s="3">
        <f>E241-'301055 - P0324'!F241</f>
        <v>0</v>
      </c>
      <c r="P241" s="30">
        <f>I241-'301055 - P0324'!J241</f>
        <v>0</v>
      </c>
    </row>
    <row r="242" spans="1:16" x14ac:dyDescent="0.25">
      <c r="A242">
        <v>240</v>
      </c>
      <c r="D242" s="2" t="s">
        <v>232</v>
      </c>
      <c r="H242" s="10">
        <f>AVERAGE(H194:H237)</f>
        <v>0</v>
      </c>
      <c r="I242"/>
    </row>
    <row r="243" spans="1:16" x14ac:dyDescent="0.25">
      <c r="A243">
        <v>241</v>
      </c>
      <c r="D243" s="2" t="s">
        <v>233</v>
      </c>
      <c r="I243"/>
      <c r="M243" t="s">
        <v>234</v>
      </c>
      <c r="O243" s="3">
        <f>E243-'301055 - P0324'!F243</f>
        <v>0</v>
      </c>
      <c r="P243" s="30">
        <f>I243-'301055 - P0324'!J243</f>
        <v>0</v>
      </c>
    </row>
    <row r="244" spans="1:16" x14ac:dyDescent="0.25">
      <c r="A244">
        <v>242</v>
      </c>
      <c r="C244" t="s">
        <v>8</v>
      </c>
      <c r="D244" s="4" t="s">
        <v>235</v>
      </c>
      <c r="E244" s="12">
        <v>19.32</v>
      </c>
      <c r="F244" s="12">
        <v>19.32</v>
      </c>
      <c r="G244" s="6">
        <f t="shared" ref="G244:G248" si="65">+F244-E244</f>
        <v>0</v>
      </c>
      <c r="H244" s="7">
        <f t="shared" ref="H244:H248" si="66">(F244-E244)/ABS(E244)</f>
        <v>0</v>
      </c>
      <c r="I244" s="8">
        <v>43.363738242210459</v>
      </c>
      <c r="J244" s="9">
        <f t="shared" ref="J244:J248" si="67">(I244*H244)+I244</f>
        <v>43.363738242210459</v>
      </c>
      <c r="K244" s="3">
        <f t="shared" ref="K244:K248" si="68">J244-I244</f>
        <v>0</v>
      </c>
      <c r="L244" s="7">
        <f t="shared" ref="L244:L248" si="69">(J244-I244)/ABS(I244)</f>
        <v>0</v>
      </c>
      <c r="M244" t="s">
        <v>234</v>
      </c>
      <c r="O244" s="3">
        <f>E244-'301055 - P0324'!F244</f>
        <v>0</v>
      </c>
      <c r="P244" s="30">
        <f>I244-'301055 - P0324'!J244</f>
        <v>0</v>
      </c>
    </row>
    <row r="245" spans="1:16" x14ac:dyDescent="0.25">
      <c r="A245">
        <v>243</v>
      </c>
      <c r="C245" t="s">
        <v>8</v>
      </c>
      <c r="D245" s="4" t="s">
        <v>236</v>
      </c>
      <c r="E245" s="12">
        <v>25.76</v>
      </c>
      <c r="F245" s="12">
        <v>25.76</v>
      </c>
      <c r="G245" s="6">
        <f t="shared" si="65"/>
        <v>0</v>
      </c>
      <c r="H245" s="7">
        <f t="shared" si="66"/>
        <v>0</v>
      </c>
      <c r="I245" s="8">
        <v>54.72</v>
      </c>
      <c r="J245" s="9">
        <f t="shared" si="67"/>
        <v>54.72</v>
      </c>
      <c r="K245" s="3">
        <f t="shared" si="68"/>
        <v>0</v>
      </c>
      <c r="L245" s="7">
        <f t="shared" si="69"/>
        <v>0</v>
      </c>
      <c r="M245" t="s">
        <v>234</v>
      </c>
      <c r="O245" s="3">
        <f>E245-'301055 - P0324'!F245</f>
        <v>0</v>
      </c>
      <c r="P245" s="30">
        <f>I245-'301055 - P0324'!J245</f>
        <v>0</v>
      </c>
    </row>
    <row r="246" spans="1:16" x14ac:dyDescent="0.25">
      <c r="A246">
        <v>244</v>
      </c>
      <c r="C246" t="s">
        <v>8</v>
      </c>
      <c r="D246" s="4" t="s">
        <v>237</v>
      </c>
      <c r="E246" s="12">
        <v>26.28</v>
      </c>
      <c r="F246" s="12">
        <v>26.28</v>
      </c>
      <c r="G246" s="6">
        <f t="shared" si="65"/>
        <v>0</v>
      </c>
      <c r="H246" s="7">
        <f t="shared" si="66"/>
        <v>0</v>
      </c>
      <c r="I246" s="8">
        <v>41.047300934300516</v>
      </c>
      <c r="J246" s="9">
        <f t="shared" si="67"/>
        <v>41.047300934300516</v>
      </c>
      <c r="K246" s="3">
        <f t="shared" si="68"/>
        <v>0</v>
      </c>
      <c r="L246" s="7">
        <f t="shared" si="69"/>
        <v>0</v>
      </c>
      <c r="M246" t="s">
        <v>234</v>
      </c>
      <c r="O246" s="3">
        <f>E246-'301055 - P0324'!F246</f>
        <v>0</v>
      </c>
      <c r="P246" s="30">
        <f>I246-'301055 - P0324'!J246</f>
        <v>0</v>
      </c>
    </row>
    <row r="247" spans="1:16" x14ac:dyDescent="0.25">
      <c r="A247">
        <v>245</v>
      </c>
      <c r="C247" t="s">
        <v>8</v>
      </c>
      <c r="D247" s="4" t="s">
        <v>238</v>
      </c>
      <c r="E247" s="12">
        <v>35.04</v>
      </c>
      <c r="F247" s="12">
        <v>35.04</v>
      </c>
      <c r="G247" s="6">
        <f t="shared" si="65"/>
        <v>0</v>
      </c>
      <c r="H247" s="7">
        <f t="shared" si="66"/>
        <v>0</v>
      </c>
      <c r="I247" s="8">
        <v>54.724364707150258</v>
      </c>
      <c r="J247" s="9">
        <f t="shared" si="67"/>
        <v>54.724364707150258</v>
      </c>
      <c r="K247" s="3">
        <f t="shared" si="68"/>
        <v>0</v>
      </c>
      <c r="L247" s="7">
        <f t="shared" si="69"/>
        <v>0</v>
      </c>
      <c r="M247" t="s">
        <v>234</v>
      </c>
      <c r="O247" s="3">
        <f>E247-'301055 - P0324'!F247</f>
        <v>0</v>
      </c>
      <c r="P247" s="30">
        <f>I247-'301055 - P0324'!J247</f>
        <v>0</v>
      </c>
    </row>
    <row r="248" spans="1:16" x14ac:dyDescent="0.25">
      <c r="A248">
        <v>246</v>
      </c>
      <c r="C248" t="s">
        <v>8</v>
      </c>
      <c r="D248" s="4" t="s">
        <v>239</v>
      </c>
      <c r="E248" s="12">
        <v>43.8</v>
      </c>
      <c r="F248" s="12">
        <v>43.8</v>
      </c>
      <c r="G248" s="6">
        <f t="shared" si="65"/>
        <v>0</v>
      </c>
      <c r="H248" s="7">
        <f t="shared" si="66"/>
        <v>0</v>
      </c>
      <c r="I248" s="8">
        <v>68.401428479999993</v>
      </c>
      <c r="J248" s="9">
        <f t="shared" si="67"/>
        <v>68.401428479999993</v>
      </c>
      <c r="K248" s="3">
        <f t="shared" si="68"/>
        <v>0</v>
      </c>
      <c r="L248" s="7">
        <f t="shared" si="69"/>
        <v>0</v>
      </c>
      <c r="M248" t="s">
        <v>234</v>
      </c>
      <c r="O248" s="3">
        <f>E248-'301055 - P0324'!F248</f>
        <v>0</v>
      </c>
      <c r="P248" s="30">
        <f>I248-'301055 - P0324'!J248</f>
        <v>0</v>
      </c>
    </row>
    <row r="249" spans="1:16" x14ac:dyDescent="0.25">
      <c r="A249">
        <v>247</v>
      </c>
      <c r="D249" s="2" t="s">
        <v>240</v>
      </c>
      <c r="H249" s="10">
        <f>AVERAGE(H244:H248)</f>
        <v>0</v>
      </c>
      <c r="I249"/>
    </row>
    <row r="250" spans="1:16" x14ac:dyDescent="0.25">
      <c r="A250">
        <v>248</v>
      </c>
      <c r="D250" s="2" t="s">
        <v>241</v>
      </c>
      <c r="I250"/>
    </row>
    <row r="251" spans="1:16" x14ac:dyDescent="0.25">
      <c r="A251">
        <v>249</v>
      </c>
      <c r="C251" t="s">
        <v>8</v>
      </c>
      <c r="D251" s="4" t="s">
        <v>242</v>
      </c>
      <c r="E251" s="12">
        <v>8.2200000000000006</v>
      </c>
      <c r="F251" s="11">
        <v>8.2200000000000006</v>
      </c>
      <c r="G251" s="6">
        <f t="shared" ref="G251:G295" si="70">+F251-E251</f>
        <v>0</v>
      </c>
      <c r="H251" s="7">
        <f t="shared" ref="H251:H295" si="71">(F251-E251)/ABS(E251)</f>
        <v>0</v>
      </c>
      <c r="I251" s="8">
        <v>28.54202272220985</v>
      </c>
      <c r="J251" s="9">
        <f t="shared" ref="J251:J295" si="72">(I251*H251)+I251</f>
        <v>28.54202272220985</v>
      </c>
      <c r="K251" s="3">
        <f t="shared" ref="K251:K295" si="73">J251-I251</f>
        <v>0</v>
      </c>
      <c r="L251" s="7">
        <f t="shared" ref="L251:L295" si="74">(J251-I251)/ABS(I251)</f>
        <v>0</v>
      </c>
      <c r="M251" t="s">
        <v>150</v>
      </c>
      <c r="O251" s="3">
        <f>E251-'301055 - P0324'!F251</f>
        <v>0</v>
      </c>
      <c r="P251" s="30">
        <f>I251-'301055 - P0324'!J251</f>
        <v>0</v>
      </c>
    </row>
    <row r="252" spans="1:16" x14ac:dyDescent="0.25">
      <c r="A252">
        <v>250</v>
      </c>
      <c r="C252" t="s">
        <v>8</v>
      </c>
      <c r="D252" s="4" t="s">
        <v>243</v>
      </c>
      <c r="E252" s="12">
        <v>7.68</v>
      </c>
      <c r="F252" s="11">
        <v>7.68</v>
      </c>
      <c r="G252" s="6">
        <f t="shared" si="70"/>
        <v>0</v>
      </c>
      <c r="H252" s="7">
        <f t="shared" si="71"/>
        <v>0</v>
      </c>
      <c r="I252" s="8">
        <v>16.421831032972253</v>
      </c>
      <c r="J252" s="9">
        <f t="shared" si="72"/>
        <v>16.421831032972253</v>
      </c>
      <c r="K252" s="3">
        <f t="shared" si="73"/>
        <v>0</v>
      </c>
      <c r="L252" s="7">
        <f t="shared" si="74"/>
        <v>0</v>
      </c>
      <c r="M252" t="s">
        <v>150</v>
      </c>
      <c r="O252" s="3">
        <f>E252-'301055 - P0324'!F252</f>
        <v>0</v>
      </c>
      <c r="P252" s="30">
        <f>I252-'301055 - P0324'!J252</f>
        <v>0</v>
      </c>
    </row>
    <row r="253" spans="1:16" x14ac:dyDescent="0.25">
      <c r="A253">
        <v>251</v>
      </c>
      <c r="C253" t="s">
        <v>8</v>
      </c>
      <c r="D253" s="4" t="s">
        <v>244</v>
      </c>
      <c r="E253" s="12">
        <v>54.2</v>
      </c>
      <c r="F253" s="12">
        <v>54.2</v>
      </c>
      <c r="G253" s="6">
        <f t="shared" si="70"/>
        <v>0</v>
      </c>
      <c r="H253" s="7">
        <f t="shared" si="71"/>
        <v>0</v>
      </c>
      <c r="I253" s="8">
        <v>77.863720000000001</v>
      </c>
      <c r="J253" s="9">
        <f t="shared" si="72"/>
        <v>77.863720000000001</v>
      </c>
      <c r="K253" s="3">
        <f t="shared" si="73"/>
        <v>0</v>
      </c>
      <c r="L253" s="7">
        <f t="shared" si="74"/>
        <v>0</v>
      </c>
      <c r="M253" t="s">
        <v>150</v>
      </c>
      <c r="O253" s="3">
        <f>E253-'301055 - P0324'!F253</f>
        <v>0</v>
      </c>
      <c r="P253" s="30">
        <f>I253-'301055 - P0324'!J253</f>
        <v>0</v>
      </c>
    </row>
    <row r="254" spans="1:16" x14ac:dyDescent="0.25">
      <c r="A254">
        <v>252</v>
      </c>
      <c r="C254" t="s">
        <v>8</v>
      </c>
      <c r="D254" s="4" t="s">
        <v>245</v>
      </c>
      <c r="E254" s="12">
        <v>3.75</v>
      </c>
      <c r="F254" s="12">
        <v>3.75</v>
      </c>
      <c r="G254" s="6">
        <f t="shared" si="70"/>
        <v>0</v>
      </c>
      <c r="H254" s="7">
        <f t="shared" si="71"/>
        <v>0</v>
      </c>
      <c r="I254" s="8">
        <v>7.7840909090909092</v>
      </c>
      <c r="J254" s="9">
        <f t="shared" si="72"/>
        <v>7.7840909090909092</v>
      </c>
      <c r="K254" s="3">
        <f t="shared" si="73"/>
        <v>0</v>
      </c>
      <c r="L254" s="7">
        <f t="shared" si="74"/>
        <v>0</v>
      </c>
      <c r="M254" t="s">
        <v>150</v>
      </c>
      <c r="O254" s="3">
        <f>E254-'301055 - P0324'!F254</f>
        <v>0</v>
      </c>
      <c r="P254" s="30">
        <f>I254-'301055 - P0324'!J254</f>
        <v>0</v>
      </c>
    </row>
    <row r="255" spans="1:16" x14ac:dyDescent="0.25">
      <c r="A255">
        <v>253</v>
      </c>
      <c r="C255" t="s">
        <v>8</v>
      </c>
      <c r="D255" s="4" t="s">
        <v>246</v>
      </c>
      <c r="E255" s="12">
        <v>7.34</v>
      </c>
      <c r="F255" s="11">
        <v>7.34</v>
      </c>
      <c r="G255" s="6">
        <f t="shared" si="70"/>
        <v>0</v>
      </c>
      <c r="H255" s="7">
        <f t="shared" si="71"/>
        <v>0</v>
      </c>
      <c r="I255" s="8">
        <v>27.961904761904762</v>
      </c>
      <c r="J255" s="9">
        <f t="shared" si="72"/>
        <v>27.961904761904762</v>
      </c>
      <c r="K255" s="3">
        <f t="shared" si="73"/>
        <v>0</v>
      </c>
      <c r="L255" s="7">
        <f t="shared" si="74"/>
        <v>0</v>
      </c>
      <c r="M255" t="s">
        <v>150</v>
      </c>
      <c r="O255" s="3">
        <f>E255-'301055 - P0324'!F255</f>
        <v>0</v>
      </c>
      <c r="P255" s="30">
        <f>I255-'301055 - P0324'!J255</f>
        <v>0</v>
      </c>
    </row>
    <row r="256" spans="1:16" x14ac:dyDescent="0.25">
      <c r="A256">
        <v>254</v>
      </c>
      <c r="C256" t="s">
        <v>8</v>
      </c>
      <c r="D256" s="4" t="s">
        <v>247</v>
      </c>
      <c r="E256" s="12">
        <v>13.75</v>
      </c>
      <c r="F256" s="12">
        <v>13.75</v>
      </c>
      <c r="G256" s="6">
        <f t="shared" si="70"/>
        <v>0</v>
      </c>
      <c r="H256" s="7">
        <f t="shared" si="71"/>
        <v>0</v>
      </c>
      <c r="I256" s="8">
        <v>17.348837209302324</v>
      </c>
      <c r="J256" s="9">
        <f t="shared" si="72"/>
        <v>17.348837209302324</v>
      </c>
      <c r="K256" s="3">
        <f t="shared" si="73"/>
        <v>0</v>
      </c>
      <c r="L256" s="7">
        <f t="shared" si="74"/>
        <v>0</v>
      </c>
      <c r="M256" t="s">
        <v>150</v>
      </c>
      <c r="O256" s="3">
        <f>E256-'301055 - P0324'!F256</f>
        <v>0</v>
      </c>
      <c r="P256" s="30">
        <f>I256-'301055 - P0324'!J256</f>
        <v>0</v>
      </c>
    </row>
    <row r="257" spans="1:16" x14ac:dyDescent="0.25">
      <c r="A257">
        <v>255</v>
      </c>
      <c r="C257" t="s">
        <v>8</v>
      </c>
      <c r="D257" s="4" t="s">
        <v>248</v>
      </c>
      <c r="E257" s="12">
        <v>10.25</v>
      </c>
      <c r="F257" s="12">
        <v>10.25</v>
      </c>
      <c r="G257" s="6">
        <f t="shared" si="70"/>
        <v>0</v>
      </c>
      <c r="H257" s="7">
        <f t="shared" si="71"/>
        <v>0</v>
      </c>
      <c r="I257" s="8">
        <v>13.461538461538462</v>
      </c>
      <c r="J257" s="9">
        <f t="shared" si="72"/>
        <v>13.461538461538462</v>
      </c>
      <c r="K257" s="3">
        <f t="shared" si="73"/>
        <v>0</v>
      </c>
      <c r="L257" s="7">
        <f t="shared" si="74"/>
        <v>0</v>
      </c>
      <c r="M257" t="s">
        <v>150</v>
      </c>
      <c r="O257" s="3">
        <f>E257-'301055 - P0324'!F257</f>
        <v>0</v>
      </c>
      <c r="P257" s="30">
        <f>I257-'301055 - P0324'!J257</f>
        <v>0</v>
      </c>
    </row>
    <row r="258" spans="1:16" x14ac:dyDescent="0.25">
      <c r="A258">
        <v>256</v>
      </c>
      <c r="C258" t="s">
        <v>8</v>
      </c>
      <c r="D258" s="4" t="s">
        <v>249</v>
      </c>
      <c r="E258" s="12">
        <v>5.75</v>
      </c>
      <c r="F258" s="12">
        <v>5.75</v>
      </c>
      <c r="G258" s="6">
        <f t="shared" si="70"/>
        <v>0</v>
      </c>
      <c r="H258" s="7">
        <f t="shared" si="71"/>
        <v>0</v>
      </c>
      <c r="I258" s="8">
        <v>15.717408000000002</v>
      </c>
      <c r="J258" s="9">
        <f t="shared" si="72"/>
        <v>15.717408000000002</v>
      </c>
      <c r="K258" s="3">
        <f t="shared" si="73"/>
        <v>0</v>
      </c>
      <c r="L258" s="7">
        <f t="shared" si="74"/>
        <v>0</v>
      </c>
      <c r="M258" t="s">
        <v>187</v>
      </c>
      <c r="O258" s="3">
        <f>E258-'301055 - P0324'!F258</f>
        <v>0</v>
      </c>
      <c r="P258" s="30">
        <f>I258-'301055 - P0324'!J258</f>
        <v>0</v>
      </c>
    </row>
    <row r="259" spans="1:16" x14ac:dyDescent="0.25">
      <c r="A259">
        <v>257</v>
      </c>
      <c r="C259" t="s">
        <v>8</v>
      </c>
      <c r="D259" s="4" t="s">
        <v>250</v>
      </c>
      <c r="E259" s="12">
        <v>18.22</v>
      </c>
      <c r="F259" s="5">
        <v>18.22</v>
      </c>
      <c r="G259" s="6">
        <f t="shared" si="70"/>
        <v>0</v>
      </c>
      <c r="H259" s="7">
        <f t="shared" si="71"/>
        <v>0</v>
      </c>
      <c r="I259" s="8">
        <v>36.44</v>
      </c>
      <c r="J259" s="9">
        <f t="shared" si="72"/>
        <v>36.44</v>
      </c>
      <c r="K259" s="3">
        <f t="shared" si="73"/>
        <v>0</v>
      </c>
      <c r="L259" s="7">
        <f t="shared" si="74"/>
        <v>0</v>
      </c>
      <c r="M259" t="s">
        <v>150</v>
      </c>
      <c r="O259" s="3">
        <f>E259-'301055 - P0324'!F259</f>
        <v>0</v>
      </c>
      <c r="P259" s="30">
        <f>I259-'301055 - P0324'!J259</f>
        <v>0</v>
      </c>
    </row>
    <row r="260" spans="1:16" x14ac:dyDescent="0.25">
      <c r="A260">
        <v>258</v>
      </c>
      <c r="C260" t="s">
        <v>8</v>
      </c>
      <c r="D260" s="4" t="s">
        <v>251</v>
      </c>
      <c r="E260" s="12">
        <v>2.21</v>
      </c>
      <c r="F260" s="5">
        <v>2.21</v>
      </c>
      <c r="G260" s="6">
        <f t="shared" si="70"/>
        <v>0</v>
      </c>
      <c r="H260" s="7">
        <f t="shared" si="71"/>
        <v>0</v>
      </c>
      <c r="I260" s="8">
        <v>4.5939072847682123</v>
      </c>
      <c r="J260" s="9">
        <f t="shared" si="72"/>
        <v>4.5939072847682123</v>
      </c>
      <c r="K260" s="3">
        <f t="shared" si="73"/>
        <v>0</v>
      </c>
      <c r="L260" s="7">
        <f t="shared" si="74"/>
        <v>0</v>
      </c>
      <c r="M260" t="s">
        <v>150</v>
      </c>
      <c r="O260" s="3">
        <f>E260-'301055 - P0324'!F260</f>
        <v>0</v>
      </c>
      <c r="P260" s="30">
        <f>I260-'301055 - P0324'!J260</f>
        <v>0</v>
      </c>
    </row>
    <row r="261" spans="1:16" x14ac:dyDescent="0.25">
      <c r="A261">
        <v>259</v>
      </c>
      <c r="C261" t="s">
        <v>8</v>
      </c>
      <c r="D261" s="4" t="s">
        <v>252</v>
      </c>
      <c r="E261" s="12">
        <v>3.3</v>
      </c>
      <c r="F261" s="5">
        <v>3.3</v>
      </c>
      <c r="G261" s="6">
        <f t="shared" si="70"/>
        <v>0</v>
      </c>
      <c r="H261" s="7">
        <f t="shared" si="71"/>
        <v>0</v>
      </c>
      <c r="I261" s="8">
        <v>7.177170731707319</v>
      </c>
      <c r="J261" s="9">
        <f t="shared" si="72"/>
        <v>7.177170731707319</v>
      </c>
      <c r="K261" s="3">
        <f t="shared" si="73"/>
        <v>0</v>
      </c>
      <c r="L261" s="7">
        <f t="shared" si="74"/>
        <v>0</v>
      </c>
      <c r="M261" t="s">
        <v>150</v>
      </c>
      <c r="O261" s="3">
        <f>E261-'301055 - P0324'!F261</f>
        <v>0</v>
      </c>
      <c r="P261" s="30">
        <f>I261-'301055 - P0324'!J261</f>
        <v>0</v>
      </c>
    </row>
    <row r="262" spans="1:16" x14ac:dyDescent="0.25">
      <c r="A262">
        <v>260</v>
      </c>
      <c r="C262" t="s">
        <v>8</v>
      </c>
      <c r="D262" s="4" t="s">
        <v>253</v>
      </c>
      <c r="E262" s="12">
        <v>123.23</v>
      </c>
      <c r="F262" s="12">
        <v>123.23</v>
      </c>
      <c r="G262" s="6">
        <f t="shared" si="70"/>
        <v>0</v>
      </c>
      <c r="H262" s="7">
        <f t="shared" si="71"/>
        <v>0</v>
      </c>
      <c r="I262" s="8">
        <v>262.95999999999998</v>
      </c>
      <c r="J262" s="9">
        <f t="shared" si="72"/>
        <v>262.95999999999998</v>
      </c>
      <c r="K262" s="3">
        <f t="shared" si="73"/>
        <v>0</v>
      </c>
      <c r="L262" s="7">
        <f t="shared" si="74"/>
        <v>0</v>
      </c>
      <c r="M262" t="s">
        <v>150</v>
      </c>
      <c r="O262" s="3">
        <f>E262-'301055 - P0324'!F262</f>
        <v>0</v>
      </c>
      <c r="P262" s="30">
        <f>I262-'301055 - P0324'!J262</f>
        <v>0</v>
      </c>
    </row>
    <row r="263" spans="1:16" x14ac:dyDescent="0.25">
      <c r="A263">
        <v>261</v>
      </c>
      <c r="C263" t="s">
        <v>8</v>
      </c>
      <c r="D263" s="4" t="s">
        <v>254</v>
      </c>
      <c r="E263" s="12">
        <v>121.84</v>
      </c>
      <c r="F263" s="12">
        <v>121.84</v>
      </c>
      <c r="G263" s="6">
        <f t="shared" si="70"/>
        <v>0</v>
      </c>
      <c r="H263" s="7">
        <f t="shared" si="71"/>
        <v>0</v>
      </c>
      <c r="I263" s="8">
        <v>219.99</v>
      </c>
      <c r="J263" s="9">
        <f t="shared" si="72"/>
        <v>219.99</v>
      </c>
      <c r="K263" s="3">
        <f t="shared" si="73"/>
        <v>0</v>
      </c>
      <c r="L263" s="7">
        <f t="shared" si="74"/>
        <v>0</v>
      </c>
      <c r="M263" t="s">
        <v>150</v>
      </c>
      <c r="O263" s="3">
        <f>E263-'301055 - P0324'!F263</f>
        <v>0</v>
      </c>
      <c r="P263" s="30">
        <f>I263-'301055 - P0324'!J263</f>
        <v>0</v>
      </c>
    </row>
    <row r="264" spans="1:16" x14ac:dyDescent="0.25">
      <c r="A264">
        <v>262</v>
      </c>
      <c r="C264" t="s">
        <v>8</v>
      </c>
      <c r="D264" s="4" t="s">
        <v>255</v>
      </c>
      <c r="E264" s="5">
        <v>10.8</v>
      </c>
      <c r="F264" s="5">
        <v>10.8</v>
      </c>
      <c r="G264" s="6">
        <f t="shared" si="70"/>
        <v>0</v>
      </c>
      <c r="H264" s="7">
        <f t="shared" si="71"/>
        <v>0</v>
      </c>
      <c r="I264" s="8">
        <v>23.043154761904759</v>
      </c>
      <c r="J264" s="9">
        <f t="shared" si="72"/>
        <v>23.043154761904759</v>
      </c>
      <c r="K264" s="3">
        <f t="shared" si="73"/>
        <v>0</v>
      </c>
      <c r="L264" s="7">
        <f t="shared" si="74"/>
        <v>0</v>
      </c>
      <c r="M264" s="7" t="s">
        <v>150</v>
      </c>
      <c r="O264" s="3">
        <f>E264-'301055 - P0324'!F264</f>
        <v>0</v>
      </c>
      <c r="P264" s="30">
        <f>I264-'301055 - P0324'!J264</f>
        <v>0</v>
      </c>
    </row>
    <row r="265" spans="1:16" x14ac:dyDescent="0.25">
      <c r="A265">
        <v>263</v>
      </c>
      <c r="C265" t="s">
        <v>8</v>
      </c>
      <c r="D265" s="4" t="s">
        <v>256</v>
      </c>
      <c r="E265" s="5">
        <v>12.96</v>
      </c>
      <c r="F265" s="5">
        <v>12.96</v>
      </c>
      <c r="G265" s="6">
        <f t="shared" si="70"/>
        <v>0</v>
      </c>
      <c r="H265" s="7">
        <f t="shared" si="71"/>
        <v>0</v>
      </c>
      <c r="I265" s="8">
        <v>30.49</v>
      </c>
      <c r="J265" s="9">
        <f t="shared" si="72"/>
        <v>30.49</v>
      </c>
      <c r="K265" s="3">
        <f t="shared" si="73"/>
        <v>0</v>
      </c>
      <c r="L265" s="7">
        <f t="shared" si="74"/>
        <v>0</v>
      </c>
      <c r="M265" s="7" t="s">
        <v>150</v>
      </c>
      <c r="O265" s="3">
        <f>E265-'301055 - P0324'!F265</f>
        <v>0</v>
      </c>
      <c r="P265" s="30">
        <f>I265-'301055 - P0324'!J265</f>
        <v>0</v>
      </c>
    </row>
    <row r="266" spans="1:16" x14ac:dyDescent="0.25">
      <c r="A266">
        <v>264</v>
      </c>
      <c r="C266" t="s">
        <v>8</v>
      </c>
      <c r="D266" s="4" t="s">
        <v>257</v>
      </c>
      <c r="E266" s="5">
        <v>10.8</v>
      </c>
      <c r="F266" s="5">
        <v>10.8</v>
      </c>
      <c r="G266" s="6">
        <f t="shared" si="70"/>
        <v>0</v>
      </c>
      <c r="H266" s="7">
        <f t="shared" si="71"/>
        <v>0</v>
      </c>
      <c r="I266" s="8">
        <v>23.043154761904759</v>
      </c>
      <c r="J266" s="9">
        <f t="shared" si="72"/>
        <v>23.043154761904759</v>
      </c>
      <c r="K266" s="3">
        <f t="shared" si="73"/>
        <v>0</v>
      </c>
      <c r="L266" s="7">
        <f t="shared" si="74"/>
        <v>0</v>
      </c>
      <c r="M266" t="s">
        <v>150</v>
      </c>
      <c r="O266" s="3">
        <f>E266-'301055 - P0324'!F266</f>
        <v>0</v>
      </c>
      <c r="P266" s="30">
        <f>I266-'301055 - P0324'!J266</f>
        <v>0</v>
      </c>
    </row>
    <row r="267" spans="1:16" x14ac:dyDescent="0.25">
      <c r="A267">
        <v>265</v>
      </c>
      <c r="C267" t="s">
        <v>8</v>
      </c>
      <c r="D267" s="4" t="s">
        <v>258</v>
      </c>
      <c r="E267" s="5">
        <v>3.44</v>
      </c>
      <c r="F267" s="5">
        <v>3.44</v>
      </c>
      <c r="G267" s="6">
        <f t="shared" si="70"/>
        <v>0</v>
      </c>
      <c r="H267" s="7">
        <f t="shared" si="71"/>
        <v>0</v>
      </c>
      <c r="I267" s="8">
        <v>6.5289583333333336</v>
      </c>
      <c r="J267" s="9">
        <f t="shared" si="72"/>
        <v>6.5289583333333336</v>
      </c>
      <c r="K267" s="3">
        <f t="shared" si="73"/>
        <v>0</v>
      </c>
      <c r="L267" s="7">
        <f t="shared" si="74"/>
        <v>0</v>
      </c>
      <c r="M267" t="s">
        <v>150</v>
      </c>
      <c r="O267" s="3">
        <f>E267-'301055 - P0324'!F267</f>
        <v>0</v>
      </c>
      <c r="P267" s="30">
        <f>I267-'301055 - P0324'!J267</f>
        <v>0</v>
      </c>
    </row>
    <row r="268" spans="1:16" x14ac:dyDescent="0.25">
      <c r="A268">
        <v>266</v>
      </c>
      <c r="C268" t="s">
        <v>8</v>
      </c>
      <c r="D268" s="4" t="s">
        <v>259</v>
      </c>
      <c r="E268" s="5">
        <v>2.64</v>
      </c>
      <c r="F268" s="5">
        <v>2.64</v>
      </c>
      <c r="G268" s="6">
        <f t="shared" si="70"/>
        <v>0</v>
      </c>
      <c r="H268" s="7">
        <f t="shared" si="71"/>
        <v>0</v>
      </c>
      <c r="I268" s="8">
        <v>5.9648076923076916</v>
      </c>
      <c r="J268" s="9">
        <f t="shared" si="72"/>
        <v>5.9648076923076916</v>
      </c>
      <c r="K268" s="3">
        <f t="shared" si="73"/>
        <v>0</v>
      </c>
      <c r="L268" s="7">
        <f t="shared" si="74"/>
        <v>0</v>
      </c>
      <c r="M268" t="s">
        <v>150</v>
      </c>
      <c r="O268" s="3">
        <f>E268-'301055 - P0324'!F268</f>
        <v>0</v>
      </c>
      <c r="P268" s="30">
        <f>I268-'301055 - P0324'!J268</f>
        <v>0</v>
      </c>
    </row>
    <row r="269" spans="1:16" x14ac:dyDescent="0.25">
      <c r="A269">
        <v>267</v>
      </c>
      <c r="C269" t="s">
        <v>8</v>
      </c>
      <c r="D269" s="4" t="s">
        <v>260</v>
      </c>
      <c r="E269" s="5">
        <v>2.64</v>
      </c>
      <c r="F269" s="5">
        <v>2.64</v>
      </c>
      <c r="G269" s="6">
        <f t="shared" si="70"/>
        <v>0</v>
      </c>
      <c r="H269" s="7">
        <f t="shared" si="71"/>
        <v>0</v>
      </c>
      <c r="I269" s="8">
        <v>4.9814285714285704</v>
      </c>
      <c r="J269" s="9">
        <f t="shared" si="72"/>
        <v>4.9814285714285704</v>
      </c>
      <c r="K269" s="3">
        <f t="shared" si="73"/>
        <v>0</v>
      </c>
      <c r="L269" s="7">
        <f t="shared" si="74"/>
        <v>0</v>
      </c>
      <c r="M269" t="s">
        <v>150</v>
      </c>
      <c r="O269" s="3">
        <f>E269-'301055 - P0324'!F269</f>
        <v>0</v>
      </c>
      <c r="P269" s="30">
        <f>I269-'301055 - P0324'!J269</f>
        <v>0</v>
      </c>
    </row>
    <row r="270" spans="1:16" x14ac:dyDescent="0.25">
      <c r="A270">
        <v>268</v>
      </c>
      <c r="C270" t="s">
        <v>8</v>
      </c>
      <c r="D270" s="4" t="s">
        <v>261</v>
      </c>
      <c r="E270" s="5">
        <v>3.6</v>
      </c>
      <c r="F270" s="5">
        <v>3.6</v>
      </c>
      <c r="G270" s="6">
        <f t="shared" si="70"/>
        <v>0</v>
      </c>
      <c r="H270" s="7">
        <f t="shared" si="71"/>
        <v>0</v>
      </c>
      <c r="I270" s="8">
        <v>6.3735069444444443</v>
      </c>
      <c r="J270" s="9">
        <f t="shared" si="72"/>
        <v>6.3735069444444443</v>
      </c>
      <c r="K270" s="3">
        <f t="shared" si="73"/>
        <v>0</v>
      </c>
      <c r="L270" s="7">
        <f t="shared" si="74"/>
        <v>0</v>
      </c>
      <c r="M270" t="s">
        <v>150</v>
      </c>
      <c r="O270" s="3">
        <f>E270-'301055 - P0324'!F270</f>
        <v>0</v>
      </c>
      <c r="P270" s="30">
        <f>I270-'301055 - P0324'!J270</f>
        <v>0</v>
      </c>
    </row>
    <row r="271" spans="1:16" x14ac:dyDescent="0.25">
      <c r="A271">
        <v>269</v>
      </c>
      <c r="C271" t="s">
        <v>8</v>
      </c>
      <c r="D271" s="4" t="s">
        <v>262</v>
      </c>
      <c r="E271" s="5">
        <v>3.2</v>
      </c>
      <c r="F271" s="5">
        <v>3.2</v>
      </c>
      <c r="G271" s="6">
        <f t="shared" si="70"/>
        <v>0</v>
      </c>
      <c r="H271" s="7">
        <f t="shared" si="71"/>
        <v>0</v>
      </c>
      <c r="I271" s="8">
        <v>9.5772187500000001</v>
      </c>
      <c r="J271" s="9">
        <f t="shared" si="72"/>
        <v>9.5772187500000001</v>
      </c>
      <c r="K271" s="3">
        <f t="shared" si="73"/>
        <v>0</v>
      </c>
      <c r="L271" s="7">
        <f t="shared" si="74"/>
        <v>0</v>
      </c>
      <c r="M271" t="s">
        <v>150</v>
      </c>
      <c r="O271" s="3">
        <f>E271-'301055 - P0324'!F271</f>
        <v>0</v>
      </c>
      <c r="P271" s="30">
        <f>I271-'301055 - P0324'!J271</f>
        <v>0</v>
      </c>
    </row>
    <row r="272" spans="1:16" x14ac:dyDescent="0.25">
      <c r="A272">
        <v>270</v>
      </c>
      <c r="C272" t="s">
        <v>8</v>
      </c>
      <c r="D272" s="4" t="s">
        <v>263</v>
      </c>
      <c r="E272" s="5">
        <v>3.2</v>
      </c>
      <c r="F272" s="5">
        <v>3.2</v>
      </c>
      <c r="G272" s="6">
        <f t="shared" si="70"/>
        <v>0</v>
      </c>
      <c r="H272" s="7">
        <f t="shared" si="71"/>
        <v>0</v>
      </c>
      <c r="I272" s="8">
        <v>6.3735069444444443</v>
      </c>
      <c r="J272" s="9">
        <f t="shared" si="72"/>
        <v>6.3735069444444443</v>
      </c>
      <c r="K272" s="3">
        <f t="shared" si="73"/>
        <v>0</v>
      </c>
      <c r="L272" s="7">
        <f t="shared" si="74"/>
        <v>0</v>
      </c>
      <c r="M272" t="s">
        <v>150</v>
      </c>
      <c r="O272" s="3">
        <f>E272-'301055 - P0324'!F272</f>
        <v>0</v>
      </c>
      <c r="P272" s="30">
        <f>I272-'301055 - P0324'!J272</f>
        <v>0</v>
      </c>
    </row>
    <row r="273" spans="1:16" x14ac:dyDescent="0.25">
      <c r="A273">
        <v>271</v>
      </c>
      <c r="C273" t="s">
        <v>8</v>
      </c>
      <c r="D273" s="4" t="s">
        <v>264</v>
      </c>
      <c r="E273" s="12">
        <v>34.130000000000003</v>
      </c>
      <c r="F273" s="11">
        <v>34.130000000000003</v>
      </c>
      <c r="G273" s="6">
        <f t="shared" si="70"/>
        <v>0</v>
      </c>
      <c r="H273" s="7">
        <f t="shared" si="71"/>
        <v>0</v>
      </c>
      <c r="I273" s="8">
        <v>83.99904491032467</v>
      </c>
      <c r="J273" s="9">
        <f t="shared" si="72"/>
        <v>83.99904491032467</v>
      </c>
      <c r="K273" s="3">
        <f t="shared" si="73"/>
        <v>0</v>
      </c>
      <c r="L273" s="7">
        <f t="shared" si="74"/>
        <v>0</v>
      </c>
      <c r="M273" t="s">
        <v>150</v>
      </c>
      <c r="O273" s="3">
        <f>E273-'301055 - P0324'!F273</f>
        <v>0</v>
      </c>
      <c r="P273" s="30">
        <f>I273-'301055 - P0324'!J273</f>
        <v>0</v>
      </c>
    </row>
    <row r="274" spans="1:16" x14ac:dyDescent="0.25">
      <c r="A274">
        <v>272</v>
      </c>
      <c r="C274" t="s">
        <v>8</v>
      </c>
      <c r="D274" s="4" t="s">
        <v>265</v>
      </c>
      <c r="E274" s="12">
        <v>40.14</v>
      </c>
      <c r="F274" s="11">
        <v>40.14</v>
      </c>
      <c r="G274" s="6">
        <f t="shared" si="70"/>
        <v>0</v>
      </c>
      <c r="H274" s="7">
        <f t="shared" si="71"/>
        <v>0</v>
      </c>
      <c r="I274" s="8">
        <v>100.73811614890289</v>
      </c>
      <c r="J274" s="9">
        <f t="shared" si="72"/>
        <v>100.73811614890289</v>
      </c>
      <c r="K274" s="3">
        <f t="shared" si="73"/>
        <v>0</v>
      </c>
      <c r="L274" s="7">
        <f t="shared" si="74"/>
        <v>0</v>
      </c>
      <c r="M274" t="s">
        <v>150</v>
      </c>
      <c r="O274" s="3">
        <f>E274-'301055 - P0324'!F274</f>
        <v>0</v>
      </c>
      <c r="P274" s="30">
        <f>I274-'301055 - P0324'!J274</f>
        <v>0</v>
      </c>
    </row>
    <row r="275" spans="1:16" x14ac:dyDescent="0.25">
      <c r="A275">
        <v>273</v>
      </c>
      <c r="C275" t="s">
        <v>8</v>
      </c>
      <c r="D275" s="4" t="s">
        <v>266</v>
      </c>
      <c r="E275" s="12">
        <v>0.71</v>
      </c>
      <c r="F275" s="11">
        <v>0.71</v>
      </c>
      <c r="G275" s="6">
        <f t="shared" si="70"/>
        <v>0</v>
      </c>
      <c r="H275" s="7">
        <f t="shared" si="71"/>
        <v>0</v>
      </c>
      <c r="I275" s="8">
        <v>1.3974603174603173</v>
      </c>
      <c r="J275" s="9">
        <f t="shared" si="72"/>
        <v>1.3974603174603173</v>
      </c>
      <c r="K275" s="3">
        <f t="shared" si="73"/>
        <v>0</v>
      </c>
      <c r="L275" s="7">
        <f t="shared" si="74"/>
        <v>0</v>
      </c>
      <c r="M275" t="s">
        <v>150</v>
      </c>
      <c r="O275" s="3">
        <f>E275-'301055 - P0324'!F275</f>
        <v>0</v>
      </c>
      <c r="P275" s="30">
        <f>I275-'301055 - P0324'!J275</f>
        <v>0</v>
      </c>
    </row>
    <row r="276" spans="1:16" x14ac:dyDescent="0.25">
      <c r="A276">
        <v>274</v>
      </c>
      <c r="C276" t="s">
        <v>8</v>
      </c>
      <c r="D276" s="4" t="s">
        <v>267</v>
      </c>
      <c r="E276" s="12">
        <v>15.02</v>
      </c>
      <c r="F276" s="11">
        <v>15.02</v>
      </c>
      <c r="G276" s="6">
        <f t="shared" si="70"/>
        <v>0</v>
      </c>
      <c r="H276" s="7">
        <f t="shared" si="71"/>
        <v>0</v>
      </c>
      <c r="I276" s="8">
        <v>39.554925957158105</v>
      </c>
      <c r="J276" s="9">
        <f t="shared" si="72"/>
        <v>39.554925957158105</v>
      </c>
      <c r="K276" s="3">
        <f t="shared" si="73"/>
        <v>0</v>
      </c>
      <c r="L276" s="7">
        <f t="shared" si="74"/>
        <v>0</v>
      </c>
      <c r="M276" t="s">
        <v>150</v>
      </c>
      <c r="O276" s="3">
        <f>E276-'301055 - P0324'!F276</f>
        <v>0</v>
      </c>
      <c r="P276" s="30">
        <f>I276-'301055 - P0324'!J276</f>
        <v>0</v>
      </c>
    </row>
    <row r="277" spans="1:16" x14ac:dyDescent="0.25">
      <c r="A277">
        <v>275</v>
      </c>
      <c r="C277" t="s">
        <v>8</v>
      </c>
      <c r="D277" s="4" t="s">
        <v>268</v>
      </c>
      <c r="E277" s="12">
        <v>12.5</v>
      </c>
      <c r="F277" s="11">
        <v>12.5</v>
      </c>
      <c r="G277" s="6">
        <f t="shared" si="70"/>
        <v>0</v>
      </c>
      <c r="H277" s="7">
        <f t="shared" si="71"/>
        <v>0</v>
      </c>
      <c r="I277" s="8">
        <v>21.214819136522753</v>
      </c>
      <c r="J277" s="9">
        <f t="shared" si="72"/>
        <v>21.214819136522753</v>
      </c>
      <c r="K277" s="3">
        <f t="shared" si="73"/>
        <v>0</v>
      </c>
      <c r="L277" s="7">
        <f t="shared" si="74"/>
        <v>0</v>
      </c>
      <c r="M277" t="s">
        <v>187</v>
      </c>
      <c r="O277" s="3">
        <f>E277-'301055 - P0324'!F277</f>
        <v>0</v>
      </c>
      <c r="P277" s="30">
        <f>I277-'301055 - P0324'!J277</f>
        <v>0</v>
      </c>
    </row>
    <row r="278" spans="1:16" x14ac:dyDescent="0.25">
      <c r="A278">
        <v>276</v>
      </c>
      <c r="C278" t="s">
        <v>8</v>
      </c>
      <c r="D278" s="4" t="s">
        <v>269</v>
      </c>
      <c r="E278" s="12">
        <v>12</v>
      </c>
      <c r="F278" s="12">
        <v>12</v>
      </c>
      <c r="G278" s="6">
        <f>+F278-E278</f>
        <v>0</v>
      </c>
      <c r="H278" s="7">
        <f>(F278-E278)/ABS(E278)</f>
        <v>0</v>
      </c>
      <c r="I278" s="8">
        <v>18.47</v>
      </c>
      <c r="J278" s="9">
        <f>(I278*H278)+I278</f>
        <v>18.47</v>
      </c>
      <c r="K278" s="3">
        <f>J278-I278</f>
        <v>0</v>
      </c>
      <c r="L278" s="7">
        <f>(J278-I278)/ABS(I278)</f>
        <v>0</v>
      </c>
      <c r="M278" t="s">
        <v>187</v>
      </c>
      <c r="O278" s="3">
        <f>E278-'301055 - P0324'!F278</f>
        <v>0</v>
      </c>
      <c r="P278" s="30">
        <f>I278-'301055 - P0324'!J278</f>
        <v>0</v>
      </c>
    </row>
    <row r="279" spans="1:16" x14ac:dyDescent="0.25">
      <c r="A279">
        <v>277</v>
      </c>
      <c r="C279" t="s">
        <v>8</v>
      </c>
      <c r="D279" s="4" t="s">
        <v>270</v>
      </c>
      <c r="E279" s="12">
        <v>8.9499999999999993</v>
      </c>
      <c r="F279" s="11">
        <v>8.9499999999999993</v>
      </c>
      <c r="G279" s="6">
        <f t="shared" si="70"/>
        <v>0</v>
      </c>
      <c r="H279" s="7">
        <f t="shared" si="71"/>
        <v>0</v>
      </c>
      <c r="I279" s="8">
        <v>29.456687862360731</v>
      </c>
      <c r="J279" s="9">
        <f t="shared" si="72"/>
        <v>29.456687862360731</v>
      </c>
      <c r="K279" s="3">
        <f t="shared" si="73"/>
        <v>0</v>
      </c>
      <c r="L279" s="7">
        <f t="shared" si="74"/>
        <v>0</v>
      </c>
      <c r="M279" t="s">
        <v>187</v>
      </c>
      <c r="O279" s="3">
        <f>E279-'301055 - P0324'!F279</f>
        <v>0</v>
      </c>
      <c r="P279" s="30">
        <f>I279-'301055 - P0324'!J279</f>
        <v>0</v>
      </c>
    </row>
    <row r="280" spans="1:16" x14ac:dyDescent="0.25">
      <c r="A280">
        <v>278</v>
      </c>
      <c r="C280" t="s">
        <v>8</v>
      </c>
      <c r="D280" s="4" t="s">
        <v>271</v>
      </c>
      <c r="E280" s="16">
        <v>46.13</v>
      </c>
      <c r="F280" s="12">
        <v>46.13</v>
      </c>
      <c r="G280" s="6">
        <f t="shared" si="70"/>
        <v>0</v>
      </c>
      <c r="H280" s="7">
        <f t="shared" si="71"/>
        <v>0</v>
      </c>
      <c r="I280" s="8">
        <v>71.680000000000007</v>
      </c>
      <c r="J280" s="9">
        <f t="shared" si="72"/>
        <v>71.680000000000007</v>
      </c>
      <c r="K280" s="3">
        <f t="shared" si="73"/>
        <v>0</v>
      </c>
      <c r="L280" s="7">
        <f t="shared" si="74"/>
        <v>0</v>
      </c>
      <c r="M280" t="s">
        <v>187</v>
      </c>
      <c r="O280" s="3">
        <f>E280-'301055 - P0324'!F280</f>
        <v>0</v>
      </c>
      <c r="P280" s="30">
        <f>I280-'301055 - P0324'!J280</f>
        <v>0</v>
      </c>
    </row>
    <row r="281" spans="1:16" x14ac:dyDescent="0.25">
      <c r="A281">
        <v>279</v>
      </c>
      <c r="C281" t="s">
        <v>8</v>
      </c>
      <c r="D281" s="4" t="s">
        <v>272</v>
      </c>
      <c r="E281" s="5">
        <v>5.85</v>
      </c>
      <c r="F281" s="5">
        <v>5.85</v>
      </c>
      <c r="G281" s="6">
        <f t="shared" si="70"/>
        <v>0</v>
      </c>
      <c r="H281" s="7">
        <f t="shared" si="71"/>
        <v>0</v>
      </c>
      <c r="I281" s="8">
        <v>6.9</v>
      </c>
      <c r="J281" s="9">
        <f t="shared" si="72"/>
        <v>6.9</v>
      </c>
      <c r="K281" s="3">
        <f t="shared" si="73"/>
        <v>0</v>
      </c>
      <c r="L281" s="7">
        <f t="shared" si="74"/>
        <v>0</v>
      </c>
      <c r="M281" t="s">
        <v>150</v>
      </c>
      <c r="O281" s="3">
        <f>E281-'301055 - P0324'!F281</f>
        <v>0</v>
      </c>
      <c r="P281" s="30">
        <f>I281-'301055 - P0324'!J281</f>
        <v>0</v>
      </c>
    </row>
    <row r="282" spans="1:16" x14ac:dyDescent="0.25">
      <c r="A282">
        <v>280</v>
      </c>
      <c r="C282" t="s">
        <v>8</v>
      </c>
      <c r="D282" s="4" t="s">
        <v>273</v>
      </c>
      <c r="E282" s="5">
        <v>6.93</v>
      </c>
      <c r="F282" s="5">
        <v>6.93</v>
      </c>
      <c r="G282" s="6">
        <f t="shared" si="70"/>
        <v>0</v>
      </c>
      <c r="H282" s="7">
        <f t="shared" si="71"/>
        <v>0</v>
      </c>
      <c r="I282" s="8">
        <v>13.99</v>
      </c>
      <c r="J282" s="9">
        <f t="shared" si="72"/>
        <v>13.99</v>
      </c>
      <c r="K282" s="3">
        <f t="shared" si="73"/>
        <v>0</v>
      </c>
      <c r="L282" s="7">
        <f t="shared" si="74"/>
        <v>0</v>
      </c>
      <c r="M282" t="s">
        <v>150</v>
      </c>
      <c r="O282" s="3">
        <f>E282-'301055 - P0324'!F282</f>
        <v>0</v>
      </c>
      <c r="P282" s="30">
        <f>I282-'301055 - P0324'!J282</f>
        <v>0</v>
      </c>
    </row>
    <row r="283" spans="1:16" x14ac:dyDescent="0.25">
      <c r="A283">
        <v>281</v>
      </c>
      <c r="C283" t="s">
        <v>8</v>
      </c>
      <c r="D283" s="4" t="s">
        <v>274</v>
      </c>
      <c r="E283" s="5">
        <v>6.93</v>
      </c>
      <c r="F283" s="5">
        <v>6.93</v>
      </c>
      <c r="G283" s="6">
        <f t="shared" si="70"/>
        <v>0</v>
      </c>
      <c r="H283" s="7">
        <f t="shared" si="71"/>
        <v>0</v>
      </c>
      <c r="I283" s="8">
        <v>7.9</v>
      </c>
      <c r="J283" s="9">
        <f t="shared" si="72"/>
        <v>7.9</v>
      </c>
      <c r="K283" s="3">
        <f t="shared" si="73"/>
        <v>0</v>
      </c>
      <c r="L283" s="7">
        <f t="shared" si="74"/>
        <v>0</v>
      </c>
      <c r="M283" t="s">
        <v>150</v>
      </c>
      <c r="O283" s="3">
        <f>E283-'301055 - P0324'!F283</f>
        <v>0</v>
      </c>
      <c r="P283" s="30">
        <f>I283-'301055 - P0324'!J283</f>
        <v>0</v>
      </c>
    </row>
    <row r="284" spans="1:16" x14ac:dyDescent="0.25">
      <c r="A284">
        <v>282</v>
      </c>
      <c r="C284" t="s">
        <v>8</v>
      </c>
      <c r="D284" s="4" t="s">
        <v>275</v>
      </c>
      <c r="E284" s="12">
        <v>2.56</v>
      </c>
      <c r="F284" s="11">
        <v>2.56</v>
      </c>
      <c r="G284" s="6">
        <f t="shared" si="70"/>
        <v>0</v>
      </c>
      <c r="H284" s="7">
        <f t="shared" si="71"/>
        <v>0</v>
      </c>
      <c r="I284" s="8">
        <v>8.0228714375055841</v>
      </c>
      <c r="J284" s="9">
        <f t="shared" si="72"/>
        <v>8.0228714375055841</v>
      </c>
      <c r="K284" s="3">
        <f t="shared" si="73"/>
        <v>0</v>
      </c>
      <c r="L284" s="7">
        <f t="shared" si="74"/>
        <v>0</v>
      </c>
      <c r="M284" t="s">
        <v>150</v>
      </c>
      <c r="O284" s="3">
        <f>E284-'301055 - P0324'!F284</f>
        <v>0</v>
      </c>
      <c r="P284" s="30">
        <f>I284-'301055 - P0324'!J284</f>
        <v>0</v>
      </c>
    </row>
    <row r="285" spans="1:16" x14ac:dyDescent="0.25">
      <c r="A285">
        <v>283</v>
      </c>
      <c r="C285" t="s">
        <v>8</v>
      </c>
      <c r="D285" s="4" t="s">
        <v>276</v>
      </c>
      <c r="E285" s="12">
        <v>3.71</v>
      </c>
      <c r="F285" s="11">
        <v>3.71</v>
      </c>
      <c r="G285" s="6">
        <f t="shared" si="70"/>
        <v>0</v>
      </c>
      <c r="H285" s="7">
        <f t="shared" si="71"/>
        <v>0</v>
      </c>
      <c r="I285" s="8">
        <v>9.2527255216693405</v>
      </c>
      <c r="J285" s="9">
        <f t="shared" si="72"/>
        <v>9.2527255216693405</v>
      </c>
      <c r="K285" s="3">
        <f t="shared" si="73"/>
        <v>0</v>
      </c>
      <c r="L285" s="7">
        <f t="shared" si="74"/>
        <v>0</v>
      </c>
      <c r="M285" t="s">
        <v>150</v>
      </c>
      <c r="O285" s="3">
        <f>E285-'301055 - P0324'!F285</f>
        <v>0</v>
      </c>
      <c r="P285" s="30">
        <f>I285-'301055 - P0324'!J285</f>
        <v>0</v>
      </c>
    </row>
    <row r="286" spans="1:16" x14ac:dyDescent="0.25">
      <c r="A286">
        <v>284</v>
      </c>
      <c r="C286" t="s">
        <v>277</v>
      </c>
      <c r="D286" s="4" t="s">
        <v>278</v>
      </c>
      <c r="E286" s="11">
        <v>76.17</v>
      </c>
      <c r="F286" s="11">
        <v>85.35</v>
      </c>
      <c r="G286" s="6">
        <f t="shared" si="70"/>
        <v>9.1799999999999926</v>
      </c>
      <c r="H286" s="7">
        <f t="shared" si="71"/>
        <v>0.12051988972036225</v>
      </c>
      <c r="I286" s="9">
        <v>129.08106565176024</v>
      </c>
      <c r="J286" s="8">
        <f t="shared" si="72"/>
        <v>144.63790144909723</v>
      </c>
      <c r="K286" s="3">
        <f t="shared" si="73"/>
        <v>15.556835797336987</v>
      </c>
      <c r="L286" s="7">
        <f t="shared" si="74"/>
        <v>0.12051988972036227</v>
      </c>
      <c r="M286" t="s">
        <v>150</v>
      </c>
      <c r="O286" s="3">
        <f>E286-'301055 - P0324'!F286</f>
        <v>0</v>
      </c>
      <c r="P286" s="30">
        <f>I286-'301055 - P0324'!J286</f>
        <v>0</v>
      </c>
    </row>
    <row r="287" spans="1:16" x14ac:dyDescent="0.25">
      <c r="A287">
        <v>285</v>
      </c>
      <c r="C287" t="s">
        <v>8</v>
      </c>
      <c r="D287" s="4" t="s">
        <v>279</v>
      </c>
      <c r="E287" s="12">
        <v>3.47</v>
      </c>
      <c r="F287" s="12">
        <v>3.47</v>
      </c>
      <c r="G287" s="6">
        <f t="shared" si="70"/>
        <v>0</v>
      </c>
      <c r="H287" s="7">
        <f t="shared" si="71"/>
        <v>0</v>
      </c>
      <c r="I287" s="8">
        <v>9.272871621621622</v>
      </c>
      <c r="J287" s="9">
        <f t="shared" si="72"/>
        <v>9.272871621621622</v>
      </c>
      <c r="K287" s="3">
        <f t="shared" si="73"/>
        <v>0</v>
      </c>
      <c r="L287" s="7">
        <f t="shared" si="74"/>
        <v>0</v>
      </c>
      <c r="M287" t="s">
        <v>150</v>
      </c>
      <c r="O287" s="3">
        <f>E287-'301055 - P0324'!F287</f>
        <v>0</v>
      </c>
      <c r="P287" s="30">
        <f>I287-'301055 - P0324'!J287</f>
        <v>0</v>
      </c>
    </row>
    <row r="288" spans="1:16" x14ac:dyDescent="0.25">
      <c r="A288">
        <v>286</v>
      </c>
      <c r="C288" t="s">
        <v>8</v>
      </c>
      <c r="D288" s="4" t="s">
        <v>280</v>
      </c>
      <c r="E288" s="12">
        <v>3.03</v>
      </c>
      <c r="F288" s="12">
        <v>3.03</v>
      </c>
      <c r="G288" s="6">
        <f t="shared" si="70"/>
        <v>0</v>
      </c>
      <c r="H288" s="7">
        <f t="shared" si="71"/>
        <v>0</v>
      </c>
      <c r="I288" s="8">
        <v>6.4226640926640925</v>
      </c>
      <c r="J288" s="9">
        <f t="shared" si="72"/>
        <v>6.4226640926640925</v>
      </c>
      <c r="K288" s="3">
        <f t="shared" si="73"/>
        <v>0</v>
      </c>
      <c r="L288" s="7">
        <f t="shared" si="74"/>
        <v>0</v>
      </c>
      <c r="M288" t="s">
        <v>150</v>
      </c>
      <c r="O288" s="3">
        <f>E288-'301055 - P0324'!F288</f>
        <v>0</v>
      </c>
      <c r="P288" s="30">
        <f>I288-'301055 - P0324'!J288</f>
        <v>0</v>
      </c>
    </row>
    <row r="289" spans="1:16" x14ac:dyDescent="0.25">
      <c r="A289">
        <v>287</v>
      </c>
      <c r="C289" t="s">
        <v>8</v>
      </c>
      <c r="D289" s="4" t="s">
        <v>281</v>
      </c>
      <c r="E289" s="12">
        <v>12.95</v>
      </c>
      <c r="F289" s="12">
        <v>12.95</v>
      </c>
      <c r="G289" s="6">
        <f t="shared" si="70"/>
        <v>0</v>
      </c>
      <c r="H289" s="7">
        <f t="shared" si="71"/>
        <v>0</v>
      </c>
      <c r="I289" s="8">
        <v>25.9</v>
      </c>
      <c r="J289" s="9">
        <f t="shared" si="72"/>
        <v>25.9</v>
      </c>
      <c r="K289" s="3">
        <f t="shared" si="73"/>
        <v>0</v>
      </c>
      <c r="L289" s="7">
        <f t="shared" si="74"/>
        <v>0</v>
      </c>
      <c r="M289" t="s">
        <v>150</v>
      </c>
      <c r="O289" s="3">
        <f>E289-'301055 - P0324'!F289</f>
        <v>0</v>
      </c>
      <c r="P289" s="30">
        <f>I289-'301055 - P0324'!J289</f>
        <v>0</v>
      </c>
    </row>
    <row r="290" spans="1:16" x14ac:dyDescent="0.25">
      <c r="A290">
        <v>288</v>
      </c>
      <c r="C290" t="s">
        <v>8</v>
      </c>
      <c r="D290" s="4" t="s">
        <v>282</v>
      </c>
      <c r="E290" s="12">
        <v>9.27</v>
      </c>
      <c r="F290" s="12">
        <v>9.27</v>
      </c>
      <c r="G290" s="6">
        <f t="shared" si="70"/>
        <v>0</v>
      </c>
      <c r="H290" s="7">
        <f t="shared" si="71"/>
        <v>0</v>
      </c>
      <c r="I290" s="8">
        <v>18.54</v>
      </c>
      <c r="J290" s="9">
        <f t="shared" si="72"/>
        <v>18.54</v>
      </c>
      <c r="K290" s="3">
        <f t="shared" si="73"/>
        <v>0</v>
      </c>
      <c r="L290" s="7">
        <f t="shared" si="74"/>
        <v>0</v>
      </c>
      <c r="M290" t="s">
        <v>150</v>
      </c>
      <c r="O290" s="3">
        <f>E290-'301055 - P0324'!F290</f>
        <v>0</v>
      </c>
      <c r="P290" s="30">
        <f>I290-'301055 - P0324'!J290</f>
        <v>0</v>
      </c>
    </row>
    <row r="291" spans="1:16" x14ac:dyDescent="0.25">
      <c r="A291">
        <v>289</v>
      </c>
      <c r="C291" t="s">
        <v>8</v>
      </c>
      <c r="D291" s="4" t="s">
        <v>283</v>
      </c>
      <c r="E291" s="12">
        <v>4.38</v>
      </c>
      <c r="F291" s="12">
        <v>4.38</v>
      </c>
      <c r="G291" s="6">
        <f t="shared" si="70"/>
        <v>0</v>
      </c>
      <c r="H291" s="7">
        <f t="shared" si="71"/>
        <v>0</v>
      </c>
      <c r="I291" s="8">
        <v>19.878299999999999</v>
      </c>
      <c r="J291" s="9">
        <f t="shared" si="72"/>
        <v>19.878299999999999</v>
      </c>
      <c r="K291" s="3">
        <f t="shared" si="73"/>
        <v>0</v>
      </c>
      <c r="L291" s="7">
        <f t="shared" si="74"/>
        <v>0</v>
      </c>
      <c r="M291" t="s">
        <v>150</v>
      </c>
      <c r="O291" s="3">
        <f>E291-'301055 - P0324'!F291</f>
        <v>0</v>
      </c>
      <c r="P291" s="30">
        <f>I291-'301055 - P0324'!J291</f>
        <v>0</v>
      </c>
    </row>
    <row r="292" spans="1:16" x14ac:dyDescent="0.25">
      <c r="A292">
        <v>290</v>
      </c>
      <c r="C292" t="s">
        <v>8</v>
      </c>
      <c r="D292" s="4" t="s">
        <v>284</v>
      </c>
      <c r="E292" s="12">
        <v>7.78</v>
      </c>
      <c r="F292" s="12">
        <v>7.78</v>
      </c>
      <c r="G292" s="6">
        <f t="shared" si="70"/>
        <v>0</v>
      </c>
      <c r="H292" s="7">
        <f t="shared" si="71"/>
        <v>0</v>
      </c>
      <c r="I292" s="8">
        <v>20.218751857355123</v>
      </c>
      <c r="J292" s="9">
        <f t="shared" si="72"/>
        <v>20.218751857355123</v>
      </c>
      <c r="K292" s="3">
        <f t="shared" si="73"/>
        <v>0</v>
      </c>
      <c r="L292" s="7">
        <f t="shared" si="74"/>
        <v>0</v>
      </c>
      <c r="M292" t="s">
        <v>150</v>
      </c>
      <c r="O292" s="3">
        <f>E292-'301055 - P0324'!F292</f>
        <v>0</v>
      </c>
      <c r="P292" s="30">
        <f>I292-'301055 - P0324'!J292</f>
        <v>0</v>
      </c>
    </row>
    <row r="293" spans="1:16" x14ac:dyDescent="0.25">
      <c r="A293">
        <v>291</v>
      </c>
      <c r="C293" t="s">
        <v>8</v>
      </c>
      <c r="D293" s="4" t="s">
        <v>285</v>
      </c>
      <c r="E293" s="12">
        <v>0.98</v>
      </c>
      <c r="F293" s="12">
        <v>0.98</v>
      </c>
      <c r="G293" s="6">
        <f t="shared" si="70"/>
        <v>0</v>
      </c>
      <c r="H293" s="7">
        <f t="shared" si="71"/>
        <v>0</v>
      </c>
      <c r="I293" s="8">
        <v>2.0746808510638299</v>
      </c>
      <c r="J293" s="9">
        <f t="shared" si="72"/>
        <v>2.0746808510638299</v>
      </c>
      <c r="K293" s="3">
        <f t="shared" si="73"/>
        <v>0</v>
      </c>
      <c r="L293" s="7">
        <f t="shared" si="74"/>
        <v>0</v>
      </c>
      <c r="M293" t="s">
        <v>150</v>
      </c>
      <c r="O293" s="3">
        <f>E293-'301055 - P0324'!F293</f>
        <v>0</v>
      </c>
      <c r="P293" s="30">
        <f>I293-'301055 - P0324'!J293</f>
        <v>0</v>
      </c>
    </row>
    <row r="294" spans="1:16" x14ac:dyDescent="0.25">
      <c r="A294">
        <v>292</v>
      </c>
      <c r="C294" t="s">
        <v>8</v>
      </c>
      <c r="D294" s="4" t="s">
        <v>286</v>
      </c>
      <c r="E294" s="12">
        <v>0.56999999999999995</v>
      </c>
      <c r="F294" s="12">
        <v>0.56999999999999995</v>
      </c>
      <c r="G294" s="6">
        <f t="shared" si="70"/>
        <v>0</v>
      </c>
      <c r="H294" s="7">
        <f t="shared" si="71"/>
        <v>0</v>
      </c>
      <c r="I294" s="8">
        <v>1.29</v>
      </c>
      <c r="J294" s="9">
        <f t="shared" si="72"/>
        <v>1.29</v>
      </c>
      <c r="K294" s="3">
        <f t="shared" si="73"/>
        <v>0</v>
      </c>
      <c r="L294" s="7">
        <f t="shared" si="74"/>
        <v>0</v>
      </c>
      <c r="M294" t="s">
        <v>150</v>
      </c>
      <c r="O294" s="3">
        <f>E294-'301055 - P0324'!F294</f>
        <v>0</v>
      </c>
      <c r="P294" s="30">
        <f>I294-'301055 - P0324'!J294</f>
        <v>0</v>
      </c>
    </row>
    <row r="295" spans="1:16" x14ac:dyDescent="0.25">
      <c r="A295">
        <v>293</v>
      </c>
      <c r="C295" t="s">
        <v>8</v>
      </c>
      <c r="D295" s="4" t="s">
        <v>287</v>
      </c>
      <c r="E295" s="12">
        <v>3.2</v>
      </c>
      <c r="F295" s="12">
        <v>3.2</v>
      </c>
      <c r="G295" s="6">
        <f t="shared" si="70"/>
        <v>0</v>
      </c>
      <c r="H295" s="7">
        <f t="shared" si="71"/>
        <v>0</v>
      </c>
      <c r="I295" s="8">
        <v>9.2899999999999991</v>
      </c>
      <c r="J295" s="9">
        <f t="shared" si="72"/>
        <v>9.2899999999999991</v>
      </c>
      <c r="K295" s="3">
        <f t="shared" si="73"/>
        <v>0</v>
      </c>
      <c r="L295" s="7">
        <f t="shared" si="74"/>
        <v>0</v>
      </c>
      <c r="M295" t="s">
        <v>150</v>
      </c>
      <c r="O295" s="3">
        <f>E295-'301055 - P0324'!F295</f>
        <v>0</v>
      </c>
      <c r="P295" s="30">
        <f>I295-'301055 - P0324'!J295</f>
        <v>0</v>
      </c>
    </row>
    <row r="296" spans="1:16" x14ac:dyDescent="0.25">
      <c r="A296">
        <v>294</v>
      </c>
      <c r="D296" s="2" t="s">
        <v>288</v>
      </c>
      <c r="H296" s="10">
        <f>AVERAGE(H251:H290)</f>
        <v>3.0129972430090564E-3</v>
      </c>
      <c r="I296"/>
    </row>
    <row r="297" spans="1:16" x14ac:dyDescent="0.25">
      <c r="A297">
        <v>295</v>
      </c>
      <c r="D297" s="2" t="s">
        <v>289</v>
      </c>
      <c r="I297"/>
      <c r="M297" t="s">
        <v>187</v>
      </c>
    </row>
    <row r="298" spans="1:16" x14ac:dyDescent="0.25">
      <c r="A298">
        <v>296</v>
      </c>
      <c r="B298" t="s">
        <v>468</v>
      </c>
      <c r="C298" t="s">
        <v>291</v>
      </c>
      <c r="D298" s="4" t="s">
        <v>292</v>
      </c>
      <c r="E298" s="12">
        <v>83.45</v>
      </c>
      <c r="F298" s="12">
        <v>83.45</v>
      </c>
      <c r="G298" s="6">
        <f t="shared" ref="G298:G331" si="75">+F298-E298</f>
        <v>0</v>
      </c>
      <c r="H298" s="7">
        <f t="shared" ref="H298:H331" si="76">(F298-E298)/ABS(E298)</f>
        <v>0</v>
      </c>
      <c r="I298" s="8">
        <v>116.82130707692306</v>
      </c>
      <c r="J298" s="9">
        <f t="shared" ref="J298:J331" si="77">(I298*H298)+I298</f>
        <v>116.82130707692306</v>
      </c>
      <c r="K298" s="3">
        <f t="shared" ref="K298:K331" si="78">J298-I298</f>
        <v>0</v>
      </c>
      <c r="L298" s="7">
        <f t="shared" ref="L298:L331" si="79">(J298-I298)/ABS(I298)</f>
        <v>0</v>
      </c>
      <c r="M298" t="s">
        <v>187</v>
      </c>
      <c r="O298" s="3">
        <f>E298-'301055 - P0324'!F298</f>
        <v>0</v>
      </c>
      <c r="P298" s="30">
        <f>I298-'301055 - P0324'!J298</f>
        <v>0</v>
      </c>
    </row>
    <row r="299" spans="1:16" x14ac:dyDescent="0.25">
      <c r="A299">
        <v>297</v>
      </c>
      <c r="B299" t="s">
        <v>471</v>
      </c>
      <c r="C299" t="s">
        <v>291</v>
      </c>
      <c r="D299" s="4" t="s">
        <v>293</v>
      </c>
      <c r="E299" s="12">
        <v>17.16</v>
      </c>
      <c r="F299" s="12">
        <v>17.16</v>
      </c>
      <c r="G299" s="6">
        <f t="shared" si="75"/>
        <v>0</v>
      </c>
      <c r="H299" s="7">
        <f t="shared" si="76"/>
        <v>0</v>
      </c>
      <c r="I299" s="8">
        <v>23.58</v>
      </c>
      <c r="J299" s="9">
        <f t="shared" si="77"/>
        <v>23.58</v>
      </c>
      <c r="K299" s="3">
        <f t="shared" si="78"/>
        <v>0</v>
      </c>
      <c r="L299" s="7">
        <f t="shared" si="79"/>
        <v>0</v>
      </c>
      <c r="M299" t="s">
        <v>187</v>
      </c>
      <c r="O299" s="3">
        <f>E299-'301055 - P0324'!F299</f>
        <v>0</v>
      </c>
      <c r="P299" s="30">
        <f>I299-'301055 - P0324'!J299</f>
        <v>0</v>
      </c>
    </row>
    <row r="300" spans="1:16" x14ac:dyDescent="0.25">
      <c r="A300">
        <v>298</v>
      </c>
      <c r="B300" t="s">
        <v>468</v>
      </c>
      <c r="C300" t="s">
        <v>291</v>
      </c>
      <c r="D300" s="4" t="s">
        <v>295</v>
      </c>
      <c r="E300" s="12">
        <v>20.45</v>
      </c>
      <c r="F300" s="12">
        <v>20.45</v>
      </c>
      <c r="G300" s="6">
        <f t="shared" si="75"/>
        <v>0</v>
      </c>
      <c r="H300" s="7">
        <f t="shared" si="76"/>
        <v>0</v>
      </c>
      <c r="I300" s="8">
        <v>28.117117241379304</v>
      </c>
      <c r="J300" s="9">
        <f t="shared" si="77"/>
        <v>28.117117241379304</v>
      </c>
      <c r="K300" s="3">
        <f t="shared" si="78"/>
        <v>0</v>
      </c>
      <c r="L300" s="7">
        <f t="shared" si="79"/>
        <v>0</v>
      </c>
      <c r="M300" t="s">
        <v>187</v>
      </c>
      <c r="O300" s="3">
        <f>E300-'301055 - P0324'!F300</f>
        <v>0</v>
      </c>
      <c r="P300" s="30">
        <f>I300-'301055 - P0324'!J300</f>
        <v>0</v>
      </c>
    </row>
    <row r="301" spans="1:16" x14ac:dyDescent="0.25">
      <c r="A301">
        <v>299</v>
      </c>
      <c r="B301" t="s">
        <v>471</v>
      </c>
      <c r="C301" t="s">
        <v>291</v>
      </c>
      <c r="D301" s="4" t="s">
        <v>296</v>
      </c>
      <c r="E301" s="12">
        <v>35.15</v>
      </c>
      <c r="F301" s="12">
        <v>35.15</v>
      </c>
      <c r="G301" s="6">
        <f t="shared" si="75"/>
        <v>0</v>
      </c>
      <c r="H301" s="7">
        <f t="shared" si="76"/>
        <v>0</v>
      </c>
      <c r="I301" s="8">
        <v>48.263872071910107</v>
      </c>
      <c r="J301" s="9">
        <f t="shared" si="77"/>
        <v>48.263872071910107</v>
      </c>
      <c r="K301" s="3">
        <f t="shared" si="78"/>
        <v>0</v>
      </c>
      <c r="L301" s="7">
        <f t="shared" si="79"/>
        <v>0</v>
      </c>
      <c r="M301" t="s">
        <v>187</v>
      </c>
      <c r="O301" s="3">
        <f>E301-'301055 - P0324'!F301</f>
        <v>0</v>
      </c>
      <c r="P301" s="30">
        <f>I301-'301055 - P0324'!J301</f>
        <v>0</v>
      </c>
    </row>
    <row r="302" spans="1:16" x14ac:dyDescent="0.25">
      <c r="A302">
        <v>300</v>
      </c>
      <c r="B302" t="s">
        <v>472</v>
      </c>
      <c r="C302" t="s">
        <v>291</v>
      </c>
      <c r="D302" s="4" t="s">
        <v>297</v>
      </c>
      <c r="E302" s="12">
        <v>7.16</v>
      </c>
      <c r="F302" s="12">
        <v>7.16</v>
      </c>
      <c r="G302" s="6">
        <f t="shared" si="75"/>
        <v>0</v>
      </c>
      <c r="H302" s="7">
        <f t="shared" si="76"/>
        <v>0</v>
      </c>
      <c r="I302" s="8">
        <v>9.85</v>
      </c>
      <c r="J302" s="9">
        <f t="shared" si="77"/>
        <v>9.85</v>
      </c>
      <c r="K302" s="3">
        <f t="shared" si="78"/>
        <v>0</v>
      </c>
      <c r="L302" s="7">
        <f t="shared" si="79"/>
        <v>0</v>
      </c>
      <c r="M302" t="s">
        <v>187</v>
      </c>
      <c r="O302" s="3">
        <f>E302-'301055 - P0324'!F302</f>
        <v>0</v>
      </c>
      <c r="P302" s="30">
        <f>I302-'301055 - P0324'!J302</f>
        <v>0</v>
      </c>
    </row>
    <row r="303" spans="1:16" x14ac:dyDescent="0.25">
      <c r="A303">
        <v>301</v>
      </c>
      <c r="B303" t="s">
        <v>486</v>
      </c>
      <c r="C303" t="s">
        <v>291</v>
      </c>
      <c r="D303" s="4" t="s">
        <v>298</v>
      </c>
      <c r="E303" s="12">
        <v>0.49</v>
      </c>
      <c r="F303" s="12">
        <v>0.49</v>
      </c>
      <c r="G303" s="6">
        <f t="shared" si="75"/>
        <v>0</v>
      </c>
      <c r="H303" s="7">
        <f t="shared" si="76"/>
        <v>0</v>
      </c>
      <c r="I303" s="8">
        <v>0.69</v>
      </c>
      <c r="J303" s="9">
        <f t="shared" si="77"/>
        <v>0.69</v>
      </c>
      <c r="K303" s="3">
        <f t="shared" si="78"/>
        <v>0</v>
      </c>
      <c r="L303" s="7">
        <f t="shared" si="79"/>
        <v>0</v>
      </c>
      <c r="M303" t="s">
        <v>187</v>
      </c>
      <c r="O303" s="3">
        <f>E303-'301055 - P0324'!F303</f>
        <v>0</v>
      </c>
      <c r="P303" s="30">
        <f>I303-'301055 - P0324'!J303</f>
        <v>0</v>
      </c>
    </row>
    <row r="304" spans="1:16" x14ac:dyDescent="0.25">
      <c r="A304">
        <v>302</v>
      </c>
      <c r="B304" t="s">
        <v>471</v>
      </c>
      <c r="C304" t="s">
        <v>291</v>
      </c>
      <c r="D304" s="4" t="s">
        <v>299</v>
      </c>
      <c r="E304" s="12">
        <v>21.81</v>
      </c>
      <c r="F304" s="12">
        <v>21.81</v>
      </c>
      <c r="G304" s="6">
        <f t="shared" si="75"/>
        <v>0</v>
      </c>
      <c r="H304" s="7">
        <f t="shared" si="76"/>
        <v>0</v>
      </c>
      <c r="I304" s="8">
        <v>29.968966617429842</v>
      </c>
      <c r="J304" s="9">
        <f t="shared" si="77"/>
        <v>29.968966617429842</v>
      </c>
      <c r="K304" s="3">
        <f t="shared" si="78"/>
        <v>0</v>
      </c>
      <c r="L304" s="7">
        <f t="shared" si="79"/>
        <v>0</v>
      </c>
      <c r="M304" t="s">
        <v>187</v>
      </c>
      <c r="O304" s="3">
        <f>E304-'301055 - P0324'!F304</f>
        <v>0</v>
      </c>
      <c r="P304" s="30">
        <f>I304-'301055 - P0324'!J304</f>
        <v>0</v>
      </c>
    </row>
    <row r="305" spans="1:16" x14ac:dyDescent="0.25">
      <c r="A305">
        <v>303</v>
      </c>
      <c r="B305" s="28" t="s">
        <v>471</v>
      </c>
      <c r="C305" t="s">
        <v>291</v>
      </c>
      <c r="D305" s="4" t="s">
        <v>300</v>
      </c>
      <c r="E305" s="12">
        <v>2.2000000000000002</v>
      </c>
      <c r="F305" s="12">
        <v>2.2000000000000002</v>
      </c>
      <c r="G305" s="6">
        <f t="shared" si="75"/>
        <v>0</v>
      </c>
      <c r="H305" s="7">
        <f t="shared" si="76"/>
        <v>0</v>
      </c>
      <c r="I305" s="8">
        <v>3.0480105109489042</v>
      </c>
      <c r="J305" s="9">
        <f t="shared" si="77"/>
        <v>3.0480105109489042</v>
      </c>
      <c r="K305" s="3">
        <f t="shared" si="78"/>
        <v>0</v>
      </c>
      <c r="L305" s="7">
        <f t="shared" si="79"/>
        <v>0</v>
      </c>
      <c r="M305" t="s">
        <v>187</v>
      </c>
      <c r="O305" s="3">
        <f>E305-'301055 - P0324'!F305</f>
        <v>0</v>
      </c>
      <c r="P305" s="30">
        <f>I305-'301055 - P0324'!J305</f>
        <v>0</v>
      </c>
    </row>
    <row r="306" spans="1:16" x14ac:dyDescent="0.25">
      <c r="A306">
        <v>304</v>
      </c>
      <c r="B306" t="s">
        <v>471</v>
      </c>
      <c r="C306" t="s">
        <v>291</v>
      </c>
      <c r="D306" s="4" t="s">
        <v>301</v>
      </c>
      <c r="E306" s="12">
        <v>2.73</v>
      </c>
      <c r="F306" s="12">
        <v>2.73</v>
      </c>
      <c r="G306" s="6">
        <f t="shared" si="75"/>
        <v>0</v>
      </c>
      <c r="H306" s="7">
        <f t="shared" si="76"/>
        <v>0</v>
      </c>
      <c r="I306" s="8">
        <v>3.751827692307693</v>
      </c>
      <c r="J306" s="9">
        <f t="shared" si="77"/>
        <v>3.751827692307693</v>
      </c>
      <c r="K306" s="3">
        <f t="shared" si="78"/>
        <v>0</v>
      </c>
      <c r="L306" s="7">
        <f t="shared" si="79"/>
        <v>0</v>
      </c>
      <c r="M306" t="s">
        <v>187</v>
      </c>
      <c r="O306" s="3">
        <f>E306-'301055 - P0324'!F306</f>
        <v>0</v>
      </c>
      <c r="P306" s="30">
        <f>I306-'301055 - P0324'!J306</f>
        <v>0</v>
      </c>
    </row>
    <row r="307" spans="1:16" x14ac:dyDescent="0.25">
      <c r="A307">
        <v>305</v>
      </c>
      <c r="B307" t="s">
        <v>469</v>
      </c>
      <c r="C307" t="s">
        <v>291</v>
      </c>
      <c r="D307" s="4" t="s">
        <v>302</v>
      </c>
      <c r="E307" s="12">
        <v>0.9</v>
      </c>
      <c r="F307" s="12">
        <v>0.9</v>
      </c>
      <c r="G307" s="6">
        <f t="shared" si="75"/>
        <v>0</v>
      </c>
      <c r="H307" s="7">
        <f t="shared" si="76"/>
        <v>0</v>
      </c>
      <c r="I307" s="8">
        <v>1.7875199999999998</v>
      </c>
      <c r="J307" s="9">
        <f t="shared" si="77"/>
        <v>1.7875199999999998</v>
      </c>
      <c r="K307" s="3">
        <f t="shared" si="78"/>
        <v>0</v>
      </c>
      <c r="L307" s="7">
        <f t="shared" si="79"/>
        <v>0</v>
      </c>
      <c r="M307" t="s">
        <v>187</v>
      </c>
      <c r="O307" s="3">
        <f>E307-'301055 - P0324'!F307</f>
        <v>0</v>
      </c>
      <c r="P307" s="30">
        <f>I307-'301055 - P0324'!J307</f>
        <v>0</v>
      </c>
    </row>
    <row r="308" spans="1:16" x14ac:dyDescent="0.25">
      <c r="A308">
        <v>306</v>
      </c>
      <c r="B308" t="s">
        <v>303</v>
      </c>
      <c r="C308" t="s">
        <v>291</v>
      </c>
      <c r="D308" s="4" t="s">
        <v>304</v>
      </c>
      <c r="E308" s="12">
        <v>66.48</v>
      </c>
      <c r="F308" s="12">
        <v>66.48</v>
      </c>
      <c r="G308" s="6">
        <f t="shared" si="75"/>
        <v>0</v>
      </c>
      <c r="H308" s="7">
        <f t="shared" si="76"/>
        <v>0</v>
      </c>
      <c r="I308" s="8">
        <v>91.32</v>
      </c>
      <c r="J308" s="9">
        <f t="shared" si="77"/>
        <v>91.32</v>
      </c>
      <c r="K308" s="3">
        <f t="shared" si="78"/>
        <v>0</v>
      </c>
      <c r="L308" s="7">
        <f t="shared" si="79"/>
        <v>0</v>
      </c>
      <c r="M308" t="s">
        <v>187</v>
      </c>
      <c r="O308" s="3">
        <f>E308-'301055 - P0324'!F308</f>
        <v>0</v>
      </c>
      <c r="P308" s="30">
        <f>I308-'301055 - P0324'!J308</f>
        <v>0</v>
      </c>
    </row>
    <row r="309" spans="1:16" x14ac:dyDescent="0.25">
      <c r="A309">
        <v>307</v>
      </c>
      <c r="B309" t="s">
        <v>305</v>
      </c>
      <c r="C309" t="s">
        <v>291</v>
      </c>
      <c r="D309" s="4" t="s">
        <v>306</v>
      </c>
      <c r="E309" s="12">
        <v>26.81</v>
      </c>
      <c r="F309" s="12">
        <v>26.81</v>
      </c>
      <c r="G309" s="13">
        <f t="shared" si="75"/>
        <v>0</v>
      </c>
      <c r="H309" s="7">
        <f t="shared" si="76"/>
        <v>0</v>
      </c>
      <c r="I309" s="8">
        <v>41.25</v>
      </c>
      <c r="J309" s="9">
        <f t="shared" si="77"/>
        <v>41.25</v>
      </c>
      <c r="K309" s="3">
        <f t="shared" si="78"/>
        <v>0</v>
      </c>
      <c r="L309" s="7">
        <f t="shared" si="79"/>
        <v>0</v>
      </c>
      <c r="M309" t="s">
        <v>187</v>
      </c>
      <c r="O309" s="3">
        <f>E309-'301055 - P0324'!F309</f>
        <v>0</v>
      </c>
      <c r="P309" s="30">
        <f>I309-'301055 - P0324'!J309</f>
        <v>0</v>
      </c>
    </row>
    <row r="310" spans="1:16" x14ac:dyDescent="0.25">
      <c r="A310">
        <v>308</v>
      </c>
      <c r="B310" t="s">
        <v>303</v>
      </c>
      <c r="C310" t="s">
        <v>291</v>
      </c>
      <c r="D310" s="4" t="s">
        <v>307</v>
      </c>
      <c r="E310" s="12">
        <v>38.020000000000003</v>
      </c>
      <c r="F310" s="12">
        <v>38.020000000000003</v>
      </c>
      <c r="G310" s="6">
        <f t="shared" si="75"/>
        <v>0</v>
      </c>
      <c r="H310" s="7">
        <f t="shared" si="76"/>
        <v>0</v>
      </c>
      <c r="I310" s="8">
        <v>52.23</v>
      </c>
      <c r="J310" s="9">
        <f t="shared" si="77"/>
        <v>52.23</v>
      </c>
      <c r="K310" s="3">
        <f t="shared" si="78"/>
        <v>0</v>
      </c>
      <c r="L310" s="7">
        <f t="shared" si="79"/>
        <v>0</v>
      </c>
      <c r="M310" t="s">
        <v>187</v>
      </c>
      <c r="O310" s="3">
        <f>E310-'301055 - P0324'!F310</f>
        <v>0</v>
      </c>
      <c r="P310" s="30">
        <f>I310-'301055 - P0324'!J310</f>
        <v>0</v>
      </c>
    </row>
    <row r="311" spans="1:16" x14ac:dyDescent="0.25">
      <c r="A311">
        <v>309</v>
      </c>
      <c r="B311" t="s">
        <v>303</v>
      </c>
      <c r="C311" t="s">
        <v>291</v>
      </c>
      <c r="D311" s="4" t="s">
        <v>308</v>
      </c>
      <c r="E311" s="12">
        <v>95.36</v>
      </c>
      <c r="F311" s="12">
        <v>95.36</v>
      </c>
      <c r="G311" s="6">
        <f t="shared" si="75"/>
        <v>0</v>
      </c>
      <c r="H311" s="7">
        <f t="shared" si="76"/>
        <v>0</v>
      </c>
      <c r="I311" s="8">
        <v>130.96011922503726</v>
      </c>
      <c r="J311" s="9">
        <f t="shared" si="77"/>
        <v>130.96011922503726</v>
      </c>
      <c r="K311" s="3">
        <f t="shared" si="78"/>
        <v>0</v>
      </c>
      <c r="L311" s="7">
        <f t="shared" si="79"/>
        <v>0</v>
      </c>
      <c r="M311" t="s">
        <v>187</v>
      </c>
      <c r="O311" s="3">
        <f>E311-'301055 - P0324'!F311</f>
        <v>0</v>
      </c>
      <c r="P311" s="30">
        <f>I311-'301055 - P0324'!J311</f>
        <v>0</v>
      </c>
    </row>
    <row r="312" spans="1:16" x14ac:dyDescent="0.25">
      <c r="A312">
        <v>310</v>
      </c>
      <c r="B312" t="s">
        <v>303</v>
      </c>
      <c r="C312" t="s">
        <v>291</v>
      </c>
      <c r="D312" s="4" t="s">
        <v>309</v>
      </c>
      <c r="E312" s="12">
        <v>15.89</v>
      </c>
      <c r="F312" s="12">
        <v>15.89</v>
      </c>
      <c r="G312" s="6">
        <f t="shared" si="75"/>
        <v>0</v>
      </c>
      <c r="H312" s="7">
        <f t="shared" si="76"/>
        <v>0</v>
      </c>
      <c r="I312" s="8">
        <v>21.821258516129031</v>
      </c>
      <c r="J312" s="9">
        <f t="shared" si="77"/>
        <v>21.821258516129031</v>
      </c>
      <c r="K312" s="3">
        <f t="shared" si="78"/>
        <v>0</v>
      </c>
      <c r="L312" s="7">
        <f t="shared" si="79"/>
        <v>0</v>
      </c>
      <c r="M312" t="s">
        <v>187</v>
      </c>
      <c r="O312" s="3">
        <f>E312-'301055 - P0324'!F312</f>
        <v>0</v>
      </c>
      <c r="P312" s="30">
        <f>I312-'301055 - P0324'!J312</f>
        <v>0</v>
      </c>
    </row>
    <row r="313" spans="1:16" x14ac:dyDescent="0.25">
      <c r="A313">
        <v>311</v>
      </c>
      <c r="B313" t="s">
        <v>303</v>
      </c>
      <c r="C313" t="s">
        <v>291</v>
      </c>
      <c r="D313" s="4" t="s">
        <v>310</v>
      </c>
      <c r="E313" s="12">
        <v>8.59</v>
      </c>
      <c r="F313" s="12">
        <v>8.59</v>
      </c>
      <c r="G313" s="6">
        <f t="shared" si="75"/>
        <v>0</v>
      </c>
      <c r="H313" s="7">
        <f t="shared" si="76"/>
        <v>0</v>
      </c>
      <c r="I313" s="8">
        <v>11.8</v>
      </c>
      <c r="J313" s="9">
        <f t="shared" si="77"/>
        <v>11.8</v>
      </c>
      <c r="K313" s="3">
        <f t="shared" si="78"/>
        <v>0</v>
      </c>
      <c r="L313" s="7">
        <f t="shared" si="79"/>
        <v>0</v>
      </c>
      <c r="M313" t="s">
        <v>187</v>
      </c>
      <c r="O313" s="3">
        <f>E313-'301055 - P0324'!F313</f>
        <v>0</v>
      </c>
      <c r="P313" s="30">
        <f>I313-'301055 - P0324'!J313</f>
        <v>0</v>
      </c>
    </row>
    <row r="314" spans="1:16" x14ac:dyDescent="0.25">
      <c r="A314">
        <v>312</v>
      </c>
      <c r="B314" t="s">
        <v>319</v>
      </c>
      <c r="C314" t="s">
        <v>291</v>
      </c>
      <c r="D314" s="4" t="s">
        <v>311</v>
      </c>
      <c r="E314" s="12">
        <v>11.51</v>
      </c>
      <c r="F314" s="12">
        <v>11.51</v>
      </c>
      <c r="G314" s="6">
        <f t="shared" si="75"/>
        <v>0</v>
      </c>
      <c r="H314" s="7">
        <f t="shared" si="76"/>
        <v>0</v>
      </c>
      <c r="I314" s="8">
        <v>21.72</v>
      </c>
      <c r="J314" s="9">
        <f t="shared" si="77"/>
        <v>21.72</v>
      </c>
      <c r="K314" s="3">
        <f t="shared" si="78"/>
        <v>0</v>
      </c>
      <c r="L314" s="7">
        <f t="shared" si="79"/>
        <v>0</v>
      </c>
      <c r="M314" t="s">
        <v>187</v>
      </c>
      <c r="O314" s="3">
        <f>E314-'301055 - P0324'!F314</f>
        <v>0</v>
      </c>
      <c r="P314" s="30">
        <f>I314-'301055 - P0324'!J314</f>
        <v>0</v>
      </c>
    </row>
    <row r="315" spans="1:16" x14ac:dyDescent="0.25">
      <c r="A315">
        <v>313</v>
      </c>
      <c r="B315" t="s">
        <v>303</v>
      </c>
      <c r="C315" t="s">
        <v>291</v>
      </c>
      <c r="D315" s="4" t="s">
        <v>312</v>
      </c>
      <c r="E315" s="12">
        <v>175</v>
      </c>
      <c r="F315" s="12">
        <v>175</v>
      </c>
      <c r="G315" s="6">
        <f t="shared" si="75"/>
        <v>0</v>
      </c>
      <c r="H315" s="7">
        <f t="shared" si="76"/>
        <v>0</v>
      </c>
      <c r="I315" s="8">
        <v>284.09826122118881</v>
      </c>
      <c r="J315" s="9">
        <f t="shared" si="77"/>
        <v>284.09826122118881</v>
      </c>
      <c r="K315" s="3">
        <f t="shared" si="78"/>
        <v>0</v>
      </c>
      <c r="L315" s="7">
        <f t="shared" si="79"/>
        <v>0</v>
      </c>
      <c r="M315" t="s">
        <v>187</v>
      </c>
      <c r="O315" s="3">
        <f>E315-'301055 - P0324'!F315</f>
        <v>0</v>
      </c>
      <c r="P315" s="30">
        <f>I315-'301055 - P0324'!J315</f>
        <v>0</v>
      </c>
    </row>
    <row r="316" spans="1:16" x14ac:dyDescent="0.25">
      <c r="A316">
        <v>314</v>
      </c>
      <c r="B316" t="s">
        <v>470</v>
      </c>
      <c r="C316" t="s">
        <v>291</v>
      </c>
      <c r="D316" s="4" t="s">
        <v>313</v>
      </c>
      <c r="E316" s="12">
        <v>175</v>
      </c>
      <c r="F316" s="12">
        <v>175</v>
      </c>
      <c r="G316" s="6">
        <f t="shared" si="75"/>
        <v>0</v>
      </c>
      <c r="H316" s="7">
        <f t="shared" si="76"/>
        <v>0</v>
      </c>
      <c r="I316" s="8">
        <v>284.09826122118881</v>
      </c>
      <c r="J316" s="9">
        <f t="shared" si="77"/>
        <v>284.09826122118881</v>
      </c>
      <c r="K316" s="3">
        <f t="shared" si="78"/>
        <v>0</v>
      </c>
      <c r="L316" s="7">
        <f t="shared" si="79"/>
        <v>0</v>
      </c>
      <c r="M316" t="s">
        <v>187</v>
      </c>
      <c r="O316" s="3">
        <f>E316-'301055 - P0324'!F316</f>
        <v>0</v>
      </c>
      <c r="P316" s="30">
        <f>I316-'301055 - P0324'!J316</f>
        <v>0</v>
      </c>
    </row>
    <row r="317" spans="1:16" x14ac:dyDescent="0.25">
      <c r="A317">
        <v>315</v>
      </c>
      <c r="B317" t="s">
        <v>303</v>
      </c>
      <c r="C317" t="s">
        <v>291</v>
      </c>
      <c r="D317" s="4" t="s">
        <v>314</v>
      </c>
      <c r="E317" s="12">
        <v>20.73</v>
      </c>
      <c r="F317" s="12">
        <v>20.73</v>
      </c>
      <c r="G317" s="6">
        <f t="shared" si="75"/>
        <v>0</v>
      </c>
      <c r="H317" s="7">
        <f t="shared" si="76"/>
        <v>0</v>
      </c>
      <c r="I317" s="8">
        <v>33.65</v>
      </c>
      <c r="J317" s="9">
        <f t="shared" si="77"/>
        <v>33.65</v>
      </c>
      <c r="K317" s="3">
        <f t="shared" si="78"/>
        <v>0</v>
      </c>
      <c r="L317" s="7">
        <f t="shared" si="79"/>
        <v>0</v>
      </c>
      <c r="M317" t="s">
        <v>187</v>
      </c>
      <c r="O317" s="3">
        <f>E317-'301055 - P0324'!F317</f>
        <v>0</v>
      </c>
      <c r="P317" s="30">
        <f>I317-'301055 - P0324'!J317</f>
        <v>0</v>
      </c>
    </row>
    <row r="318" spans="1:16" x14ac:dyDescent="0.25">
      <c r="A318">
        <v>316</v>
      </c>
      <c r="B318" t="s">
        <v>470</v>
      </c>
      <c r="C318" t="s">
        <v>291</v>
      </c>
      <c r="D318" s="4" t="s">
        <v>315</v>
      </c>
      <c r="E318" s="12">
        <v>11.34</v>
      </c>
      <c r="F318" s="12">
        <v>11.34</v>
      </c>
      <c r="G318" s="6">
        <f t="shared" si="75"/>
        <v>0</v>
      </c>
      <c r="H318" s="7">
        <f t="shared" si="76"/>
        <v>0</v>
      </c>
      <c r="I318" s="8">
        <v>17.673479758926415</v>
      </c>
      <c r="J318" s="9">
        <f t="shared" si="77"/>
        <v>17.673479758926415</v>
      </c>
      <c r="K318" s="3">
        <f t="shared" si="78"/>
        <v>0</v>
      </c>
      <c r="L318" s="7">
        <f t="shared" si="79"/>
        <v>0</v>
      </c>
      <c r="M318" t="s">
        <v>187</v>
      </c>
      <c r="O318" s="3">
        <f>E318-'301055 - P0324'!F318</f>
        <v>0</v>
      </c>
      <c r="P318" s="30">
        <f>I318-'301055 - P0324'!J318</f>
        <v>0</v>
      </c>
    </row>
    <row r="319" spans="1:16" x14ac:dyDescent="0.25">
      <c r="A319">
        <v>317</v>
      </c>
      <c r="B319" t="s">
        <v>473</v>
      </c>
      <c r="C319" t="s">
        <v>291</v>
      </c>
      <c r="D319" s="4" t="s">
        <v>316</v>
      </c>
      <c r="E319" s="12">
        <v>36.4</v>
      </c>
      <c r="F319" s="12">
        <v>36.4</v>
      </c>
      <c r="G319" s="6">
        <f t="shared" si="75"/>
        <v>0</v>
      </c>
      <c r="H319" s="7">
        <f t="shared" si="76"/>
        <v>0</v>
      </c>
      <c r="I319" s="8">
        <v>56</v>
      </c>
      <c r="J319" s="9">
        <f t="shared" si="77"/>
        <v>56</v>
      </c>
      <c r="K319" s="3">
        <f t="shared" si="78"/>
        <v>0</v>
      </c>
      <c r="L319" s="7">
        <f t="shared" si="79"/>
        <v>0</v>
      </c>
      <c r="M319" t="s">
        <v>187</v>
      </c>
      <c r="O319" s="3">
        <f>E319-'301055 - P0324'!F319</f>
        <v>0</v>
      </c>
      <c r="P319" s="30">
        <f>I319-'301055 - P0324'!J319</f>
        <v>0</v>
      </c>
    </row>
    <row r="320" spans="1:16" x14ac:dyDescent="0.25">
      <c r="A320">
        <v>318</v>
      </c>
      <c r="B320" t="s">
        <v>470</v>
      </c>
      <c r="C320" t="s">
        <v>291</v>
      </c>
      <c r="D320" s="4" t="s">
        <v>317</v>
      </c>
      <c r="E320" s="12">
        <v>32.81</v>
      </c>
      <c r="F320" s="12">
        <v>32.81</v>
      </c>
      <c r="G320" s="6">
        <f t="shared" si="75"/>
        <v>0</v>
      </c>
      <c r="H320" s="7">
        <f t="shared" si="76"/>
        <v>0</v>
      </c>
      <c r="I320" s="8">
        <v>85.12</v>
      </c>
      <c r="J320" s="9">
        <f t="shared" si="77"/>
        <v>85.12</v>
      </c>
      <c r="K320" s="3">
        <f t="shared" si="78"/>
        <v>0</v>
      </c>
      <c r="L320" s="7">
        <f t="shared" si="79"/>
        <v>0</v>
      </c>
      <c r="M320" t="s">
        <v>187</v>
      </c>
      <c r="O320" s="3">
        <f>E320-'301055 - P0324'!F320</f>
        <v>0</v>
      </c>
      <c r="P320" s="30">
        <f>I320-'301055 - P0324'!J320</f>
        <v>0</v>
      </c>
    </row>
    <row r="321" spans="1:16" x14ac:dyDescent="0.25">
      <c r="A321">
        <v>319</v>
      </c>
      <c r="B321" t="s">
        <v>473</v>
      </c>
      <c r="C321" t="s">
        <v>291</v>
      </c>
      <c r="D321" s="4" t="s">
        <v>318</v>
      </c>
      <c r="E321" s="12">
        <v>21.15</v>
      </c>
      <c r="F321" s="12">
        <v>21.15</v>
      </c>
      <c r="G321" s="6">
        <f t="shared" si="75"/>
        <v>0</v>
      </c>
      <c r="H321" s="7">
        <f t="shared" si="76"/>
        <v>0</v>
      </c>
      <c r="I321" s="8">
        <v>32.590000000000003</v>
      </c>
      <c r="J321" s="9">
        <f t="shared" si="77"/>
        <v>32.590000000000003</v>
      </c>
      <c r="K321" s="3">
        <f t="shared" si="78"/>
        <v>0</v>
      </c>
      <c r="L321" s="7">
        <f t="shared" si="79"/>
        <v>0</v>
      </c>
      <c r="M321" t="s">
        <v>187</v>
      </c>
      <c r="O321" s="3">
        <f>E321-'301055 - P0324'!F321</f>
        <v>0</v>
      </c>
      <c r="P321" s="30">
        <f>I321-'301055 - P0324'!J321</f>
        <v>0</v>
      </c>
    </row>
    <row r="322" spans="1:16" x14ac:dyDescent="0.25">
      <c r="A322">
        <v>320</v>
      </c>
      <c r="B322" t="s">
        <v>319</v>
      </c>
      <c r="C322" t="s">
        <v>291</v>
      </c>
      <c r="D322" s="4" t="s">
        <v>320</v>
      </c>
      <c r="E322" s="12">
        <v>1.34</v>
      </c>
      <c r="F322" s="12">
        <v>1.34</v>
      </c>
      <c r="G322" s="6">
        <f t="shared" si="75"/>
        <v>0</v>
      </c>
      <c r="H322" s="7">
        <f t="shared" si="76"/>
        <v>0</v>
      </c>
      <c r="I322" s="8">
        <v>2.5299999999999998</v>
      </c>
      <c r="J322" s="9">
        <f t="shared" si="77"/>
        <v>2.5299999999999998</v>
      </c>
      <c r="K322" s="3">
        <f t="shared" si="78"/>
        <v>0</v>
      </c>
      <c r="L322" s="7">
        <f t="shared" si="79"/>
        <v>0</v>
      </c>
      <c r="M322" t="s">
        <v>187</v>
      </c>
      <c r="O322" s="3">
        <f>E322-'301055 - P0324'!F322</f>
        <v>0</v>
      </c>
      <c r="P322" s="30">
        <f>I322-'301055 - P0324'!J322</f>
        <v>0</v>
      </c>
    </row>
    <row r="323" spans="1:16" x14ac:dyDescent="0.25">
      <c r="A323">
        <v>321</v>
      </c>
      <c r="B323" t="s">
        <v>473</v>
      </c>
      <c r="C323" t="s">
        <v>291</v>
      </c>
      <c r="D323" s="4" t="s">
        <v>321</v>
      </c>
      <c r="E323" s="12">
        <v>1.7</v>
      </c>
      <c r="F323" s="12">
        <v>1.7</v>
      </c>
      <c r="G323" s="6">
        <f t="shared" si="75"/>
        <v>0</v>
      </c>
      <c r="H323" s="7">
        <f t="shared" si="76"/>
        <v>0</v>
      </c>
      <c r="I323" s="8">
        <v>2.62</v>
      </c>
      <c r="J323" s="9">
        <f t="shared" si="77"/>
        <v>2.62</v>
      </c>
      <c r="K323" s="3">
        <f t="shared" si="78"/>
        <v>0</v>
      </c>
      <c r="L323" s="7">
        <f t="shared" si="79"/>
        <v>0</v>
      </c>
      <c r="M323" t="s">
        <v>187</v>
      </c>
      <c r="O323" s="3">
        <f>E323-'301055 - P0324'!F323</f>
        <v>0</v>
      </c>
      <c r="P323" s="30">
        <f>I323-'301055 - P0324'!J323</f>
        <v>0</v>
      </c>
    </row>
    <row r="324" spans="1:16" x14ac:dyDescent="0.25">
      <c r="A324">
        <v>322</v>
      </c>
      <c r="B324" t="s">
        <v>474</v>
      </c>
      <c r="C324" t="s">
        <v>291</v>
      </c>
      <c r="D324" s="4" t="s">
        <v>323</v>
      </c>
      <c r="E324" s="16">
        <v>35.229999999999997</v>
      </c>
      <c r="F324" s="12">
        <v>35.229999999999997</v>
      </c>
      <c r="G324" s="6">
        <f t="shared" si="75"/>
        <v>0</v>
      </c>
      <c r="H324" s="7">
        <f t="shared" si="76"/>
        <v>0</v>
      </c>
      <c r="I324" s="8">
        <v>54.21</v>
      </c>
      <c r="J324" s="9">
        <f t="shared" si="77"/>
        <v>54.21</v>
      </c>
      <c r="K324" s="3">
        <f t="shared" si="78"/>
        <v>0</v>
      </c>
      <c r="L324" s="7">
        <f t="shared" si="79"/>
        <v>0</v>
      </c>
      <c r="M324" t="s">
        <v>187</v>
      </c>
      <c r="O324" s="3">
        <f>E324-'301055 - P0324'!F324</f>
        <v>0</v>
      </c>
      <c r="P324" s="30">
        <f>I324-'301055 - P0324'!J324</f>
        <v>0</v>
      </c>
    </row>
    <row r="325" spans="1:16" x14ac:dyDescent="0.25">
      <c r="A325">
        <v>323</v>
      </c>
      <c r="B325" t="s">
        <v>474</v>
      </c>
      <c r="C325" t="s">
        <v>291</v>
      </c>
      <c r="D325" s="4" t="s">
        <v>324</v>
      </c>
      <c r="E325" s="16">
        <v>19.350000000000001</v>
      </c>
      <c r="F325" s="12">
        <v>19.350000000000001</v>
      </c>
      <c r="G325" s="6">
        <f t="shared" si="75"/>
        <v>0</v>
      </c>
      <c r="H325" s="7">
        <f t="shared" si="76"/>
        <v>0</v>
      </c>
      <c r="I325" s="8">
        <v>34.01</v>
      </c>
      <c r="J325" s="9">
        <f t="shared" si="77"/>
        <v>34.01</v>
      </c>
      <c r="K325" s="3">
        <f t="shared" si="78"/>
        <v>0</v>
      </c>
      <c r="L325" s="7">
        <f t="shared" si="79"/>
        <v>0</v>
      </c>
      <c r="M325" t="s">
        <v>187</v>
      </c>
      <c r="O325" s="3">
        <f>E325-'301055 - P0324'!F325</f>
        <v>0</v>
      </c>
      <c r="P325" s="30">
        <f>I325-'301055 - P0324'!J325</f>
        <v>0</v>
      </c>
    </row>
    <row r="326" spans="1:16" x14ac:dyDescent="0.25">
      <c r="A326">
        <v>324</v>
      </c>
      <c r="B326" t="s">
        <v>474</v>
      </c>
      <c r="C326" t="s">
        <v>291</v>
      </c>
      <c r="D326" s="4" t="s">
        <v>325</v>
      </c>
      <c r="E326" s="16">
        <v>13.97</v>
      </c>
      <c r="F326" s="12">
        <v>13.97</v>
      </c>
      <c r="G326" s="6">
        <f t="shared" si="75"/>
        <v>0</v>
      </c>
      <c r="H326" s="7">
        <f t="shared" si="76"/>
        <v>0</v>
      </c>
      <c r="I326" s="8">
        <v>21.5</v>
      </c>
      <c r="J326" s="9">
        <f t="shared" si="77"/>
        <v>21.5</v>
      </c>
      <c r="K326" s="3">
        <f t="shared" si="78"/>
        <v>0</v>
      </c>
      <c r="L326" s="7">
        <f t="shared" si="79"/>
        <v>0</v>
      </c>
      <c r="M326" t="s">
        <v>187</v>
      </c>
      <c r="O326" s="3">
        <f>E326-'301055 - P0324'!F326</f>
        <v>0</v>
      </c>
      <c r="P326" s="30">
        <f>I326-'301055 - P0324'!J326</f>
        <v>0</v>
      </c>
    </row>
    <row r="327" spans="1:16" x14ac:dyDescent="0.25">
      <c r="A327">
        <v>325</v>
      </c>
      <c r="B327" t="s">
        <v>474</v>
      </c>
      <c r="C327" t="s">
        <v>291</v>
      </c>
      <c r="D327" s="4" t="s">
        <v>326</v>
      </c>
      <c r="E327" s="16">
        <v>4.5599999999999996</v>
      </c>
      <c r="F327" s="12">
        <v>4.5599999999999996</v>
      </c>
      <c r="G327" s="6">
        <f t="shared" si="75"/>
        <v>0</v>
      </c>
      <c r="H327" s="7">
        <f t="shared" si="76"/>
        <v>0</v>
      </c>
      <c r="I327" s="8">
        <v>9.14</v>
      </c>
      <c r="J327" s="9">
        <f t="shared" si="77"/>
        <v>9.14</v>
      </c>
      <c r="K327" s="3">
        <f t="shared" si="78"/>
        <v>0</v>
      </c>
      <c r="L327" s="7">
        <f t="shared" si="79"/>
        <v>0</v>
      </c>
      <c r="M327" t="s">
        <v>187</v>
      </c>
      <c r="O327" s="3">
        <f>E327-'301055 - P0324'!F327</f>
        <v>0</v>
      </c>
      <c r="P327" s="30">
        <f>I327-'301055 - P0324'!J327</f>
        <v>0</v>
      </c>
    </row>
    <row r="328" spans="1:16" x14ac:dyDescent="0.25">
      <c r="A328">
        <v>326</v>
      </c>
      <c r="B328" t="s">
        <v>475</v>
      </c>
      <c r="C328" t="s">
        <v>291</v>
      </c>
      <c r="D328" s="4" t="s">
        <v>327</v>
      </c>
      <c r="E328" s="16">
        <v>3.49</v>
      </c>
      <c r="F328" s="12">
        <v>3.49</v>
      </c>
      <c r="G328" s="6">
        <f t="shared" si="75"/>
        <v>0</v>
      </c>
      <c r="H328" s="7">
        <f t="shared" si="76"/>
        <v>0</v>
      </c>
      <c r="I328" s="8">
        <v>6.59</v>
      </c>
      <c r="J328" s="9">
        <f t="shared" si="77"/>
        <v>6.59</v>
      </c>
      <c r="K328" s="3">
        <f t="shared" si="78"/>
        <v>0</v>
      </c>
      <c r="L328" s="7">
        <f t="shared" si="79"/>
        <v>0</v>
      </c>
      <c r="M328" t="s">
        <v>187</v>
      </c>
      <c r="O328" s="3">
        <f>E328-'301055 - P0324'!F328</f>
        <v>0</v>
      </c>
      <c r="P328" s="30">
        <f>I328-'301055 - P0324'!J328</f>
        <v>0</v>
      </c>
    </row>
    <row r="329" spans="1:16" x14ac:dyDescent="0.25">
      <c r="A329">
        <v>327</v>
      </c>
      <c r="B329" t="s">
        <v>474</v>
      </c>
      <c r="C329" t="s">
        <v>291</v>
      </c>
      <c r="D329" s="4" t="s">
        <v>328</v>
      </c>
      <c r="E329" s="16">
        <v>5.68</v>
      </c>
      <c r="F329" s="12">
        <v>5.68</v>
      </c>
      <c r="G329" s="6">
        <f t="shared" si="75"/>
        <v>0</v>
      </c>
      <c r="H329" s="7">
        <f t="shared" si="76"/>
        <v>0</v>
      </c>
      <c r="I329" s="8">
        <v>8.77</v>
      </c>
      <c r="J329" s="9">
        <f t="shared" si="77"/>
        <v>8.77</v>
      </c>
      <c r="K329" s="3">
        <f t="shared" si="78"/>
        <v>0</v>
      </c>
      <c r="L329" s="7">
        <f t="shared" si="79"/>
        <v>0</v>
      </c>
      <c r="M329" t="s">
        <v>187</v>
      </c>
      <c r="O329" s="3">
        <f>E329-'301055 - P0324'!F329</f>
        <v>0</v>
      </c>
      <c r="P329" s="30">
        <f>I329-'301055 - P0324'!J329</f>
        <v>0</v>
      </c>
    </row>
    <row r="330" spans="1:16" x14ac:dyDescent="0.25">
      <c r="A330">
        <v>328</v>
      </c>
      <c r="B330" t="s">
        <v>473</v>
      </c>
      <c r="C330" t="s">
        <v>291</v>
      </c>
      <c r="D330" s="4" t="s">
        <v>329</v>
      </c>
      <c r="E330" s="16">
        <v>5.22</v>
      </c>
      <c r="F330" s="12">
        <v>5.22</v>
      </c>
      <c r="G330" s="6">
        <f t="shared" si="75"/>
        <v>0</v>
      </c>
      <c r="H330" s="7">
        <f t="shared" si="76"/>
        <v>0</v>
      </c>
      <c r="I330" s="8">
        <v>8.0399999999999991</v>
      </c>
      <c r="J330" s="9">
        <f t="shared" si="77"/>
        <v>8.0399999999999991</v>
      </c>
      <c r="K330" s="3">
        <f t="shared" si="78"/>
        <v>0</v>
      </c>
      <c r="L330" s="7">
        <f t="shared" si="79"/>
        <v>0</v>
      </c>
      <c r="M330" t="s">
        <v>187</v>
      </c>
      <c r="O330" s="3">
        <f>E330-'301055 - P0324'!F330</f>
        <v>0</v>
      </c>
      <c r="P330" s="30">
        <f>I330-'301055 - P0324'!J330</f>
        <v>0</v>
      </c>
    </row>
    <row r="331" spans="1:16" x14ac:dyDescent="0.25">
      <c r="A331">
        <v>329</v>
      </c>
      <c r="B331" t="s">
        <v>474</v>
      </c>
      <c r="C331" t="s">
        <v>291</v>
      </c>
      <c r="D331" s="4" t="s">
        <v>330</v>
      </c>
      <c r="E331" s="16">
        <v>34.32</v>
      </c>
      <c r="F331" s="12">
        <v>34.32</v>
      </c>
      <c r="G331" s="6">
        <f t="shared" si="75"/>
        <v>0</v>
      </c>
      <c r="H331" s="7">
        <f t="shared" si="76"/>
        <v>0</v>
      </c>
      <c r="I331" s="8">
        <v>52.8</v>
      </c>
      <c r="J331" s="9">
        <f t="shared" si="77"/>
        <v>52.8</v>
      </c>
      <c r="K331" s="3">
        <f t="shared" si="78"/>
        <v>0</v>
      </c>
      <c r="L331" s="7">
        <f t="shared" si="79"/>
        <v>0</v>
      </c>
      <c r="M331" t="s">
        <v>187</v>
      </c>
      <c r="O331" s="3">
        <f>E331-'301055 - P0324'!F331</f>
        <v>0</v>
      </c>
      <c r="P331" s="30">
        <f>I331-'301055 - P0324'!J331</f>
        <v>0</v>
      </c>
    </row>
    <row r="332" spans="1:16" x14ac:dyDescent="0.25">
      <c r="A332">
        <v>330</v>
      </c>
      <c r="B332" t="s">
        <v>474</v>
      </c>
      <c r="C332" t="s">
        <v>291</v>
      </c>
      <c r="D332" s="4" t="s">
        <v>331</v>
      </c>
      <c r="E332" s="16">
        <v>2.96</v>
      </c>
      <c r="F332" s="12">
        <v>2.96</v>
      </c>
      <c r="G332" s="6">
        <f>+F332-E332</f>
        <v>0</v>
      </c>
      <c r="H332" s="7">
        <f>(F332-E332)/ABS(E332)</f>
        <v>0</v>
      </c>
      <c r="I332" s="8">
        <v>4.5599999999999996</v>
      </c>
      <c r="J332" s="9">
        <f>(I332*H332)+I332</f>
        <v>4.5599999999999996</v>
      </c>
      <c r="K332" s="3">
        <f>J332-I332</f>
        <v>0</v>
      </c>
      <c r="L332" s="7">
        <f>(J332-I332)/ABS(I332)</f>
        <v>0</v>
      </c>
      <c r="M332" t="s">
        <v>187</v>
      </c>
      <c r="O332" s="3">
        <f>E332-'301055 - P0324'!F332</f>
        <v>0</v>
      </c>
      <c r="P332" s="30">
        <f>I332-'301055 - P0324'!J332</f>
        <v>0</v>
      </c>
    </row>
    <row r="333" spans="1:16" x14ac:dyDescent="0.25">
      <c r="A333">
        <v>331</v>
      </c>
      <c r="B333" t="s">
        <v>473</v>
      </c>
      <c r="C333" t="s">
        <v>291</v>
      </c>
      <c r="D333" s="4" t="s">
        <v>332</v>
      </c>
      <c r="E333" s="12">
        <v>197</v>
      </c>
      <c r="F333" s="12">
        <v>197</v>
      </c>
      <c r="G333" s="6">
        <f t="shared" ref="G333:G345" si="80">+F333-E333</f>
        <v>0</v>
      </c>
      <c r="H333" s="7">
        <f t="shared" ref="H333:H345" si="81">(F333-E333)/ABS(E333)</f>
        <v>0</v>
      </c>
      <c r="I333" s="8">
        <v>303.08</v>
      </c>
      <c r="J333" s="9">
        <f t="shared" ref="J333:J345" si="82">(I333*H333)+I333</f>
        <v>303.08</v>
      </c>
      <c r="K333" s="3">
        <f t="shared" ref="K333:K345" si="83">J333-I333</f>
        <v>0</v>
      </c>
      <c r="L333" s="7">
        <f t="shared" ref="L333:L345" si="84">(J333-I333)/ABS(I333)</f>
        <v>0</v>
      </c>
      <c r="M333" t="s">
        <v>187</v>
      </c>
      <c r="O333" s="3">
        <f>E333-'301055 - P0324'!F333</f>
        <v>0</v>
      </c>
      <c r="P333" s="30">
        <f>I333-'301055 - P0324'!J333</f>
        <v>0</v>
      </c>
    </row>
    <row r="334" spans="1:16" x14ac:dyDescent="0.25">
      <c r="A334">
        <v>332</v>
      </c>
      <c r="B334" t="s">
        <v>319</v>
      </c>
      <c r="C334" t="s">
        <v>291</v>
      </c>
      <c r="D334" s="4" t="s">
        <v>333</v>
      </c>
      <c r="E334" s="12">
        <v>83</v>
      </c>
      <c r="F334" s="12">
        <v>83</v>
      </c>
      <c r="G334" s="6">
        <f t="shared" si="80"/>
        <v>0</v>
      </c>
      <c r="H334" s="7">
        <f t="shared" si="81"/>
        <v>0</v>
      </c>
      <c r="I334" s="8">
        <v>100.7</v>
      </c>
      <c r="J334" s="9">
        <f t="shared" si="82"/>
        <v>100.7</v>
      </c>
      <c r="K334" s="3">
        <f t="shared" si="83"/>
        <v>0</v>
      </c>
      <c r="L334" s="7">
        <f t="shared" si="84"/>
        <v>0</v>
      </c>
      <c r="M334" t="s">
        <v>187</v>
      </c>
      <c r="O334" s="3">
        <f>E334-'301055 - P0324'!F334</f>
        <v>0</v>
      </c>
      <c r="P334" s="30">
        <f>I334-'301055 - P0324'!J334</f>
        <v>0</v>
      </c>
    </row>
    <row r="335" spans="1:16" x14ac:dyDescent="0.25">
      <c r="A335">
        <v>333</v>
      </c>
      <c r="B335" t="s">
        <v>305</v>
      </c>
      <c r="C335" t="s">
        <v>291</v>
      </c>
      <c r="D335" s="4" t="s">
        <v>334</v>
      </c>
      <c r="E335" s="12">
        <v>10</v>
      </c>
      <c r="F335" s="12">
        <v>10</v>
      </c>
      <c r="G335" s="6">
        <f t="shared" si="80"/>
        <v>0</v>
      </c>
      <c r="H335" s="7">
        <f t="shared" si="81"/>
        <v>0</v>
      </c>
      <c r="I335" s="8">
        <v>15.39</v>
      </c>
      <c r="J335" s="9">
        <f t="shared" si="82"/>
        <v>15.39</v>
      </c>
      <c r="K335" s="3">
        <f t="shared" si="83"/>
        <v>0</v>
      </c>
      <c r="L335" s="7">
        <f t="shared" si="84"/>
        <v>0</v>
      </c>
      <c r="M335" t="s">
        <v>187</v>
      </c>
      <c r="O335" s="3">
        <f>E335-'301055 - P0324'!F335</f>
        <v>0</v>
      </c>
      <c r="P335" s="30">
        <f>I335-'301055 - P0324'!J335</f>
        <v>0</v>
      </c>
    </row>
    <row r="336" spans="1:16" x14ac:dyDescent="0.25">
      <c r="A336">
        <v>334</v>
      </c>
      <c r="B336" t="s">
        <v>476</v>
      </c>
      <c r="C336" t="s">
        <v>291</v>
      </c>
      <c r="D336" s="4" t="s">
        <v>335</v>
      </c>
      <c r="E336" s="12">
        <v>2.5099999999999998</v>
      </c>
      <c r="F336" s="12">
        <v>2.5099999999999998</v>
      </c>
      <c r="G336" s="6">
        <f t="shared" si="80"/>
        <v>0</v>
      </c>
      <c r="H336" s="7">
        <f t="shared" si="81"/>
        <v>0</v>
      </c>
      <c r="I336" s="8">
        <v>5.14</v>
      </c>
      <c r="J336" s="9">
        <f t="shared" si="82"/>
        <v>5.14</v>
      </c>
      <c r="K336" s="3">
        <f t="shared" si="83"/>
        <v>0</v>
      </c>
      <c r="L336" s="7">
        <f t="shared" si="84"/>
        <v>0</v>
      </c>
      <c r="M336" t="s">
        <v>187</v>
      </c>
      <c r="O336" s="3">
        <f>E336-'301055 - P0324'!F336</f>
        <v>0</v>
      </c>
      <c r="P336" s="30">
        <f>I336-'301055 - P0324'!J336</f>
        <v>0</v>
      </c>
    </row>
    <row r="337" spans="1:16" x14ac:dyDescent="0.25">
      <c r="A337">
        <v>335</v>
      </c>
      <c r="B337" t="s">
        <v>477</v>
      </c>
      <c r="C337" t="s">
        <v>291</v>
      </c>
      <c r="D337" s="4" t="s">
        <v>336</v>
      </c>
      <c r="E337" s="12">
        <v>5.44</v>
      </c>
      <c r="F337" s="12">
        <v>5.44</v>
      </c>
      <c r="G337" s="6">
        <f t="shared" si="80"/>
        <v>0</v>
      </c>
      <c r="H337" s="7">
        <f t="shared" si="81"/>
        <v>0</v>
      </c>
      <c r="I337" s="8">
        <v>9.49</v>
      </c>
      <c r="J337" s="9">
        <f t="shared" si="82"/>
        <v>9.49</v>
      </c>
      <c r="K337" s="3">
        <f t="shared" si="83"/>
        <v>0</v>
      </c>
      <c r="L337" s="7">
        <f t="shared" si="84"/>
        <v>0</v>
      </c>
      <c r="M337" t="s">
        <v>187</v>
      </c>
      <c r="O337" s="3">
        <f>E337-'301055 - P0324'!F337</f>
        <v>0</v>
      </c>
      <c r="P337" s="30">
        <f>I337-'301055 - P0324'!J337</f>
        <v>0</v>
      </c>
    </row>
    <row r="338" spans="1:16" x14ac:dyDescent="0.25">
      <c r="A338">
        <v>336</v>
      </c>
      <c r="B338" t="s">
        <v>463</v>
      </c>
      <c r="C338" t="s">
        <v>291</v>
      </c>
      <c r="D338" s="4" t="s">
        <v>337</v>
      </c>
      <c r="E338" s="12">
        <v>115.32</v>
      </c>
      <c r="F338" s="12">
        <v>115.32</v>
      </c>
      <c r="G338" s="6">
        <f t="shared" si="80"/>
        <v>0</v>
      </c>
      <c r="H338" s="7">
        <f t="shared" si="81"/>
        <v>0</v>
      </c>
      <c r="I338" s="8">
        <v>177.42</v>
      </c>
      <c r="J338" s="9">
        <f t="shared" si="82"/>
        <v>177.42</v>
      </c>
      <c r="K338" s="3">
        <f t="shared" si="83"/>
        <v>0</v>
      </c>
      <c r="L338" s="7">
        <f t="shared" si="84"/>
        <v>0</v>
      </c>
      <c r="M338" t="s">
        <v>187</v>
      </c>
      <c r="O338" s="3">
        <f>E338-'301055 - P0324'!F338</f>
        <v>0</v>
      </c>
      <c r="P338" s="30">
        <f>I338-'301055 - P0324'!J338</f>
        <v>0</v>
      </c>
    </row>
    <row r="339" spans="1:16" x14ac:dyDescent="0.25">
      <c r="A339">
        <v>337</v>
      </c>
      <c r="B339" t="s">
        <v>463</v>
      </c>
      <c r="C339" t="s">
        <v>291</v>
      </c>
      <c r="D339" s="4" t="s">
        <v>338</v>
      </c>
      <c r="E339" s="12">
        <v>0.89</v>
      </c>
      <c r="F339" s="12">
        <v>0.89</v>
      </c>
      <c r="G339" s="6">
        <f t="shared" si="80"/>
        <v>0</v>
      </c>
      <c r="H339" s="7">
        <f t="shared" si="81"/>
        <v>0</v>
      </c>
      <c r="I339" s="8">
        <v>1.37</v>
      </c>
      <c r="J339" s="9">
        <f t="shared" si="82"/>
        <v>1.37</v>
      </c>
      <c r="K339" s="3">
        <f t="shared" si="83"/>
        <v>0</v>
      </c>
      <c r="L339" s="7">
        <f t="shared" si="84"/>
        <v>0</v>
      </c>
      <c r="M339" t="s">
        <v>187</v>
      </c>
      <c r="O339" s="3">
        <f>E339-'301055 - P0324'!F339</f>
        <v>0</v>
      </c>
      <c r="P339" s="30">
        <f>I339-'301055 - P0324'!J339</f>
        <v>0</v>
      </c>
    </row>
    <row r="340" spans="1:16" x14ac:dyDescent="0.25">
      <c r="A340">
        <v>338</v>
      </c>
      <c r="B340" t="s">
        <v>463</v>
      </c>
      <c r="C340" t="s">
        <v>291</v>
      </c>
      <c r="D340" s="4" t="s">
        <v>339</v>
      </c>
      <c r="E340" s="12">
        <v>33.590000000000003</v>
      </c>
      <c r="F340" s="12">
        <v>33.590000000000003</v>
      </c>
      <c r="G340" s="6">
        <f t="shared" si="80"/>
        <v>0</v>
      </c>
      <c r="H340" s="7">
        <f t="shared" si="81"/>
        <v>0</v>
      </c>
      <c r="I340" s="8">
        <v>51.68</v>
      </c>
      <c r="J340" s="9">
        <f t="shared" si="82"/>
        <v>51.68</v>
      </c>
      <c r="K340" s="3">
        <f t="shared" si="83"/>
        <v>0</v>
      </c>
      <c r="L340" s="7">
        <f t="shared" si="84"/>
        <v>0</v>
      </c>
      <c r="M340" t="s">
        <v>187</v>
      </c>
      <c r="O340" s="3">
        <f>E340-'301055 - P0324'!F340</f>
        <v>0</v>
      </c>
      <c r="P340" s="30">
        <f>I340-'301055 - P0324'!J340</f>
        <v>0</v>
      </c>
    </row>
    <row r="341" spans="1:16" x14ac:dyDescent="0.25">
      <c r="A341">
        <v>339</v>
      </c>
      <c r="B341" t="s">
        <v>463</v>
      </c>
      <c r="C341" t="s">
        <v>291</v>
      </c>
      <c r="D341" s="4" t="s">
        <v>464</v>
      </c>
      <c r="E341" s="12">
        <v>14.78</v>
      </c>
      <c r="F341" s="12">
        <v>14.78</v>
      </c>
      <c r="G341" s="6">
        <f t="shared" si="80"/>
        <v>0</v>
      </c>
      <c r="H341" s="7">
        <f t="shared" si="81"/>
        <v>0</v>
      </c>
      <c r="I341" s="8">
        <v>22.74</v>
      </c>
      <c r="J341" s="9">
        <f t="shared" si="82"/>
        <v>22.74</v>
      </c>
      <c r="K341" s="3">
        <f t="shared" si="83"/>
        <v>0</v>
      </c>
      <c r="L341" s="7">
        <f t="shared" si="84"/>
        <v>0</v>
      </c>
      <c r="M341" t="s">
        <v>187</v>
      </c>
      <c r="O341" s="3">
        <f>E341-'301055 - P0324'!F341</f>
        <v>0</v>
      </c>
      <c r="P341" s="30">
        <f>I341-'301055 - P0324'!J341</f>
        <v>0</v>
      </c>
    </row>
    <row r="342" spans="1:16" x14ac:dyDescent="0.25">
      <c r="A342">
        <v>340</v>
      </c>
      <c r="B342" t="s">
        <v>463</v>
      </c>
      <c r="C342" t="s">
        <v>291</v>
      </c>
      <c r="D342" s="4" t="s">
        <v>466</v>
      </c>
      <c r="E342" s="12">
        <v>2.21</v>
      </c>
      <c r="F342" s="12">
        <v>2.21</v>
      </c>
      <c r="G342" s="6">
        <f t="shared" si="80"/>
        <v>0</v>
      </c>
      <c r="H342" s="7">
        <f t="shared" si="81"/>
        <v>0</v>
      </c>
      <c r="I342" s="8">
        <v>3.8</v>
      </c>
      <c r="J342" s="9">
        <f t="shared" si="82"/>
        <v>3.8</v>
      </c>
      <c r="K342" s="3">
        <f t="shared" si="83"/>
        <v>0</v>
      </c>
      <c r="L342" s="7">
        <f t="shared" si="84"/>
        <v>0</v>
      </c>
      <c r="M342" t="s">
        <v>187</v>
      </c>
      <c r="O342" s="3">
        <f>E342-'301055 - P0324'!F342</f>
        <v>0</v>
      </c>
      <c r="P342" s="30">
        <f>I342-'301055 - P0324'!J342</f>
        <v>0</v>
      </c>
    </row>
    <row r="343" spans="1:16" x14ac:dyDescent="0.25">
      <c r="A343">
        <v>341</v>
      </c>
      <c r="B343" t="s">
        <v>463</v>
      </c>
      <c r="C343" t="s">
        <v>291</v>
      </c>
      <c r="D343" s="4" t="s">
        <v>467</v>
      </c>
      <c r="E343" s="12">
        <v>30.62</v>
      </c>
      <c r="F343" s="12">
        <v>30.62</v>
      </c>
      <c r="G343" s="6">
        <f t="shared" si="80"/>
        <v>0</v>
      </c>
      <c r="H343" s="7">
        <f t="shared" si="81"/>
        <v>0</v>
      </c>
      <c r="I343" s="8">
        <v>52.76</v>
      </c>
      <c r="J343" s="9">
        <f t="shared" si="82"/>
        <v>52.76</v>
      </c>
      <c r="K343" s="3">
        <f t="shared" si="83"/>
        <v>0</v>
      </c>
      <c r="L343" s="7">
        <f t="shared" si="84"/>
        <v>0</v>
      </c>
      <c r="M343" t="s">
        <v>187</v>
      </c>
      <c r="O343" s="3">
        <f>E343-'301055 - P0324'!F343</f>
        <v>0</v>
      </c>
      <c r="P343" s="30">
        <f>I343-'301055 - P0324'!J343</f>
        <v>0</v>
      </c>
    </row>
    <row r="344" spans="1:16" x14ac:dyDescent="0.25">
      <c r="A344">
        <v>342</v>
      </c>
      <c r="B344" t="s">
        <v>485</v>
      </c>
      <c r="C344" t="s">
        <v>291</v>
      </c>
      <c r="D344" s="4" t="s">
        <v>488</v>
      </c>
      <c r="E344" s="12">
        <v>147</v>
      </c>
      <c r="F344" s="12">
        <v>147</v>
      </c>
      <c r="G344" s="6">
        <f t="shared" si="80"/>
        <v>0</v>
      </c>
      <c r="H344" s="7">
        <f t="shared" si="81"/>
        <v>0</v>
      </c>
      <c r="I344" s="8">
        <v>226.16</v>
      </c>
      <c r="J344" s="9">
        <f t="shared" si="82"/>
        <v>226.16</v>
      </c>
      <c r="K344" s="3">
        <f t="shared" si="83"/>
        <v>0</v>
      </c>
      <c r="L344" s="7">
        <f t="shared" si="84"/>
        <v>0</v>
      </c>
      <c r="M344" t="s">
        <v>187</v>
      </c>
      <c r="O344" s="3">
        <f>E344-'301055 - P0324'!F344</f>
        <v>0</v>
      </c>
      <c r="P344" s="30">
        <f>I344-'301055 - P0324'!J344</f>
        <v>0</v>
      </c>
    </row>
    <row r="345" spans="1:16" x14ac:dyDescent="0.25">
      <c r="A345">
        <v>343</v>
      </c>
      <c r="B345" t="s">
        <v>290</v>
      </c>
      <c r="C345" t="s">
        <v>291</v>
      </c>
      <c r="D345" s="4" t="s">
        <v>489</v>
      </c>
      <c r="E345" s="12">
        <v>66.349999999999994</v>
      </c>
      <c r="F345" s="12">
        <v>66.349999999999994</v>
      </c>
      <c r="G345" s="6">
        <f t="shared" si="80"/>
        <v>0</v>
      </c>
      <c r="H345" s="7">
        <f t="shared" si="81"/>
        <v>0</v>
      </c>
      <c r="I345" s="8">
        <v>102.08</v>
      </c>
      <c r="J345" s="9">
        <f t="shared" si="82"/>
        <v>102.08</v>
      </c>
      <c r="K345" s="3">
        <f t="shared" si="83"/>
        <v>0</v>
      </c>
      <c r="L345" s="7">
        <f t="shared" si="84"/>
        <v>0</v>
      </c>
      <c r="M345" t="s">
        <v>187</v>
      </c>
      <c r="O345" s="3">
        <f>E345-'301055 - P0324'!F345</f>
        <v>0</v>
      </c>
      <c r="P345" s="30">
        <f>I345-'301055 - P0324'!J345</f>
        <v>0</v>
      </c>
    </row>
    <row r="346" spans="1:16" x14ac:dyDescent="0.25">
      <c r="A346">
        <v>344</v>
      </c>
      <c r="D346" s="2" t="s">
        <v>340</v>
      </c>
      <c r="H346" s="10">
        <f>AVERAGE(H298:H343)</f>
        <v>0</v>
      </c>
      <c r="I346"/>
    </row>
    <row r="347" spans="1:16" x14ac:dyDescent="0.25">
      <c r="A347">
        <v>345</v>
      </c>
      <c r="D347" s="2" t="s">
        <v>341</v>
      </c>
      <c r="I347"/>
      <c r="M347" t="s">
        <v>7</v>
      </c>
    </row>
    <row r="348" spans="1:16" x14ac:dyDescent="0.25">
      <c r="A348">
        <v>346</v>
      </c>
      <c r="D348" s="2" t="s">
        <v>342</v>
      </c>
      <c r="I348"/>
      <c r="O348" s="3">
        <f>E348-'301055 - P0324'!F348</f>
        <v>0</v>
      </c>
      <c r="P348" s="30">
        <f>I348-'301055 - P0324'!J348</f>
        <v>0</v>
      </c>
    </row>
    <row r="349" spans="1:16" x14ac:dyDescent="0.25">
      <c r="A349">
        <v>347</v>
      </c>
      <c r="B349" t="s">
        <v>470</v>
      </c>
      <c r="C349" s="28" t="s">
        <v>454</v>
      </c>
      <c r="D349" s="4" t="s">
        <v>497</v>
      </c>
      <c r="E349" s="11">
        <v>1450</v>
      </c>
      <c r="F349" s="11">
        <v>1450</v>
      </c>
      <c r="G349" s="6">
        <f t="shared" ref="G349:G356" si="85">+F349-E349</f>
        <v>0</v>
      </c>
      <c r="H349" s="7">
        <f t="shared" ref="H349:H356" si="86">(F349-E349)/ABS(E349)</f>
        <v>0</v>
      </c>
      <c r="I349" s="8">
        <v>118.24570098910753</v>
      </c>
      <c r="J349" s="9">
        <f t="shared" ref="J349:J356" si="87">(I349*H349)+I349</f>
        <v>118.24570098910753</v>
      </c>
      <c r="K349" s="3">
        <f t="shared" ref="K349:K356" si="88">J349-I349</f>
        <v>0</v>
      </c>
      <c r="L349" s="7">
        <f t="shared" ref="L349:L356" si="89">(J349-I349)/ABS(I349)</f>
        <v>0</v>
      </c>
      <c r="M349" t="s">
        <v>7</v>
      </c>
      <c r="O349" s="3">
        <f>E349-'301055 - P0324'!F349</f>
        <v>0</v>
      </c>
      <c r="P349" s="30">
        <f>I349-'301055 - P0324'!J349</f>
        <v>-1.6537860278196916</v>
      </c>
    </row>
    <row r="350" spans="1:16" x14ac:dyDescent="0.25">
      <c r="A350">
        <v>348</v>
      </c>
      <c r="B350" t="s">
        <v>290</v>
      </c>
      <c r="C350" s="28" t="s">
        <v>344</v>
      </c>
      <c r="D350" s="4" t="s">
        <v>345</v>
      </c>
      <c r="E350" s="11">
        <v>4.93</v>
      </c>
      <c r="F350" s="11">
        <v>4.93</v>
      </c>
      <c r="G350" s="6">
        <f t="shared" si="85"/>
        <v>0</v>
      </c>
      <c r="H350" s="7">
        <f t="shared" si="86"/>
        <v>0</v>
      </c>
      <c r="I350" s="8">
        <v>10.18301417057406</v>
      </c>
      <c r="J350" s="9">
        <f t="shared" si="87"/>
        <v>10.18301417057406</v>
      </c>
      <c r="K350" s="3">
        <f t="shared" si="88"/>
        <v>0</v>
      </c>
      <c r="L350" s="7">
        <f t="shared" si="89"/>
        <v>0</v>
      </c>
      <c r="M350" t="s">
        <v>7</v>
      </c>
      <c r="O350" s="3">
        <f>E350-'301055 - P0324'!F350</f>
        <v>0</v>
      </c>
      <c r="P350" s="30">
        <f>I350-'301055 - P0324'!J350</f>
        <v>0</v>
      </c>
    </row>
    <row r="351" spans="1:16" x14ac:dyDescent="0.25">
      <c r="A351">
        <v>349</v>
      </c>
      <c r="B351" t="s">
        <v>463</v>
      </c>
      <c r="C351" s="28" t="s">
        <v>344</v>
      </c>
      <c r="D351" s="4" t="s">
        <v>346</v>
      </c>
      <c r="E351" s="11">
        <v>6.5</v>
      </c>
      <c r="F351" s="11">
        <v>6.5</v>
      </c>
      <c r="G351" s="6">
        <f t="shared" si="85"/>
        <v>0</v>
      </c>
      <c r="H351" s="7">
        <f t="shared" si="86"/>
        <v>0</v>
      </c>
      <c r="I351" s="8">
        <v>11.46</v>
      </c>
      <c r="J351" s="9">
        <f t="shared" si="87"/>
        <v>11.46</v>
      </c>
      <c r="K351" s="3">
        <f t="shared" si="88"/>
        <v>0</v>
      </c>
      <c r="L351" s="7">
        <f t="shared" si="89"/>
        <v>0</v>
      </c>
      <c r="M351" t="s">
        <v>7</v>
      </c>
      <c r="O351" s="3">
        <f>E351-'301055 - P0324'!F351</f>
        <v>0</v>
      </c>
      <c r="P351" s="30">
        <f>I351-'301055 - P0324'!J351</f>
        <v>0</v>
      </c>
    </row>
    <row r="352" spans="1:16" x14ac:dyDescent="0.25">
      <c r="A352">
        <v>350</v>
      </c>
      <c r="B352" t="s">
        <v>463</v>
      </c>
      <c r="C352" s="28" t="s">
        <v>347</v>
      </c>
      <c r="D352" s="4" t="s">
        <v>348</v>
      </c>
      <c r="E352" s="11">
        <v>4.7699999999999996</v>
      </c>
      <c r="F352" s="11">
        <v>4.7699999999999996</v>
      </c>
      <c r="G352" s="6">
        <f t="shared" si="85"/>
        <v>0</v>
      </c>
      <c r="H352" s="7">
        <f t="shared" si="86"/>
        <v>0</v>
      </c>
      <c r="I352" s="8">
        <v>6.82</v>
      </c>
      <c r="J352" s="9">
        <f t="shared" si="87"/>
        <v>6.82</v>
      </c>
      <c r="K352" s="3">
        <f t="shared" si="88"/>
        <v>0</v>
      </c>
      <c r="L352" s="7">
        <f t="shared" si="89"/>
        <v>0</v>
      </c>
      <c r="M352" t="s">
        <v>7</v>
      </c>
      <c r="O352" s="3">
        <f>E352-'301055 - P0324'!F352</f>
        <v>0</v>
      </c>
      <c r="P352" s="30">
        <f>I352-'301055 - P0324'!J352</f>
        <v>0</v>
      </c>
    </row>
    <row r="353" spans="1:16" x14ac:dyDescent="0.25">
      <c r="A353">
        <v>351</v>
      </c>
      <c r="B353" t="s">
        <v>463</v>
      </c>
      <c r="C353" s="28" t="s">
        <v>347</v>
      </c>
      <c r="D353" s="4" t="s">
        <v>349</v>
      </c>
      <c r="E353" s="11">
        <v>104</v>
      </c>
      <c r="F353" s="11">
        <v>104</v>
      </c>
      <c r="G353" s="6">
        <f t="shared" si="85"/>
        <v>0</v>
      </c>
      <c r="H353" s="7">
        <f t="shared" si="86"/>
        <v>0</v>
      </c>
      <c r="I353" s="8">
        <v>159.78</v>
      </c>
      <c r="J353" s="9">
        <f t="shared" si="87"/>
        <v>159.78</v>
      </c>
      <c r="K353" s="3">
        <f t="shared" si="88"/>
        <v>0</v>
      </c>
      <c r="L353" s="7">
        <f t="shared" si="89"/>
        <v>0</v>
      </c>
      <c r="M353" t="s">
        <v>7</v>
      </c>
      <c r="O353" s="3">
        <f>E353-'301055 - P0324'!F353</f>
        <v>0</v>
      </c>
      <c r="P353" s="30">
        <f>I353-'301055 - P0324'!J353</f>
        <v>0</v>
      </c>
    </row>
    <row r="354" spans="1:16" x14ac:dyDescent="0.25">
      <c r="A354">
        <v>352</v>
      </c>
      <c r="B354" t="s">
        <v>445</v>
      </c>
      <c r="C354" s="28" t="s">
        <v>343</v>
      </c>
      <c r="D354" s="4" t="s">
        <v>446</v>
      </c>
      <c r="E354" s="11">
        <v>49.89</v>
      </c>
      <c r="F354" s="11">
        <v>49.89</v>
      </c>
      <c r="G354" s="6">
        <f t="shared" si="85"/>
        <v>0</v>
      </c>
      <c r="H354" s="7">
        <f t="shared" si="86"/>
        <v>0</v>
      </c>
      <c r="I354" s="8">
        <v>66.30376269809021</v>
      </c>
      <c r="J354" s="9">
        <f t="shared" si="87"/>
        <v>66.30376269809021</v>
      </c>
      <c r="K354" s="3">
        <f t="shared" si="88"/>
        <v>0</v>
      </c>
      <c r="L354" s="7">
        <f t="shared" si="89"/>
        <v>0</v>
      </c>
      <c r="M354" t="s">
        <v>7</v>
      </c>
      <c r="O354" s="3">
        <f>E354-'301055 - P0324'!F354</f>
        <v>0</v>
      </c>
      <c r="P354" s="30">
        <f>I354-'301055 - P0324'!J354</f>
        <v>0</v>
      </c>
    </row>
    <row r="355" spans="1:16" x14ac:dyDescent="0.25">
      <c r="A355">
        <v>353</v>
      </c>
      <c r="B355" t="s">
        <v>303</v>
      </c>
      <c r="C355" s="28" t="s">
        <v>343</v>
      </c>
      <c r="D355" s="4" t="s">
        <v>350</v>
      </c>
      <c r="E355" s="11">
        <v>28.21</v>
      </c>
      <c r="F355" s="11">
        <v>28.21</v>
      </c>
      <c r="G355" s="6">
        <f t="shared" si="85"/>
        <v>0</v>
      </c>
      <c r="H355" s="7">
        <f t="shared" si="86"/>
        <v>0</v>
      </c>
      <c r="I355" s="8">
        <v>60.400819101768519</v>
      </c>
      <c r="J355" s="9">
        <f t="shared" si="87"/>
        <v>60.400819101768519</v>
      </c>
      <c r="K355" s="3">
        <f t="shared" si="88"/>
        <v>0</v>
      </c>
      <c r="L355" s="7">
        <f t="shared" si="89"/>
        <v>0</v>
      </c>
      <c r="M355" t="s">
        <v>7</v>
      </c>
      <c r="O355" s="3">
        <f>E355-'301055 - P0324'!F355</f>
        <v>0</v>
      </c>
      <c r="P355" s="30">
        <f>I355-'301055 - P0324'!J355</f>
        <v>0</v>
      </c>
    </row>
    <row r="356" spans="1:16" x14ac:dyDescent="0.25">
      <c r="A356">
        <v>354</v>
      </c>
      <c r="B356" t="s">
        <v>303</v>
      </c>
      <c r="C356" s="28" t="s">
        <v>351</v>
      </c>
      <c r="D356" s="4" t="s">
        <v>352</v>
      </c>
      <c r="E356" s="11">
        <v>20.36</v>
      </c>
      <c r="F356" s="11">
        <v>20.36</v>
      </c>
      <c r="G356" s="6">
        <f t="shared" si="85"/>
        <v>0</v>
      </c>
      <c r="H356" s="7">
        <f t="shared" si="86"/>
        <v>0</v>
      </c>
      <c r="I356" s="8">
        <v>33.75</v>
      </c>
      <c r="J356" s="9">
        <f t="shared" si="87"/>
        <v>33.75</v>
      </c>
      <c r="K356" s="3">
        <f t="shared" si="88"/>
        <v>0</v>
      </c>
      <c r="L356" s="7">
        <f t="shared" si="89"/>
        <v>0</v>
      </c>
      <c r="M356" t="s">
        <v>7</v>
      </c>
      <c r="O356" s="3">
        <f>E356-'301055 - P0324'!F356</f>
        <v>0</v>
      </c>
      <c r="P356" s="30">
        <f>I356-'301055 - P0324'!J356</f>
        <v>0</v>
      </c>
    </row>
    <row r="357" spans="1:16" x14ac:dyDescent="0.25">
      <c r="A357">
        <v>355</v>
      </c>
      <c r="C357" s="28"/>
      <c r="D357" s="2" t="s">
        <v>353</v>
      </c>
      <c r="I357"/>
    </row>
    <row r="358" spans="1:16" x14ac:dyDescent="0.25">
      <c r="A358">
        <v>356</v>
      </c>
      <c r="B358" t="s">
        <v>294</v>
      </c>
      <c r="C358" s="28" t="s">
        <v>354</v>
      </c>
      <c r="D358" s="4" t="s">
        <v>355</v>
      </c>
      <c r="E358" s="12">
        <v>5.98</v>
      </c>
      <c r="F358" s="12">
        <v>5.98</v>
      </c>
      <c r="G358" s="6">
        <f>+F358-E358</f>
        <v>0</v>
      </c>
      <c r="H358" s="7">
        <f>(F358-E358)/ABS(E358)</f>
        <v>0</v>
      </c>
      <c r="I358" s="12">
        <v>10.64931506849315</v>
      </c>
      <c r="J358" s="12">
        <f>(I358*H358)+I358</f>
        <v>10.64931506849315</v>
      </c>
      <c r="K358" s="3">
        <f>J358-I358</f>
        <v>0</v>
      </c>
      <c r="L358" s="7">
        <f>(J358-I358)/ABS(I358)</f>
        <v>0</v>
      </c>
      <c r="M358" t="s">
        <v>150</v>
      </c>
      <c r="O358" s="3">
        <f>E358-'301055 - P0324'!F358</f>
        <v>0</v>
      </c>
      <c r="P358" s="30">
        <f>I358-'301055 - P0324'!J358</f>
        <v>0</v>
      </c>
    </row>
    <row r="359" spans="1:16" x14ac:dyDescent="0.25">
      <c r="A359">
        <v>357</v>
      </c>
      <c r="C359" s="28"/>
      <c r="D359" s="2" t="s">
        <v>356</v>
      </c>
      <c r="I359"/>
    </row>
    <row r="360" spans="1:16" x14ac:dyDescent="0.25">
      <c r="A360">
        <v>358</v>
      </c>
      <c r="B360" t="s">
        <v>502</v>
      </c>
      <c r="C360" s="28" t="s">
        <v>454</v>
      </c>
      <c r="D360" s="4" t="s">
        <v>503</v>
      </c>
      <c r="E360" s="11">
        <v>1517</v>
      </c>
      <c r="F360" s="11">
        <v>1517</v>
      </c>
      <c r="G360" s="13">
        <f t="shared" ref="G360:G394" si="90">+F360-E360</f>
        <v>0</v>
      </c>
      <c r="H360" s="7">
        <f t="shared" ref="H360:H394" si="91">(F360-E360)/ABS(E360)</f>
        <v>0</v>
      </c>
      <c r="I360" s="8">
        <v>83.5202093596059</v>
      </c>
      <c r="J360" s="9">
        <f t="shared" ref="J360:J394" si="92">(I360*H360)+I360</f>
        <v>83.5202093596059</v>
      </c>
      <c r="K360" s="3">
        <f t="shared" ref="K360:K394" si="93">J360-I360</f>
        <v>0</v>
      </c>
      <c r="L360" s="7">
        <f t="shared" ref="L360:L394" si="94">(J360-I360)/ABS(I360)</f>
        <v>0</v>
      </c>
      <c r="M360" t="s">
        <v>7</v>
      </c>
      <c r="O360" s="3">
        <f>E360-'301055 - P0324'!F360</f>
        <v>0</v>
      </c>
      <c r="P360" s="30">
        <f>I360-'301055 - P0324'!J360</f>
        <v>0.54695618441130023</v>
      </c>
    </row>
    <row r="361" spans="1:16" x14ac:dyDescent="0.25">
      <c r="A361">
        <v>359</v>
      </c>
      <c r="B361" t="s">
        <v>290</v>
      </c>
      <c r="C361" s="28" t="s">
        <v>454</v>
      </c>
      <c r="D361" s="4" t="s">
        <v>498</v>
      </c>
      <c r="E361" s="11">
        <v>1710</v>
      </c>
      <c r="F361" s="11">
        <v>1710</v>
      </c>
      <c r="G361" s="13">
        <f t="shared" si="90"/>
        <v>0</v>
      </c>
      <c r="H361" s="7">
        <f t="shared" si="91"/>
        <v>0</v>
      </c>
      <c r="I361" s="8">
        <v>41.429553882394785</v>
      </c>
      <c r="J361" s="9">
        <f t="shared" si="92"/>
        <v>41.429553882394785</v>
      </c>
      <c r="K361" s="3">
        <f t="shared" si="93"/>
        <v>0</v>
      </c>
      <c r="L361" s="7">
        <f t="shared" si="94"/>
        <v>0</v>
      </c>
      <c r="M361" t="s">
        <v>7</v>
      </c>
      <c r="O361" s="3">
        <f>E361-'301055 - P0324'!F361</f>
        <v>0</v>
      </c>
      <c r="P361" s="30">
        <f>I361-'301055 - P0324'!J361</f>
        <v>0</v>
      </c>
    </row>
    <row r="362" spans="1:16" x14ac:dyDescent="0.25">
      <c r="A362">
        <v>360</v>
      </c>
      <c r="B362" t="s">
        <v>290</v>
      </c>
      <c r="C362" s="28" t="s">
        <v>454</v>
      </c>
      <c r="D362" s="4" t="s">
        <v>495</v>
      </c>
      <c r="E362" s="11">
        <v>76.16</v>
      </c>
      <c r="F362" s="11">
        <v>76.16</v>
      </c>
      <c r="G362" s="13">
        <f t="shared" si="90"/>
        <v>0</v>
      </c>
      <c r="H362" s="7">
        <f t="shared" si="91"/>
        <v>0</v>
      </c>
      <c r="I362" s="8">
        <v>118.41812494751909</v>
      </c>
      <c r="J362" s="9">
        <f t="shared" si="92"/>
        <v>118.41812494751909</v>
      </c>
      <c r="K362" s="3">
        <f t="shared" si="93"/>
        <v>0</v>
      </c>
      <c r="L362" s="7">
        <f t="shared" si="94"/>
        <v>0</v>
      </c>
      <c r="M362" t="s">
        <v>7</v>
      </c>
      <c r="O362" s="3">
        <f>E362-'301055 - P0324'!F362</f>
        <v>0</v>
      </c>
      <c r="P362" s="30">
        <f>I362-'301055 - P0324'!J362</f>
        <v>0</v>
      </c>
    </row>
    <row r="363" spans="1:16" x14ac:dyDescent="0.25">
      <c r="A363">
        <v>361</v>
      </c>
      <c r="B363" t="s">
        <v>290</v>
      </c>
      <c r="C363" s="28" t="s">
        <v>454</v>
      </c>
      <c r="D363" s="4" t="s">
        <v>496</v>
      </c>
      <c r="E363" s="11">
        <v>1860</v>
      </c>
      <c r="F363" s="11">
        <v>1860</v>
      </c>
      <c r="G363" s="13">
        <f t="shared" si="90"/>
        <v>0</v>
      </c>
      <c r="H363" s="7">
        <f t="shared" si="91"/>
        <v>0</v>
      </c>
      <c r="I363" s="8">
        <v>249.52645395508233</v>
      </c>
      <c r="J363" s="9">
        <f t="shared" si="92"/>
        <v>249.52645395508233</v>
      </c>
      <c r="K363" s="3">
        <f t="shared" si="93"/>
        <v>0</v>
      </c>
      <c r="L363" s="7">
        <f t="shared" si="94"/>
        <v>0</v>
      </c>
      <c r="M363" t="s">
        <v>7</v>
      </c>
      <c r="O363" s="3">
        <f>E363-'301055 - P0324'!F363</f>
        <v>0</v>
      </c>
      <c r="P363" s="30">
        <f>I363-'301055 - P0324'!J363</f>
        <v>0</v>
      </c>
    </row>
    <row r="364" spans="1:16" x14ac:dyDescent="0.25">
      <c r="A364">
        <v>362</v>
      </c>
      <c r="B364" t="s">
        <v>483</v>
      </c>
      <c r="C364" s="28" t="s">
        <v>351</v>
      </c>
      <c r="D364" s="4" t="s">
        <v>357</v>
      </c>
      <c r="E364" s="11">
        <v>2709</v>
      </c>
      <c r="F364" s="11">
        <v>2709</v>
      </c>
      <c r="G364" s="13">
        <f t="shared" si="90"/>
        <v>0</v>
      </c>
      <c r="H364" s="7">
        <f t="shared" si="91"/>
        <v>0</v>
      </c>
      <c r="I364" s="8">
        <v>5.1687034714890512</v>
      </c>
      <c r="J364" s="9">
        <f t="shared" si="92"/>
        <v>5.1687034714890512</v>
      </c>
      <c r="K364" s="3">
        <f t="shared" si="93"/>
        <v>0</v>
      </c>
      <c r="L364" s="7">
        <f t="shared" si="94"/>
        <v>0</v>
      </c>
      <c r="M364" t="s">
        <v>7</v>
      </c>
      <c r="O364" s="3">
        <f>E364-'301055 - P0324'!F364</f>
        <v>0</v>
      </c>
      <c r="P364" s="30">
        <f>I364-'301055 - P0324'!J364</f>
        <v>0</v>
      </c>
    </row>
    <row r="365" spans="1:16" x14ac:dyDescent="0.25">
      <c r="A365">
        <v>363</v>
      </c>
      <c r="B365" t="s">
        <v>484</v>
      </c>
      <c r="C365" s="28" t="s">
        <v>351</v>
      </c>
      <c r="D365" s="4" t="s">
        <v>358</v>
      </c>
      <c r="E365" s="11">
        <v>2709</v>
      </c>
      <c r="F365" s="11">
        <v>2709</v>
      </c>
      <c r="G365" s="13">
        <f t="shared" si="90"/>
        <v>0</v>
      </c>
      <c r="H365" s="7">
        <f t="shared" si="91"/>
        <v>0</v>
      </c>
      <c r="I365" s="8">
        <v>8.0702736339232413</v>
      </c>
      <c r="J365" s="9">
        <f t="shared" si="92"/>
        <v>8.0702736339232413</v>
      </c>
      <c r="K365" s="3">
        <f t="shared" si="93"/>
        <v>0</v>
      </c>
      <c r="L365" s="7">
        <f t="shared" si="94"/>
        <v>0</v>
      </c>
      <c r="M365" t="s">
        <v>7</v>
      </c>
      <c r="O365" s="3">
        <f>E365-'301055 - P0324'!F365</f>
        <v>0</v>
      </c>
      <c r="P365" s="30">
        <f>I365-'301055 - P0324'!J365</f>
        <v>0</v>
      </c>
    </row>
    <row r="366" spans="1:16" x14ac:dyDescent="0.25">
      <c r="A366">
        <v>364</v>
      </c>
      <c r="B366" t="s">
        <v>290</v>
      </c>
      <c r="C366" s="28" t="s">
        <v>351</v>
      </c>
      <c r="D366" s="4" t="s">
        <v>359</v>
      </c>
      <c r="E366" s="11">
        <v>2709</v>
      </c>
      <c r="F366" s="11">
        <v>2709</v>
      </c>
      <c r="G366" s="13">
        <f t="shared" si="90"/>
        <v>0</v>
      </c>
      <c r="H366" s="7">
        <f t="shared" si="91"/>
        <v>0</v>
      </c>
      <c r="I366" s="8">
        <v>11.040593760943526</v>
      </c>
      <c r="J366" s="9">
        <f t="shared" si="92"/>
        <v>11.040593760943526</v>
      </c>
      <c r="K366" s="3">
        <f t="shared" si="93"/>
        <v>0</v>
      </c>
      <c r="L366" s="7">
        <f t="shared" si="94"/>
        <v>0</v>
      </c>
      <c r="M366" t="s">
        <v>7</v>
      </c>
      <c r="O366" s="3">
        <f>E366-'301055 - P0324'!F366</f>
        <v>0</v>
      </c>
      <c r="P366" s="30">
        <f>I366-'301055 - P0324'!J366</f>
        <v>0</v>
      </c>
    </row>
    <row r="367" spans="1:16" x14ac:dyDescent="0.25">
      <c r="A367">
        <v>365</v>
      </c>
      <c r="B367" t="s">
        <v>476</v>
      </c>
      <c r="C367" s="28" t="s">
        <v>351</v>
      </c>
      <c r="D367" s="4" t="s">
        <v>360</v>
      </c>
      <c r="E367" s="11">
        <v>3148</v>
      </c>
      <c r="F367" s="11">
        <v>3148</v>
      </c>
      <c r="G367" s="13">
        <f t="shared" si="90"/>
        <v>0</v>
      </c>
      <c r="H367" s="7">
        <f t="shared" si="91"/>
        <v>0</v>
      </c>
      <c r="I367" s="8">
        <v>14.3</v>
      </c>
      <c r="J367" s="9">
        <f t="shared" si="92"/>
        <v>14.3</v>
      </c>
      <c r="K367" s="3">
        <f t="shared" si="93"/>
        <v>0</v>
      </c>
      <c r="L367" s="7">
        <f t="shared" si="94"/>
        <v>0</v>
      </c>
      <c r="M367" t="s">
        <v>7</v>
      </c>
      <c r="O367" s="3">
        <f>E367-'301055 - P0324'!F367</f>
        <v>0</v>
      </c>
      <c r="P367" s="30">
        <f>I367-'301055 - P0324'!J367</f>
        <v>0</v>
      </c>
    </row>
    <row r="368" spans="1:16" x14ac:dyDescent="0.25">
      <c r="A368">
        <v>366</v>
      </c>
      <c r="B368" t="s">
        <v>478</v>
      </c>
      <c r="C368" s="28" t="s">
        <v>351</v>
      </c>
      <c r="D368" s="4" t="s">
        <v>361</v>
      </c>
      <c r="E368" s="11">
        <v>3065</v>
      </c>
      <c r="F368" s="11">
        <v>3065</v>
      </c>
      <c r="G368" s="13">
        <f t="shared" si="90"/>
        <v>0</v>
      </c>
      <c r="H368" s="7">
        <f t="shared" si="91"/>
        <v>0</v>
      </c>
      <c r="I368" s="8">
        <v>19.904756025519848</v>
      </c>
      <c r="J368" s="9">
        <f t="shared" si="92"/>
        <v>19.904756025519848</v>
      </c>
      <c r="K368" s="3">
        <f t="shared" si="93"/>
        <v>0</v>
      </c>
      <c r="L368" s="7">
        <f t="shared" si="94"/>
        <v>0</v>
      </c>
      <c r="M368" t="s">
        <v>7</v>
      </c>
      <c r="O368" s="3">
        <f>E368-'301055 - P0324'!F368</f>
        <v>0</v>
      </c>
      <c r="P368" s="30">
        <f>I368-'301055 - P0324'!J368</f>
        <v>0</v>
      </c>
    </row>
    <row r="369" spans="1:16" x14ac:dyDescent="0.25">
      <c r="A369">
        <v>367</v>
      </c>
      <c r="B369" t="s">
        <v>445</v>
      </c>
      <c r="C369" s="28" t="s">
        <v>351</v>
      </c>
      <c r="D369" s="4" t="s">
        <v>362</v>
      </c>
      <c r="E369" s="11">
        <v>3065</v>
      </c>
      <c r="F369" s="11">
        <v>3065</v>
      </c>
      <c r="G369" s="13">
        <f t="shared" si="90"/>
        <v>0</v>
      </c>
      <c r="H369" s="7">
        <f t="shared" si="91"/>
        <v>0</v>
      </c>
      <c r="I369" s="8">
        <v>23.00692071335494</v>
      </c>
      <c r="J369" s="9">
        <f t="shared" si="92"/>
        <v>23.00692071335494</v>
      </c>
      <c r="K369" s="3">
        <f t="shared" si="93"/>
        <v>0</v>
      </c>
      <c r="L369" s="7">
        <f t="shared" si="94"/>
        <v>0</v>
      </c>
      <c r="M369" t="s">
        <v>7</v>
      </c>
      <c r="O369" s="3">
        <f>E369-'301055 - P0324'!F369</f>
        <v>0</v>
      </c>
      <c r="P369" s="30">
        <f>I369-'301055 - P0324'!J369</f>
        <v>0</v>
      </c>
    </row>
    <row r="370" spans="1:16" x14ac:dyDescent="0.25">
      <c r="A370">
        <v>368</v>
      </c>
      <c r="B370" t="s">
        <v>478</v>
      </c>
      <c r="C370" s="28" t="s">
        <v>351</v>
      </c>
      <c r="D370" s="4" t="s">
        <v>363</v>
      </c>
      <c r="E370" s="11">
        <v>3135</v>
      </c>
      <c r="F370" s="11">
        <v>3135</v>
      </c>
      <c r="G370" s="13">
        <f t="shared" si="90"/>
        <v>0</v>
      </c>
      <c r="H370" s="7">
        <f t="shared" si="91"/>
        <v>0</v>
      </c>
      <c r="I370" s="8">
        <v>26.876311326468805</v>
      </c>
      <c r="J370" s="9">
        <f t="shared" si="92"/>
        <v>26.876311326468805</v>
      </c>
      <c r="K370" s="3">
        <f t="shared" si="93"/>
        <v>0</v>
      </c>
      <c r="L370" s="7">
        <f t="shared" si="94"/>
        <v>0</v>
      </c>
      <c r="M370" t="s">
        <v>7</v>
      </c>
      <c r="O370" s="3">
        <f>E370-'301055 - P0324'!F370</f>
        <v>0</v>
      </c>
      <c r="P370" s="30">
        <f>I370-'301055 - P0324'!J370</f>
        <v>0</v>
      </c>
    </row>
    <row r="371" spans="1:16" x14ac:dyDescent="0.25">
      <c r="A371">
        <v>369</v>
      </c>
      <c r="B371" t="s">
        <v>481</v>
      </c>
      <c r="C371" s="28" t="s">
        <v>351</v>
      </c>
      <c r="D371" s="4" t="s">
        <v>364</v>
      </c>
      <c r="E371" s="11">
        <v>2931</v>
      </c>
      <c r="F371" s="11">
        <v>2931</v>
      </c>
      <c r="G371" s="13">
        <f t="shared" si="90"/>
        <v>0</v>
      </c>
      <c r="H371" s="7">
        <f t="shared" si="91"/>
        <v>0</v>
      </c>
      <c r="I371" s="8">
        <v>5.5842827924987404</v>
      </c>
      <c r="J371" s="9">
        <f t="shared" si="92"/>
        <v>5.5842827924987404</v>
      </c>
      <c r="K371" s="3">
        <f t="shared" si="93"/>
        <v>0</v>
      </c>
      <c r="L371" s="7">
        <f t="shared" si="94"/>
        <v>0</v>
      </c>
      <c r="M371" t="s">
        <v>7</v>
      </c>
      <c r="O371" s="3">
        <f>E371-'301055 - P0324'!F371</f>
        <v>0</v>
      </c>
      <c r="P371" s="30">
        <f>I371-'301055 - P0324'!J371</f>
        <v>0</v>
      </c>
    </row>
    <row r="372" spans="1:16" x14ac:dyDescent="0.25">
      <c r="A372">
        <v>370</v>
      </c>
      <c r="B372" t="s">
        <v>479</v>
      </c>
      <c r="C372" t="s">
        <v>365</v>
      </c>
      <c r="D372" s="4" t="s">
        <v>366</v>
      </c>
      <c r="E372" s="11">
        <v>3205</v>
      </c>
      <c r="F372" s="11">
        <v>3205</v>
      </c>
      <c r="G372" s="13">
        <f t="shared" si="90"/>
        <v>0</v>
      </c>
      <c r="H372" s="7">
        <f t="shared" si="91"/>
        <v>0</v>
      </c>
      <c r="I372" s="8">
        <v>12.576720322698609</v>
      </c>
      <c r="J372" s="9">
        <f t="shared" si="92"/>
        <v>12.576720322698609</v>
      </c>
      <c r="K372" s="3">
        <f t="shared" si="93"/>
        <v>0</v>
      </c>
      <c r="L372" s="7">
        <f t="shared" si="94"/>
        <v>0</v>
      </c>
      <c r="M372" t="s">
        <v>7</v>
      </c>
      <c r="O372" s="3">
        <f>E372-'301055 - P0324'!F372</f>
        <v>0</v>
      </c>
      <c r="P372" s="30">
        <f>I372-'301055 - P0324'!J372</f>
        <v>0</v>
      </c>
    </row>
    <row r="373" spans="1:16" x14ac:dyDescent="0.25">
      <c r="A373">
        <v>371</v>
      </c>
      <c r="B373" t="s">
        <v>470</v>
      </c>
      <c r="C373" t="s">
        <v>365</v>
      </c>
      <c r="D373" s="4" t="s">
        <v>367</v>
      </c>
      <c r="E373" s="11">
        <v>2952</v>
      </c>
      <c r="F373" s="11">
        <v>2952</v>
      </c>
      <c r="G373" s="13">
        <f t="shared" si="90"/>
        <v>0</v>
      </c>
      <c r="H373" s="7">
        <f t="shared" si="91"/>
        <v>0</v>
      </c>
      <c r="I373" s="8">
        <v>24.324911704207679</v>
      </c>
      <c r="J373" s="9">
        <f t="shared" si="92"/>
        <v>24.324911704207679</v>
      </c>
      <c r="K373" s="3">
        <f t="shared" si="93"/>
        <v>0</v>
      </c>
      <c r="L373" s="7">
        <f t="shared" si="94"/>
        <v>0</v>
      </c>
      <c r="M373" t="s">
        <v>7</v>
      </c>
      <c r="O373" s="3">
        <f>E373-'301055 - P0324'!F373</f>
        <v>0</v>
      </c>
      <c r="P373" s="30">
        <f>I373-'301055 - P0324'!J373</f>
        <v>0</v>
      </c>
    </row>
    <row r="374" spans="1:16" x14ac:dyDescent="0.25">
      <c r="A374">
        <v>372</v>
      </c>
      <c r="B374" t="s">
        <v>303</v>
      </c>
      <c r="C374" t="s">
        <v>365</v>
      </c>
      <c r="D374" s="4" t="s">
        <v>368</v>
      </c>
      <c r="E374" s="11">
        <v>2702</v>
      </c>
      <c r="F374" s="11">
        <v>2702</v>
      </c>
      <c r="G374" s="13">
        <f t="shared" si="90"/>
        <v>0</v>
      </c>
      <c r="H374" s="7">
        <f t="shared" si="91"/>
        <v>0</v>
      </c>
      <c r="I374" s="8">
        <v>40.51093209547124</v>
      </c>
      <c r="J374" s="9">
        <f>(I374*H374)+I374</f>
        <v>40.51093209547124</v>
      </c>
      <c r="K374" s="3">
        <f t="shared" si="93"/>
        <v>0</v>
      </c>
      <c r="L374" s="7">
        <f t="shared" si="94"/>
        <v>0</v>
      </c>
      <c r="M374" t="s">
        <v>7</v>
      </c>
      <c r="O374" s="3">
        <f>E374-'301055 - P0324'!F374</f>
        <v>0</v>
      </c>
      <c r="P374" s="30">
        <f>I374-'301055 - P0324'!J374</f>
        <v>0</v>
      </c>
    </row>
    <row r="375" spans="1:16" x14ac:dyDescent="0.25">
      <c r="A375">
        <v>373</v>
      </c>
      <c r="B375" t="s">
        <v>290</v>
      </c>
      <c r="C375" t="s">
        <v>365</v>
      </c>
      <c r="D375" s="4" t="s">
        <v>369</v>
      </c>
      <c r="E375" s="11">
        <v>2702</v>
      </c>
      <c r="F375" s="11">
        <v>2702</v>
      </c>
      <c r="G375" s="13">
        <f t="shared" si="90"/>
        <v>0</v>
      </c>
      <c r="H375" s="7">
        <f t="shared" si="91"/>
        <v>0</v>
      </c>
      <c r="I375" s="8">
        <v>50.641879791355422</v>
      </c>
      <c r="J375" s="9">
        <f t="shared" si="92"/>
        <v>50.641879791355422</v>
      </c>
      <c r="K375" s="3">
        <f t="shared" si="93"/>
        <v>0</v>
      </c>
      <c r="L375" s="7">
        <f t="shared" si="94"/>
        <v>0</v>
      </c>
      <c r="M375" t="s">
        <v>7</v>
      </c>
      <c r="O375" s="3">
        <f>E375-'301055 - P0324'!F375</f>
        <v>0</v>
      </c>
      <c r="P375" s="30">
        <f>I375-'301055 - P0324'!J375</f>
        <v>0</v>
      </c>
    </row>
    <row r="376" spans="1:16" x14ac:dyDescent="0.25">
      <c r="A376">
        <v>374</v>
      </c>
      <c r="B376" t="s">
        <v>470</v>
      </c>
      <c r="C376" t="s">
        <v>365</v>
      </c>
      <c r="D376" s="4" t="s">
        <v>370</v>
      </c>
      <c r="E376" s="11">
        <v>2702</v>
      </c>
      <c r="F376" s="11">
        <v>2702</v>
      </c>
      <c r="G376" s="13">
        <f t="shared" si="90"/>
        <v>0</v>
      </c>
      <c r="H376" s="7">
        <f t="shared" si="91"/>
        <v>0</v>
      </c>
      <c r="I376" s="8">
        <v>60.769079441442358</v>
      </c>
      <c r="J376" s="9">
        <f t="shared" si="92"/>
        <v>60.769079441442358</v>
      </c>
      <c r="K376" s="3">
        <f t="shared" si="93"/>
        <v>0</v>
      </c>
      <c r="L376" s="7">
        <f t="shared" si="94"/>
        <v>0</v>
      </c>
      <c r="M376" t="s">
        <v>7</v>
      </c>
      <c r="O376" s="3">
        <f>E376-'301055 - P0324'!F376</f>
        <v>0</v>
      </c>
      <c r="P376" s="30">
        <f>I376-'301055 - P0324'!J376</f>
        <v>0</v>
      </c>
    </row>
    <row r="377" spans="1:16" x14ac:dyDescent="0.25">
      <c r="A377">
        <v>375</v>
      </c>
      <c r="B377" t="s">
        <v>479</v>
      </c>
      <c r="C377" t="s">
        <v>365</v>
      </c>
      <c r="D377" s="4" t="s">
        <v>371</v>
      </c>
      <c r="E377" s="11">
        <v>3868</v>
      </c>
      <c r="F377" s="11">
        <v>3868</v>
      </c>
      <c r="G377" s="13">
        <f t="shared" si="90"/>
        <v>0</v>
      </c>
      <c r="H377" s="7">
        <f t="shared" si="91"/>
        <v>0</v>
      </c>
      <c r="I377" s="8">
        <v>63.401973632327376</v>
      </c>
      <c r="J377" s="9">
        <f t="shared" si="92"/>
        <v>63.401973632327376</v>
      </c>
      <c r="K377" s="3">
        <f t="shared" si="93"/>
        <v>0</v>
      </c>
      <c r="L377" s="7">
        <f t="shared" si="94"/>
        <v>0</v>
      </c>
      <c r="M377" t="s">
        <v>7</v>
      </c>
      <c r="O377" s="3">
        <f>E377-'301055 - P0324'!F377</f>
        <v>0</v>
      </c>
      <c r="P377" s="30">
        <f>I377-'301055 - P0324'!J377</f>
        <v>0</v>
      </c>
    </row>
    <row r="378" spans="1:16" x14ac:dyDescent="0.25">
      <c r="A378">
        <v>376</v>
      </c>
      <c r="B378" t="s">
        <v>479</v>
      </c>
      <c r="C378" t="s">
        <v>365</v>
      </c>
      <c r="D378" s="4" t="s">
        <v>372</v>
      </c>
      <c r="E378" s="11">
        <v>3928</v>
      </c>
      <c r="F378" s="11">
        <v>3928</v>
      </c>
      <c r="G378" s="13">
        <f t="shared" si="90"/>
        <v>0</v>
      </c>
      <c r="H378" s="7">
        <f t="shared" si="91"/>
        <v>0</v>
      </c>
      <c r="I378" s="8">
        <v>80.721941958125299</v>
      </c>
      <c r="J378" s="9">
        <f t="shared" si="92"/>
        <v>80.721941958125299</v>
      </c>
      <c r="K378" s="3">
        <f t="shared" si="93"/>
        <v>0</v>
      </c>
      <c r="L378" s="7">
        <f t="shared" si="94"/>
        <v>0</v>
      </c>
      <c r="M378" t="s">
        <v>7</v>
      </c>
      <c r="O378" s="3">
        <f>E378-'301055 - P0324'!F378</f>
        <v>0</v>
      </c>
      <c r="P378" s="30">
        <f>I378-'301055 - P0324'!J378</f>
        <v>0</v>
      </c>
    </row>
    <row r="379" spans="1:16" x14ac:dyDescent="0.25">
      <c r="A379">
        <v>377</v>
      </c>
      <c r="B379" t="s">
        <v>473</v>
      </c>
      <c r="C379" t="s">
        <v>365</v>
      </c>
      <c r="D379" s="4" t="s">
        <v>373</v>
      </c>
      <c r="E379" s="11">
        <v>3928</v>
      </c>
      <c r="F379" s="11">
        <v>3928</v>
      </c>
      <c r="G379" s="13">
        <f t="shared" si="90"/>
        <v>0</v>
      </c>
      <c r="H379" s="7">
        <f t="shared" si="91"/>
        <v>0</v>
      </c>
      <c r="I379" s="8">
        <v>100.90409723646053</v>
      </c>
      <c r="J379" s="9">
        <f t="shared" si="92"/>
        <v>100.90409723646053</v>
      </c>
      <c r="K379" s="3">
        <f t="shared" si="93"/>
        <v>0</v>
      </c>
      <c r="L379" s="7">
        <f t="shared" si="94"/>
        <v>0</v>
      </c>
      <c r="M379" t="s">
        <v>7</v>
      </c>
      <c r="O379" s="3">
        <f>E379-'301055 - P0324'!F379</f>
        <v>0</v>
      </c>
      <c r="P379" s="30">
        <f>I379-'301055 - P0324'!J379</f>
        <v>0</v>
      </c>
    </row>
    <row r="380" spans="1:16" x14ac:dyDescent="0.25">
      <c r="A380">
        <v>378</v>
      </c>
      <c r="B380" t="s">
        <v>470</v>
      </c>
      <c r="C380" t="s">
        <v>365</v>
      </c>
      <c r="D380" s="4" t="s">
        <v>374</v>
      </c>
      <c r="E380" s="11">
        <v>3928</v>
      </c>
      <c r="F380" s="11">
        <v>3928</v>
      </c>
      <c r="G380" s="13">
        <f t="shared" si="90"/>
        <v>0</v>
      </c>
      <c r="H380" s="7">
        <f t="shared" si="91"/>
        <v>0</v>
      </c>
      <c r="I380" s="8">
        <v>121.08871182445142</v>
      </c>
      <c r="J380" s="9">
        <f t="shared" si="92"/>
        <v>121.08871182445142</v>
      </c>
      <c r="K380" s="3">
        <f t="shared" si="93"/>
        <v>0</v>
      </c>
      <c r="L380" s="7">
        <f t="shared" si="94"/>
        <v>0</v>
      </c>
      <c r="M380" t="s">
        <v>7</v>
      </c>
      <c r="O380" s="3">
        <f>E380-'301055 - P0324'!F380</f>
        <v>0</v>
      </c>
      <c r="P380" s="30">
        <f>I380-'301055 - P0324'!J380</f>
        <v>0</v>
      </c>
    </row>
    <row r="381" spans="1:16" x14ac:dyDescent="0.25">
      <c r="A381">
        <v>379</v>
      </c>
      <c r="B381" t="s">
        <v>470</v>
      </c>
      <c r="C381" t="s">
        <v>365</v>
      </c>
      <c r="D381" s="4" t="s">
        <v>375</v>
      </c>
      <c r="E381" s="11">
        <v>3700</v>
      </c>
      <c r="F381" s="11">
        <v>3700</v>
      </c>
      <c r="G381" s="13">
        <f t="shared" si="90"/>
        <v>0</v>
      </c>
      <c r="H381" s="7">
        <f t="shared" si="91"/>
        <v>0</v>
      </c>
      <c r="I381" s="8">
        <v>119.12776534176258</v>
      </c>
      <c r="J381" s="9">
        <f t="shared" si="92"/>
        <v>119.12776534176258</v>
      </c>
      <c r="K381" s="3">
        <f t="shared" si="93"/>
        <v>0</v>
      </c>
      <c r="L381" s="7">
        <f t="shared" si="94"/>
        <v>0</v>
      </c>
      <c r="M381" t="s">
        <v>7</v>
      </c>
      <c r="O381" s="3">
        <f>E381-'301055 - P0324'!F381</f>
        <v>0</v>
      </c>
      <c r="P381" s="30">
        <f>I381-'301055 - P0324'!J381</f>
        <v>0</v>
      </c>
    </row>
    <row r="382" spans="1:16" x14ac:dyDescent="0.25">
      <c r="A382">
        <v>380</v>
      </c>
      <c r="B382" t="s">
        <v>290</v>
      </c>
      <c r="C382" t="s">
        <v>365</v>
      </c>
      <c r="D382" s="4" t="s">
        <v>376</v>
      </c>
      <c r="E382" s="11">
        <v>3700</v>
      </c>
      <c r="F382" s="11">
        <v>3700</v>
      </c>
      <c r="G382" s="13">
        <f t="shared" si="90"/>
        <v>0</v>
      </c>
      <c r="H382" s="7">
        <f t="shared" si="91"/>
        <v>0</v>
      </c>
      <c r="I382" s="8">
        <v>208.45869530604656</v>
      </c>
      <c r="J382" s="9">
        <f t="shared" si="92"/>
        <v>208.45869530604656</v>
      </c>
      <c r="K382" s="3">
        <f t="shared" si="93"/>
        <v>0</v>
      </c>
      <c r="L382" s="7">
        <f t="shared" si="94"/>
        <v>0</v>
      </c>
      <c r="M382" t="s">
        <v>7</v>
      </c>
      <c r="O382" s="3">
        <f>E382-'301055 - P0324'!F382</f>
        <v>0</v>
      </c>
      <c r="P382" s="30">
        <f>I382-'301055 - P0324'!J382</f>
        <v>0</v>
      </c>
    </row>
    <row r="383" spans="1:16" x14ac:dyDescent="0.25">
      <c r="A383">
        <v>381</v>
      </c>
      <c r="B383" t="s">
        <v>303</v>
      </c>
      <c r="C383" t="s">
        <v>365</v>
      </c>
      <c r="D383" s="4" t="s">
        <v>377</v>
      </c>
      <c r="E383" s="11">
        <v>5269</v>
      </c>
      <c r="F383" s="11">
        <v>5269</v>
      </c>
      <c r="G383" s="13">
        <f t="shared" si="90"/>
        <v>0</v>
      </c>
      <c r="H383" s="7">
        <f t="shared" si="91"/>
        <v>0</v>
      </c>
      <c r="I383" s="8">
        <v>195.32781627941307</v>
      </c>
      <c r="J383" s="9">
        <f t="shared" si="92"/>
        <v>195.32781627941307</v>
      </c>
      <c r="K383" s="3">
        <f t="shared" si="93"/>
        <v>0</v>
      </c>
      <c r="L383" s="7">
        <f t="shared" si="94"/>
        <v>0</v>
      </c>
      <c r="M383" t="s">
        <v>7</v>
      </c>
      <c r="O383" s="3">
        <f>E383-'301055 - P0324'!F383</f>
        <v>0</v>
      </c>
      <c r="P383" s="30">
        <f>I383-'301055 - P0324'!J383</f>
        <v>0</v>
      </c>
    </row>
    <row r="384" spans="1:16" x14ac:dyDescent="0.25">
      <c r="A384">
        <v>382</v>
      </c>
      <c r="B384" t="s">
        <v>303</v>
      </c>
      <c r="C384" t="s">
        <v>365</v>
      </c>
      <c r="D384" s="4" t="s">
        <v>378</v>
      </c>
      <c r="E384" s="11">
        <v>5395</v>
      </c>
      <c r="F384" s="11">
        <v>5395</v>
      </c>
      <c r="G384" s="13">
        <f t="shared" si="90"/>
        <v>0</v>
      </c>
      <c r="H384" s="7">
        <f t="shared" si="91"/>
        <v>0</v>
      </c>
      <c r="I384" s="8">
        <v>519.78770475648537</v>
      </c>
      <c r="J384" s="9">
        <f t="shared" si="92"/>
        <v>519.78770475648537</v>
      </c>
      <c r="K384" s="3">
        <f t="shared" si="93"/>
        <v>0</v>
      </c>
      <c r="L384" s="7">
        <f t="shared" si="94"/>
        <v>0</v>
      </c>
      <c r="M384" t="s">
        <v>7</v>
      </c>
      <c r="O384" s="3">
        <f>E384-'301055 - P0324'!F384</f>
        <v>0</v>
      </c>
      <c r="P384" s="30">
        <f>I384-'301055 - P0324'!J384</f>
        <v>0</v>
      </c>
    </row>
    <row r="385" spans="1:16" x14ac:dyDescent="0.25">
      <c r="A385">
        <v>383</v>
      </c>
      <c r="B385" t="s">
        <v>290</v>
      </c>
      <c r="C385" t="s">
        <v>365</v>
      </c>
      <c r="D385" s="4" t="s">
        <v>379</v>
      </c>
      <c r="E385" s="11">
        <v>5200</v>
      </c>
      <c r="F385" s="11">
        <v>5200</v>
      </c>
      <c r="G385" s="13">
        <f t="shared" si="90"/>
        <v>0</v>
      </c>
      <c r="H385" s="7">
        <f t="shared" si="91"/>
        <v>0</v>
      </c>
      <c r="I385" s="8">
        <v>341.80468131321027</v>
      </c>
      <c r="J385" s="9">
        <f t="shared" si="92"/>
        <v>341.80468131321027</v>
      </c>
      <c r="K385" s="3">
        <f t="shared" si="93"/>
        <v>0</v>
      </c>
      <c r="L385" s="7">
        <f t="shared" si="94"/>
        <v>0</v>
      </c>
      <c r="M385" t="s">
        <v>7</v>
      </c>
      <c r="O385" s="3">
        <f>E385-'301055 - P0324'!F385</f>
        <v>0</v>
      </c>
      <c r="P385" s="30">
        <f>I385-'301055 - P0324'!J385</f>
        <v>0</v>
      </c>
    </row>
    <row r="386" spans="1:16" x14ac:dyDescent="0.25">
      <c r="A386">
        <v>384</v>
      </c>
      <c r="B386" t="s">
        <v>485</v>
      </c>
      <c r="C386" t="s">
        <v>343</v>
      </c>
      <c r="D386" s="4" t="s">
        <v>380</v>
      </c>
      <c r="E386" s="12">
        <v>9.0500000000000007</v>
      </c>
      <c r="F386" s="12">
        <v>9.0500000000000007</v>
      </c>
      <c r="G386" s="13">
        <f t="shared" si="90"/>
        <v>0</v>
      </c>
      <c r="H386" s="7">
        <f t="shared" si="91"/>
        <v>0</v>
      </c>
      <c r="I386" s="8">
        <v>9.4511903255813987</v>
      </c>
      <c r="J386" s="9">
        <f t="shared" si="92"/>
        <v>9.4511903255813987</v>
      </c>
      <c r="K386" s="3">
        <f t="shared" si="93"/>
        <v>0</v>
      </c>
      <c r="L386" s="7">
        <f t="shared" si="94"/>
        <v>0</v>
      </c>
      <c r="M386" t="s">
        <v>121</v>
      </c>
      <c r="O386" s="3">
        <f>E386-'301055 - P0324'!F386</f>
        <v>0</v>
      </c>
      <c r="P386" s="30">
        <f>I386-'301055 - P0324'!J386</f>
        <v>0</v>
      </c>
    </row>
    <row r="387" spans="1:16" x14ac:dyDescent="0.25">
      <c r="A387">
        <v>385</v>
      </c>
      <c r="B387" t="s">
        <v>290</v>
      </c>
      <c r="C387" t="s">
        <v>343</v>
      </c>
      <c r="D387" s="4" t="s">
        <v>381</v>
      </c>
      <c r="E387" s="12">
        <v>17.38</v>
      </c>
      <c r="F387" s="12">
        <v>17.38</v>
      </c>
      <c r="G387" s="13">
        <f t="shared" si="90"/>
        <v>0</v>
      </c>
      <c r="H387" s="7">
        <f t="shared" si="91"/>
        <v>0</v>
      </c>
      <c r="I387" s="8">
        <v>18.138687748031494</v>
      </c>
      <c r="J387" s="9">
        <f t="shared" si="92"/>
        <v>18.138687748031494</v>
      </c>
      <c r="K387" s="3">
        <f t="shared" si="93"/>
        <v>0</v>
      </c>
      <c r="L387" s="7">
        <f t="shared" si="94"/>
        <v>0</v>
      </c>
      <c r="M387" t="s">
        <v>121</v>
      </c>
      <c r="O387" s="3">
        <f>E387-'301055 - P0324'!F387</f>
        <v>0</v>
      </c>
      <c r="P387" s="30">
        <f>I387-'301055 - P0324'!J387</f>
        <v>0</v>
      </c>
    </row>
    <row r="388" spans="1:16" x14ac:dyDescent="0.25">
      <c r="A388">
        <v>386</v>
      </c>
      <c r="B388" t="s">
        <v>481</v>
      </c>
      <c r="C388" s="28" t="s">
        <v>382</v>
      </c>
      <c r="D388" s="4" t="s">
        <v>383</v>
      </c>
      <c r="E388" s="14">
        <v>112.02</v>
      </c>
      <c r="F388" s="14">
        <v>112.02</v>
      </c>
      <c r="G388" s="6">
        <f t="shared" si="90"/>
        <v>0</v>
      </c>
      <c r="H388" s="7">
        <f t="shared" si="91"/>
        <v>0</v>
      </c>
      <c r="I388" s="8">
        <v>334.74445542845763</v>
      </c>
      <c r="J388" s="9">
        <f t="shared" si="92"/>
        <v>334.74445542845763</v>
      </c>
      <c r="K388" s="3">
        <f t="shared" si="93"/>
        <v>0</v>
      </c>
      <c r="L388" s="7">
        <f t="shared" si="94"/>
        <v>0</v>
      </c>
      <c r="M388" t="s">
        <v>121</v>
      </c>
      <c r="O388" s="3">
        <f>E388-'301055 - P0324'!F388</f>
        <v>0</v>
      </c>
      <c r="P388" s="30">
        <f>I388-'301055 - P0324'!J388</f>
        <v>0</v>
      </c>
    </row>
    <row r="389" spans="1:16" x14ac:dyDescent="0.25">
      <c r="A389">
        <v>387</v>
      </c>
      <c r="B389" t="s">
        <v>482</v>
      </c>
      <c r="C389" s="28" t="s">
        <v>343</v>
      </c>
      <c r="D389" s="4" t="s">
        <v>384</v>
      </c>
      <c r="E389" s="11">
        <v>35.4</v>
      </c>
      <c r="F389" s="11">
        <v>35.4</v>
      </c>
      <c r="G389" s="6">
        <f t="shared" si="90"/>
        <v>0</v>
      </c>
      <c r="H389" s="7">
        <f t="shared" si="91"/>
        <v>0</v>
      </c>
      <c r="I389" s="8">
        <v>53.73333333333332</v>
      </c>
      <c r="J389" s="9">
        <f t="shared" si="92"/>
        <v>53.73333333333332</v>
      </c>
      <c r="K389" s="3">
        <f t="shared" si="93"/>
        <v>0</v>
      </c>
      <c r="L389" s="7">
        <f t="shared" si="94"/>
        <v>0</v>
      </c>
      <c r="M389" t="s">
        <v>150</v>
      </c>
      <c r="O389" s="3">
        <f>E389-'301055 - P0324'!F389</f>
        <v>0</v>
      </c>
      <c r="P389" s="30">
        <f>I389-'301055 - P0324'!J389</f>
        <v>0</v>
      </c>
    </row>
    <row r="390" spans="1:16" x14ac:dyDescent="0.25">
      <c r="A390">
        <v>388</v>
      </c>
      <c r="B390" t="s">
        <v>476</v>
      </c>
      <c r="C390" s="28" t="s">
        <v>385</v>
      </c>
      <c r="D390" s="4" t="s">
        <v>386</v>
      </c>
      <c r="E390" s="11">
        <v>70.2</v>
      </c>
      <c r="F390" s="11">
        <v>70.2</v>
      </c>
      <c r="G390" s="6">
        <f t="shared" si="90"/>
        <v>0</v>
      </c>
      <c r="H390" s="7">
        <f t="shared" si="91"/>
        <v>0</v>
      </c>
      <c r="I390" s="8">
        <v>114.84819573542534</v>
      </c>
      <c r="J390" s="9">
        <f t="shared" si="92"/>
        <v>114.84819573542534</v>
      </c>
      <c r="K390" s="3">
        <f t="shared" si="93"/>
        <v>0</v>
      </c>
      <c r="L390" s="7">
        <f t="shared" si="94"/>
        <v>0</v>
      </c>
      <c r="M390" t="s">
        <v>150</v>
      </c>
      <c r="O390" s="3">
        <f>E390-'301055 - P0324'!F390</f>
        <v>0</v>
      </c>
      <c r="P390" s="30">
        <f>I390-'301055 - P0324'!J390</f>
        <v>0</v>
      </c>
    </row>
    <row r="391" spans="1:16" x14ac:dyDescent="0.25">
      <c r="A391">
        <v>389</v>
      </c>
      <c r="B391" t="s">
        <v>445</v>
      </c>
      <c r="C391" s="28" t="s">
        <v>351</v>
      </c>
      <c r="D391" s="4" t="s">
        <v>500</v>
      </c>
      <c r="E391" s="11">
        <v>208</v>
      </c>
      <c r="F391" s="11">
        <v>208</v>
      </c>
      <c r="G391" s="6">
        <f t="shared" si="90"/>
        <v>0</v>
      </c>
      <c r="H391" s="7">
        <f t="shared" si="91"/>
        <v>0</v>
      </c>
      <c r="I391" s="8">
        <v>297.15636363636361</v>
      </c>
      <c r="J391" s="9">
        <f t="shared" si="92"/>
        <v>297.15636363636361</v>
      </c>
      <c r="K391" s="3">
        <f t="shared" si="93"/>
        <v>0</v>
      </c>
      <c r="L391" s="7">
        <f t="shared" si="94"/>
        <v>0</v>
      </c>
      <c r="M391" t="s">
        <v>150</v>
      </c>
      <c r="O391" s="3">
        <f>E391-'301055 - P0324'!F391</f>
        <v>0</v>
      </c>
      <c r="P391" s="30">
        <f>I391-'301055 - P0324'!J391</f>
        <v>0</v>
      </c>
    </row>
    <row r="392" spans="1:16" x14ac:dyDescent="0.25">
      <c r="A392">
        <v>390</v>
      </c>
      <c r="B392" t="s">
        <v>387</v>
      </c>
      <c r="C392" s="28" t="s">
        <v>351</v>
      </c>
      <c r="D392" s="4" t="s">
        <v>388</v>
      </c>
      <c r="E392" s="12">
        <v>13.11</v>
      </c>
      <c r="F392" s="12">
        <v>13.11</v>
      </c>
      <c r="G392" s="6">
        <f t="shared" si="90"/>
        <v>0</v>
      </c>
      <c r="H392" s="7">
        <f t="shared" si="91"/>
        <v>0</v>
      </c>
      <c r="I392" s="8">
        <v>15.06</v>
      </c>
      <c r="J392" s="9">
        <f t="shared" si="92"/>
        <v>15.06</v>
      </c>
      <c r="K392" s="3">
        <f t="shared" si="93"/>
        <v>0</v>
      </c>
      <c r="L392" s="7">
        <f t="shared" si="94"/>
        <v>0</v>
      </c>
      <c r="M392" t="s">
        <v>150</v>
      </c>
      <c r="O392" s="3">
        <f>E392-'301055 - P0324'!F392</f>
        <v>0</v>
      </c>
      <c r="P392" s="30">
        <f>I392-'301055 - P0324'!J392</f>
        <v>0</v>
      </c>
    </row>
    <row r="393" spans="1:16" x14ac:dyDescent="0.25">
      <c r="A393">
        <v>391</v>
      </c>
      <c r="B393" t="s">
        <v>387</v>
      </c>
      <c r="C393" s="28" t="s">
        <v>351</v>
      </c>
      <c r="D393" s="4" t="s">
        <v>389</v>
      </c>
      <c r="E393" s="12">
        <v>27.99</v>
      </c>
      <c r="F393" s="12">
        <v>27.99</v>
      </c>
      <c r="G393" s="6">
        <f t="shared" si="90"/>
        <v>0</v>
      </c>
      <c r="H393" s="7">
        <f t="shared" si="91"/>
        <v>0</v>
      </c>
      <c r="I393" s="8">
        <v>32.15</v>
      </c>
      <c r="J393" s="9">
        <f t="shared" si="92"/>
        <v>32.15</v>
      </c>
      <c r="K393" s="3">
        <f t="shared" si="93"/>
        <v>0</v>
      </c>
      <c r="L393" s="7">
        <f t="shared" si="94"/>
        <v>0</v>
      </c>
      <c r="M393" t="s">
        <v>150</v>
      </c>
      <c r="O393" s="3">
        <f>E393-'301055 - P0324'!F393</f>
        <v>0</v>
      </c>
      <c r="P393" s="30">
        <f>I393-'301055 - P0324'!J393</f>
        <v>0</v>
      </c>
    </row>
    <row r="394" spans="1:16" x14ac:dyDescent="0.25">
      <c r="A394">
        <v>392</v>
      </c>
      <c r="B394" t="s">
        <v>387</v>
      </c>
      <c r="C394" s="28" t="s">
        <v>351</v>
      </c>
      <c r="D394" s="4" t="s">
        <v>390</v>
      </c>
      <c r="E394" s="12">
        <v>24.27</v>
      </c>
      <c r="F394" s="12">
        <v>24.27</v>
      </c>
      <c r="G394" s="6">
        <f t="shared" si="90"/>
        <v>0</v>
      </c>
      <c r="H394" s="7">
        <f t="shared" si="91"/>
        <v>0</v>
      </c>
      <c r="I394" s="8">
        <v>27.88</v>
      </c>
      <c r="J394" s="9">
        <f t="shared" si="92"/>
        <v>27.88</v>
      </c>
      <c r="K394" s="3">
        <f t="shared" si="93"/>
        <v>0</v>
      </c>
      <c r="L394" s="7">
        <f t="shared" si="94"/>
        <v>0</v>
      </c>
      <c r="M394" t="s">
        <v>150</v>
      </c>
      <c r="O394" s="3">
        <f>E394-'301055 - P0324'!F394</f>
        <v>0</v>
      </c>
      <c r="P394" s="30">
        <f>I394-'301055 - P0324'!J394</f>
        <v>0</v>
      </c>
    </row>
    <row r="395" spans="1:16" x14ac:dyDescent="0.25">
      <c r="A395">
        <v>393</v>
      </c>
      <c r="C395" s="28"/>
      <c r="D395" s="2" t="s">
        <v>391</v>
      </c>
      <c r="M395" t="s">
        <v>150</v>
      </c>
    </row>
    <row r="396" spans="1:16" x14ac:dyDescent="0.25">
      <c r="A396">
        <v>394</v>
      </c>
      <c r="B396" t="s">
        <v>322</v>
      </c>
      <c r="C396" s="28" t="s">
        <v>354</v>
      </c>
      <c r="D396" s="4" t="s">
        <v>392</v>
      </c>
      <c r="E396" s="12">
        <v>3.7791000000000001</v>
      </c>
      <c r="F396" s="12">
        <v>3.7791000000000001</v>
      </c>
      <c r="G396" s="6">
        <f t="shared" ref="G396:G413" si="95">+F396-E396</f>
        <v>0</v>
      </c>
      <c r="H396" s="7">
        <f t="shared" ref="H396:H413" si="96">(F396-E396)/ABS(E396)</f>
        <v>0</v>
      </c>
      <c r="I396" s="8">
        <v>7.5582000000000003</v>
      </c>
      <c r="J396" s="9">
        <f t="shared" ref="J396:J413" si="97">(I396*H396)+I396</f>
        <v>7.5582000000000003</v>
      </c>
      <c r="K396" s="3">
        <f t="shared" ref="K396:K413" si="98">J396-I396</f>
        <v>0</v>
      </c>
      <c r="L396" s="7">
        <f t="shared" ref="L396:L413" si="99">(J396-I396)/ABS(I396)</f>
        <v>0</v>
      </c>
      <c r="M396" t="s">
        <v>150</v>
      </c>
      <c r="O396" s="3">
        <f>E396-'301055 - P0324'!F396</f>
        <v>0</v>
      </c>
      <c r="P396" s="30">
        <f>I396-'301055 - P0324'!J396</f>
        <v>0</v>
      </c>
    </row>
    <row r="397" spans="1:16" x14ac:dyDescent="0.25">
      <c r="A397">
        <v>395</v>
      </c>
      <c r="B397" t="s">
        <v>476</v>
      </c>
      <c r="C397" s="28" t="s">
        <v>354</v>
      </c>
      <c r="D397" s="4" t="s">
        <v>393</v>
      </c>
      <c r="E397" s="12">
        <v>1.81</v>
      </c>
      <c r="F397" s="12">
        <v>1.81</v>
      </c>
      <c r="G397" s="6">
        <f t="shared" si="95"/>
        <v>0</v>
      </c>
      <c r="H397" s="7">
        <f t="shared" si="96"/>
        <v>0</v>
      </c>
      <c r="I397" s="8">
        <v>3.62</v>
      </c>
      <c r="J397" s="9">
        <f t="shared" si="97"/>
        <v>3.62</v>
      </c>
      <c r="K397" s="3">
        <f t="shared" si="98"/>
        <v>0</v>
      </c>
      <c r="L397" s="7">
        <f t="shared" si="99"/>
        <v>0</v>
      </c>
      <c r="M397" t="s">
        <v>150</v>
      </c>
      <c r="O397" s="3">
        <f>E397-'301055 - P0324'!F397</f>
        <v>0</v>
      </c>
      <c r="P397" s="30">
        <f>I397-'301055 - P0324'!J397</f>
        <v>0</v>
      </c>
    </row>
    <row r="398" spans="1:16" x14ac:dyDescent="0.25">
      <c r="A398">
        <v>396</v>
      </c>
      <c r="B398" t="s">
        <v>480</v>
      </c>
      <c r="C398" s="28" t="s">
        <v>354</v>
      </c>
      <c r="D398" s="4" t="s">
        <v>394</v>
      </c>
      <c r="E398" s="12">
        <v>3.01</v>
      </c>
      <c r="F398" s="12">
        <v>3.01</v>
      </c>
      <c r="G398" s="6">
        <f t="shared" si="95"/>
        <v>0</v>
      </c>
      <c r="H398" s="7">
        <f t="shared" si="96"/>
        <v>0</v>
      </c>
      <c r="I398" s="8">
        <v>6.02</v>
      </c>
      <c r="J398" s="9">
        <f t="shared" si="97"/>
        <v>6.02</v>
      </c>
      <c r="K398" s="3">
        <f t="shared" si="98"/>
        <v>0</v>
      </c>
      <c r="L398" s="7">
        <f t="shared" si="99"/>
        <v>0</v>
      </c>
      <c r="M398" t="s">
        <v>150</v>
      </c>
      <c r="O398" s="3">
        <f>E398-'301055 - P0324'!F398</f>
        <v>0</v>
      </c>
      <c r="P398" s="30">
        <f>I398-'301055 - P0324'!J398</f>
        <v>0</v>
      </c>
    </row>
    <row r="399" spans="1:16" x14ac:dyDescent="0.25">
      <c r="A399">
        <v>397</v>
      </c>
      <c r="B399" t="s">
        <v>470</v>
      </c>
      <c r="C399" s="28" t="s">
        <v>354</v>
      </c>
      <c r="D399" s="4" t="s">
        <v>395</v>
      </c>
      <c r="E399" s="12">
        <v>27.08</v>
      </c>
      <c r="F399" s="12">
        <v>27.08</v>
      </c>
      <c r="G399" s="6">
        <f t="shared" si="95"/>
        <v>0</v>
      </c>
      <c r="H399" s="7">
        <f t="shared" si="96"/>
        <v>0</v>
      </c>
      <c r="I399" s="8">
        <v>54.16</v>
      </c>
      <c r="J399" s="9">
        <f t="shared" si="97"/>
        <v>54.16</v>
      </c>
      <c r="K399" s="3">
        <f t="shared" si="98"/>
        <v>0</v>
      </c>
      <c r="L399" s="7">
        <f t="shared" si="99"/>
        <v>0</v>
      </c>
      <c r="M399" t="s">
        <v>150</v>
      </c>
      <c r="O399" s="3">
        <f>E399-'301055 - P0324'!F399</f>
        <v>0</v>
      </c>
      <c r="P399" s="30">
        <f>I399-'301055 - P0324'!J399</f>
        <v>0</v>
      </c>
    </row>
    <row r="400" spans="1:16" x14ac:dyDescent="0.25">
      <c r="A400">
        <v>398</v>
      </c>
      <c r="B400" t="s">
        <v>303</v>
      </c>
      <c r="C400" s="28" t="s">
        <v>354</v>
      </c>
      <c r="D400" s="4" t="s">
        <v>396</v>
      </c>
      <c r="E400" s="12">
        <v>18.07</v>
      </c>
      <c r="F400" s="12">
        <v>18.07</v>
      </c>
      <c r="G400" s="6">
        <f t="shared" si="95"/>
        <v>0</v>
      </c>
      <c r="H400" s="7">
        <f t="shared" si="96"/>
        <v>0</v>
      </c>
      <c r="I400" s="8">
        <v>32.273257621040045</v>
      </c>
      <c r="J400" s="9">
        <f t="shared" si="97"/>
        <v>32.273257621040045</v>
      </c>
      <c r="K400" s="3">
        <f t="shared" si="98"/>
        <v>0</v>
      </c>
      <c r="L400" s="7">
        <f t="shared" si="99"/>
        <v>0</v>
      </c>
      <c r="M400" t="s">
        <v>150</v>
      </c>
      <c r="O400" s="3">
        <f>E400-'301055 - P0324'!F400</f>
        <v>0</v>
      </c>
      <c r="P400" s="30">
        <f>I400-'301055 - P0324'!J400</f>
        <v>0</v>
      </c>
    </row>
    <row r="401" spans="1:16" x14ac:dyDescent="0.25">
      <c r="A401">
        <v>399</v>
      </c>
      <c r="B401" t="s">
        <v>303</v>
      </c>
      <c r="C401" s="28" t="s">
        <v>354</v>
      </c>
      <c r="D401" s="4" t="s">
        <v>397</v>
      </c>
      <c r="E401" s="12">
        <v>11.92</v>
      </c>
      <c r="F401" s="12">
        <v>11.92</v>
      </c>
      <c r="G401" s="6">
        <f t="shared" si="95"/>
        <v>0</v>
      </c>
      <c r="H401" s="7">
        <f t="shared" si="96"/>
        <v>0</v>
      </c>
      <c r="I401" s="8">
        <v>23.863213242453746</v>
      </c>
      <c r="J401" s="9">
        <f t="shared" si="97"/>
        <v>23.863213242453746</v>
      </c>
      <c r="K401" s="3">
        <f t="shared" si="98"/>
        <v>0</v>
      </c>
      <c r="L401" s="7">
        <f t="shared" si="99"/>
        <v>0</v>
      </c>
      <c r="M401" t="s">
        <v>150</v>
      </c>
      <c r="O401" s="3">
        <f>E401-'301055 - P0324'!F401</f>
        <v>0</v>
      </c>
      <c r="P401" s="30">
        <f>I401-'301055 - P0324'!J401</f>
        <v>0</v>
      </c>
    </row>
    <row r="402" spans="1:16" x14ac:dyDescent="0.25">
      <c r="A402">
        <v>400</v>
      </c>
      <c r="B402" t="s">
        <v>303</v>
      </c>
      <c r="C402" s="28" t="s">
        <v>354</v>
      </c>
      <c r="D402" s="4" t="s">
        <v>398</v>
      </c>
      <c r="E402" s="12">
        <v>12.97</v>
      </c>
      <c r="F402" s="12">
        <v>12.97</v>
      </c>
      <c r="G402" s="6">
        <f t="shared" si="95"/>
        <v>0</v>
      </c>
      <c r="H402" s="7">
        <f t="shared" si="96"/>
        <v>0</v>
      </c>
      <c r="I402" s="8">
        <v>25.96322291853178</v>
      </c>
      <c r="J402" s="9">
        <f t="shared" si="97"/>
        <v>25.96322291853178</v>
      </c>
      <c r="K402" s="3">
        <f t="shared" si="98"/>
        <v>0</v>
      </c>
      <c r="L402" s="7">
        <f t="shared" si="99"/>
        <v>0</v>
      </c>
      <c r="M402" t="s">
        <v>150</v>
      </c>
      <c r="O402" s="3">
        <f>E402-'301055 - P0324'!F402</f>
        <v>0</v>
      </c>
      <c r="P402" s="30">
        <f>I402-'301055 - P0324'!J402</f>
        <v>0</v>
      </c>
    </row>
    <row r="403" spans="1:16" x14ac:dyDescent="0.25">
      <c r="A403">
        <v>401</v>
      </c>
      <c r="B403" t="s">
        <v>475</v>
      </c>
      <c r="C403" s="28" t="s">
        <v>354</v>
      </c>
      <c r="D403" s="4" t="s">
        <v>399</v>
      </c>
      <c r="E403" s="12">
        <v>51.3</v>
      </c>
      <c r="F403" s="12">
        <v>51.3</v>
      </c>
      <c r="G403" s="6">
        <f t="shared" si="95"/>
        <v>0</v>
      </c>
      <c r="H403" s="7">
        <f t="shared" si="96"/>
        <v>0</v>
      </c>
      <c r="I403" s="8">
        <v>102.6</v>
      </c>
      <c r="J403" s="9">
        <f t="shared" si="97"/>
        <v>102.6</v>
      </c>
      <c r="K403" s="3">
        <f t="shared" si="98"/>
        <v>0</v>
      </c>
      <c r="L403" s="7">
        <f t="shared" si="99"/>
        <v>0</v>
      </c>
      <c r="M403" t="s">
        <v>150</v>
      </c>
      <c r="O403" s="3">
        <f>E403-'301055 - P0324'!F403</f>
        <v>0</v>
      </c>
      <c r="P403" s="30">
        <f>I403-'301055 - P0324'!J403</f>
        <v>0</v>
      </c>
    </row>
    <row r="404" spans="1:16" x14ac:dyDescent="0.25">
      <c r="A404">
        <v>402</v>
      </c>
      <c r="B404" t="s">
        <v>479</v>
      </c>
      <c r="C404" s="28" t="s">
        <v>354</v>
      </c>
      <c r="D404" s="4" t="s">
        <v>400</v>
      </c>
      <c r="E404" s="12">
        <v>21.37</v>
      </c>
      <c r="F404" s="12">
        <v>21.37</v>
      </c>
      <c r="G404" s="6">
        <f t="shared" si="95"/>
        <v>0</v>
      </c>
      <c r="H404" s="7">
        <f t="shared" si="96"/>
        <v>0</v>
      </c>
      <c r="I404" s="8">
        <v>42.74</v>
      </c>
      <c r="J404" s="9">
        <f t="shared" si="97"/>
        <v>42.74</v>
      </c>
      <c r="K404" s="3">
        <f t="shared" si="98"/>
        <v>0</v>
      </c>
      <c r="L404" s="7">
        <f t="shared" si="99"/>
        <v>0</v>
      </c>
      <c r="M404" t="s">
        <v>150</v>
      </c>
      <c r="O404" s="3">
        <f>E404-'301055 - P0324'!F404</f>
        <v>0</v>
      </c>
      <c r="P404" s="30">
        <f>I404-'301055 - P0324'!J404</f>
        <v>0</v>
      </c>
    </row>
    <row r="405" spans="1:16" x14ac:dyDescent="0.25">
      <c r="A405">
        <v>403</v>
      </c>
      <c r="B405" t="s">
        <v>476</v>
      </c>
      <c r="C405" s="28" t="s">
        <v>354</v>
      </c>
      <c r="D405" s="4" t="s">
        <v>401</v>
      </c>
      <c r="E405" s="12">
        <v>37.51</v>
      </c>
      <c r="F405" s="12">
        <v>37.51</v>
      </c>
      <c r="G405" s="6">
        <f t="shared" si="95"/>
        <v>0</v>
      </c>
      <c r="H405" s="7">
        <f t="shared" si="96"/>
        <v>0</v>
      </c>
      <c r="I405" s="8">
        <v>75.02</v>
      </c>
      <c r="J405" s="9">
        <f t="shared" si="97"/>
        <v>75.02</v>
      </c>
      <c r="K405" s="3">
        <f t="shared" si="98"/>
        <v>0</v>
      </c>
      <c r="L405" s="7">
        <f t="shared" si="99"/>
        <v>0</v>
      </c>
      <c r="M405" t="s">
        <v>150</v>
      </c>
      <c r="O405" s="3">
        <f>E405-'301055 - P0324'!F405</f>
        <v>0</v>
      </c>
      <c r="P405" s="30">
        <f>I405-'301055 - P0324'!J405</f>
        <v>0</v>
      </c>
    </row>
    <row r="406" spans="1:16" x14ac:dyDescent="0.25">
      <c r="A406">
        <v>404</v>
      </c>
      <c r="B406" t="s">
        <v>476</v>
      </c>
      <c r="C406" s="28" t="s">
        <v>354</v>
      </c>
      <c r="D406" s="4" t="s">
        <v>402</v>
      </c>
      <c r="E406" s="12">
        <v>1.79</v>
      </c>
      <c r="F406" s="12">
        <v>1.79</v>
      </c>
      <c r="G406" s="6">
        <f t="shared" si="95"/>
        <v>0</v>
      </c>
      <c r="H406" s="7">
        <f t="shared" si="96"/>
        <v>0</v>
      </c>
      <c r="I406" s="8">
        <v>4</v>
      </c>
      <c r="J406" s="9">
        <f t="shared" si="97"/>
        <v>4</v>
      </c>
      <c r="K406" s="3">
        <f t="shared" si="98"/>
        <v>0</v>
      </c>
      <c r="L406" s="7">
        <f t="shared" si="99"/>
        <v>0</v>
      </c>
      <c r="M406" t="s">
        <v>150</v>
      </c>
      <c r="O406" s="3">
        <f>E406-'301055 - P0324'!F406</f>
        <v>0</v>
      </c>
      <c r="P406" s="30">
        <f>I406-'301055 - P0324'!J406</f>
        <v>0</v>
      </c>
    </row>
    <row r="407" spans="1:16" x14ac:dyDescent="0.25">
      <c r="A407">
        <v>405</v>
      </c>
      <c r="B407" t="s">
        <v>476</v>
      </c>
      <c r="C407" s="28" t="s">
        <v>354</v>
      </c>
      <c r="D407" s="4" t="s">
        <v>403</v>
      </c>
      <c r="E407" s="12">
        <v>2.4700000000000002</v>
      </c>
      <c r="F407" s="12">
        <v>2.4700000000000002</v>
      </c>
      <c r="G407" s="6">
        <f t="shared" si="95"/>
        <v>0</v>
      </c>
      <c r="H407" s="7">
        <f t="shared" si="96"/>
        <v>0</v>
      </c>
      <c r="I407" s="8">
        <v>5</v>
      </c>
      <c r="J407" s="9">
        <f t="shared" si="97"/>
        <v>5</v>
      </c>
      <c r="K407" s="3">
        <f t="shared" si="98"/>
        <v>0</v>
      </c>
      <c r="L407" s="7">
        <f t="shared" si="99"/>
        <v>0</v>
      </c>
      <c r="M407" t="s">
        <v>150</v>
      </c>
      <c r="O407" s="3">
        <f>E407-'301055 - P0324'!F407</f>
        <v>0</v>
      </c>
      <c r="P407" s="30">
        <f>I407-'301055 - P0324'!J407</f>
        <v>0</v>
      </c>
    </row>
    <row r="408" spans="1:16" x14ac:dyDescent="0.25">
      <c r="A408">
        <v>406</v>
      </c>
      <c r="B408" t="s">
        <v>474</v>
      </c>
      <c r="C408" s="28" t="s">
        <v>354</v>
      </c>
      <c r="D408" s="4" t="s">
        <v>404</v>
      </c>
      <c r="E408" s="12">
        <v>6.48</v>
      </c>
      <c r="F408" s="12">
        <v>6.48</v>
      </c>
      <c r="G408" s="6">
        <f t="shared" si="95"/>
        <v>0</v>
      </c>
      <c r="H408" s="7">
        <f t="shared" si="96"/>
        <v>0</v>
      </c>
      <c r="I408" s="8">
        <v>12.96</v>
      </c>
      <c r="J408" s="9">
        <f t="shared" si="97"/>
        <v>12.96</v>
      </c>
      <c r="K408" s="3">
        <f t="shared" si="98"/>
        <v>0</v>
      </c>
      <c r="L408" s="7">
        <f t="shared" si="99"/>
        <v>0</v>
      </c>
      <c r="M408" t="s">
        <v>150</v>
      </c>
      <c r="O408" s="3">
        <f>E408-'301055 - P0324'!F408</f>
        <v>0</v>
      </c>
      <c r="P408" s="30">
        <f>I408-'301055 - P0324'!J408</f>
        <v>0</v>
      </c>
    </row>
    <row r="409" spans="1:16" x14ac:dyDescent="0.25">
      <c r="A409">
        <v>407</v>
      </c>
      <c r="B409" t="s">
        <v>474</v>
      </c>
      <c r="C409" s="28" t="s">
        <v>354</v>
      </c>
      <c r="D409" s="4" t="s">
        <v>405</v>
      </c>
      <c r="E409" s="12">
        <v>10.78</v>
      </c>
      <c r="F409" s="12">
        <v>10.78</v>
      </c>
      <c r="G409" s="6">
        <f t="shared" si="95"/>
        <v>0</v>
      </c>
      <c r="H409" s="7">
        <f t="shared" si="96"/>
        <v>0</v>
      </c>
      <c r="I409" s="8">
        <v>21.56</v>
      </c>
      <c r="J409" s="9">
        <f t="shared" si="97"/>
        <v>21.56</v>
      </c>
      <c r="K409" s="3">
        <f t="shared" si="98"/>
        <v>0</v>
      </c>
      <c r="L409" s="7">
        <f t="shared" si="99"/>
        <v>0</v>
      </c>
      <c r="M409" t="s">
        <v>150</v>
      </c>
      <c r="O409" s="3">
        <f>E409-'301055 - P0324'!F409</f>
        <v>0</v>
      </c>
      <c r="P409" s="30">
        <f>I409-'301055 - P0324'!J409</f>
        <v>0</v>
      </c>
    </row>
    <row r="410" spans="1:16" x14ac:dyDescent="0.25">
      <c r="A410">
        <v>408</v>
      </c>
      <c r="B410" t="s">
        <v>474</v>
      </c>
      <c r="C410" s="28" t="s">
        <v>354</v>
      </c>
      <c r="D410" s="4" t="s">
        <v>406</v>
      </c>
      <c r="E410" s="12">
        <v>13.22</v>
      </c>
      <c r="F410" s="12">
        <v>13.22</v>
      </c>
      <c r="G410" s="6">
        <f t="shared" si="95"/>
        <v>0</v>
      </c>
      <c r="H410" s="7">
        <f t="shared" si="96"/>
        <v>0</v>
      </c>
      <c r="I410" s="8">
        <v>26.44</v>
      </c>
      <c r="J410" s="9">
        <f t="shared" si="97"/>
        <v>26.44</v>
      </c>
      <c r="K410" s="3">
        <f t="shared" si="98"/>
        <v>0</v>
      </c>
      <c r="L410" s="7">
        <f t="shared" si="99"/>
        <v>0</v>
      </c>
      <c r="M410" t="s">
        <v>150</v>
      </c>
      <c r="O410" s="3">
        <f>E410-'301055 - P0324'!F410</f>
        <v>0</v>
      </c>
      <c r="P410" s="30">
        <f>I410-'301055 - P0324'!J410</f>
        <v>0</v>
      </c>
    </row>
    <row r="411" spans="1:16" x14ac:dyDescent="0.25">
      <c r="A411">
        <v>409</v>
      </c>
      <c r="B411" t="s">
        <v>476</v>
      </c>
      <c r="C411" s="28" t="s">
        <v>354</v>
      </c>
      <c r="D411" s="4" t="s">
        <v>407</v>
      </c>
      <c r="E411" s="12">
        <v>14.72</v>
      </c>
      <c r="F411" s="12">
        <v>14.72</v>
      </c>
      <c r="G411" s="6">
        <f t="shared" si="95"/>
        <v>0</v>
      </c>
      <c r="H411" s="7">
        <f t="shared" si="96"/>
        <v>0</v>
      </c>
      <c r="I411" s="8">
        <v>29.44</v>
      </c>
      <c r="J411" s="9">
        <f t="shared" si="97"/>
        <v>29.44</v>
      </c>
      <c r="K411" s="3">
        <f t="shared" si="98"/>
        <v>0</v>
      </c>
      <c r="L411" s="7">
        <f t="shared" si="99"/>
        <v>0</v>
      </c>
      <c r="M411" t="s">
        <v>150</v>
      </c>
      <c r="O411" s="3">
        <f>E411-'301055 - P0324'!F411</f>
        <v>0</v>
      </c>
      <c r="P411" s="30">
        <f>I411-'301055 - P0324'!J411</f>
        <v>0</v>
      </c>
    </row>
    <row r="412" spans="1:16" x14ac:dyDescent="0.25">
      <c r="A412">
        <v>410</v>
      </c>
      <c r="B412" t="s">
        <v>476</v>
      </c>
      <c r="C412" s="28" t="s">
        <v>354</v>
      </c>
      <c r="D412" s="4" t="s">
        <v>408</v>
      </c>
      <c r="E412" s="12">
        <v>3.74</v>
      </c>
      <c r="F412" s="12">
        <v>3.74</v>
      </c>
      <c r="G412" s="6">
        <f t="shared" si="95"/>
        <v>0</v>
      </c>
      <c r="H412" s="7">
        <f t="shared" si="96"/>
        <v>0</v>
      </c>
      <c r="I412" s="8">
        <v>7.48</v>
      </c>
      <c r="J412" s="9">
        <f t="shared" si="97"/>
        <v>7.48</v>
      </c>
      <c r="K412" s="3">
        <f t="shared" si="98"/>
        <v>0</v>
      </c>
      <c r="L412" s="7">
        <f t="shared" si="99"/>
        <v>0</v>
      </c>
      <c r="M412" t="s">
        <v>150</v>
      </c>
      <c r="O412" s="3">
        <f>E412-'301055 - P0324'!F412</f>
        <v>0</v>
      </c>
      <c r="P412" s="30">
        <f>I412-'301055 - P0324'!J412</f>
        <v>0</v>
      </c>
    </row>
    <row r="413" spans="1:16" x14ac:dyDescent="0.25">
      <c r="A413">
        <v>411</v>
      </c>
      <c r="B413" t="s">
        <v>476</v>
      </c>
      <c r="C413" s="28" t="s">
        <v>354</v>
      </c>
      <c r="D413" s="4" t="s">
        <v>409</v>
      </c>
      <c r="E413" s="12">
        <v>5.12</v>
      </c>
      <c r="F413" s="12">
        <v>5.12</v>
      </c>
      <c r="G413" s="6">
        <f t="shared" si="95"/>
        <v>0</v>
      </c>
      <c r="H413" s="7">
        <f t="shared" si="96"/>
        <v>0</v>
      </c>
      <c r="I413" s="8">
        <v>10.24</v>
      </c>
      <c r="J413" s="9">
        <f t="shared" si="97"/>
        <v>10.24</v>
      </c>
      <c r="K413" s="3">
        <f t="shared" si="98"/>
        <v>0</v>
      </c>
      <c r="L413" s="7">
        <f t="shared" si="99"/>
        <v>0</v>
      </c>
      <c r="M413" t="s">
        <v>150</v>
      </c>
      <c r="O413" s="3">
        <f>E413-'301055 - P0324'!F413</f>
        <v>0</v>
      </c>
      <c r="P413" s="30">
        <f>I413-'301055 - P0324'!J413</f>
        <v>0</v>
      </c>
    </row>
    <row r="414" spans="1:16" x14ac:dyDescent="0.25">
      <c r="A414">
        <v>412</v>
      </c>
      <c r="D414" s="2" t="s">
        <v>410</v>
      </c>
      <c r="H414" s="10">
        <f>AVERAGE(H349:H410)</f>
        <v>0</v>
      </c>
    </row>
    <row r="415" spans="1:16" x14ac:dyDescent="0.25">
      <c r="D415" s="2" t="s">
        <v>411</v>
      </c>
    </row>
    <row r="416" spans="1:16" x14ac:dyDescent="0.25">
      <c r="D416" s="17" t="s">
        <v>412</v>
      </c>
      <c r="E416" s="5">
        <v>543</v>
      </c>
      <c r="F416" s="5">
        <v>579</v>
      </c>
      <c r="G416" s="6">
        <f t="shared" ref="G416:G425" si="100">+F416-E416</f>
        <v>36</v>
      </c>
      <c r="H416" s="7">
        <f t="shared" ref="H416:H425" si="101">(F416-E416)/ABS(E416)</f>
        <v>6.6298342541436461E-2</v>
      </c>
      <c r="J416" s="3"/>
      <c r="K416" s="3"/>
      <c r="L416" s="7"/>
    </row>
    <row r="417" spans="1:16" x14ac:dyDescent="0.25">
      <c r="D417" s="17" t="s">
        <v>413</v>
      </c>
      <c r="E417" s="5">
        <v>515</v>
      </c>
      <c r="F417" s="5">
        <v>558</v>
      </c>
      <c r="G417" s="6">
        <f t="shared" si="100"/>
        <v>43</v>
      </c>
      <c r="H417" s="7">
        <f t="shared" si="101"/>
        <v>8.3495145631067955E-2</v>
      </c>
      <c r="J417" s="3"/>
      <c r="K417" s="3"/>
      <c r="L417" s="7"/>
    </row>
    <row r="418" spans="1:16" x14ac:dyDescent="0.25">
      <c r="D418" s="17" t="s">
        <v>414</v>
      </c>
      <c r="E418" s="5">
        <v>858</v>
      </c>
      <c r="F418" s="5">
        <v>858</v>
      </c>
      <c r="G418" s="6">
        <f t="shared" si="100"/>
        <v>0</v>
      </c>
      <c r="H418" s="7">
        <f t="shared" si="101"/>
        <v>0</v>
      </c>
      <c r="J418" s="3"/>
      <c r="K418" s="3"/>
      <c r="L418" s="7"/>
    </row>
    <row r="419" spans="1:16" x14ac:dyDescent="0.25">
      <c r="D419" s="4" t="s">
        <v>415</v>
      </c>
      <c r="E419" s="5">
        <v>664</v>
      </c>
      <c r="F419" s="5">
        <v>664</v>
      </c>
      <c r="G419" s="6">
        <f t="shared" si="100"/>
        <v>0</v>
      </c>
      <c r="H419" s="7">
        <f t="shared" si="101"/>
        <v>0</v>
      </c>
      <c r="J419" s="3"/>
      <c r="K419" s="3"/>
      <c r="L419" s="7"/>
    </row>
    <row r="420" spans="1:16" x14ac:dyDescent="0.25">
      <c r="D420" s="4" t="s">
        <v>416</v>
      </c>
      <c r="E420" s="5">
        <v>599</v>
      </c>
      <c r="F420" s="5">
        <v>599</v>
      </c>
      <c r="G420" s="6">
        <f t="shared" si="100"/>
        <v>0</v>
      </c>
      <c r="H420" s="7">
        <f t="shared" si="101"/>
        <v>0</v>
      </c>
      <c r="J420" s="3"/>
      <c r="K420" s="3"/>
      <c r="L420" s="7"/>
    </row>
    <row r="421" spans="1:16" x14ac:dyDescent="0.25">
      <c r="D421" s="4" t="s">
        <v>417</v>
      </c>
      <c r="E421" s="5">
        <v>1505</v>
      </c>
      <c r="F421" s="5">
        <v>1510</v>
      </c>
      <c r="G421" s="6">
        <f t="shared" si="100"/>
        <v>5</v>
      </c>
      <c r="H421" s="7">
        <f t="shared" si="101"/>
        <v>3.3222591362126247E-3</v>
      </c>
      <c r="J421" s="3"/>
      <c r="K421" s="3"/>
      <c r="L421" s="7"/>
    </row>
    <row r="422" spans="1:16" x14ac:dyDescent="0.25">
      <c r="D422" s="4" t="s">
        <v>418</v>
      </c>
      <c r="E422" s="5">
        <v>1475</v>
      </c>
      <c r="F422" s="5">
        <v>1480</v>
      </c>
      <c r="G422" s="6">
        <f t="shared" si="100"/>
        <v>5</v>
      </c>
      <c r="H422" s="7">
        <f t="shared" si="101"/>
        <v>3.3898305084745762E-3</v>
      </c>
      <c r="J422" s="3"/>
      <c r="K422" s="3"/>
      <c r="L422" s="7"/>
    </row>
    <row r="423" spans="1:16" x14ac:dyDescent="0.25">
      <c r="D423" s="4" t="s">
        <v>419</v>
      </c>
      <c r="E423" s="5">
        <v>854</v>
      </c>
      <c r="F423" s="5">
        <v>834</v>
      </c>
      <c r="G423" s="6">
        <f t="shared" si="100"/>
        <v>-20</v>
      </c>
      <c r="H423" s="7">
        <f t="shared" si="101"/>
        <v>-2.3419203747072601E-2</v>
      </c>
      <c r="J423" s="3"/>
      <c r="K423" s="3"/>
      <c r="L423" s="7"/>
    </row>
    <row r="424" spans="1:16" x14ac:dyDescent="0.25">
      <c r="D424" s="4" t="s">
        <v>420</v>
      </c>
      <c r="E424" s="5">
        <v>764</v>
      </c>
      <c r="F424" s="5">
        <v>749</v>
      </c>
      <c r="G424" s="6">
        <f t="shared" si="100"/>
        <v>-15</v>
      </c>
      <c r="H424" s="7">
        <f t="shared" si="101"/>
        <v>-1.9633507853403141E-2</v>
      </c>
      <c r="J424" s="3"/>
      <c r="K424" s="3"/>
      <c r="L424" s="7"/>
    </row>
    <row r="425" spans="1:16" x14ac:dyDescent="0.25">
      <c r="D425" s="4" t="s">
        <v>421</v>
      </c>
      <c r="E425" s="5">
        <v>1027</v>
      </c>
      <c r="F425" s="5">
        <v>1007</v>
      </c>
      <c r="G425" s="6">
        <f t="shared" si="100"/>
        <v>-20</v>
      </c>
      <c r="H425" s="7">
        <f t="shared" si="101"/>
        <v>-1.9474196689386564E-2</v>
      </c>
      <c r="J425" s="3"/>
      <c r="K425" s="3"/>
      <c r="L425" s="7"/>
    </row>
    <row r="426" spans="1:16" s="3" customFormat="1" x14ac:dyDescent="0.25">
      <c r="A426"/>
      <c r="B426"/>
      <c r="C426"/>
      <c r="D426" s="2" t="s">
        <v>422</v>
      </c>
      <c r="H426" s="10">
        <f>AVERAGE(H416:H425)</f>
        <v>9.397866952732932E-3</v>
      </c>
      <c r="J426"/>
      <c r="K426"/>
      <c r="L426"/>
      <c r="M426"/>
      <c r="N426"/>
      <c r="P426" s="30"/>
    </row>
  </sheetData>
  <autoFilter ref="A1:M426" xr:uid="{00000000-0009-0000-0000-000001000000}"/>
  <pageMargins left="0.7" right="0.7" top="0.75" bottom="0.75" header="0.3" footer="0.3"/>
  <pageSetup orientation="portrait" horizontalDpi="1200" verticalDpi="1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712B-F22F-4017-B55B-9C0732FC20D7}">
  <dimension ref="A1:P426"/>
  <sheetViews>
    <sheetView workbookViewId="0">
      <pane ySplit="2" topLeftCell="A63" activePane="bottomLeft" state="frozen"/>
      <selection pane="bottomLeft"/>
    </sheetView>
  </sheetViews>
  <sheetFormatPr defaultColWidth="9.140625" defaultRowHeight="15" x14ac:dyDescent="0.25"/>
  <cols>
    <col min="1" max="1" width="4" bestFit="1" customWidth="1"/>
    <col min="2" max="2" width="14.85546875" customWidth="1"/>
    <col min="3" max="3" width="9" customWidth="1"/>
    <col min="4" max="4" width="76.7109375" customWidth="1"/>
    <col min="5" max="5" width="28.42578125" style="3" customWidth="1"/>
    <col min="6" max="6" width="29.5703125" style="3" customWidth="1"/>
    <col min="7" max="7" width="8.28515625" style="3" customWidth="1"/>
    <col min="8" max="8" width="7.7109375" style="3" customWidth="1"/>
    <col min="9" max="9" width="28.42578125" style="3" customWidth="1"/>
    <col min="10" max="10" width="29.5703125" customWidth="1"/>
    <col min="16" max="16" width="9.140625" style="30"/>
  </cols>
  <sheetData>
    <row r="1" spans="1:16" x14ac:dyDescent="0.25">
      <c r="E1" s="1" t="s">
        <v>0</v>
      </c>
      <c r="F1" s="1" t="s">
        <v>0</v>
      </c>
      <c r="G1" s="1"/>
      <c r="H1" s="1"/>
      <c r="I1" s="1" t="s">
        <v>1</v>
      </c>
      <c r="J1" s="1" t="s">
        <v>1</v>
      </c>
      <c r="M1" t="s">
        <v>2</v>
      </c>
    </row>
    <row r="2" spans="1:16" x14ac:dyDescent="0.25">
      <c r="B2" t="s">
        <v>3</v>
      </c>
      <c r="C2" t="s">
        <v>4</v>
      </c>
      <c r="D2" t="s">
        <v>5</v>
      </c>
      <c r="E2" s="1" t="s">
        <v>513</v>
      </c>
      <c r="F2" s="1" t="s">
        <v>515</v>
      </c>
      <c r="G2" s="1"/>
      <c r="H2" s="1"/>
      <c r="I2" s="1" t="s">
        <v>513</v>
      </c>
      <c r="J2" s="1" t="s">
        <v>515</v>
      </c>
    </row>
    <row r="3" spans="1:16" x14ac:dyDescent="0.25">
      <c r="A3">
        <v>1</v>
      </c>
      <c r="D3" s="2" t="s">
        <v>6</v>
      </c>
      <c r="M3" t="s">
        <v>7</v>
      </c>
    </row>
    <row r="4" spans="1:16" x14ac:dyDescent="0.25">
      <c r="A4">
        <v>2</v>
      </c>
      <c r="C4" t="s">
        <v>8</v>
      </c>
      <c r="D4" s="4" t="s">
        <v>9</v>
      </c>
      <c r="E4" s="5">
        <v>761</v>
      </c>
      <c r="F4" s="5">
        <v>711</v>
      </c>
      <c r="G4" s="6">
        <f t="shared" ref="G4:G23" si="0">+F4-E4</f>
        <v>-50</v>
      </c>
      <c r="H4" s="7">
        <f t="shared" ref="H4:H23" si="1">(F4-E4)/ABS(E4)</f>
        <v>-6.5703022339027597E-2</v>
      </c>
      <c r="I4" s="8">
        <v>917.96176129779838</v>
      </c>
      <c r="J4" s="9">
        <f t="shared" ref="J4:J23" si="2">(I4*H4)+I4</f>
        <v>857.64889918887604</v>
      </c>
      <c r="K4" s="3">
        <f t="shared" ref="K4:K23" si="3">J4-I4</f>
        <v>-60.312862108922332</v>
      </c>
      <c r="L4" s="7">
        <f t="shared" ref="L4:L23" si="4">(J4-I4)/ABS(I4)</f>
        <v>-6.5703022339027556E-2</v>
      </c>
      <c r="M4" t="s">
        <v>7</v>
      </c>
      <c r="O4" s="3">
        <f>E4-'297195 - P0224'!F4</f>
        <v>0</v>
      </c>
      <c r="P4" s="30">
        <f>I4-'297195 - P0224'!J4</f>
        <v>0</v>
      </c>
    </row>
    <row r="5" spans="1:16" x14ac:dyDescent="0.25">
      <c r="A5">
        <v>3</v>
      </c>
      <c r="D5" s="4" t="s">
        <v>10</v>
      </c>
      <c r="E5" s="8">
        <v>761</v>
      </c>
      <c r="F5" s="8">
        <f>F4</f>
        <v>711</v>
      </c>
      <c r="G5" s="6">
        <f t="shared" si="0"/>
        <v>-50</v>
      </c>
      <c r="H5" s="7">
        <f t="shared" si="1"/>
        <v>-6.5703022339027597E-2</v>
      </c>
      <c r="I5" s="8">
        <v>917.96176129779838</v>
      </c>
      <c r="J5" s="9">
        <f t="shared" si="2"/>
        <v>857.64889918887604</v>
      </c>
      <c r="K5" s="3">
        <f t="shared" si="3"/>
        <v>-60.312862108922332</v>
      </c>
      <c r="L5" s="7">
        <f t="shared" si="4"/>
        <v>-6.5703022339027556E-2</v>
      </c>
      <c r="M5" t="s">
        <v>7</v>
      </c>
      <c r="O5" s="3">
        <f>E5-'297195 - P0224'!F5</f>
        <v>0</v>
      </c>
      <c r="P5" s="30">
        <f>I5-'297195 - P0224'!J5</f>
        <v>0</v>
      </c>
    </row>
    <row r="6" spans="1:16" x14ac:dyDescent="0.25">
      <c r="A6">
        <v>4</v>
      </c>
      <c r="D6" s="4" t="s">
        <v>11</v>
      </c>
      <c r="E6" s="8">
        <v>761</v>
      </c>
      <c r="F6" s="8">
        <f>F4</f>
        <v>711</v>
      </c>
      <c r="G6" s="6">
        <f t="shared" si="0"/>
        <v>-50</v>
      </c>
      <c r="H6" s="7">
        <f t="shared" si="1"/>
        <v>-6.5703022339027597E-2</v>
      </c>
      <c r="I6" s="8">
        <v>917.96176129779838</v>
      </c>
      <c r="J6" s="9">
        <f t="shared" si="2"/>
        <v>857.64889918887604</v>
      </c>
      <c r="K6" s="3">
        <f t="shared" si="3"/>
        <v>-60.312862108922332</v>
      </c>
      <c r="L6" s="7">
        <f t="shared" si="4"/>
        <v>-6.5703022339027556E-2</v>
      </c>
      <c r="M6" t="s">
        <v>7</v>
      </c>
      <c r="O6" s="3">
        <f>E6-'297195 - P0224'!F6</f>
        <v>0</v>
      </c>
      <c r="P6" s="30">
        <f>I6-'297195 - P0224'!J6</f>
        <v>0</v>
      </c>
    </row>
    <row r="7" spans="1:16" x14ac:dyDescent="0.25">
      <c r="A7">
        <v>5</v>
      </c>
      <c r="C7" t="s">
        <v>8</v>
      </c>
      <c r="D7" s="4" t="s">
        <v>12</v>
      </c>
      <c r="E7" s="5">
        <v>711</v>
      </c>
      <c r="F7" s="5">
        <v>686</v>
      </c>
      <c r="G7" s="6">
        <f t="shared" si="0"/>
        <v>-25</v>
      </c>
      <c r="H7" s="7">
        <f t="shared" si="1"/>
        <v>-3.5161744022503515E-2</v>
      </c>
      <c r="I7" s="8">
        <v>917.78836633663354</v>
      </c>
      <c r="J7" s="9">
        <f t="shared" si="2"/>
        <v>885.51732673267315</v>
      </c>
      <c r="K7" s="3">
        <f t="shared" si="3"/>
        <v>-32.271039603960389</v>
      </c>
      <c r="L7" s="7">
        <f t="shared" si="4"/>
        <v>-3.5161744022503515E-2</v>
      </c>
      <c r="M7" t="s">
        <v>7</v>
      </c>
      <c r="N7" s="27"/>
      <c r="O7" s="3">
        <f>E7-'297195 - P0224'!F7</f>
        <v>0</v>
      </c>
      <c r="P7" s="30">
        <f>I7-'297195 - P0224'!J7</f>
        <v>0</v>
      </c>
    </row>
    <row r="8" spans="1:16" x14ac:dyDescent="0.25">
      <c r="A8">
        <v>6</v>
      </c>
      <c r="D8" s="4" t="s">
        <v>13</v>
      </c>
      <c r="E8" s="8">
        <v>711</v>
      </c>
      <c r="F8" s="8">
        <f>F7</f>
        <v>686</v>
      </c>
      <c r="G8" s="6">
        <f t="shared" si="0"/>
        <v>-25</v>
      </c>
      <c r="H8" s="7">
        <f t="shared" si="1"/>
        <v>-3.5161744022503515E-2</v>
      </c>
      <c r="I8" s="8">
        <v>917.78836633663354</v>
      </c>
      <c r="J8" s="9">
        <f t="shared" si="2"/>
        <v>885.51732673267315</v>
      </c>
      <c r="K8" s="3">
        <f t="shared" si="3"/>
        <v>-32.271039603960389</v>
      </c>
      <c r="L8" s="7">
        <f t="shared" si="4"/>
        <v>-3.5161744022503515E-2</v>
      </c>
      <c r="M8" t="s">
        <v>7</v>
      </c>
      <c r="N8" s="27"/>
      <c r="O8" s="3">
        <f>E8-'297195 - P0224'!F8</f>
        <v>0</v>
      </c>
      <c r="P8" s="30">
        <f>I8-'297195 - P0224'!J8</f>
        <v>0</v>
      </c>
    </row>
    <row r="9" spans="1:16" x14ac:dyDescent="0.25">
      <c r="A9">
        <v>7</v>
      </c>
      <c r="D9" s="4" t="s">
        <v>14</v>
      </c>
      <c r="E9" s="8">
        <v>711</v>
      </c>
      <c r="F9" s="8">
        <f>F7</f>
        <v>686</v>
      </c>
      <c r="G9" s="6">
        <f t="shared" si="0"/>
        <v>-25</v>
      </c>
      <c r="H9" s="7">
        <f t="shared" si="1"/>
        <v>-3.5161744022503515E-2</v>
      </c>
      <c r="I9" s="8">
        <v>917.78836633663354</v>
      </c>
      <c r="J9" s="9">
        <f t="shared" si="2"/>
        <v>885.51732673267315</v>
      </c>
      <c r="K9" s="3">
        <f t="shared" si="3"/>
        <v>-32.271039603960389</v>
      </c>
      <c r="L9" s="7">
        <f t="shared" si="4"/>
        <v>-3.5161744022503515E-2</v>
      </c>
      <c r="M9" t="s">
        <v>7</v>
      </c>
      <c r="N9" s="27"/>
      <c r="O9" s="3">
        <f>E9-'297195 - P0224'!F9</f>
        <v>0</v>
      </c>
      <c r="P9" s="30">
        <f>I9-'297195 - P0224'!J9</f>
        <v>0</v>
      </c>
    </row>
    <row r="10" spans="1:16" x14ac:dyDescent="0.25">
      <c r="A10">
        <v>8</v>
      </c>
      <c r="C10" t="s">
        <v>8</v>
      </c>
      <c r="D10" s="4" t="s">
        <v>15</v>
      </c>
      <c r="E10" s="5">
        <v>964</v>
      </c>
      <c r="F10" s="5">
        <v>961</v>
      </c>
      <c r="G10" s="6">
        <f t="shared" si="0"/>
        <v>-3</v>
      </c>
      <c r="H10" s="7">
        <f t="shared" si="1"/>
        <v>-3.1120331950207467E-3</v>
      </c>
      <c r="I10" s="8">
        <v>1280.2880346507854</v>
      </c>
      <c r="J10" s="9">
        <f t="shared" si="2"/>
        <v>1276.3037357877643</v>
      </c>
      <c r="K10" s="3">
        <f t="shared" si="3"/>
        <v>-3.9842988630211948</v>
      </c>
      <c r="L10" s="7">
        <f t="shared" si="4"/>
        <v>-3.1120331950208083E-3</v>
      </c>
      <c r="M10" t="s">
        <v>7</v>
      </c>
      <c r="N10" s="27"/>
      <c r="O10" s="3">
        <f>E10-'297195 - P0224'!F10</f>
        <v>0</v>
      </c>
      <c r="P10" s="30">
        <f>I10-'297195 - P0224'!J10</f>
        <v>0</v>
      </c>
    </row>
    <row r="11" spans="1:16" x14ac:dyDescent="0.25">
      <c r="A11">
        <v>9</v>
      </c>
      <c r="D11" s="4" t="s">
        <v>16</v>
      </c>
      <c r="E11" s="8">
        <v>964</v>
      </c>
      <c r="F11" s="8">
        <f>F10</f>
        <v>961</v>
      </c>
      <c r="G11" s="6">
        <f t="shared" si="0"/>
        <v>-3</v>
      </c>
      <c r="H11" s="7">
        <f t="shared" si="1"/>
        <v>-3.1120331950207467E-3</v>
      </c>
      <c r="I11" s="8">
        <v>1280.2880346507854</v>
      </c>
      <c r="J11" s="9">
        <f t="shared" si="2"/>
        <v>1276.3037357877643</v>
      </c>
      <c r="K11" s="3">
        <f t="shared" si="3"/>
        <v>-3.9842988630211948</v>
      </c>
      <c r="L11" s="7">
        <f t="shared" si="4"/>
        <v>-3.1120331950208083E-3</v>
      </c>
      <c r="M11" t="s">
        <v>7</v>
      </c>
      <c r="N11" s="27"/>
      <c r="O11" s="3">
        <f>E11-'297195 - P0224'!F11</f>
        <v>0</v>
      </c>
      <c r="P11" s="30">
        <f>I11-'297195 - P0224'!J11</f>
        <v>0</v>
      </c>
    </row>
    <row r="12" spans="1:16" x14ac:dyDescent="0.25">
      <c r="A12">
        <v>10</v>
      </c>
      <c r="C12" t="s">
        <v>8</v>
      </c>
      <c r="D12" s="4" t="s">
        <v>17</v>
      </c>
      <c r="E12" s="5">
        <v>862</v>
      </c>
      <c r="F12" s="5">
        <v>858</v>
      </c>
      <c r="G12" s="6">
        <f t="shared" si="0"/>
        <v>-4</v>
      </c>
      <c r="H12" s="7">
        <f t="shared" si="1"/>
        <v>-4.6403712296983757E-3</v>
      </c>
      <c r="I12" s="8">
        <v>1028.2361863488627</v>
      </c>
      <c r="J12" s="9">
        <f t="shared" si="2"/>
        <v>1023.4647887323947</v>
      </c>
      <c r="K12" s="3">
        <f t="shared" si="3"/>
        <v>-4.7713976164679934</v>
      </c>
      <c r="L12" s="7">
        <f t="shared" si="4"/>
        <v>-4.6403712296983306E-3</v>
      </c>
      <c r="M12" t="s">
        <v>7</v>
      </c>
      <c r="N12" s="27"/>
      <c r="O12" s="3">
        <f>E12-'297195 - P0224'!F12</f>
        <v>0</v>
      </c>
      <c r="P12" s="30">
        <f>I12-'297195 - P0224'!J12</f>
        <v>0</v>
      </c>
    </row>
    <row r="13" spans="1:16" x14ac:dyDescent="0.25">
      <c r="A13">
        <v>11</v>
      </c>
      <c r="D13" s="4" t="s">
        <v>18</v>
      </c>
      <c r="E13" s="8">
        <v>862</v>
      </c>
      <c r="F13" s="8">
        <f>F12</f>
        <v>858</v>
      </c>
      <c r="G13" s="6">
        <f t="shared" si="0"/>
        <v>-4</v>
      </c>
      <c r="H13" s="7">
        <f t="shared" si="1"/>
        <v>-4.6403712296983757E-3</v>
      </c>
      <c r="I13" s="8">
        <v>1028.2361863488627</v>
      </c>
      <c r="J13" s="9">
        <f t="shared" si="2"/>
        <v>1023.4647887323947</v>
      </c>
      <c r="K13" s="3">
        <f t="shared" si="3"/>
        <v>-4.7713976164679934</v>
      </c>
      <c r="L13" s="7">
        <f t="shared" si="4"/>
        <v>-4.6403712296983306E-3</v>
      </c>
      <c r="M13" t="s">
        <v>7</v>
      </c>
      <c r="N13" s="27"/>
      <c r="O13" s="3">
        <f>E13-'297195 - P0224'!F13</f>
        <v>0</v>
      </c>
      <c r="P13" s="30">
        <f>I13-'297195 - P0224'!J13</f>
        <v>0</v>
      </c>
    </row>
    <row r="14" spans="1:16" x14ac:dyDescent="0.25">
      <c r="A14">
        <v>12</v>
      </c>
      <c r="D14" s="4" t="s">
        <v>19</v>
      </c>
      <c r="E14" s="5">
        <v>866</v>
      </c>
      <c r="F14" s="5">
        <v>871</v>
      </c>
      <c r="G14" s="6">
        <f t="shared" si="0"/>
        <v>5</v>
      </c>
      <c r="H14" s="7">
        <f t="shared" si="1"/>
        <v>5.7736720554272519E-3</v>
      </c>
      <c r="I14" s="8">
        <v>1113.1793149764942</v>
      </c>
      <c r="J14" s="9">
        <f t="shared" si="2"/>
        <v>1119.6064472800535</v>
      </c>
      <c r="K14" s="3">
        <f t="shared" si="3"/>
        <v>6.4271323035593468</v>
      </c>
      <c r="L14" s="7">
        <f t="shared" si="4"/>
        <v>5.7736720554271721E-3</v>
      </c>
      <c r="M14" t="s">
        <v>7</v>
      </c>
      <c r="N14" s="27"/>
      <c r="O14" s="3">
        <f>E14-'297195 - P0224'!F14</f>
        <v>0</v>
      </c>
      <c r="P14" s="30">
        <f>I14-'297195 - P0224'!J14</f>
        <v>0</v>
      </c>
    </row>
    <row r="15" spans="1:16" x14ac:dyDescent="0.25">
      <c r="A15">
        <v>13</v>
      </c>
      <c r="D15" s="4" t="s">
        <v>20</v>
      </c>
      <c r="E15" s="8">
        <v>866</v>
      </c>
      <c r="F15" s="8">
        <f>F14</f>
        <v>871</v>
      </c>
      <c r="G15" s="6">
        <f t="shared" si="0"/>
        <v>5</v>
      </c>
      <c r="H15" s="7">
        <f t="shared" si="1"/>
        <v>5.7736720554272519E-3</v>
      </c>
      <c r="I15" s="8">
        <v>1113.1793149764942</v>
      </c>
      <c r="J15" s="9">
        <f t="shared" si="2"/>
        <v>1119.6064472800535</v>
      </c>
      <c r="K15" s="3">
        <f t="shared" si="3"/>
        <v>6.4271323035593468</v>
      </c>
      <c r="L15" s="7">
        <f t="shared" si="4"/>
        <v>5.7736720554271721E-3</v>
      </c>
      <c r="M15" t="s">
        <v>7</v>
      </c>
      <c r="N15" s="27"/>
      <c r="O15" s="3">
        <f>E15-'297195 - P0224'!F15</f>
        <v>0</v>
      </c>
      <c r="P15" s="30">
        <f>I15-'297195 - P0224'!J15</f>
        <v>0</v>
      </c>
    </row>
    <row r="16" spans="1:16" x14ac:dyDescent="0.25">
      <c r="A16">
        <v>14</v>
      </c>
      <c r="C16" t="s">
        <v>8</v>
      </c>
      <c r="D16" s="4" t="s">
        <v>21</v>
      </c>
      <c r="E16" s="5">
        <v>878</v>
      </c>
      <c r="F16" s="5">
        <v>862</v>
      </c>
      <c r="G16" s="6">
        <f t="shared" si="0"/>
        <v>-16</v>
      </c>
      <c r="H16" s="7">
        <f t="shared" si="1"/>
        <v>-1.8223234624145785E-2</v>
      </c>
      <c r="I16" s="8">
        <v>1236.752688172043</v>
      </c>
      <c r="J16" s="9">
        <f t="shared" si="2"/>
        <v>1214.2150537634409</v>
      </c>
      <c r="K16" s="3">
        <f t="shared" si="3"/>
        <v>-22.537634408602116</v>
      </c>
      <c r="L16" s="7">
        <f t="shared" si="4"/>
        <v>-1.8223234624145757E-2</v>
      </c>
      <c r="M16" t="s">
        <v>7</v>
      </c>
      <c r="N16" s="27"/>
      <c r="O16" s="3">
        <f>E16-'297195 - P0224'!F16</f>
        <v>0</v>
      </c>
      <c r="P16" s="30">
        <f>I16-'297195 - P0224'!J16</f>
        <v>0</v>
      </c>
    </row>
    <row r="17" spans="1:16" x14ac:dyDescent="0.25">
      <c r="A17">
        <v>15</v>
      </c>
      <c r="D17" s="4" t="s">
        <v>22</v>
      </c>
      <c r="E17" s="8">
        <v>878</v>
      </c>
      <c r="F17" s="8">
        <f>F16</f>
        <v>862</v>
      </c>
      <c r="G17" s="6">
        <f t="shared" si="0"/>
        <v>-16</v>
      </c>
      <c r="H17" s="7">
        <f t="shared" si="1"/>
        <v>-1.8223234624145785E-2</v>
      </c>
      <c r="I17" s="8">
        <v>1236.752688172043</v>
      </c>
      <c r="J17" s="9">
        <f t="shared" si="2"/>
        <v>1214.2150537634409</v>
      </c>
      <c r="K17" s="3">
        <f t="shared" si="3"/>
        <v>-22.537634408602116</v>
      </c>
      <c r="L17" s="7">
        <f t="shared" si="4"/>
        <v>-1.8223234624145757E-2</v>
      </c>
      <c r="M17" t="s">
        <v>7</v>
      </c>
      <c r="N17" s="27"/>
      <c r="O17" s="3">
        <f>E17-'297195 - P0224'!F17</f>
        <v>0</v>
      </c>
      <c r="P17" s="30">
        <f>I17-'297195 - P0224'!J17</f>
        <v>0</v>
      </c>
    </row>
    <row r="18" spans="1:16" x14ac:dyDescent="0.25">
      <c r="A18">
        <v>16</v>
      </c>
      <c r="C18" t="s">
        <v>8</v>
      </c>
      <c r="D18" s="4" t="s">
        <v>23</v>
      </c>
      <c r="E18" s="5">
        <v>1079</v>
      </c>
      <c r="F18" s="5">
        <v>1122</v>
      </c>
      <c r="G18" s="6">
        <f t="shared" si="0"/>
        <v>43</v>
      </c>
      <c r="H18" s="7">
        <f t="shared" si="1"/>
        <v>3.9851714550509731E-2</v>
      </c>
      <c r="I18" s="8">
        <v>1499.5595991561177</v>
      </c>
      <c r="J18" s="9">
        <f t="shared" si="2"/>
        <v>1559.319620253164</v>
      </c>
      <c r="K18" s="3">
        <f t="shared" si="3"/>
        <v>59.760021097046319</v>
      </c>
      <c r="L18" s="7">
        <f t="shared" si="4"/>
        <v>3.9851714550509683E-2</v>
      </c>
      <c r="M18" t="s">
        <v>7</v>
      </c>
      <c r="N18" s="27"/>
      <c r="O18" s="3">
        <f>E18-'297195 - P0224'!F18</f>
        <v>0</v>
      </c>
      <c r="P18" s="30">
        <f>I18-'297195 - P0224'!J18</f>
        <v>0</v>
      </c>
    </row>
    <row r="19" spans="1:16" x14ac:dyDescent="0.25">
      <c r="A19">
        <v>17</v>
      </c>
      <c r="D19" s="4" t="s">
        <v>24</v>
      </c>
      <c r="E19" s="8">
        <v>1079</v>
      </c>
      <c r="F19" s="8">
        <f>F18</f>
        <v>1122</v>
      </c>
      <c r="G19" s="6">
        <f t="shared" si="0"/>
        <v>43</v>
      </c>
      <c r="H19" s="7">
        <f t="shared" si="1"/>
        <v>3.9851714550509731E-2</v>
      </c>
      <c r="I19" s="8">
        <v>1499.5595991561177</v>
      </c>
      <c r="J19" s="9">
        <f t="shared" si="2"/>
        <v>1559.319620253164</v>
      </c>
      <c r="K19" s="3">
        <f t="shared" si="3"/>
        <v>59.760021097046319</v>
      </c>
      <c r="L19" s="7">
        <f t="shared" si="4"/>
        <v>3.9851714550509683E-2</v>
      </c>
      <c r="M19" t="s">
        <v>7</v>
      </c>
      <c r="N19" s="27"/>
      <c r="O19" s="3">
        <f>E19-'297195 - P0224'!F19</f>
        <v>0</v>
      </c>
      <c r="P19" s="30">
        <f>I19-'297195 - P0224'!J19</f>
        <v>0</v>
      </c>
    </row>
    <row r="20" spans="1:16" x14ac:dyDescent="0.25">
      <c r="A20">
        <v>18</v>
      </c>
      <c r="C20" t="s">
        <v>8</v>
      </c>
      <c r="D20" s="4" t="s">
        <v>25</v>
      </c>
      <c r="E20" s="5">
        <v>51.48</v>
      </c>
      <c r="F20" s="5">
        <v>52.88</v>
      </c>
      <c r="G20" s="6">
        <f t="shared" si="0"/>
        <v>1.4000000000000057</v>
      </c>
      <c r="H20" s="7">
        <f t="shared" si="1"/>
        <v>2.7195027195027307E-2</v>
      </c>
      <c r="I20" s="8">
        <v>2585.4764408866999</v>
      </c>
      <c r="J20" s="9">
        <f t="shared" si="2"/>
        <v>2655.7885430087163</v>
      </c>
      <c r="K20" s="3">
        <f t="shared" si="3"/>
        <v>70.312102122016313</v>
      </c>
      <c r="L20" s="7">
        <f t="shared" si="4"/>
        <v>2.7195027195027345E-2</v>
      </c>
      <c r="M20" t="s">
        <v>7</v>
      </c>
      <c r="N20" s="27"/>
      <c r="O20" s="3">
        <f>E20-'297195 - P0224'!F20</f>
        <v>0</v>
      </c>
      <c r="P20" s="30">
        <f>I20-'297195 - P0224'!J20</f>
        <v>0</v>
      </c>
    </row>
    <row r="21" spans="1:16" x14ac:dyDescent="0.25">
      <c r="A21">
        <v>19</v>
      </c>
      <c r="C21" t="s">
        <v>8</v>
      </c>
      <c r="D21" s="4" t="s">
        <v>26</v>
      </c>
      <c r="E21" s="5">
        <v>15.07</v>
      </c>
      <c r="F21" s="5">
        <v>15.33</v>
      </c>
      <c r="G21" s="6">
        <f t="shared" si="0"/>
        <v>0.25999999999999979</v>
      </c>
      <c r="H21" s="7">
        <f t="shared" si="1"/>
        <v>1.7252820172528188E-2</v>
      </c>
      <c r="I21" s="8">
        <v>34.218057468646201</v>
      </c>
      <c r="J21" s="9">
        <f t="shared" si="2"/>
        <v>34.808415460805989</v>
      </c>
      <c r="K21" s="3">
        <f t="shared" si="3"/>
        <v>0.59035799215978813</v>
      </c>
      <c r="L21" s="7">
        <f t="shared" si="4"/>
        <v>1.7252820172528192E-2</v>
      </c>
      <c r="M21" t="s">
        <v>7</v>
      </c>
      <c r="O21" s="3">
        <f>E21-'297195 - P0224'!F21</f>
        <v>0</v>
      </c>
      <c r="P21" s="30">
        <f>I21-'297195 - P0224'!J21</f>
        <v>0</v>
      </c>
    </row>
    <row r="22" spans="1:16" x14ac:dyDescent="0.25">
      <c r="A22">
        <v>20</v>
      </c>
      <c r="C22" t="s">
        <v>8</v>
      </c>
      <c r="D22" s="4" t="s">
        <v>27</v>
      </c>
      <c r="E22" s="5">
        <v>1390</v>
      </c>
      <c r="F22" s="5">
        <v>1410</v>
      </c>
      <c r="G22" s="6">
        <f t="shared" si="0"/>
        <v>20</v>
      </c>
      <c r="H22" s="7">
        <f t="shared" si="1"/>
        <v>1.4388489208633094E-2</v>
      </c>
      <c r="I22" s="8">
        <v>1984.805491990847</v>
      </c>
      <c r="J22" s="9">
        <f t="shared" si="2"/>
        <v>2013.3638443935931</v>
      </c>
      <c r="K22" s="3">
        <f t="shared" si="3"/>
        <v>28.558352402746095</v>
      </c>
      <c r="L22" s="7">
        <f t="shared" si="4"/>
        <v>1.4388489208633141E-2</v>
      </c>
      <c r="M22" t="s">
        <v>7</v>
      </c>
      <c r="N22" s="27"/>
      <c r="O22" s="3">
        <f>E22-'297195 - P0224'!F22</f>
        <v>0</v>
      </c>
      <c r="P22" s="30">
        <f>I22-'297195 - P0224'!J22</f>
        <v>0</v>
      </c>
    </row>
    <row r="23" spans="1:16" x14ac:dyDescent="0.25">
      <c r="A23">
        <v>21</v>
      </c>
      <c r="D23" s="4" t="s">
        <v>28</v>
      </c>
      <c r="E23" s="8">
        <v>1390</v>
      </c>
      <c r="F23" s="8">
        <f>F22</f>
        <v>1410</v>
      </c>
      <c r="G23" s="6">
        <f t="shared" si="0"/>
        <v>20</v>
      </c>
      <c r="H23" s="7">
        <f t="shared" si="1"/>
        <v>1.4388489208633094E-2</v>
      </c>
      <c r="I23" s="8">
        <v>1984.805491990847</v>
      </c>
      <c r="J23" s="9">
        <f t="shared" si="2"/>
        <v>2013.3638443935931</v>
      </c>
      <c r="K23" s="3">
        <f t="shared" si="3"/>
        <v>28.558352402746095</v>
      </c>
      <c r="L23" s="7">
        <f t="shared" si="4"/>
        <v>1.4388489208633141E-2</v>
      </c>
      <c r="M23" t="s">
        <v>7</v>
      </c>
      <c r="N23" s="27"/>
      <c r="O23" s="3">
        <f>E23-'297195 - P0224'!F23</f>
        <v>0</v>
      </c>
      <c r="P23" s="30">
        <f>I23-'297195 - P0224'!J23</f>
        <v>0</v>
      </c>
    </row>
    <row r="24" spans="1:16" x14ac:dyDescent="0.25">
      <c r="A24">
        <v>22</v>
      </c>
      <c r="D24" s="2" t="s">
        <v>29</v>
      </c>
      <c r="H24" s="10">
        <f>AVERAGE(H4:H23)</f>
        <v>-9.5034989092813785E-3</v>
      </c>
      <c r="L24" s="10">
        <f>AVERAGE(L4:L23)</f>
        <v>-9.503498909281375E-3</v>
      </c>
    </row>
    <row r="25" spans="1:16" x14ac:dyDescent="0.25">
      <c r="A25">
        <v>23</v>
      </c>
      <c r="D25" s="2" t="s">
        <v>30</v>
      </c>
      <c r="M25" t="s">
        <v>7</v>
      </c>
    </row>
    <row r="26" spans="1:16" x14ac:dyDescent="0.25">
      <c r="A26">
        <v>24</v>
      </c>
      <c r="D26" s="4" t="s">
        <v>31</v>
      </c>
      <c r="E26" s="5">
        <v>491</v>
      </c>
      <c r="F26" s="5">
        <v>486</v>
      </c>
      <c r="G26" s="6">
        <f t="shared" ref="G26:G31" si="5">+F26-E26</f>
        <v>-5</v>
      </c>
      <c r="H26" s="7">
        <f t="shared" ref="H26:H31" si="6">(F26-E26)/ABS(E26)</f>
        <v>-1.0183299389002037E-2</v>
      </c>
      <c r="I26" s="8">
        <v>816.28749999999991</v>
      </c>
      <c r="J26" s="25">
        <v>636</v>
      </c>
      <c r="K26" s="3">
        <f t="shared" ref="K26:K31" si="7">J26-I26</f>
        <v>-180.28749999999991</v>
      </c>
      <c r="L26" s="7">
        <f t="shared" ref="L26:L31" si="8">(J26-I26)/ABS(I26)</f>
        <v>-0.22086274750011475</v>
      </c>
      <c r="M26" t="s">
        <v>7</v>
      </c>
      <c r="O26" s="3">
        <f>E26-'297195 - P0224'!F26</f>
        <v>0</v>
      </c>
      <c r="P26" s="30">
        <f>I26-'297195 - P0224'!J26</f>
        <v>0</v>
      </c>
    </row>
    <row r="27" spans="1:16" x14ac:dyDescent="0.25">
      <c r="A27">
        <v>25</v>
      </c>
      <c r="D27" s="4" t="s">
        <v>32</v>
      </c>
      <c r="E27" s="5">
        <v>556</v>
      </c>
      <c r="F27" s="5">
        <v>561</v>
      </c>
      <c r="G27" s="6">
        <f t="shared" si="5"/>
        <v>5</v>
      </c>
      <c r="H27" s="7">
        <f t="shared" si="6"/>
        <v>8.9928057553956831E-3</v>
      </c>
      <c r="I27" s="8">
        <v>729.38421052631554</v>
      </c>
      <c r="J27" s="25">
        <v>674</v>
      </c>
      <c r="K27" s="3">
        <f t="shared" si="7"/>
        <v>-55.384210526315542</v>
      </c>
      <c r="L27" s="7">
        <f t="shared" si="8"/>
        <v>-7.5932834474646646E-2</v>
      </c>
      <c r="M27" t="s">
        <v>7</v>
      </c>
      <c r="O27" s="3">
        <f>E27-'297195 - P0224'!F27</f>
        <v>0</v>
      </c>
      <c r="P27" s="30">
        <f>I27-'297195 - P0224'!J27</f>
        <v>0</v>
      </c>
    </row>
    <row r="28" spans="1:16" x14ac:dyDescent="0.25">
      <c r="A28">
        <v>26</v>
      </c>
      <c r="D28" s="4" t="s">
        <v>33</v>
      </c>
      <c r="E28" s="5">
        <v>556</v>
      </c>
      <c r="F28" s="5">
        <v>561</v>
      </c>
      <c r="G28" s="6">
        <f t="shared" si="5"/>
        <v>5</v>
      </c>
      <c r="H28" s="7">
        <f t="shared" si="6"/>
        <v>8.9928057553956831E-3</v>
      </c>
      <c r="I28" s="8">
        <v>662.07894736842104</v>
      </c>
      <c r="J28" s="25">
        <v>633</v>
      </c>
      <c r="K28" s="3">
        <f t="shared" si="7"/>
        <v>-29.078947368421041</v>
      </c>
      <c r="L28" s="7">
        <f t="shared" si="8"/>
        <v>-4.3920664573313707E-2</v>
      </c>
      <c r="M28" t="s">
        <v>7</v>
      </c>
      <c r="O28" s="3">
        <f>E28-'297195 - P0224'!F28</f>
        <v>0</v>
      </c>
      <c r="P28" s="30">
        <f>I28-'297195 - P0224'!J28</f>
        <v>0</v>
      </c>
    </row>
    <row r="29" spans="1:16" x14ac:dyDescent="0.25">
      <c r="A29">
        <v>27</v>
      </c>
      <c r="D29" s="4" t="s">
        <v>34</v>
      </c>
      <c r="E29" s="5">
        <v>461</v>
      </c>
      <c r="F29" s="5">
        <v>456</v>
      </c>
      <c r="G29" s="6">
        <f t="shared" si="5"/>
        <v>-5</v>
      </c>
      <c r="H29" s="7">
        <f t="shared" si="6"/>
        <v>-1.0845986984815618E-2</v>
      </c>
      <c r="I29" s="8">
        <v>607.36750000000006</v>
      </c>
      <c r="J29" s="25">
        <v>550</v>
      </c>
      <c r="K29" s="3">
        <f t="shared" si="7"/>
        <v>-57.367500000000064</v>
      </c>
      <c r="L29" s="7">
        <f t="shared" si="8"/>
        <v>-9.4452699559986433E-2</v>
      </c>
      <c r="M29" t="s">
        <v>7</v>
      </c>
      <c r="O29" s="3">
        <f>E29-'297195 - P0224'!F29</f>
        <v>0</v>
      </c>
      <c r="P29" s="30">
        <f>I29-'297195 - P0224'!J29</f>
        <v>0</v>
      </c>
    </row>
    <row r="30" spans="1:16" x14ac:dyDescent="0.25">
      <c r="A30">
        <v>28</v>
      </c>
      <c r="D30" s="4" t="s">
        <v>35</v>
      </c>
      <c r="E30" s="5">
        <v>561</v>
      </c>
      <c r="F30" s="5">
        <v>566</v>
      </c>
      <c r="G30" s="6">
        <f t="shared" si="5"/>
        <v>5</v>
      </c>
      <c r="H30" s="7">
        <f t="shared" si="6"/>
        <v>8.9126559714795012E-3</v>
      </c>
      <c r="I30" s="8">
        <v>709.18867924528308</v>
      </c>
      <c r="J30" s="25">
        <v>669</v>
      </c>
      <c r="K30" s="3">
        <f t="shared" si="7"/>
        <v>-40.188679245283083</v>
      </c>
      <c r="L30" s="7">
        <f t="shared" si="8"/>
        <v>-5.6668529012690642E-2</v>
      </c>
      <c r="M30" t="s">
        <v>7</v>
      </c>
      <c r="O30" s="3">
        <f>E30-'297195 - P0224'!F30</f>
        <v>0</v>
      </c>
      <c r="P30" s="30">
        <f>I30-'297195 - P0224'!J30</f>
        <v>0</v>
      </c>
    </row>
    <row r="31" spans="1:16" x14ac:dyDescent="0.25">
      <c r="A31">
        <v>29</v>
      </c>
      <c r="D31" s="4" t="s">
        <v>36</v>
      </c>
      <c r="E31" s="5">
        <v>561</v>
      </c>
      <c r="F31" s="5">
        <v>566</v>
      </c>
      <c r="G31" s="6">
        <f t="shared" si="5"/>
        <v>5</v>
      </c>
      <c r="H31" s="7">
        <f t="shared" si="6"/>
        <v>8.9126559714795012E-3</v>
      </c>
      <c r="I31" s="8">
        <v>681.66792452830202</v>
      </c>
      <c r="J31" s="25">
        <v>632</v>
      </c>
      <c r="K31" s="3">
        <f t="shared" si="7"/>
        <v>-49.667924528302024</v>
      </c>
      <c r="L31" s="7">
        <f t="shared" si="8"/>
        <v>-7.2862346519635704E-2</v>
      </c>
      <c r="M31" t="s">
        <v>7</v>
      </c>
      <c r="O31" s="3">
        <f>E31-'297195 - P0224'!F31</f>
        <v>0</v>
      </c>
      <c r="P31" s="30">
        <f>I31-'297195 - P0224'!J31</f>
        <v>0</v>
      </c>
    </row>
    <row r="32" spans="1:16" x14ac:dyDescent="0.25">
      <c r="A32">
        <v>30</v>
      </c>
      <c r="D32" s="2" t="s">
        <v>37</v>
      </c>
      <c r="H32" s="10">
        <f>AVERAGE(H26:H31)</f>
        <v>2.4636061799887857E-3</v>
      </c>
      <c r="L32" s="10">
        <f>AVERAGE(L26:L31)</f>
        <v>-9.4116636940064655E-2</v>
      </c>
    </row>
    <row r="33" spans="1:16" x14ac:dyDescent="0.25">
      <c r="A33">
        <v>31</v>
      </c>
      <c r="D33" s="2" t="s">
        <v>38</v>
      </c>
      <c r="M33" t="s">
        <v>7</v>
      </c>
    </row>
    <row r="34" spans="1:16" x14ac:dyDescent="0.25">
      <c r="A34">
        <v>32</v>
      </c>
      <c r="D34" s="4" t="s">
        <v>39</v>
      </c>
      <c r="E34" s="5">
        <v>600</v>
      </c>
      <c r="F34" s="5">
        <v>605</v>
      </c>
      <c r="G34" s="6">
        <f t="shared" ref="G34:G62" si="9">+F34-E34</f>
        <v>5</v>
      </c>
      <c r="H34" s="7">
        <f t="shared" ref="H34:H62" si="10">(F34-E34)/ABS(E34)</f>
        <v>8.3333333333333332E-3</v>
      </c>
      <c r="I34" s="8">
        <v>682.24137931034466</v>
      </c>
      <c r="J34" s="9">
        <f t="shared" ref="J34:J62" si="11">(I34*H34)+I34</f>
        <v>687.92672413793082</v>
      </c>
      <c r="K34" s="3">
        <f t="shared" ref="K34:K62" si="12">J34-I34</f>
        <v>5.6853448275861638</v>
      </c>
      <c r="L34" s="7">
        <f t="shared" ref="L34:L62" si="13">(J34-I34)/ABS(I34)</f>
        <v>8.3333333333332725E-3</v>
      </c>
      <c r="M34" t="s">
        <v>7</v>
      </c>
      <c r="O34" s="3">
        <f>E34-'297195 - P0224'!F34</f>
        <v>0</v>
      </c>
      <c r="P34" s="30">
        <f>I34-'297195 - P0224'!J34</f>
        <v>0</v>
      </c>
    </row>
    <row r="35" spans="1:16" x14ac:dyDescent="0.25">
      <c r="A35">
        <v>33</v>
      </c>
      <c r="D35" s="4" t="s">
        <v>40</v>
      </c>
      <c r="E35" s="8">
        <v>600</v>
      </c>
      <c r="F35" s="8">
        <f>F34</f>
        <v>605</v>
      </c>
      <c r="G35" s="6">
        <f t="shared" si="9"/>
        <v>5</v>
      </c>
      <c r="H35" s="7">
        <f t="shared" si="10"/>
        <v>8.3333333333333332E-3</v>
      </c>
      <c r="I35" s="8">
        <v>682.24137931034488</v>
      </c>
      <c r="J35" s="9">
        <f t="shared" si="11"/>
        <v>687.92672413793105</v>
      </c>
      <c r="K35" s="3">
        <f t="shared" si="12"/>
        <v>5.6853448275861638</v>
      </c>
      <c r="L35" s="7">
        <f t="shared" si="13"/>
        <v>8.333333333333269E-3</v>
      </c>
      <c r="M35" t="s">
        <v>7</v>
      </c>
      <c r="O35" s="3">
        <f>E35-'297195 - P0224'!F35</f>
        <v>0</v>
      </c>
      <c r="P35" s="30">
        <f>I35-'297195 - P0224'!J35</f>
        <v>0</v>
      </c>
    </row>
    <row r="36" spans="1:16" x14ac:dyDescent="0.25">
      <c r="A36">
        <v>34</v>
      </c>
      <c r="D36" s="4" t="s">
        <v>41</v>
      </c>
      <c r="E36" s="8">
        <v>600</v>
      </c>
      <c r="F36" s="8">
        <f>F34</f>
        <v>605</v>
      </c>
      <c r="G36" s="6">
        <f t="shared" si="9"/>
        <v>5</v>
      </c>
      <c r="H36" s="7">
        <f t="shared" si="10"/>
        <v>8.3333333333333332E-3</v>
      </c>
      <c r="I36" s="8">
        <v>682.24137931034488</v>
      </c>
      <c r="J36" s="9">
        <f t="shared" si="11"/>
        <v>687.92672413793105</v>
      </c>
      <c r="K36" s="3">
        <f t="shared" si="12"/>
        <v>5.6853448275861638</v>
      </c>
      <c r="L36" s="7">
        <f t="shared" si="13"/>
        <v>8.333333333333269E-3</v>
      </c>
      <c r="M36" t="s">
        <v>7</v>
      </c>
      <c r="O36" s="3">
        <f>E36-'297195 - P0224'!F36</f>
        <v>0</v>
      </c>
      <c r="P36" s="30">
        <f>I36-'297195 - P0224'!J36</f>
        <v>0</v>
      </c>
    </row>
    <row r="37" spans="1:16" x14ac:dyDescent="0.25">
      <c r="A37">
        <v>35</v>
      </c>
      <c r="D37" s="4" t="s">
        <v>42</v>
      </c>
      <c r="E37" s="8">
        <v>600</v>
      </c>
      <c r="F37" s="8">
        <f>F34</f>
        <v>605</v>
      </c>
      <c r="G37" s="6">
        <f t="shared" si="9"/>
        <v>5</v>
      </c>
      <c r="H37" s="7">
        <f t="shared" si="10"/>
        <v>8.3333333333333332E-3</v>
      </c>
      <c r="I37" s="8">
        <v>682.24137931034488</v>
      </c>
      <c r="J37" s="9">
        <f t="shared" si="11"/>
        <v>687.92672413793105</v>
      </c>
      <c r="K37" s="3">
        <f t="shared" si="12"/>
        <v>5.6853448275861638</v>
      </c>
      <c r="L37" s="7">
        <f t="shared" si="13"/>
        <v>8.333333333333269E-3</v>
      </c>
      <c r="M37" t="s">
        <v>7</v>
      </c>
      <c r="O37" s="3">
        <f>E37-'297195 - P0224'!F37</f>
        <v>0</v>
      </c>
      <c r="P37" s="30">
        <f>I37-'297195 - P0224'!J37</f>
        <v>0</v>
      </c>
    </row>
    <row r="38" spans="1:16" x14ac:dyDescent="0.25">
      <c r="A38">
        <v>36</v>
      </c>
      <c r="D38" s="4" t="s">
        <v>43</v>
      </c>
      <c r="E38" s="8">
        <v>600</v>
      </c>
      <c r="F38" s="8">
        <f>F34</f>
        <v>605</v>
      </c>
      <c r="G38" s="6">
        <f t="shared" si="9"/>
        <v>5</v>
      </c>
      <c r="H38" s="7">
        <f t="shared" si="10"/>
        <v>8.3333333333333332E-3</v>
      </c>
      <c r="I38" s="8">
        <v>682.24137931034488</v>
      </c>
      <c r="J38" s="9">
        <f t="shared" si="11"/>
        <v>687.92672413793105</v>
      </c>
      <c r="K38" s="3">
        <f t="shared" si="12"/>
        <v>5.6853448275861638</v>
      </c>
      <c r="L38" s="7">
        <f t="shared" si="13"/>
        <v>8.333333333333269E-3</v>
      </c>
      <c r="M38" t="s">
        <v>7</v>
      </c>
      <c r="O38" s="3">
        <f>E38-'297195 - P0224'!F38</f>
        <v>0</v>
      </c>
      <c r="P38" s="30">
        <f>I38-'297195 - P0224'!J38</f>
        <v>0</v>
      </c>
    </row>
    <row r="39" spans="1:16" x14ac:dyDescent="0.25">
      <c r="A39">
        <v>37</v>
      </c>
      <c r="D39" s="4" t="s">
        <v>44</v>
      </c>
      <c r="E39" s="8">
        <v>600</v>
      </c>
      <c r="F39" s="8">
        <f>F34</f>
        <v>605</v>
      </c>
      <c r="G39" s="6">
        <f t="shared" si="9"/>
        <v>5</v>
      </c>
      <c r="H39" s="7">
        <f t="shared" si="10"/>
        <v>8.3333333333333332E-3</v>
      </c>
      <c r="I39" s="8">
        <v>682.24137931034488</v>
      </c>
      <c r="J39" s="9">
        <f t="shared" si="11"/>
        <v>687.92672413793105</v>
      </c>
      <c r="K39" s="3">
        <f t="shared" si="12"/>
        <v>5.6853448275861638</v>
      </c>
      <c r="L39" s="7">
        <f t="shared" si="13"/>
        <v>8.333333333333269E-3</v>
      </c>
      <c r="M39" t="s">
        <v>7</v>
      </c>
      <c r="O39" s="3">
        <f>E39-'297195 - P0224'!F39</f>
        <v>0</v>
      </c>
      <c r="P39" s="30">
        <f>I39-'297195 - P0224'!J39</f>
        <v>0</v>
      </c>
    </row>
    <row r="40" spans="1:16" x14ac:dyDescent="0.25">
      <c r="A40">
        <v>38</v>
      </c>
      <c r="D40" s="4" t="s">
        <v>45</v>
      </c>
      <c r="E40" s="8">
        <v>600</v>
      </c>
      <c r="F40" s="8">
        <f>F34</f>
        <v>605</v>
      </c>
      <c r="G40" s="6">
        <f t="shared" si="9"/>
        <v>5</v>
      </c>
      <c r="H40" s="7">
        <f t="shared" si="10"/>
        <v>8.3333333333333332E-3</v>
      </c>
      <c r="I40" s="8">
        <v>682.24137931034488</v>
      </c>
      <c r="J40" s="9">
        <f t="shared" si="11"/>
        <v>687.92672413793105</v>
      </c>
      <c r="K40" s="3">
        <f t="shared" si="12"/>
        <v>5.6853448275861638</v>
      </c>
      <c r="L40" s="7">
        <f t="shared" si="13"/>
        <v>8.333333333333269E-3</v>
      </c>
      <c r="M40" t="s">
        <v>7</v>
      </c>
      <c r="O40" s="3">
        <f>E40-'297195 - P0224'!F40</f>
        <v>0</v>
      </c>
      <c r="P40" s="30">
        <f>I40-'297195 - P0224'!J40</f>
        <v>0</v>
      </c>
    </row>
    <row r="41" spans="1:16" x14ac:dyDescent="0.25">
      <c r="A41">
        <v>39</v>
      </c>
      <c r="D41" s="4" t="s">
        <v>46</v>
      </c>
      <c r="E41" s="8">
        <v>600</v>
      </c>
      <c r="F41" s="8">
        <f>F35</f>
        <v>605</v>
      </c>
      <c r="G41" s="6">
        <f t="shared" si="9"/>
        <v>5</v>
      </c>
      <c r="H41" s="7">
        <f t="shared" si="10"/>
        <v>8.3333333333333332E-3</v>
      </c>
      <c r="I41" s="8">
        <v>682.24137931034488</v>
      </c>
      <c r="J41" s="9">
        <f t="shared" si="11"/>
        <v>687.92672413793105</v>
      </c>
      <c r="K41" s="3">
        <f t="shared" si="12"/>
        <v>5.6853448275861638</v>
      </c>
      <c r="L41" s="7">
        <f t="shared" si="13"/>
        <v>8.333333333333269E-3</v>
      </c>
      <c r="M41" t="s">
        <v>7</v>
      </c>
      <c r="O41" s="3">
        <f>E41-'297195 - P0224'!F41</f>
        <v>0</v>
      </c>
      <c r="P41" s="30">
        <f>I41-'297195 - P0224'!J41</f>
        <v>0</v>
      </c>
    </row>
    <row r="42" spans="1:16" x14ac:dyDescent="0.25">
      <c r="A42">
        <v>40</v>
      </c>
      <c r="D42" s="4" t="s">
        <v>47</v>
      </c>
      <c r="E42" s="5">
        <v>575</v>
      </c>
      <c r="F42" s="5">
        <v>580</v>
      </c>
      <c r="G42" s="6">
        <f t="shared" si="9"/>
        <v>5</v>
      </c>
      <c r="H42" s="7">
        <f t="shared" si="10"/>
        <v>8.6956521739130436E-3</v>
      </c>
      <c r="I42" s="8">
        <v>655.72115384615404</v>
      </c>
      <c r="J42" s="9">
        <f t="shared" si="11"/>
        <v>661.42307692307713</v>
      </c>
      <c r="K42" s="3">
        <f t="shared" si="12"/>
        <v>5.7019230769230944</v>
      </c>
      <c r="L42" s="7">
        <f t="shared" si="13"/>
        <v>8.6956521739130679E-3</v>
      </c>
      <c r="M42" t="s">
        <v>7</v>
      </c>
      <c r="O42" s="3">
        <f>E42-'297195 - P0224'!F42</f>
        <v>0</v>
      </c>
      <c r="P42" s="30">
        <f>I42-'297195 - P0224'!J42</f>
        <v>0</v>
      </c>
    </row>
    <row r="43" spans="1:16" x14ac:dyDescent="0.25">
      <c r="A43">
        <v>41</v>
      </c>
      <c r="D43" s="4" t="s">
        <v>48</v>
      </c>
      <c r="E43" s="8">
        <v>575</v>
      </c>
      <c r="F43" s="8">
        <f>F42</f>
        <v>580</v>
      </c>
      <c r="G43" s="6">
        <f t="shared" si="9"/>
        <v>5</v>
      </c>
      <c r="H43" s="7">
        <f t="shared" si="10"/>
        <v>8.6956521739130436E-3</v>
      </c>
      <c r="I43" s="8">
        <v>655.72115384615404</v>
      </c>
      <c r="J43" s="9">
        <f t="shared" si="11"/>
        <v>661.42307692307713</v>
      </c>
      <c r="K43" s="3">
        <f t="shared" si="12"/>
        <v>5.7019230769230944</v>
      </c>
      <c r="L43" s="7">
        <f t="shared" si="13"/>
        <v>8.6956521739130679E-3</v>
      </c>
      <c r="M43" t="s">
        <v>7</v>
      </c>
      <c r="O43" s="3">
        <f>E43-'297195 - P0224'!F43</f>
        <v>0</v>
      </c>
      <c r="P43" s="30">
        <f>I43-'297195 - P0224'!J43</f>
        <v>0</v>
      </c>
    </row>
    <row r="44" spans="1:16" x14ac:dyDescent="0.25">
      <c r="A44">
        <v>42</v>
      </c>
      <c r="D44" s="4" t="s">
        <v>49</v>
      </c>
      <c r="E44" s="8">
        <v>575</v>
      </c>
      <c r="F44" s="8">
        <f>F42</f>
        <v>580</v>
      </c>
      <c r="G44" s="6">
        <f t="shared" si="9"/>
        <v>5</v>
      </c>
      <c r="H44" s="7">
        <f t="shared" si="10"/>
        <v>8.6956521739130436E-3</v>
      </c>
      <c r="I44" s="8">
        <v>655.72115384615404</v>
      </c>
      <c r="J44" s="9">
        <f t="shared" si="11"/>
        <v>661.42307692307713</v>
      </c>
      <c r="K44" s="3">
        <f t="shared" si="12"/>
        <v>5.7019230769230944</v>
      </c>
      <c r="L44" s="7">
        <f t="shared" si="13"/>
        <v>8.6956521739130679E-3</v>
      </c>
      <c r="M44" t="s">
        <v>7</v>
      </c>
      <c r="O44" s="3">
        <f>E44-'297195 - P0224'!F44</f>
        <v>0</v>
      </c>
      <c r="P44" s="30">
        <f>I44-'297195 - P0224'!J44</f>
        <v>0</v>
      </c>
    </row>
    <row r="45" spans="1:16" x14ac:dyDescent="0.25">
      <c r="A45">
        <v>43</v>
      </c>
      <c r="D45" s="4" t="s">
        <v>50</v>
      </c>
      <c r="E45" s="8">
        <v>575</v>
      </c>
      <c r="F45" s="8">
        <f>F42</f>
        <v>580</v>
      </c>
      <c r="G45" s="6">
        <f t="shared" si="9"/>
        <v>5</v>
      </c>
      <c r="H45" s="7">
        <f t="shared" si="10"/>
        <v>8.6956521739130436E-3</v>
      </c>
      <c r="I45" s="8">
        <v>655.72115384615404</v>
      </c>
      <c r="J45" s="9">
        <f t="shared" si="11"/>
        <v>661.42307692307713</v>
      </c>
      <c r="K45" s="3">
        <f t="shared" si="12"/>
        <v>5.7019230769230944</v>
      </c>
      <c r="L45" s="7">
        <f t="shared" si="13"/>
        <v>8.6956521739130679E-3</v>
      </c>
      <c r="M45" t="s">
        <v>7</v>
      </c>
      <c r="O45" s="3">
        <f>E45-'297195 - P0224'!F45</f>
        <v>0</v>
      </c>
      <c r="P45" s="30">
        <f>I45-'297195 - P0224'!J45</f>
        <v>0</v>
      </c>
    </row>
    <row r="46" spans="1:16" x14ac:dyDescent="0.25">
      <c r="A46">
        <v>44</v>
      </c>
      <c r="D46" s="4" t="s">
        <v>51</v>
      </c>
      <c r="E46" s="8">
        <v>575</v>
      </c>
      <c r="F46" s="8">
        <f>F42</f>
        <v>580</v>
      </c>
      <c r="G46" s="6">
        <f t="shared" si="9"/>
        <v>5</v>
      </c>
      <c r="H46" s="7">
        <f t="shared" si="10"/>
        <v>8.6956521739130436E-3</v>
      </c>
      <c r="I46" s="8">
        <v>655.72115384615404</v>
      </c>
      <c r="J46" s="9">
        <f t="shared" si="11"/>
        <v>661.42307692307713</v>
      </c>
      <c r="K46" s="3">
        <f t="shared" si="12"/>
        <v>5.7019230769230944</v>
      </c>
      <c r="L46" s="7">
        <f t="shared" si="13"/>
        <v>8.6956521739130679E-3</v>
      </c>
      <c r="M46" t="s">
        <v>7</v>
      </c>
      <c r="O46" s="3">
        <f>E46-'297195 - P0224'!F46</f>
        <v>0</v>
      </c>
      <c r="P46" s="30">
        <f>I46-'297195 - P0224'!J46</f>
        <v>0</v>
      </c>
    </row>
    <row r="47" spans="1:16" x14ac:dyDescent="0.25">
      <c r="A47">
        <v>45</v>
      </c>
      <c r="D47" s="4" t="s">
        <v>52</v>
      </c>
      <c r="E47" s="8">
        <v>575</v>
      </c>
      <c r="F47" s="8">
        <f>F42</f>
        <v>580</v>
      </c>
      <c r="G47" s="6">
        <f t="shared" si="9"/>
        <v>5</v>
      </c>
      <c r="H47" s="7">
        <f t="shared" si="10"/>
        <v>8.6956521739130436E-3</v>
      </c>
      <c r="I47" s="8">
        <v>655.72115384615404</v>
      </c>
      <c r="J47" s="9">
        <f t="shared" si="11"/>
        <v>661.42307692307713</v>
      </c>
      <c r="K47" s="3">
        <f t="shared" si="12"/>
        <v>5.7019230769230944</v>
      </c>
      <c r="L47" s="7">
        <f t="shared" si="13"/>
        <v>8.6956521739130679E-3</v>
      </c>
      <c r="M47" t="s">
        <v>7</v>
      </c>
      <c r="O47" s="3">
        <f>E47-'297195 - P0224'!F47</f>
        <v>0</v>
      </c>
      <c r="P47" s="30">
        <f>I47-'297195 - P0224'!J47</f>
        <v>0</v>
      </c>
    </row>
    <row r="48" spans="1:16" x14ac:dyDescent="0.25">
      <c r="A48">
        <v>46</v>
      </c>
      <c r="D48" s="4" t="s">
        <v>53</v>
      </c>
      <c r="E48" s="8">
        <v>575</v>
      </c>
      <c r="F48" s="8">
        <f>F42</f>
        <v>580</v>
      </c>
      <c r="G48" s="6">
        <f t="shared" si="9"/>
        <v>5</v>
      </c>
      <c r="H48" s="7">
        <f t="shared" si="10"/>
        <v>8.6956521739130436E-3</v>
      </c>
      <c r="I48" s="8">
        <v>655.72115384615404</v>
      </c>
      <c r="J48" s="9">
        <f t="shared" si="11"/>
        <v>661.42307692307713</v>
      </c>
      <c r="K48" s="3">
        <f t="shared" si="12"/>
        <v>5.7019230769230944</v>
      </c>
      <c r="L48" s="7">
        <f t="shared" si="13"/>
        <v>8.6956521739130679E-3</v>
      </c>
      <c r="M48" t="s">
        <v>7</v>
      </c>
      <c r="O48" s="3">
        <f>E48-'297195 - P0224'!F48</f>
        <v>0</v>
      </c>
      <c r="P48" s="30">
        <f>I48-'297195 - P0224'!J48</f>
        <v>0</v>
      </c>
    </row>
    <row r="49" spans="1:16" x14ac:dyDescent="0.25">
      <c r="A49">
        <v>47</v>
      </c>
      <c r="D49" s="4" t="s">
        <v>54</v>
      </c>
      <c r="E49" s="8">
        <v>575</v>
      </c>
      <c r="F49" s="8">
        <f>F43</f>
        <v>580</v>
      </c>
      <c r="G49" s="6">
        <f t="shared" si="9"/>
        <v>5</v>
      </c>
      <c r="H49" s="7">
        <f t="shared" si="10"/>
        <v>8.6956521739130436E-3</v>
      </c>
      <c r="I49" s="8">
        <v>655.72115384615404</v>
      </c>
      <c r="J49" s="9">
        <f t="shared" si="11"/>
        <v>661.42307692307713</v>
      </c>
      <c r="K49" s="3">
        <f t="shared" si="12"/>
        <v>5.7019230769230944</v>
      </c>
      <c r="L49" s="7">
        <f t="shared" si="13"/>
        <v>8.6956521739130679E-3</v>
      </c>
      <c r="M49" t="s">
        <v>7</v>
      </c>
      <c r="O49" s="3">
        <f>E49-'297195 - P0224'!F49</f>
        <v>0</v>
      </c>
      <c r="P49" s="30">
        <f>I49-'297195 - P0224'!J49</f>
        <v>0</v>
      </c>
    </row>
    <row r="50" spans="1:16" x14ac:dyDescent="0.25">
      <c r="A50">
        <v>48</v>
      </c>
      <c r="D50" s="4" t="s">
        <v>55</v>
      </c>
      <c r="E50" s="5">
        <v>460</v>
      </c>
      <c r="F50" s="5">
        <v>475</v>
      </c>
      <c r="G50" s="6">
        <f t="shared" si="9"/>
        <v>15</v>
      </c>
      <c r="H50" s="7">
        <f t="shared" si="10"/>
        <v>3.2608695652173912E-2</v>
      </c>
      <c r="I50" s="8">
        <v>569.44342507645263</v>
      </c>
      <c r="J50" s="9">
        <f t="shared" si="11"/>
        <v>588.01223241590219</v>
      </c>
      <c r="K50" s="3">
        <f t="shared" si="12"/>
        <v>18.568807339449563</v>
      </c>
      <c r="L50" s="7">
        <f t="shared" si="13"/>
        <v>3.2608695652173947E-2</v>
      </c>
      <c r="M50" t="s">
        <v>7</v>
      </c>
      <c r="O50" s="3">
        <f>E50-'297195 - P0224'!F50</f>
        <v>0</v>
      </c>
      <c r="P50" s="30">
        <f>I50-'297195 - P0224'!J50</f>
        <v>0</v>
      </c>
    </row>
    <row r="51" spans="1:16" x14ac:dyDescent="0.25">
      <c r="A51">
        <v>49</v>
      </c>
      <c r="D51" s="4" t="s">
        <v>56</v>
      </c>
      <c r="E51" s="8">
        <v>460</v>
      </c>
      <c r="F51" s="8">
        <f>F50</f>
        <v>475</v>
      </c>
      <c r="G51" s="6">
        <f t="shared" si="9"/>
        <v>15</v>
      </c>
      <c r="H51" s="7">
        <f t="shared" si="10"/>
        <v>3.2608695652173912E-2</v>
      </c>
      <c r="I51" s="8">
        <v>569.44342507645263</v>
      </c>
      <c r="J51" s="9">
        <f t="shared" si="11"/>
        <v>588.01223241590219</v>
      </c>
      <c r="K51" s="3">
        <f t="shared" si="12"/>
        <v>18.568807339449563</v>
      </c>
      <c r="L51" s="7">
        <f t="shared" si="13"/>
        <v>3.2608695652173947E-2</v>
      </c>
      <c r="M51" t="s">
        <v>7</v>
      </c>
      <c r="O51" s="3">
        <f>E51-'297195 - P0224'!F51</f>
        <v>0</v>
      </c>
      <c r="P51" s="30">
        <f>I51-'297195 - P0224'!J51</f>
        <v>0</v>
      </c>
    </row>
    <row r="52" spans="1:16" x14ac:dyDescent="0.25">
      <c r="A52">
        <v>50</v>
      </c>
      <c r="D52" s="4" t="s">
        <v>57</v>
      </c>
      <c r="E52" s="8">
        <v>460</v>
      </c>
      <c r="F52" s="8">
        <f>F50</f>
        <v>475</v>
      </c>
      <c r="G52" s="6">
        <f t="shared" si="9"/>
        <v>15</v>
      </c>
      <c r="H52" s="7">
        <f t="shared" si="10"/>
        <v>3.2608695652173912E-2</v>
      </c>
      <c r="I52" s="8">
        <v>569.44342507645263</v>
      </c>
      <c r="J52" s="9">
        <f t="shared" si="11"/>
        <v>588.01223241590219</v>
      </c>
      <c r="K52" s="3">
        <f t="shared" si="12"/>
        <v>18.568807339449563</v>
      </c>
      <c r="L52" s="7">
        <f t="shared" si="13"/>
        <v>3.2608695652173947E-2</v>
      </c>
      <c r="M52" t="s">
        <v>7</v>
      </c>
      <c r="O52" s="3">
        <f>E52-'297195 - P0224'!F52</f>
        <v>0</v>
      </c>
      <c r="P52" s="30">
        <f>I52-'297195 - P0224'!J52</f>
        <v>0</v>
      </c>
    </row>
    <row r="53" spans="1:16" x14ac:dyDescent="0.25">
      <c r="A53">
        <v>51</v>
      </c>
      <c r="D53" s="4" t="s">
        <v>58</v>
      </c>
      <c r="E53" s="8">
        <v>460</v>
      </c>
      <c r="F53" s="8">
        <f>F50</f>
        <v>475</v>
      </c>
      <c r="G53" s="6">
        <f t="shared" si="9"/>
        <v>15</v>
      </c>
      <c r="H53" s="7">
        <f t="shared" si="10"/>
        <v>3.2608695652173912E-2</v>
      </c>
      <c r="I53" s="8">
        <v>569.44342507645263</v>
      </c>
      <c r="J53" s="9">
        <f t="shared" si="11"/>
        <v>588.01223241590219</v>
      </c>
      <c r="K53" s="3">
        <f t="shared" si="12"/>
        <v>18.568807339449563</v>
      </c>
      <c r="L53" s="7">
        <f t="shared" si="13"/>
        <v>3.2608695652173947E-2</v>
      </c>
      <c r="M53" t="s">
        <v>7</v>
      </c>
      <c r="O53" s="3">
        <f>E53-'297195 - P0224'!F53</f>
        <v>0</v>
      </c>
      <c r="P53" s="30">
        <f>I53-'297195 - P0224'!J53</f>
        <v>0</v>
      </c>
    </row>
    <row r="54" spans="1:16" x14ac:dyDescent="0.25">
      <c r="A54">
        <v>52</v>
      </c>
      <c r="D54" s="4" t="s">
        <v>59</v>
      </c>
      <c r="E54" s="5">
        <v>453</v>
      </c>
      <c r="F54" s="5">
        <v>458</v>
      </c>
      <c r="G54" s="6">
        <f t="shared" si="9"/>
        <v>5</v>
      </c>
      <c r="H54" s="7">
        <f t="shared" si="10"/>
        <v>1.1037527593818985E-2</v>
      </c>
      <c r="I54" s="8">
        <v>722.95936794582394</v>
      </c>
      <c r="J54" s="9">
        <f t="shared" si="11"/>
        <v>730.93905191873591</v>
      </c>
      <c r="K54" s="3">
        <f t="shared" si="12"/>
        <v>7.9796839729119711</v>
      </c>
      <c r="L54" s="7">
        <f t="shared" si="13"/>
        <v>1.1037527593818994E-2</v>
      </c>
      <c r="M54" t="s">
        <v>7</v>
      </c>
      <c r="O54" s="3">
        <f>E54-'297195 - P0224'!F54</f>
        <v>0</v>
      </c>
      <c r="P54" s="30">
        <f>I54-'297195 - P0224'!J54</f>
        <v>0</v>
      </c>
    </row>
    <row r="55" spans="1:16" x14ac:dyDescent="0.25">
      <c r="A55">
        <v>53</v>
      </c>
      <c r="D55" s="4" t="s">
        <v>60</v>
      </c>
      <c r="E55" s="8">
        <v>453</v>
      </c>
      <c r="F55" s="8">
        <f>F54</f>
        <v>458</v>
      </c>
      <c r="G55" s="6">
        <f t="shared" si="9"/>
        <v>5</v>
      </c>
      <c r="H55" s="7">
        <f t="shared" si="10"/>
        <v>1.1037527593818985E-2</v>
      </c>
      <c r="I55" s="8">
        <v>722.95936794582394</v>
      </c>
      <c r="J55" s="9">
        <f t="shared" si="11"/>
        <v>730.93905191873591</v>
      </c>
      <c r="K55" s="3">
        <f t="shared" si="12"/>
        <v>7.9796839729119711</v>
      </c>
      <c r="L55" s="7">
        <f t="shared" si="13"/>
        <v>1.1037527593818994E-2</v>
      </c>
      <c r="M55" t="s">
        <v>7</v>
      </c>
      <c r="O55" s="3">
        <f>E55-'297195 - P0224'!F55</f>
        <v>0</v>
      </c>
      <c r="P55" s="30">
        <f>I55-'297195 - P0224'!J55</f>
        <v>0</v>
      </c>
    </row>
    <row r="56" spans="1:16" x14ac:dyDescent="0.25">
      <c r="A56">
        <v>54</v>
      </c>
      <c r="D56" s="4" t="s">
        <v>61</v>
      </c>
      <c r="E56" s="8">
        <v>453</v>
      </c>
      <c r="F56" s="8">
        <f>F54</f>
        <v>458</v>
      </c>
      <c r="G56" s="6">
        <f t="shared" si="9"/>
        <v>5</v>
      </c>
      <c r="H56" s="7">
        <f t="shared" si="10"/>
        <v>1.1037527593818985E-2</v>
      </c>
      <c r="I56" s="8">
        <v>722.95936794582394</v>
      </c>
      <c r="J56" s="9">
        <f t="shared" si="11"/>
        <v>730.93905191873591</v>
      </c>
      <c r="K56" s="3">
        <f t="shared" si="12"/>
        <v>7.9796839729119711</v>
      </c>
      <c r="L56" s="7">
        <f t="shared" si="13"/>
        <v>1.1037527593818994E-2</v>
      </c>
      <c r="M56" t="s">
        <v>7</v>
      </c>
      <c r="O56" s="3">
        <f>E56-'297195 - P0224'!F56</f>
        <v>0</v>
      </c>
      <c r="P56" s="30">
        <f>I56-'297195 - P0224'!J56</f>
        <v>0</v>
      </c>
    </row>
    <row r="57" spans="1:16" x14ac:dyDescent="0.25">
      <c r="A57">
        <v>55</v>
      </c>
      <c r="D57" s="4" t="s">
        <v>62</v>
      </c>
      <c r="E57" s="8">
        <v>453</v>
      </c>
      <c r="F57" s="8">
        <f>F54</f>
        <v>458</v>
      </c>
      <c r="G57" s="6">
        <f t="shared" si="9"/>
        <v>5</v>
      </c>
      <c r="H57" s="7">
        <f t="shared" si="10"/>
        <v>1.1037527593818985E-2</v>
      </c>
      <c r="I57" s="8">
        <v>722.95936794582394</v>
      </c>
      <c r="J57" s="9">
        <f t="shared" si="11"/>
        <v>730.93905191873591</v>
      </c>
      <c r="K57" s="3">
        <f t="shared" si="12"/>
        <v>7.9796839729119711</v>
      </c>
      <c r="L57" s="7">
        <f t="shared" si="13"/>
        <v>1.1037527593818994E-2</v>
      </c>
      <c r="M57" t="s">
        <v>7</v>
      </c>
      <c r="O57" s="3">
        <f>E57-'297195 - P0224'!F57</f>
        <v>0</v>
      </c>
      <c r="P57" s="30">
        <f>I57-'297195 - P0224'!J57</f>
        <v>0</v>
      </c>
    </row>
    <row r="58" spans="1:16" x14ac:dyDescent="0.25">
      <c r="A58">
        <v>56</v>
      </c>
      <c r="D58" s="4" t="s">
        <v>63</v>
      </c>
      <c r="E58" s="8">
        <v>453</v>
      </c>
      <c r="F58" s="8">
        <f>F54</f>
        <v>458</v>
      </c>
      <c r="G58" s="6">
        <f t="shared" si="9"/>
        <v>5</v>
      </c>
      <c r="H58" s="7">
        <f t="shared" si="10"/>
        <v>1.1037527593818985E-2</v>
      </c>
      <c r="I58" s="8">
        <v>722.95936794582394</v>
      </c>
      <c r="J58" s="9">
        <f t="shared" si="11"/>
        <v>730.93905191873591</v>
      </c>
      <c r="K58" s="3">
        <f t="shared" si="12"/>
        <v>7.9796839729119711</v>
      </c>
      <c r="L58" s="7">
        <f t="shared" si="13"/>
        <v>1.1037527593818994E-2</v>
      </c>
      <c r="M58" t="s">
        <v>7</v>
      </c>
      <c r="O58" s="3">
        <f>E58-'297195 - P0224'!F58</f>
        <v>0</v>
      </c>
      <c r="P58" s="30">
        <f>I58-'297195 - P0224'!J58</f>
        <v>0</v>
      </c>
    </row>
    <row r="59" spans="1:16" x14ac:dyDescent="0.25">
      <c r="A59">
        <v>57</v>
      </c>
      <c r="D59" s="4" t="s">
        <v>64</v>
      </c>
      <c r="E59" s="5">
        <v>548</v>
      </c>
      <c r="F59" s="5">
        <v>548</v>
      </c>
      <c r="G59" s="6">
        <f t="shared" si="9"/>
        <v>0</v>
      </c>
      <c r="H59" s="7">
        <f t="shared" si="10"/>
        <v>0</v>
      </c>
      <c r="I59" s="8">
        <v>787.36802973977694</v>
      </c>
      <c r="J59" s="9">
        <f t="shared" si="11"/>
        <v>787.36802973977694</v>
      </c>
      <c r="K59" s="3">
        <f t="shared" si="12"/>
        <v>0</v>
      </c>
      <c r="L59" s="7">
        <f t="shared" si="13"/>
        <v>0</v>
      </c>
      <c r="M59" t="s">
        <v>7</v>
      </c>
      <c r="O59" s="3">
        <f>E59-'297195 - P0224'!F59</f>
        <v>0</v>
      </c>
      <c r="P59" s="30">
        <f>I59-'297195 - P0224'!J59</f>
        <v>0</v>
      </c>
    </row>
    <row r="60" spans="1:16" x14ac:dyDescent="0.25">
      <c r="A60">
        <v>58</v>
      </c>
      <c r="D60" s="4" t="s">
        <v>65</v>
      </c>
      <c r="E60" s="8">
        <v>548</v>
      </c>
      <c r="F60" s="8">
        <f>F59</f>
        <v>548</v>
      </c>
      <c r="G60" s="6">
        <f t="shared" si="9"/>
        <v>0</v>
      </c>
      <c r="H60" s="7">
        <f t="shared" si="10"/>
        <v>0</v>
      </c>
      <c r="I60" s="8">
        <v>787.36802973977694</v>
      </c>
      <c r="J60" s="9">
        <f t="shared" si="11"/>
        <v>787.36802973977694</v>
      </c>
      <c r="K60" s="3">
        <f t="shared" si="12"/>
        <v>0</v>
      </c>
      <c r="L60" s="7">
        <f t="shared" si="13"/>
        <v>0</v>
      </c>
      <c r="M60" t="s">
        <v>7</v>
      </c>
      <c r="O60" s="3">
        <f>E60-'297195 - P0224'!F60</f>
        <v>0</v>
      </c>
      <c r="P60" s="30">
        <f>I60-'297195 - P0224'!J60</f>
        <v>0</v>
      </c>
    </row>
    <row r="61" spans="1:16" x14ac:dyDescent="0.25">
      <c r="A61">
        <v>59</v>
      </c>
      <c r="D61" s="4" t="s">
        <v>66</v>
      </c>
      <c r="E61" s="8">
        <v>548</v>
      </c>
      <c r="F61" s="8">
        <f>F59</f>
        <v>548</v>
      </c>
      <c r="G61" s="6">
        <f t="shared" si="9"/>
        <v>0</v>
      </c>
      <c r="H61" s="7">
        <f t="shared" si="10"/>
        <v>0</v>
      </c>
      <c r="I61" s="8">
        <v>787.36802973977694</v>
      </c>
      <c r="J61" s="9">
        <f t="shared" si="11"/>
        <v>787.36802973977694</v>
      </c>
      <c r="K61" s="3">
        <f t="shared" si="12"/>
        <v>0</v>
      </c>
      <c r="L61" s="7">
        <f t="shared" si="13"/>
        <v>0</v>
      </c>
      <c r="M61" t="s">
        <v>7</v>
      </c>
      <c r="O61" s="3">
        <f>E61-'297195 - P0224'!F61</f>
        <v>0</v>
      </c>
      <c r="P61" s="30">
        <f>I61-'297195 - P0224'!J61</f>
        <v>0</v>
      </c>
    </row>
    <row r="62" spans="1:16" x14ac:dyDescent="0.25">
      <c r="A62">
        <v>60</v>
      </c>
      <c r="D62" s="4" t="s">
        <v>67</v>
      </c>
      <c r="E62" s="8">
        <v>548</v>
      </c>
      <c r="F62" s="8">
        <f>F59</f>
        <v>548</v>
      </c>
      <c r="G62" s="6">
        <f t="shared" si="9"/>
        <v>0</v>
      </c>
      <c r="H62" s="7">
        <f t="shared" si="10"/>
        <v>0</v>
      </c>
      <c r="I62" s="8">
        <v>787.36802973977694</v>
      </c>
      <c r="J62" s="9">
        <f t="shared" si="11"/>
        <v>787.36802973977694</v>
      </c>
      <c r="K62" s="3">
        <f t="shared" si="12"/>
        <v>0</v>
      </c>
      <c r="L62" s="7">
        <f t="shared" si="13"/>
        <v>0</v>
      </c>
      <c r="M62" t="s">
        <v>7</v>
      </c>
      <c r="O62" s="3">
        <f>E62-'297195 - P0224'!F62</f>
        <v>0</v>
      </c>
      <c r="P62" s="30">
        <f>I62-'297195 - P0224'!J62</f>
        <v>0</v>
      </c>
    </row>
    <row r="63" spans="1:16" x14ac:dyDescent="0.25">
      <c r="A63">
        <v>61</v>
      </c>
      <c r="D63" s="2"/>
      <c r="G63" s="6"/>
      <c r="H63" s="10">
        <f>AVERAGE(H34:H62)</f>
        <v>1.1098424297784884E-2</v>
      </c>
      <c r="J63" s="3"/>
      <c r="K63" s="3"/>
      <c r="L63" s="10">
        <f>AVERAGE(L34:L62)</f>
        <v>1.1098424297784877E-2</v>
      </c>
    </row>
    <row r="64" spans="1:16" x14ac:dyDescent="0.25">
      <c r="A64">
        <v>62</v>
      </c>
      <c r="D64" s="2" t="s">
        <v>68</v>
      </c>
      <c r="G64" s="6"/>
      <c r="H64" s="7"/>
      <c r="J64" s="3"/>
      <c r="K64" s="3"/>
      <c r="L64" s="7"/>
    </row>
    <row r="65" spans="1:16" x14ac:dyDescent="0.25">
      <c r="A65">
        <v>63</v>
      </c>
      <c r="D65" s="4" t="s">
        <v>69</v>
      </c>
      <c r="E65" s="5">
        <v>550</v>
      </c>
      <c r="F65" s="5">
        <v>565</v>
      </c>
      <c r="G65" s="6">
        <f t="shared" ref="G65:G71" si="14">+F65-E65</f>
        <v>15</v>
      </c>
      <c r="H65" s="7">
        <f t="shared" ref="H65:H71" si="15">(F65-E65)/ABS(E65)</f>
        <v>2.7272727272727271E-2</v>
      </c>
      <c r="I65" s="8">
        <v>670.81967213114763</v>
      </c>
      <c r="J65" s="9">
        <f t="shared" ref="J65:J90" si="16">(I65*H65)+I65</f>
        <v>689.11475409836078</v>
      </c>
      <c r="K65" s="3">
        <f t="shared" ref="K65:K71" si="17">J65-I65</f>
        <v>18.29508196721315</v>
      </c>
      <c r="L65" s="7">
        <f t="shared" ref="L65:L71" si="18">(J65-I65)/ABS(I65)</f>
        <v>2.7272727272727323E-2</v>
      </c>
      <c r="M65" t="s">
        <v>7</v>
      </c>
      <c r="O65" s="3">
        <f>E65-'297195 - P0224'!F65</f>
        <v>0</v>
      </c>
      <c r="P65" s="30">
        <f>I65-'297195 - P0224'!J65</f>
        <v>0</v>
      </c>
    </row>
    <row r="66" spans="1:16" x14ac:dyDescent="0.25">
      <c r="A66">
        <v>64</v>
      </c>
      <c r="D66" s="4" t="s">
        <v>70</v>
      </c>
      <c r="E66" s="8">
        <v>550</v>
      </c>
      <c r="F66" s="8">
        <f>F65</f>
        <v>565</v>
      </c>
      <c r="G66" s="6">
        <f t="shared" si="14"/>
        <v>15</v>
      </c>
      <c r="H66" s="7">
        <f t="shared" si="15"/>
        <v>2.7272727272727271E-2</v>
      </c>
      <c r="I66" s="8">
        <v>670.81967213114763</v>
      </c>
      <c r="J66" s="9">
        <f t="shared" si="16"/>
        <v>689.11475409836078</v>
      </c>
      <c r="K66" s="3">
        <f t="shared" si="17"/>
        <v>18.29508196721315</v>
      </c>
      <c r="L66" s="7">
        <f t="shared" si="18"/>
        <v>2.7272727272727323E-2</v>
      </c>
      <c r="M66" t="s">
        <v>7</v>
      </c>
      <c r="O66" s="3">
        <f>E66-'297195 - P0224'!F66</f>
        <v>0</v>
      </c>
      <c r="P66" s="30">
        <f>I66-'297195 - P0224'!J66</f>
        <v>0</v>
      </c>
    </row>
    <row r="67" spans="1:16" x14ac:dyDescent="0.25">
      <c r="A67">
        <v>65</v>
      </c>
      <c r="D67" s="4" t="s">
        <v>71</v>
      </c>
      <c r="E67" s="8">
        <v>550</v>
      </c>
      <c r="F67" s="8">
        <f>F65</f>
        <v>565</v>
      </c>
      <c r="G67" s="6">
        <f t="shared" si="14"/>
        <v>15</v>
      </c>
      <c r="H67" s="7">
        <f t="shared" si="15"/>
        <v>2.7272727272727271E-2</v>
      </c>
      <c r="I67" s="8">
        <v>670.81967213114763</v>
      </c>
      <c r="J67" s="9">
        <f t="shared" si="16"/>
        <v>689.11475409836078</v>
      </c>
      <c r="K67" s="3">
        <f t="shared" si="17"/>
        <v>18.29508196721315</v>
      </c>
      <c r="L67" s="7">
        <f t="shared" si="18"/>
        <v>2.7272727272727323E-2</v>
      </c>
      <c r="M67" t="s">
        <v>7</v>
      </c>
      <c r="O67" s="3">
        <f>E67-'297195 - P0224'!F67</f>
        <v>0</v>
      </c>
      <c r="P67" s="30">
        <f>I67-'297195 - P0224'!J67</f>
        <v>0</v>
      </c>
    </row>
    <row r="68" spans="1:16" x14ac:dyDescent="0.25">
      <c r="A68">
        <v>66</v>
      </c>
      <c r="D68" s="4" t="s">
        <v>72</v>
      </c>
      <c r="E68" s="8">
        <v>550</v>
      </c>
      <c r="F68" s="8">
        <f>F65</f>
        <v>565</v>
      </c>
      <c r="G68" s="6">
        <f t="shared" si="14"/>
        <v>15</v>
      </c>
      <c r="H68" s="7">
        <f t="shared" si="15"/>
        <v>2.7272727272727271E-2</v>
      </c>
      <c r="I68" s="8">
        <v>670.81967213114763</v>
      </c>
      <c r="J68" s="9">
        <f t="shared" si="16"/>
        <v>689.11475409836078</v>
      </c>
      <c r="K68" s="3">
        <f t="shared" si="17"/>
        <v>18.29508196721315</v>
      </c>
      <c r="L68" s="7">
        <f t="shared" si="18"/>
        <v>2.7272727272727323E-2</v>
      </c>
      <c r="M68" t="s">
        <v>7</v>
      </c>
      <c r="O68" s="3">
        <f>E68-'297195 - P0224'!F68</f>
        <v>0</v>
      </c>
      <c r="P68" s="30">
        <f>I68-'297195 - P0224'!J68</f>
        <v>0</v>
      </c>
    </row>
    <row r="69" spans="1:16" x14ac:dyDescent="0.25">
      <c r="A69">
        <v>67</v>
      </c>
      <c r="D69" s="4" t="s">
        <v>73</v>
      </c>
      <c r="E69" s="8">
        <v>550</v>
      </c>
      <c r="F69" s="8">
        <f>F65</f>
        <v>565</v>
      </c>
      <c r="G69" s="6">
        <f t="shared" si="14"/>
        <v>15</v>
      </c>
      <c r="H69" s="7">
        <f t="shared" si="15"/>
        <v>2.7272727272727271E-2</v>
      </c>
      <c r="I69" s="8">
        <v>670.81967213114763</v>
      </c>
      <c r="J69" s="9">
        <f t="shared" si="16"/>
        <v>689.11475409836078</v>
      </c>
      <c r="K69" s="3">
        <f t="shared" si="17"/>
        <v>18.29508196721315</v>
      </c>
      <c r="L69" s="7">
        <f t="shared" si="18"/>
        <v>2.7272727272727323E-2</v>
      </c>
      <c r="M69" t="s">
        <v>7</v>
      </c>
      <c r="O69" s="3">
        <f>E69-'297195 - P0224'!F69</f>
        <v>0</v>
      </c>
      <c r="P69" s="30">
        <f>I69-'297195 - P0224'!J69</f>
        <v>0</v>
      </c>
    </row>
    <row r="70" spans="1:16" x14ac:dyDescent="0.25">
      <c r="A70">
        <v>68</v>
      </c>
      <c r="D70" s="4" t="s">
        <v>74</v>
      </c>
      <c r="E70" s="8">
        <v>550</v>
      </c>
      <c r="F70" s="8">
        <f>F65</f>
        <v>565</v>
      </c>
      <c r="G70" s="6">
        <f t="shared" si="14"/>
        <v>15</v>
      </c>
      <c r="H70" s="7">
        <f t="shared" si="15"/>
        <v>2.7272727272727271E-2</v>
      </c>
      <c r="I70" s="8">
        <v>670.81967213114763</v>
      </c>
      <c r="J70" s="9">
        <f t="shared" si="16"/>
        <v>689.11475409836078</v>
      </c>
      <c r="K70" s="3">
        <f t="shared" si="17"/>
        <v>18.29508196721315</v>
      </c>
      <c r="L70" s="7">
        <f t="shared" si="18"/>
        <v>2.7272727272727323E-2</v>
      </c>
      <c r="M70" t="s">
        <v>7</v>
      </c>
      <c r="O70" s="3">
        <f>E70-'297195 - P0224'!F70</f>
        <v>0</v>
      </c>
      <c r="P70" s="30">
        <f>I70-'297195 - P0224'!J70</f>
        <v>0</v>
      </c>
    </row>
    <row r="71" spans="1:16" x14ac:dyDescent="0.25">
      <c r="A71">
        <v>69</v>
      </c>
      <c r="D71" s="4" t="s">
        <v>75</v>
      </c>
      <c r="E71" s="8">
        <v>550</v>
      </c>
      <c r="F71" s="8">
        <f>F67</f>
        <v>565</v>
      </c>
      <c r="G71" s="6">
        <f t="shared" si="14"/>
        <v>15</v>
      </c>
      <c r="H71" s="7">
        <f t="shared" si="15"/>
        <v>2.7272727272727271E-2</v>
      </c>
      <c r="I71" s="8">
        <v>670.81967213114763</v>
      </c>
      <c r="J71" s="9">
        <f t="shared" si="16"/>
        <v>689.11475409836078</v>
      </c>
      <c r="K71" s="3">
        <f t="shared" si="17"/>
        <v>18.29508196721315</v>
      </c>
      <c r="L71" s="7">
        <f t="shared" si="18"/>
        <v>2.7272727272727323E-2</v>
      </c>
      <c r="M71" t="s">
        <v>7</v>
      </c>
      <c r="O71" s="3">
        <f>E71-'297195 - P0224'!F71</f>
        <v>0</v>
      </c>
      <c r="P71" s="30">
        <f>I71-'297195 - P0224'!J71</f>
        <v>0</v>
      </c>
    </row>
    <row r="72" spans="1:16" x14ac:dyDescent="0.25">
      <c r="A72">
        <v>70</v>
      </c>
      <c r="D72" s="4" t="s">
        <v>76</v>
      </c>
      <c r="E72" s="5">
        <v>608</v>
      </c>
      <c r="F72" s="5">
        <v>613</v>
      </c>
      <c r="G72" s="6">
        <f>+F72-E72</f>
        <v>5</v>
      </c>
      <c r="H72" s="7">
        <f>(F72-E72)/ABS(E72)</f>
        <v>8.2236842105263153E-3</v>
      </c>
      <c r="I72" s="8">
        <v>852.80110880110874</v>
      </c>
      <c r="J72" s="9">
        <f t="shared" si="16"/>
        <v>859.81427581427579</v>
      </c>
      <c r="K72" s="3">
        <f>J72-I72</f>
        <v>7.0131670131670489</v>
      </c>
      <c r="L72" s="7">
        <f>(J72-I72)/ABS(I72)</f>
        <v>8.2236842105263587E-3</v>
      </c>
      <c r="M72" t="s">
        <v>7</v>
      </c>
      <c r="O72" s="3">
        <f>E72-'297195 - P0224'!F72</f>
        <v>0</v>
      </c>
      <c r="P72" s="30">
        <f>I72-'297195 - P0224'!J72</f>
        <v>0</v>
      </c>
    </row>
    <row r="73" spans="1:16" x14ac:dyDescent="0.25">
      <c r="A73">
        <v>71</v>
      </c>
      <c r="D73" s="4" t="s">
        <v>77</v>
      </c>
      <c r="E73" s="8">
        <v>608</v>
      </c>
      <c r="F73" s="8">
        <f>F72</f>
        <v>613</v>
      </c>
      <c r="G73" s="6">
        <f>+F73-E73</f>
        <v>5</v>
      </c>
      <c r="H73" s="7">
        <f>(F73-E73)/ABS(E73)</f>
        <v>8.2236842105263153E-3</v>
      </c>
      <c r="I73" s="8">
        <v>852.80110880110874</v>
      </c>
      <c r="J73" s="9">
        <f t="shared" si="16"/>
        <v>859.81427581427579</v>
      </c>
      <c r="K73" s="3">
        <f>J73-I73</f>
        <v>7.0131670131670489</v>
      </c>
      <c r="L73" s="7">
        <f>(J73-I73)/ABS(I73)</f>
        <v>8.2236842105263587E-3</v>
      </c>
      <c r="M73" t="s">
        <v>7</v>
      </c>
      <c r="O73" s="3">
        <f>E73-'297195 - P0224'!F73</f>
        <v>0</v>
      </c>
      <c r="P73" s="30">
        <f>I73-'297195 - P0224'!J73</f>
        <v>0</v>
      </c>
    </row>
    <row r="74" spans="1:16" x14ac:dyDescent="0.25">
      <c r="A74">
        <v>72</v>
      </c>
      <c r="D74" s="4" t="s">
        <v>78</v>
      </c>
      <c r="E74" s="8">
        <v>608</v>
      </c>
      <c r="F74" s="8">
        <f>F72</f>
        <v>613</v>
      </c>
      <c r="G74" s="6">
        <f>+F74-E74</f>
        <v>5</v>
      </c>
      <c r="H74" s="7">
        <f>(F74-E74)/ABS(E74)</f>
        <v>8.2236842105263153E-3</v>
      </c>
      <c r="I74" s="8">
        <v>852.80110880110874</v>
      </c>
      <c r="J74" s="9">
        <f t="shared" si="16"/>
        <v>859.81427581427579</v>
      </c>
      <c r="K74" s="3">
        <f>J74-I74</f>
        <v>7.0131670131670489</v>
      </c>
      <c r="L74" s="7">
        <f>(J74-I74)/ABS(I74)</f>
        <v>8.2236842105263587E-3</v>
      </c>
      <c r="M74" t="s">
        <v>7</v>
      </c>
      <c r="O74" s="3">
        <f>E74-'297195 - P0224'!F74</f>
        <v>0</v>
      </c>
      <c r="P74" s="30">
        <f>I74-'297195 - P0224'!J74</f>
        <v>0</v>
      </c>
    </row>
    <row r="75" spans="1:16" x14ac:dyDescent="0.25">
      <c r="A75">
        <v>73</v>
      </c>
      <c r="D75" s="4" t="s">
        <v>79</v>
      </c>
      <c r="E75" s="8">
        <v>608</v>
      </c>
      <c r="F75" s="8">
        <f>F72</f>
        <v>613</v>
      </c>
      <c r="G75" s="6">
        <f>+F75-E75</f>
        <v>5</v>
      </c>
      <c r="H75" s="7">
        <f>(F75-E75)/ABS(E75)</f>
        <v>8.2236842105263153E-3</v>
      </c>
      <c r="I75" s="8">
        <v>852.80110880110874</v>
      </c>
      <c r="J75" s="9">
        <f t="shared" si="16"/>
        <v>859.81427581427579</v>
      </c>
      <c r="K75" s="3">
        <f>J75-I75</f>
        <v>7.0131670131670489</v>
      </c>
      <c r="L75" s="7">
        <f>(J75-I75)/ABS(I75)</f>
        <v>8.2236842105263587E-3</v>
      </c>
      <c r="M75" t="s">
        <v>7</v>
      </c>
      <c r="O75" s="3">
        <f>E75-'297195 - P0224'!F75</f>
        <v>0</v>
      </c>
      <c r="P75" s="30">
        <f>I75-'297195 - P0224'!J75</f>
        <v>0</v>
      </c>
    </row>
    <row r="76" spans="1:16" x14ac:dyDescent="0.25">
      <c r="A76">
        <v>74</v>
      </c>
      <c r="D76" s="4" t="s">
        <v>80</v>
      </c>
      <c r="E76" s="8">
        <v>608</v>
      </c>
      <c r="F76" s="8">
        <f>F72</f>
        <v>613</v>
      </c>
      <c r="G76" s="6">
        <f>+F76-E76</f>
        <v>5</v>
      </c>
      <c r="H76" s="7">
        <f>(F76-E76)/ABS(E76)</f>
        <v>8.2236842105263153E-3</v>
      </c>
      <c r="I76" s="8">
        <v>852.80110880110874</v>
      </c>
      <c r="J76" s="9">
        <f t="shared" si="16"/>
        <v>859.81427581427579</v>
      </c>
      <c r="K76" s="3">
        <f>J76-I76</f>
        <v>7.0131670131670489</v>
      </c>
      <c r="L76" s="7">
        <f>(J76-I76)/ABS(I76)</f>
        <v>8.2236842105263587E-3</v>
      </c>
      <c r="M76" t="s">
        <v>7</v>
      </c>
      <c r="O76" s="3">
        <f>E76-'297195 - P0224'!F76</f>
        <v>0</v>
      </c>
      <c r="P76" s="30">
        <f>I76-'297195 - P0224'!J76</f>
        <v>0</v>
      </c>
    </row>
    <row r="77" spans="1:16" x14ac:dyDescent="0.25">
      <c r="A77">
        <v>75</v>
      </c>
      <c r="D77" s="4" t="s">
        <v>81</v>
      </c>
      <c r="E77" s="8">
        <v>608</v>
      </c>
      <c r="F77" s="8">
        <f t="shared" ref="F77" si="19">F74</f>
        <v>613</v>
      </c>
      <c r="G77" s="6">
        <f t="shared" ref="G77" si="20">+F77-E77</f>
        <v>5</v>
      </c>
      <c r="H77" s="7">
        <f t="shared" ref="H77" si="21">(F77-E77)/ABS(E77)</f>
        <v>8.2236842105263153E-3</v>
      </c>
      <c r="I77" s="8">
        <v>852.80110880110874</v>
      </c>
      <c r="J77" s="9">
        <f t="shared" si="16"/>
        <v>859.81427581427579</v>
      </c>
      <c r="K77" s="3">
        <f t="shared" ref="K77" si="22">J77-I77</f>
        <v>7.0131670131670489</v>
      </c>
      <c r="L77" s="7">
        <f t="shared" ref="L77" si="23">(J77-I77)/ABS(I77)</f>
        <v>8.2236842105263587E-3</v>
      </c>
      <c r="M77" t="s">
        <v>7</v>
      </c>
      <c r="O77" s="3">
        <f>E77-'297195 - P0224'!F77</f>
        <v>0</v>
      </c>
      <c r="P77" s="30">
        <f>I77-'297195 - P0224'!J77</f>
        <v>0</v>
      </c>
    </row>
    <row r="78" spans="1:16" x14ac:dyDescent="0.25">
      <c r="A78">
        <v>76</v>
      </c>
      <c r="D78" s="4" t="s">
        <v>82</v>
      </c>
      <c r="E78" s="5">
        <v>708</v>
      </c>
      <c r="F78" s="5">
        <v>708</v>
      </c>
      <c r="G78" s="6">
        <f>+F78-E78</f>
        <v>0</v>
      </c>
      <c r="H78" s="7">
        <f>(F78-E78)/ABS(E78)</f>
        <v>0</v>
      </c>
      <c r="I78" s="8">
        <v>896.30575916230373</v>
      </c>
      <c r="J78" s="9">
        <f t="shared" si="16"/>
        <v>896.30575916230373</v>
      </c>
      <c r="K78" s="3">
        <f>J78-I78</f>
        <v>0</v>
      </c>
      <c r="L78" s="7">
        <f>(J78-I78)/ABS(I78)</f>
        <v>0</v>
      </c>
      <c r="M78" t="s">
        <v>7</v>
      </c>
      <c r="O78" s="3">
        <f>E78-'297195 - P0224'!F78</f>
        <v>0</v>
      </c>
      <c r="P78" s="30">
        <f>I78-'297195 - P0224'!J78</f>
        <v>0</v>
      </c>
    </row>
    <row r="79" spans="1:16" x14ac:dyDescent="0.25">
      <c r="A79">
        <v>77</v>
      </c>
      <c r="D79" s="4" t="s">
        <v>83</v>
      </c>
      <c r="E79" s="8">
        <v>708</v>
      </c>
      <c r="F79" s="8">
        <f>F78</f>
        <v>708</v>
      </c>
      <c r="G79" s="6">
        <f>+F79-E79</f>
        <v>0</v>
      </c>
      <c r="H79" s="7">
        <f>(F79-E79)/ABS(E79)</f>
        <v>0</v>
      </c>
      <c r="I79" s="8">
        <v>896.30575916230373</v>
      </c>
      <c r="J79" s="9">
        <f t="shared" si="16"/>
        <v>896.30575916230373</v>
      </c>
      <c r="K79" s="3">
        <f>J79-I79</f>
        <v>0</v>
      </c>
      <c r="L79" s="7">
        <f>(J79-I79)/ABS(I79)</f>
        <v>0</v>
      </c>
      <c r="M79" t="s">
        <v>7</v>
      </c>
      <c r="O79" s="3">
        <f>E79-'297195 - P0224'!F79</f>
        <v>0</v>
      </c>
      <c r="P79" s="30">
        <f>I79-'297195 - P0224'!J79</f>
        <v>0</v>
      </c>
    </row>
    <row r="80" spans="1:16" x14ac:dyDescent="0.25">
      <c r="A80">
        <v>78</v>
      </c>
      <c r="D80" s="4" t="s">
        <v>84</v>
      </c>
      <c r="E80" s="8">
        <v>708</v>
      </c>
      <c r="F80" s="8">
        <f>F78</f>
        <v>708</v>
      </c>
      <c r="G80" s="6">
        <f>+F80-E80</f>
        <v>0</v>
      </c>
      <c r="H80" s="7">
        <f>(F80-E80)/ABS(E80)</f>
        <v>0</v>
      </c>
      <c r="I80" s="8">
        <v>896.30575916230373</v>
      </c>
      <c r="J80" s="9">
        <f t="shared" si="16"/>
        <v>896.30575916230373</v>
      </c>
      <c r="K80" s="3">
        <f>J80-I80</f>
        <v>0</v>
      </c>
      <c r="L80" s="7">
        <f>(J80-I80)/ABS(I80)</f>
        <v>0</v>
      </c>
      <c r="M80" t="s">
        <v>7</v>
      </c>
      <c r="O80" s="3">
        <f>E80-'297195 - P0224'!F80</f>
        <v>0</v>
      </c>
      <c r="P80" s="30">
        <f>I80-'297195 - P0224'!J80</f>
        <v>0</v>
      </c>
    </row>
    <row r="81" spans="1:16" x14ac:dyDescent="0.25">
      <c r="A81">
        <v>79</v>
      </c>
      <c r="D81" s="4" t="s">
        <v>85</v>
      </c>
      <c r="E81" s="8">
        <v>708</v>
      </c>
      <c r="F81" s="8">
        <f>F78</f>
        <v>708</v>
      </c>
      <c r="G81" s="6">
        <f>+F81-E81</f>
        <v>0</v>
      </c>
      <c r="H81" s="7">
        <f>(F81-E81)/ABS(E81)</f>
        <v>0</v>
      </c>
      <c r="I81" s="8">
        <v>896.30575916230373</v>
      </c>
      <c r="J81" s="9">
        <f t="shared" si="16"/>
        <v>896.30575916230373</v>
      </c>
      <c r="K81" s="3">
        <f>J81-I81</f>
        <v>0</v>
      </c>
      <c r="L81" s="7">
        <f>(J81-I81)/ABS(I81)</f>
        <v>0</v>
      </c>
      <c r="M81" t="s">
        <v>7</v>
      </c>
      <c r="O81" s="3">
        <f>E81-'297195 - P0224'!F81</f>
        <v>0</v>
      </c>
      <c r="P81" s="30">
        <f>I81-'297195 - P0224'!J81</f>
        <v>0</v>
      </c>
    </row>
    <row r="82" spans="1:16" x14ac:dyDescent="0.25">
      <c r="A82">
        <v>80</v>
      </c>
      <c r="D82" s="4" t="s">
        <v>86</v>
      </c>
      <c r="E82" s="8">
        <v>708</v>
      </c>
      <c r="F82" s="8">
        <f>F78</f>
        <v>708</v>
      </c>
      <c r="G82" s="6">
        <f>+F82-E82</f>
        <v>0</v>
      </c>
      <c r="H82" s="7">
        <f>(F82-E82)/ABS(E82)</f>
        <v>0</v>
      </c>
      <c r="I82" s="8">
        <v>896.30575916230373</v>
      </c>
      <c r="J82" s="9">
        <f t="shared" si="16"/>
        <v>896.30575916230373</v>
      </c>
      <c r="K82" s="3">
        <f>J82-I82</f>
        <v>0</v>
      </c>
      <c r="L82" s="7">
        <f>(J82-I82)/ABS(I82)</f>
        <v>0</v>
      </c>
      <c r="M82" t="s">
        <v>7</v>
      </c>
      <c r="O82" s="3">
        <f>E82-'297195 - P0224'!F82</f>
        <v>0</v>
      </c>
      <c r="P82" s="30">
        <f>I82-'297195 - P0224'!J82</f>
        <v>0</v>
      </c>
    </row>
    <row r="83" spans="1:16" x14ac:dyDescent="0.25">
      <c r="A83">
        <v>81</v>
      </c>
      <c r="D83" s="4" t="s">
        <v>87</v>
      </c>
      <c r="E83" s="8">
        <v>708</v>
      </c>
      <c r="F83" s="8">
        <f>F80</f>
        <v>708</v>
      </c>
      <c r="G83" s="6">
        <f t="shared" ref="G83" si="24">+F83-E83</f>
        <v>0</v>
      </c>
      <c r="H83" s="7">
        <f t="shared" ref="H83" si="25">(F83-E83)/ABS(E83)</f>
        <v>0</v>
      </c>
      <c r="I83" s="8">
        <v>896.30575916230373</v>
      </c>
      <c r="J83" s="9">
        <f t="shared" si="16"/>
        <v>896.30575916230373</v>
      </c>
      <c r="K83" s="3">
        <f t="shared" ref="K83" si="26">J83-I83</f>
        <v>0</v>
      </c>
      <c r="L83" s="7">
        <f t="shared" ref="L83" si="27">(J83-I83)/ABS(I83)</f>
        <v>0</v>
      </c>
      <c r="M83" t="s">
        <v>7</v>
      </c>
      <c r="O83" s="3">
        <f>E83-'297195 - P0224'!F83</f>
        <v>0</v>
      </c>
      <c r="P83" s="30">
        <f>I83-'297195 - P0224'!J83</f>
        <v>0</v>
      </c>
    </row>
    <row r="84" spans="1:16" x14ac:dyDescent="0.25">
      <c r="A84">
        <v>82</v>
      </c>
      <c r="D84" s="4" t="s">
        <v>493</v>
      </c>
      <c r="E84" s="5">
        <v>718</v>
      </c>
      <c r="F84" s="5">
        <v>783</v>
      </c>
      <c r="G84" s="6">
        <f>+F84-E84</f>
        <v>65</v>
      </c>
      <c r="H84" s="7">
        <f>(F84-E84)/ABS(E84)</f>
        <v>9.0529247910863503E-2</v>
      </c>
      <c r="I84" s="8">
        <v>919.74233972240586</v>
      </c>
      <c r="J84" s="9">
        <f t="shared" si="16"/>
        <v>1003.0059220092531</v>
      </c>
      <c r="K84" s="3">
        <f>J84-I84</f>
        <v>83.263582286847281</v>
      </c>
      <c r="L84" s="7">
        <f>(J84-I84)/ABS(I84)</f>
        <v>9.0529247910863461E-2</v>
      </c>
      <c r="M84" t="s">
        <v>7</v>
      </c>
      <c r="O84" s="3">
        <f>E84-'297195 - P0224'!F84</f>
        <v>0</v>
      </c>
      <c r="P84" s="30">
        <f>I84-'297195 - P0224'!J84</f>
        <v>0</v>
      </c>
    </row>
    <row r="85" spans="1:16" x14ac:dyDescent="0.25">
      <c r="A85">
        <v>83</v>
      </c>
      <c r="D85" s="4" t="s">
        <v>88</v>
      </c>
      <c r="E85" s="8">
        <v>718</v>
      </c>
      <c r="F85" s="8">
        <f>F84</f>
        <v>783</v>
      </c>
      <c r="G85" s="6">
        <f>+F85-E85</f>
        <v>65</v>
      </c>
      <c r="H85" s="7">
        <f>(F85-E85)/ABS(E85)</f>
        <v>9.0529247910863503E-2</v>
      </c>
      <c r="I85" s="8">
        <v>919.74233972240586</v>
      </c>
      <c r="J85" s="9">
        <f t="shared" si="16"/>
        <v>1003.0059220092531</v>
      </c>
      <c r="K85" s="3">
        <f>J85-I85</f>
        <v>83.263582286847281</v>
      </c>
      <c r="L85" s="7">
        <f>(J85-I85)/ABS(I85)</f>
        <v>9.0529247910863461E-2</v>
      </c>
      <c r="M85" t="s">
        <v>7</v>
      </c>
      <c r="O85" s="3">
        <f>E85-'297195 - P0224'!F85</f>
        <v>0</v>
      </c>
      <c r="P85" s="30">
        <f>I85-'297195 - P0224'!J85</f>
        <v>0</v>
      </c>
    </row>
    <row r="86" spans="1:16" x14ac:dyDescent="0.25">
      <c r="A86">
        <v>84</v>
      </c>
      <c r="D86" s="4" t="s">
        <v>89</v>
      </c>
      <c r="E86" s="8">
        <v>718</v>
      </c>
      <c r="F86" s="8">
        <f>F84</f>
        <v>783</v>
      </c>
      <c r="G86" s="6">
        <f>+F86-E86</f>
        <v>65</v>
      </c>
      <c r="H86" s="7">
        <f>(F86-E86)/ABS(E86)</f>
        <v>9.0529247910863503E-2</v>
      </c>
      <c r="I86" s="8">
        <v>919.74233972240586</v>
      </c>
      <c r="J86" s="9">
        <f t="shared" si="16"/>
        <v>1003.0059220092531</v>
      </c>
      <c r="K86" s="3">
        <f>J86-I86</f>
        <v>83.263582286847281</v>
      </c>
      <c r="L86" s="7">
        <f>(J86-I86)/ABS(I86)</f>
        <v>9.0529247910863461E-2</v>
      </c>
      <c r="M86" t="s">
        <v>7</v>
      </c>
      <c r="O86" s="3">
        <f>E86-'297195 - P0224'!F86</f>
        <v>0</v>
      </c>
      <c r="P86" s="30">
        <f>I86-'297195 - P0224'!J86</f>
        <v>0</v>
      </c>
    </row>
    <row r="87" spans="1:16" x14ac:dyDescent="0.25">
      <c r="A87">
        <v>85</v>
      </c>
      <c r="D87" s="4" t="s">
        <v>90</v>
      </c>
      <c r="E87" s="8">
        <v>718</v>
      </c>
      <c r="F87" s="8">
        <f>F84</f>
        <v>783</v>
      </c>
      <c r="G87" s="6">
        <f>+F87-E87</f>
        <v>65</v>
      </c>
      <c r="H87" s="7">
        <f>(F87-E87)/ABS(E87)</f>
        <v>9.0529247910863503E-2</v>
      </c>
      <c r="I87" s="8">
        <v>919.74233972240586</v>
      </c>
      <c r="J87" s="9">
        <f t="shared" si="16"/>
        <v>1003.0059220092531</v>
      </c>
      <c r="K87" s="3">
        <f>J87-I87</f>
        <v>83.263582286847281</v>
      </c>
      <c r="L87" s="7">
        <f>(J87-I87)/ABS(I87)</f>
        <v>9.0529247910863461E-2</v>
      </c>
      <c r="M87" t="s">
        <v>7</v>
      </c>
      <c r="O87" s="3">
        <f>E87-'297195 - P0224'!F87</f>
        <v>0</v>
      </c>
      <c r="P87" s="30">
        <f>I87-'297195 - P0224'!J87</f>
        <v>0</v>
      </c>
    </row>
    <row r="88" spans="1:16" x14ac:dyDescent="0.25">
      <c r="A88">
        <v>86</v>
      </c>
      <c r="D88" s="4" t="s">
        <v>91</v>
      </c>
      <c r="E88" s="8">
        <v>718</v>
      </c>
      <c r="F88" s="8">
        <f>F84</f>
        <v>783</v>
      </c>
      <c r="G88" s="6">
        <f>+F88-E88</f>
        <v>65</v>
      </c>
      <c r="H88" s="7">
        <f>(F88-E88)/ABS(E88)</f>
        <v>9.0529247910863503E-2</v>
      </c>
      <c r="I88" s="8">
        <v>919.74233972240586</v>
      </c>
      <c r="J88" s="9">
        <f t="shared" si="16"/>
        <v>1003.0059220092531</v>
      </c>
      <c r="K88" s="3">
        <f>J88-I88</f>
        <v>83.263582286847281</v>
      </c>
      <c r="L88" s="7">
        <f>(J88-I88)/ABS(I88)</f>
        <v>9.0529247910863461E-2</v>
      </c>
      <c r="M88" t="s">
        <v>7</v>
      </c>
      <c r="O88" s="3">
        <f>E88-'297195 - P0224'!F88</f>
        <v>0</v>
      </c>
      <c r="P88" s="30">
        <f>I88-'297195 - P0224'!J88</f>
        <v>0</v>
      </c>
    </row>
    <row r="89" spans="1:16" x14ac:dyDescent="0.25">
      <c r="A89">
        <v>87</v>
      </c>
      <c r="D89" s="4" t="s">
        <v>92</v>
      </c>
      <c r="E89" s="8">
        <v>718</v>
      </c>
      <c r="F89" s="8">
        <f t="shared" ref="F89" si="28">F86</f>
        <v>783</v>
      </c>
      <c r="G89" s="6">
        <f t="shared" ref="G89:G90" si="29">+F89-E89</f>
        <v>65</v>
      </c>
      <c r="H89" s="7">
        <f t="shared" ref="H89:H90" si="30">(F89-E89)/ABS(E89)</f>
        <v>9.0529247910863503E-2</v>
      </c>
      <c r="I89" s="8">
        <v>919.74233972240586</v>
      </c>
      <c r="J89" s="9">
        <f t="shared" si="16"/>
        <v>1003.0059220092531</v>
      </c>
      <c r="K89" s="3">
        <f t="shared" ref="K89:K90" si="31">J89-I89</f>
        <v>83.263582286847281</v>
      </c>
      <c r="L89" s="7">
        <f t="shared" ref="L89:L90" si="32">(J89-I89)/ABS(I89)</f>
        <v>9.0529247910863461E-2</v>
      </c>
      <c r="M89" t="s">
        <v>7</v>
      </c>
      <c r="O89" s="3">
        <f>E89-'297195 - P0224'!F89</f>
        <v>0</v>
      </c>
      <c r="P89" s="30">
        <f>I89-'297195 - P0224'!J89</f>
        <v>0</v>
      </c>
    </row>
    <row r="90" spans="1:16" x14ac:dyDescent="0.25">
      <c r="A90">
        <v>88</v>
      </c>
      <c r="C90" t="s">
        <v>8</v>
      </c>
      <c r="D90" s="4" t="s">
        <v>93</v>
      </c>
      <c r="E90" s="5">
        <v>12.05</v>
      </c>
      <c r="F90" s="5">
        <v>12.27</v>
      </c>
      <c r="G90" s="6">
        <f t="shared" si="29"/>
        <v>0.21999999999999886</v>
      </c>
      <c r="H90" s="7">
        <f t="shared" si="30"/>
        <v>1.8257261410788286E-2</v>
      </c>
      <c r="I90" s="8">
        <v>2419.672449508028</v>
      </c>
      <c r="J90" s="9">
        <f t="shared" si="16"/>
        <v>2463.8490419471786</v>
      </c>
      <c r="K90" s="3">
        <f t="shared" si="31"/>
        <v>44.176592439150681</v>
      </c>
      <c r="L90" s="7">
        <f t="shared" si="32"/>
        <v>1.8257261410788365E-2</v>
      </c>
      <c r="M90" t="s">
        <v>7</v>
      </c>
      <c r="O90" s="3">
        <f>E90-'297195 - P0224'!F90</f>
        <v>0</v>
      </c>
      <c r="P90" s="30">
        <f>I90-'297195 - P0224'!J90</f>
        <v>0</v>
      </c>
    </row>
    <row r="91" spans="1:16" x14ac:dyDescent="0.25">
      <c r="A91">
        <v>89</v>
      </c>
      <c r="D91" s="2" t="s">
        <v>94</v>
      </c>
      <c r="H91" s="10">
        <f>AVERAGE(H65:H90)</f>
        <v>3.0833997886469924E-2</v>
      </c>
      <c r="I91"/>
      <c r="L91" s="10">
        <f>AVERAGE(L65:L89)</f>
        <v>3.133706734549721E-2</v>
      </c>
    </row>
    <row r="92" spans="1:16" x14ac:dyDescent="0.25">
      <c r="A92">
        <v>90</v>
      </c>
      <c r="D92" s="2" t="s">
        <v>95</v>
      </c>
      <c r="I92"/>
      <c r="M92" t="s">
        <v>7</v>
      </c>
      <c r="O92" s="3">
        <f>E92-'297195 - P0224'!F92</f>
        <v>0</v>
      </c>
      <c r="P92" s="30">
        <f>I92-'297195 - P0224'!J92</f>
        <v>0</v>
      </c>
    </row>
    <row r="93" spans="1:16" x14ac:dyDescent="0.25">
      <c r="A93">
        <v>91</v>
      </c>
      <c r="D93" s="4" t="s">
        <v>96</v>
      </c>
      <c r="E93" s="5">
        <v>486</v>
      </c>
      <c r="F93" s="5">
        <v>450</v>
      </c>
      <c r="G93" s="6">
        <f t="shared" ref="G93:G101" si="33">+F93-E93</f>
        <v>-36</v>
      </c>
      <c r="H93" s="7">
        <f t="shared" ref="H93:H101" si="34">(F93-E93)/ABS(E93)</f>
        <v>-7.407407407407407E-2</v>
      </c>
      <c r="I93" s="8">
        <v>551.1620111731844</v>
      </c>
      <c r="J93" s="9">
        <f t="shared" ref="J93:J101" si="35">(I93*H93)+I93</f>
        <v>510.33519553072631</v>
      </c>
      <c r="K93" s="3">
        <f t="shared" ref="K93:K101" si="36">J93-I93</f>
        <v>-40.826815642458087</v>
      </c>
      <c r="L93" s="7">
        <f t="shared" ref="L93:L101" si="37">(J93-I93)/ABS(I93)</f>
        <v>-7.4074074074074042E-2</v>
      </c>
      <c r="M93" t="s">
        <v>7</v>
      </c>
      <c r="O93" s="3">
        <f>E93-'297195 - P0224'!F93</f>
        <v>0</v>
      </c>
      <c r="P93" s="30">
        <f>I93-'297195 - P0224'!J93</f>
        <v>0</v>
      </c>
    </row>
    <row r="94" spans="1:16" x14ac:dyDescent="0.25">
      <c r="A94">
        <v>92</v>
      </c>
      <c r="D94" s="4" t="s">
        <v>97</v>
      </c>
      <c r="E94" s="5">
        <v>506</v>
      </c>
      <c r="F94" s="5">
        <v>470</v>
      </c>
      <c r="G94" s="6">
        <f t="shared" si="33"/>
        <v>-36</v>
      </c>
      <c r="H94" s="7">
        <f t="shared" si="34"/>
        <v>-7.1146245059288543E-2</v>
      </c>
      <c r="I94" s="8">
        <v>582.31882280809327</v>
      </c>
      <c r="J94" s="9">
        <f t="shared" si="35"/>
        <v>540.88902513795222</v>
      </c>
      <c r="K94" s="3">
        <f t="shared" si="36"/>
        <v>-41.429797670141056</v>
      </c>
      <c r="L94" s="7">
        <f t="shared" si="37"/>
        <v>-7.1146245059288599E-2</v>
      </c>
      <c r="M94" t="s">
        <v>7</v>
      </c>
      <c r="O94" s="3">
        <f>E94-'297195 - P0224'!F94</f>
        <v>0</v>
      </c>
      <c r="P94" s="30">
        <f>I94-'297195 - P0224'!J94</f>
        <v>0</v>
      </c>
    </row>
    <row r="95" spans="1:16" x14ac:dyDescent="0.25">
      <c r="A95">
        <v>93</v>
      </c>
      <c r="D95" s="4" t="s">
        <v>98</v>
      </c>
      <c r="E95" s="5">
        <v>506</v>
      </c>
      <c r="F95" s="5">
        <v>470</v>
      </c>
      <c r="G95" s="6">
        <f t="shared" si="33"/>
        <v>-36</v>
      </c>
      <c r="H95" s="7">
        <f t="shared" si="34"/>
        <v>-7.1146245059288543E-2</v>
      </c>
      <c r="I95" s="8">
        <v>578.90619251992621</v>
      </c>
      <c r="J95" s="9">
        <f t="shared" si="35"/>
        <v>537.71919068056388</v>
      </c>
      <c r="K95" s="3">
        <f t="shared" si="36"/>
        <v>-41.187001839362324</v>
      </c>
      <c r="L95" s="7">
        <f t="shared" si="37"/>
        <v>-7.1146245059288515E-2</v>
      </c>
      <c r="M95" t="s">
        <v>7</v>
      </c>
      <c r="O95" s="3">
        <f>E95-'297195 - P0224'!F95</f>
        <v>0</v>
      </c>
      <c r="P95" s="30">
        <f>I95-'297195 - P0224'!J95</f>
        <v>0</v>
      </c>
    </row>
    <row r="96" spans="1:16" x14ac:dyDescent="0.25">
      <c r="A96">
        <v>94</v>
      </c>
      <c r="D96" s="4" t="s">
        <v>99</v>
      </c>
      <c r="E96" s="5">
        <v>511</v>
      </c>
      <c r="F96" s="5">
        <v>470</v>
      </c>
      <c r="G96" s="6">
        <f t="shared" si="33"/>
        <v>-41</v>
      </c>
      <c r="H96" s="7">
        <f t="shared" si="34"/>
        <v>-8.0234833659491189E-2</v>
      </c>
      <c r="I96" s="8">
        <v>634.97763490241107</v>
      </c>
      <c r="J96" s="25">
        <v>554</v>
      </c>
      <c r="K96" s="3">
        <f t="shared" si="36"/>
        <v>-80.977634902411069</v>
      </c>
      <c r="L96" s="7">
        <f t="shared" si="37"/>
        <v>-0.12752832611948045</v>
      </c>
      <c r="M96" t="s">
        <v>7</v>
      </c>
      <c r="O96" s="3">
        <f>E96-'297195 - P0224'!F96</f>
        <v>0</v>
      </c>
      <c r="P96" s="30">
        <f>I96-'297195 - P0224'!J96</f>
        <v>0</v>
      </c>
    </row>
    <row r="97" spans="1:16" x14ac:dyDescent="0.25">
      <c r="A97">
        <v>95</v>
      </c>
      <c r="D97" s="4" t="s">
        <v>100</v>
      </c>
      <c r="E97" s="5">
        <v>708</v>
      </c>
      <c r="F97" s="5">
        <v>668</v>
      </c>
      <c r="G97" s="6">
        <f t="shared" si="33"/>
        <v>-40</v>
      </c>
      <c r="H97" s="7">
        <f t="shared" si="34"/>
        <v>-5.6497175141242938E-2</v>
      </c>
      <c r="I97" s="8">
        <v>832.81458966565344</v>
      </c>
      <c r="J97" s="9">
        <f t="shared" si="35"/>
        <v>785.76291793313067</v>
      </c>
      <c r="K97" s="3">
        <f t="shared" si="36"/>
        <v>-47.051671732522777</v>
      </c>
      <c r="L97" s="7">
        <f>(J97-I97)/ABS(I97)</f>
        <v>-5.6497175141242917E-2</v>
      </c>
      <c r="M97" t="s">
        <v>7</v>
      </c>
      <c r="O97" s="3">
        <f>E97-'297195 - P0224'!F97</f>
        <v>0</v>
      </c>
      <c r="P97" s="30">
        <f>I97-'297195 - P0224'!J97</f>
        <v>0</v>
      </c>
    </row>
    <row r="98" spans="1:16" x14ac:dyDescent="0.25">
      <c r="A98">
        <v>96</v>
      </c>
      <c r="C98" t="s">
        <v>8</v>
      </c>
      <c r="D98" s="29" t="s">
        <v>101</v>
      </c>
      <c r="E98" s="5">
        <v>985</v>
      </c>
      <c r="F98" s="5">
        <v>965</v>
      </c>
      <c r="G98" s="6">
        <f t="shared" si="33"/>
        <v>-20</v>
      </c>
      <c r="H98" s="7">
        <f t="shared" si="34"/>
        <v>-2.030456852791878E-2</v>
      </c>
      <c r="I98" s="8">
        <v>1060</v>
      </c>
      <c r="J98" s="25">
        <v>1150</v>
      </c>
      <c r="K98" s="3">
        <f t="shared" si="36"/>
        <v>90</v>
      </c>
      <c r="L98" s="7">
        <f t="shared" si="37"/>
        <v>8.4905660377358486E-2</v>
      </c>
      <c r="M98" t="s">
        <v>7</v>
      </c>
      <c r="O98" s="3">
        <f>E98-'297195 - P0224'!F98</f>
        <v>0</v>
      </c>
      <c r="P98" s="30">
        <f>I98-'297195 - P0224'!J98</f>
        <v>0</v>
      </c>
    </row>
    <row r="99" spans="1:16" x14ac:dyDescent="0.25">
      <c r="A99">
        <v>97</v>
      </c>
      <c r="C99" t="s">
        <v>8</v>
      </c>
      <c r="D99" s="4" t="s">
        <v>102</v>
      </c>
      <c r="E99" s="5">
        <v>1174</v>
      </c>
      <c r="F99" s="5">
        <v>1154</v>
      </c>
      <c r="G99" s="6">
        <f t="shared" si="33"/>
        <v>-20</v>
      </c>
      <c r="H99" s="7">
        <f t="shared" si="34"/>
        <v>-1.7035775127768313E-2</v>
      </c>
      <c r="I99" s="8">
        <v>1542.0679171513732</v>
      </c>
      <c r="J99" s="9">
        <f t="shared" si="35"/>
        <v>1515.7975948830363</v>
      </c>
      <c r="K99" s="3">
        <f t="shared" si="36"/>
        <v>-26.27032226833694</v>
      </c>
      <c r="L99" s="7">
        <f t="shared" si="37"/>
        <v>-1.7035775127768372E-2</v>
      </c>
      <c r="M99" t="s">
        <v>7</v>
      </c>
      <c r="O99" s="3">
        <f>E99-'297195 - P0224'!F99</f>
        <v>0</v>
      </c>
      <c r="P99" s="30">
        <f>I99-'297195 - P0224'!J99</f>
        <v>0</v>
      </c>
    </row>
    <row r="100" spans="1:16" x14ac:dyDescent="0.25">
      <c r="A100">
        <v>98</v>
      </c>
      <c r="D100" s="4" t="s">
        <v>103</v>
      </c>
      <c r="E100" s="5">
        <v>16.64</v>
      </c>
      <c r="F100" s="5">
        <v>16.64</v>
      </c>
      <c r="G100" s="6">
        <f t="shared" si="33"/>
        <v>0</v>
      </c>
      <c r="H100" s="7">
        <f t="shared" si="34"/>
        <v>0</v>
      </c>
      <c r="I100" s="8">
        <v>44.55</v>
      </c>
      <c r="J100" s="9">
        <f t="shared" si="35"/>
        <v>44.55</v>
      </c>
      <c r="K100" s="3">
        <f t="shared" si="36"/>
        <v>0</v>
      </c>
      <c r="L100" s="7">
        <f t="shared" si="37"/>
        <v>0</v>
      </c>
      <c r="M100" t="s">
        <v>7</v>
      </c>
      <c r="O100" s="3">
        <f>E100-'297195 - P0224'!F100</f>
        <v>0</v>
      </c>
      <c r="P100" s="30">
        <f>I100-'297195 - P0224'!J100</f>
        <v>0</v>
      </c>
    </row>
    <row r="101" spans="1:16" x14ac:dyDescent="0.25">
      <c r="A101">
        <v>99</v>
      </c>
      <c r="C101" t="s">
        <v>8</v>
      </c>
      <c r="D101" s="4" t="s">
        <v>104</v>
      </c>
      <c r="E101" s="5">
        <v>1711</v>
      </c>
      <c r="F101" s="5">
        <v>1675</v>
      </c>
      <c r="G101" s="6">
        <f t="shared" si="33"/>
        <v>-36</v>
      </c>
      <c r="H101" s="7">
        <f t="shared" si="34"/>
        <v>-2.1040327293980129E-2</v>
      </c>
      <c r="I101" s="8">
        <v>2828.8046908315569</v>
      </c>
      <c r="J101" s="9">
        <f t="shared" si="35"/>
        <v>2769.2857142857147</v>
      </c>
      <c r="K101" s="3">
        <f t="shared" si="36"/>
        <v>-59.518976545842179</v>
      </c>
      <c r="L101" s="7">
        <f t="shared" si="37"/>
        <v>-2.1040327293980112E-2</v>
      </c>
      <c r="M101" t="s">
        <v>7</v>
      </c>
      <c r="O101" s="3">
        <f>E101-'297195 - P0224'!F101</f>
        <v>0</v>
      </c>
      <c r="P101" s="30">
        <f>I101-'297195 - P0224'!J101</f>
        <v>0</v>
      </c>
    </row>
    <row r="102" spans="1:16" x14ac:dyDescent="0.25">
      <c r="A102">
        <v>100</v>
      </c>
      <c r="D102" s="2" t="s">
        <v>105</v>
      </c>
      <c r="H102" s="10">
        <f>AVERAGE(H93:H101)</f>
        <v>-4.5719915993672505E-2</v>
      </c>
      <c r="I102"/>
      <c r="L102" s="10">
        <f>AVERAGE(L93:L101)</f>
        <v>-3.9284723055307169E-2</v>
      </c>
    </row>
    <row r="103" spans="1:16" x14ac:dyDescent="0.25">
      <c r="A103">
        <v>101</v>
      </c>
      <c r="D103" s="2" t="s">
        <v>106</v>
      </c>
      <c r="G103" s="6"/>
      <c r="H103" s="7"/>
      <c r="I103"/>
      <c r="M103" t="s">
        <v>106</v>
      </c>
    </row>
    <row r="104" spans="1:16" x14ac:dyDescent="0.25">
      <c r="A104">
        <v>102</v>
      </c>
      <c r="C104" t="s">
        <v>8</v>
      </c>
      <c r="D104" s="4" t="s">
        <v>107</v>
      </c>
      <c r="E104" s="5">
        <v>46.11</v>
      </c>
      <c r="F104" s="5">
        <v>46.11</v>
      </c>
      <c r="G104" s="6">
        <f t="shared" ref="G104:G115" si="38">+F104-E104</f>
        <v>0</v>
      </c>
      <c r="H104" s="7">
        <f t="shared" ref="H104:H115" si="39">(F104-E104)/ABS(E104)</f>
        <v>0</v>
      </c>
      <c r="I104" s="8">
        <v>85.406538115384606</v>
      </c>
      <c r="J104" s="9">
        <f t="shared" ref="J104:J115" si="40">(I104*H104)+I104</f>
        <v>85.406538115384606</v>
      </c>
      <c r="K104" s="3">
        <f t="shared" ref="K104:K115" si="41">J104-I104</f>
        <v>0</v>
      </c>
      <c r="L104" s="7">
        <f t="shared" ref="L104:L115" si="42">(J104-I104)/ABS(I104)</f>
        <v>0</v>
      </c>
      <c r="M104" t="s">
        <v>106</v>
      </c>
      <c r="O104" s="3">
        <f>E104-'297195 - P0224'!F104</f>
        <v>0</v>
      </c>
      <c r="P104" s="30">
        <f>I104-'297195 - P0224'!J104</f>
        <v>0</v>
      </c>
    </row>
    <row r="105" spans="1:16" x14ac:dyDescent="0.25">
      <c r="A105">
        <v>103</v>
      </c>
      <c r="C105" t="s">
        <v>8</v>
      </c>
      <c r="D105" s="4" t="s">
        <v>108</v>
      </c>
      <c r="E105" s="5">
        <v>51.96</v>
      </c>
      <c r="F105" s="5">
        <v>51.96</v>
      </c>
      <c r="G105" s="6">
        <f t="shared" si="38"/>
        <v>0</v>
      </c>
      <c r="H105" s="7">
        <f t="shared" si="39"/>
        <v>0</v>
      </c>
      <c r="I105" s="8">
        <v>80.176901208617949</v>
      </c>
      <c r="J105" s="9">
        <f t="shared" si="40"/>
        <v>80.176901208617949</v>
      </c>
      <c r="K105" s="3">
        <f>J105-I105</f>
        <v>0</v>
      </c>
      <c r="L105" s="7">
        <f>(J105-I105)/ABS(I105)</f>
        <v>0</v>
      </c>
      <c r="M105" t="s">
        <v>106</v>
      </c>
      <c r="O105" s="3">
        <f>E105-'297195 - P0224'!F105</f>
        <v>0</v>
      </c>
      <c r="P105" s="30">
        <f>I105-'297195 - P0224'!J105</f>
        <v>0</v>
      </c>
    </row>
    <row r="106" spans="1:16" x14ac:dyDescent="0.25">
      <c r="A106">
        <v>104</v>
      </c>
      <c r="C106" t="s">
        <v>8</v>
      </c>
      <c r="D106" s="4" t="s">
        <v>109</v>
      </c>
      <c r="E106" s="12">
        <v>3.19</v>
      </c>
      <c r="F106" s="12">
        <v>3.19</v>
      </c>
      <c r="G106" s="6">
        <f t="shared" si="38"/>
        <v>0</v>
      </c>
      <c r="H106" s="7">
        <f t="shared" si="39"/>
        <v>0</v>
      </c>
      <c r="I106" s="8">
        <v>3.8745328209552197</v>
      </c>
      <c r="J106" s="9">
        <f t="shared" si="40"/>
        <v>3.8745328209552197</v>
      </c>
      <c r="K106" s="3">
        <f t="shared" si="41"/>
        <v>0</v>
      </c>
      <c r="L106" s="7">
        <f t="shared" si="42"/>
        <v>0</v>
      </c>
      <c r="M106" t="s">
        <v>106</v>
      </c>
      <c r="O106" s="3">
        <f>E106-'297195 - P0224'!F106</f>
        <v>0</v>
      </c>
      <c r="P106" s="30">
        <f>I106-'297195 - P0224'!J106</f>
        <v>0</v>
      </c>
    </row>
    <row r="107" spans="1:16" x14ac:dyDescent="0.25">
      <c r="A107">
        <v>105</v>
      </c>
      <c r="C107" t="s">
        <v>8</v>
      </c>
      <c r="D107" s="4" t="s">
        <v>110</v>
      </c>
      <c r="E107" s="12">
        <v>3.48</v>
      </c>
      <c r="F107" s="12">
        <v>3.48</v>
      </c>
      <c r="G107" s="6">
        <f t="shared" si="38"/>
        <v>0</v>
      </c>
      <c r="H107" s="7">
        <f t="shared" si="39"/>
        <v>0</v>
      </c>
      <c r="I107" s="8">
        <v>4.0655928193903108</v>
      </c>
      <c r="J107" s="9">
        <f t="shared" si="40"/>
        <v>4.0655928193903108</v>
      </c>
      <c r="K107" s="3">
        <f t="shared" si="41"/>
        <v>0</v>
      </c>
      <c r="L107" s="7">
        <f t="shared" si="42"/>
        <v>0</v>
      </c>
      <c r="M107" t="s">
        <v>106</v>
      </c>
      <c r="O107" s="3">
        <f>E107-'297195 - P0224'!F107</f>
        <v>0</v>
      </c>
      <c r="P107" s="30">
        <f>I107-'297195 - P0224'!J107</f>
        <v>0</v>
      </c>
    </row>
    <row r="108" spans="1:16" x14ac:dyDescent="0.25">
      <c r="A108">
        <v>106</v>
      </c>
      <c r="C108" t="s">
        <v>8</v>
      </c>
      <c r="D108" s="4" t="s">
        <v>111</v>
      </c>
      <c r="E108" s="12">
        <v>7.89</v>
      </c>
      <c r="F108" s="12">
        <v>7.89</v>
      </c>
      <c r="G108" s="6">
        <f t="shared" si="38"/>
        <v>0</v>
      </c>
      <c r="H108" s="7">
        <f t="shared" si="39"/>
        <v>0</v>
      </c>
      <c r="I108" s="8">
        <v>8.9203191080353719</v>
      </c>
      <c r="J108" s="9">
        <f t="shared" si="40"/>
        <v>8.9203191080353719</v>
      </c>
      <c r="K108" s="3">
        <f t="shared" si="41"/>
        <v>0</v>
      </c>
      <c r="L108" s="7">
        <f t="shared" si="42"/>
        <v>0</v>
      </c>
      <c r="M108" t="s">
        <v>106</v>
      </c>
      <c r="O108" s="3">
        <f>E108-'297195 - P0224'!F108</f>
        <v>0</v>
      </c>
      <c r="P108" s="30">
        <f>I108-'297195 - P0224'!J108</f>
        <v>0</v>
      </c>
    </row>
    <row r="109" spans="1:16" x14ac:dyDescent="0.25">
      <c r="A109">
        <v>107</v>
      </c>
      <c r="C109" t="s">
        <v>8</v>
      </c>
      <c r="D109" s="4" t="s">
        <v>112</v>
      </c>
      <c r="E109" s="12">
        <v>9.34</v>
      </c>
      <c r="F109" s="12">
        <v>9.34</v>
      </c>
      <c r="G109" s="6">
        <f t="shared" si="38"/>
        <v>0</v>
      </c>
      <c r="H109" s="7">
        <f t="shared" si="39"/>
        <v>0</v>
      </c>
      <c r="I109" s="8">
        <v>10.432893234927514</v>
      </c>
      <c r="J109" s="9">
        <f t="shared" si="40"/>
        <v>10.432893234927514</v>
      </c>
      <c r="K109" s="3">
        <f t="shared" si="41"/>
        <v>0</v>
      </c>
      <c r="L109" s="7">
        <f t="shared" si="42"/>
        <v>0</v>
      </c>
      <c r="M109" t="s">
        <v>106</v>
      </c>
      <c r="O109" s="3">
        <f>E109-'297195 - P0224'!F109</f>
        <v>0</v>
      </c>
      <c r="P109" s="30">
        <f>I109-'297195 - P0224'!J109</f>
        <v>0</v>
      </c>
    </row>
    <row r="110" spans="1:16" x14ac:dyDescent="0.25">
      <c r="A110">
        <v>108</v>
      </c>
      <c r="C110" t="s">
        <v>8</v>
      </c>
      <c r="D110" s="4" t="s">
        <v>113</v>
      </c>
      <c r="E110" s="12">
        <v>3.79</v>
      </c>
      <c r="F110" s="12">
        <v>3.79</v>
      </c>
      <c r="G110" s="6">
        <f t="shared" si="38"/>
        <v>0</v>
      </c>
      <c r="H110" s="7">
        <f t="shared" si="39"/>
        <v>0</v>
      </c>
      <c r="I110" s="8">
        <v>5.2944973572314407</v>
      </c>
      <c r="J110" s="9">
        <f t="shared" si="40"/>
        <v>5.2944973572314407</v>
      </c>
      <c r="K110" s="3">
        <f>J110-I110</f>
        <v>0</v>
      </c>
      <c r="L110" s="7">
        <f>(J110-I110)/ABS(I110)</f>
        <v>0</v>
      </c>
      <c r="M110" t="s">
        <v>106</v>
      </c>
      <c r="O110" s="3">
        <f>E110-'297195 - P0224'!F110</f>
        <v>0</v>
      </c>
      <c r="P110" s="30">
        <f>I110-'297195 - P0224'!J110</f>
        <v>0</v>
      </c>
    </row>
    <row r="111" spans="1:16" x14ac:dyDescent="0.25">
      <c r="A111">
        <v>109</v>
      </c>
      <c r="C111" t="s">
        <v>8</v>
      </c>
      <c r="D111" s="4" t="s">
        <v>114</v>
      </c>
      <c r="E111" s="12">
        <v>4.95</v>
      </c>
      <c r="F111" s="12">
        <v>4.95</v>
      </c>
      <c r="G111" s="6">
        <f t="shared" si="38"/>
        <v>0</v>
      </c>
      <c r="H111" s="7">
        <f t="shared" si="39"/>
        <v>0</v>
      </c>
      <c r="I111" s="8">
        <v>6.6523403553892901</v>
      </c>
      <c r="J111" s="9">
        <f t="shared" si="40"/>
        <v>6.6523403553892901</v>
      </c>
      <c r="K111" s="3">
        <f t="shared" si="41"/>
        <v>0</v>
      </c>
      <c r="L111" s="7">
        <f t="shared" si="42"/>
        <v>0</v>
      </c>
      <c r="M111" t="s">
        <v>106</v>
      </c>
      <c r="O111" s="3">
        <f>E111-'297195 - P0224'!F111</f>
        <v>0</v>
      </c>
      <c r="P111" s="30">
        <f>I111-'297195 - P0224'!J111</f>
        <v>0</v>
      </c>
    </row>
    <row r="112" spans="1:16" x14ac:dyDescent="0.25">
      <c r="A112">
        <v>110</v>
      </c>
      <c r="C112" t="s">
        <v>8</v>
      </c>
      <c r="D112" s="4" t="s">
        <v>115</v>
      </c>
      <c r="E112" s="12">
        <v>6.16</v>
      </c>
      <c r="F112" s="12">
        <v>6.16</v>
      </c>
      <c r="G112" s="6">
        <f t="shared" si="38"/>
        <v>0</v>
      </c>
      <c r="H112" s="7">
        <f t="shared" si="39"/>
        <v>0</v>
      </c>
      <c r="I112" s="8">
        <v>7.8767696532032376</v>
      </c>
      <c r="J112" s="9">
        <f t="shared" si="40"/>
        <v>7.8767696532032376</v>
      </c>
      <c r="K112" s="3">
        <f t="shared" si="41"/>
        <v>0</v>
      </c>
      <c r="L112" s="7">
        <f t="shared" si="42"/>
        <v>0</v>
      </c>
      <c r="M112" t="s">
        <v>106</v>
      </c>
      <c r="O112" s="3">
        <f>E112-'297195 - P0224'!F112</f>
        <v>0</v>
      </c>
      <c r="P112" s="30">
        <f>I112-'297195 - P0224'!J112</f>
        <v>0</v>
      </c>
    </row>
    <row r="113" spans="1:16" x14ac:dyDescent="0.25">
      <c r="A113">
        <v>111</v>
      </c>
      <c r="C113" t="s">
        <v>8</v>
      </c>
      <c r="D113" s="4" t="s">
        <v>116</v>
      </c>
      <c r="E113" s="12">
        <v>7.33</v>
      </c>
      <c r="F113" s="12">
        <v>7.33</v>
      </c>
      <c r="G113" s="6">
        <f t="shared" si="38"/>
        <v>0</v>
      </c>
      <c r="H113" s="7">
        <f t="shared" si="39"/>
        <v>0</v>
      </c>
      <c r="I113" s="8">
        <v>9.6975016766020872</v>
      </c>
      <c r="J113" s="9">
        <f t="shared" si="40"/>
        <v>9.6975016766020872</v>
      </c>
      <c r="K113" s="3">
        <f t="shared" si="41"/>
        <v>0</v>
      </c>
      <c r="L113" s="7">
        <f t="shared" si="42"/>
        <v>0</v>
      </c>
      <c r="M113" t="s">
        <v>106</v>
      </c>
      <c r="O113" s="3">
        <f>E113-'297195 - P0224'!F113</f>
        <v>0</v>
      </c>
      <c r="P113" s="30">
        <f>I113-'297195 - P0224'!J113</f>
        <v>0</v>
      </c>
    </row>
    <row r="114" spans="1:16" x14ac:dyDescent="0.25">
      <c r="A114">
        <v>112</v>
      </c>
      <c r="C114" t="s">
        <v>8</v>
      </c>
      <c r="D114" s="4" t="s">
        <v>117</v>
      </c>
      <c r="E114" s="12">
        <v>8.39</v>
      </c>
      <c r="F114" s="12">
        <v>8.39</v>
      </c>
      <c r="G114" s="6">
        <f t="shared" si="38"/>
        <v>0</v>
      </c>
      <c r="H114" s="7">
        <f t="shared" si="39"/>
        <v>0</v>
      </c>
      <c r="I114" s="8">
        <v>9.9493819659061415</v>
      </c>
      <c r="J114" s="9">
        <f t="shared" si="40"/>
        <v>9.9493819659061415</v>
      </c>
      <c r="K114" s="3">
        <f t="shared" si="41"/>
        <v>0</v>
      </c>
      <c r="L114" s="7">
        <f t="shared" si="42"/>
        <v>0</v>
      </c>
      <c r="M114" t="s">
        <v>106</v>
      </c>
      <c r="O114" s="3">
        <f>E114-'297195 - P0224'!F114</f>
        <v>0</v>
      </c>
      <c r="P114" s="30">
        <f>I114-'297195 - P0224'!J114</f>
        <v>0</v>
      </c>
    </row>
    <row r="115" spans="1:16" x14ac:dyDescent="0.25">
      <c r="A115">
        <v>113</v>
      </c>
      <c r="C115" t="s">
        <v>8</v>
      </c>
      <c r="D115" s="4" t="s">
        <v>118</v>
      </c>
      <c r="E115" s="12">
        <v>9.39</v>
      </c>
      <c r="F115" s="12">
        <v>9.39</v>
      </c>
      <c r="G115" s="6">
        <f t="shared" si="38"/>
        <v>0</v>
      </c>
      <c r="H115" s="7">
        <f t="shared" si="39"/>
        <v>0</v>
      </c>
      <c r="I115" s="8">
        <v>11.783981312354875</v>
      </c>
      <c r="J115" s="9">
        <f t="shared" si="40"/>
        <v>11.783981312354875</v>
      </c>
      <c r="K115" s="3">
        <f t="shared" si="41"/>
        <v>0</v>
      </c>
      <c r="L115" s="7">
        <f t="shared" si="42"/>
        <v>0</v>
      </c>
      <c r="M115" t="s">
        <v>106</v>
      </c>
      <c r="O115" s="3">
        <f>E115-'297195 - P0224'!F115</f>
        <v>0</v>
      </c>
      <c r="P115" s="30">
        <f>I115-'297195 - P0224'!J115</f>
        <v>0</v>
      </c>
    </row>
    <row r="116" spans="1:16" x14ac:dyDescent="0.25">
      <c r="A116">
        <v>114</v>
      </c>
      <c r="D116" s="2" t="s">
        <v>119</v>
      </c>
      <c r="H116" s="10">
        <f>AVERAGE(H104:H115)</f>
        <v>0</v>
      </c>
      <c r="I116"/>
      <c r="L116" s="10">
        <f>AVERAGE(L104:L115)</f>
        <v>0</v>
      </c>
    </row>
    <row r="117" spans="1:16" x14ac:dyDescent="0.25">
      <c r="A117">
        <v>115</v>
      </c>
      <c r="D117" s="2" t="s">
        <v>120</v>
      </c>
      <c r="I117"/>
      <c r="M117" t="s">
        <v>121</v>
      </c>
    </row>
    <row r="118" spans="1:16" x14ac:dyDescent="0.25">
      <c r="A118">
        <v>116</v>
      </c>
      <c r="C118" t="s">
        <v>8</v>
      </c>
      <c r="D118" s="4" t="s">
        <v>456</v>
      </c>
      <c r="E118" s="12">
        <v>6.3</v>
      </c>
      <c r="F118" s="11">
        <v>6.3</v>
      </c>
      <c r="G118" s="13">
        <f t="shared" ref="G118:G153" si="43">+F118-E118</f>
        <v>0</v>
      </c>
      <c r="H118" s="7">
        <f t="shared" ref="H118:H155" si="44">(F118-E118)/ABS(E118)</f>
        <v>0</v>
      </c>
      <c r="I118" s="8">
        <v>8.2214999999999989</v>
      </c>
      <c r="J118" s="9">
        <f t="shared" ref="J118:J155" si="45">(I118*H118)+I118</f>
        <v>8.2214999999999989</v>
      </c>
      <c r="K118" s="3">
        <f t="shared" ref="K118:K155" si="46">J118-I118</f>
        <v>0</v>
      </c>
      <c r="L118" s="7">
        <f t="shared" ref="L118:L155" si="47">(J118-I118)/ABS(I118)</f>
        <v>0</v>
      </c>
      <c r="M118" t="s">
        <v>121</v>
      </c>
      <c r="O118" s="3">
        <f>E118-'297195 - P0224'!F118</f>
        <v>0</v>
      </c>
      <c r="P118" s="30">
        <f>I118-'297195 - P0224'!J118</f>
        <v>0</v>
      </c>
    </row>
    <row r="119" spans="1:16" x14ac:dyDescent="0.25">
      <c r="A119">
        <v>117</v>
      </c>
      <c r="C119" t="s">
        <v>8</v>
      </c>
      <c r="D119" s="4" t="s">
        <v>457</v>
      </c>
      <c r="E119" s="12">
        <v>6.93</v>
      </c>
      <c r="F119" s="11">
        <v>6.93</v>
      </c>
      <c r="G119" s="13">
        <f t="shared" si="43"/>
        <v>0</v>
      </c>
      <c r="H119" s="7">
        <f t="shared" si="44"/>
        <v>0</v>
      </c>
      <c r="I119" s="8">
        <v>9.3345000000000002</v>
      </c>
      <c r="J119" s="25">
        <v>8.9245000000000001</v>
      </c>
      <c r="K119" s="3">
        <f t="shared" si="46"/>
        <v>-0.41000000000000014</v>
      </c>
      <c r="L119" s="7">
        <f t="shared" si="47"/>
        <v>-4.392308104344101E-2</v>
      </c>
      <c r="M119" t="s">
        <v>121</v>
      </c>
      <c r="O119" s="3">
        <f>E119-'297195 - P0224'!F119</f>
        <v>0</v>
      </c>
      <c r="P119" s="30">
        <f>I119-'297195 - P0224'!J119</f>
        <v>0</v>
      </c>
    </row>
    <row r="120" spans="1:16" x14ac:dyDescent="0.25">
      <c r="A120">
        <v>118</v>
      </c>
      <c r="C120" t="s">
        <v>8</v>
      </c>
      <c r="D120" s="4" t="s">
        <v>458</v>
      </c>
      <c r="E120" s="12">
        <v>7.98</v>
      </c>
      <c r="F120" s="11">
        <v>7.98</v>
      </c>
      <c r="G120" s="13">
        <f t="shared" si="43"/>
        <v>0</v>
      </c>
      <c r="H120" s="7">
        <f t="shared" si="44"/>
        <v>0</v>
      </c>
      <c r="I120" s="8">
        <v>10.762500000000001</v>
      </c>
      <c r="J120" s="9">
        <f t="shared" si="45"/>
        <v>10.762500000000001</v>
      </c>
      <c r="K120" s="3">
        <f t="shared" si="46"/>
        <v>0</v>
      </c>
      <c r="L120" s="7">
        <f t="shared" si="47"/>
        <v>0</v>
      </c>
      <c r="M120" t="s">
        <v>121</v>
      </c>
      <c r="O120" s="3">
        <f>E120-'297195 - P0224'!F120</f>
        <v>0</v>
      </c>
      <c r="P120" s="30">
        <f>I120-'297195 - P0224'!J120</f>
        <v>0</v>
      </c>
    </row>
    <row r="121" spans="1:16" x14ac:dyDescent="0.25">
      <c r="A121">
        <v>119</v>
      </c>
      <c r="C121" t="s">
        <v>8</v>
      </c>
      <c r="D121" s="4" t="s">
        <v>460</v>
      </c>
      <c r="E121" s="12">
        <v>10.08</v>
      </c>
      <c r="F121" s="11">
        <v>10.08</v>
      </c>
      <c r="G121" s="6">
        <f t="shared" si="43"/>
        <v>0</v>
      </c>
      <c r="H121" s="7">
        <f t="shared" si="44"/>
        <v>0</v>
      </c>
      <c r="I121" s="8">
        <v>14.563499999999999</v>
      </c>
      <c r="J121" s="9">
        <f t="shared" si="45"/>
        <v>14.563499999999999</v>
      </c>
      <c r="K121" s="3">
        <f t="shared" si="46"/>
        <v>0</v>
      </c>
      <c r="L121" s="7">
        <f t="shared" si="47"/>
        <v>0</v>
      </c>
      <c r="M121" t="s">
        <v>121</v>
      </c>
      <c r="O121" s="3">
        <f>E121-'297195 - P0224'!F121</f>
        <v>0</v>
      </c>
      <c r="P121" s="30">
        <f>I121-'297195 - P0224'!J121</f>
        <v>0</v>
      </c>
    </row>
    <row r="122" spans="1:16" x14ac:dyDescent="0.25">
      <c r="A122">
        <v>120</v>
      </c>
      <c r="C122" t="s">
        <v>8</v>
      </c>
      <c r="D122" s="4" t="s">
        <v>459</v>
      </c>
      <c r="E122" s="14">
        <v>26.88</v>
      </c>
      <c r="F122" s="33">
        <v>26.88</v>
      </c>
      <c r="G122" s="6">
        <f t="shared" si="43"/>
        <v>0</v>
      </c>
      <c r="H122" s="7">
        <f t="shared" si="44"/>
        <v>0</v>
      </c>
      <c r="I122" s="8">
        <v>39.973499999999994</v>
      </c>
      <c r="J122" s="9">
        <f t="shared" si="45"/>
        <v>39.973499999999994</v>
      </c>
      <c r="K122" s="3">
        <f t="shared" si="46"/>
        <v>0</v>
      </c>
      <c r="L122" s="7">
        <f t="shared" si="47"/>
        <v>0</v>
      </c>
      <c r="M122" t="s">
        <v>121</v>
      </c>
      <c r="O122" s="3">
        <f>E122-'297195 - P0224'!F122</f>
        <v>0</v>
      </c>
      <c r="P122" s="30">
        <f>I122-'297195 - P0224'!J122</f>
        <v>0</v>
      </c>
    </row>
    <row r="123" spans="1:16" x14ac:dyDescent="0.25">
      <c r="A123">
        <v>121</v>
      </c>
      <c r="C123" t="s">
        <v>8</v>
      </c>
      <c r="D123" s="4" t="s">
        <v>122</v>
      </c>
      <c r="E123" s="12">
        <v>6.25</v>
      </c>
      <c r="F123" s="11">
        <v>6.25</v>
      </c>
      <c r="G123" s="6">
        <f t="shared" si="43"/>
        <v>0</v>
      </c>
      <c r="H123" s="7">
        <f t="shared" si="44"/>
        <v>0</v>
      </c>
      <c r="I123" s="8">
        <v>8.1909035100390017</v>
      </c>
      <c r="J123" s="25">
        <v>6.930903510039002</v>
      </c>
      <c r="K123" s="3">
        <f t="shared" si="46"/>
        <v>-1.2599999999999998</v>
      </c>
      <c r="L123" s="7">
        <f t="shared" si="47"/>
        <v>-0.15382918361273679</v>
      </c>
      <c r="M123" t="s">
        <v>121</v>
      </c>
      <c r="O123" s="3">
        <f>E123-'297195 - P0224'!F123</f>
        <v>0</v>
      </c>
      <c r="P123" s="30">
        <f>I123-'297195 - P0224'!J123</f>
        <v>0</v>
      </c>
    </row>
    <row r="124" spans="1:16" x14ac:dyDescent="0.25">
      <c r="A124">
        <v>122</v>
      </c>
      <c r="C124" t="s">
        <v>8</v>
      </c>
      <c r="D124" s="4" t="s">
        <v>123</v>
      </c>
      <c r="E124" s="12">
        <v>8.6300000000000008</v>
      </c>
      <c r="F124" s="11">
        <v>8.6300000000000008</v>
      </c>
      <c r="G124" s="13">
        <f t="shared" si="43"/>
        <v>0</v>
      </c>
      <c r="H124" s="7">
        <f t="shared" si="44"/>
        <v>0</v>
      </c>
      <c r="I124" s="8">
        <v>10.447388688327317</v>
      </c>
      <c r="J124" s="25">
        <v>8.7073886883273168</v>
      </c>
      <c r="K124" s="3">
        <f t="shared" si="46"/>
        <v>-1.7400000000000002</v>
      </c>
      <c r="L124" s="7">
        <f t="shared" si="47"/>
        <v>-0.16654879529313113</v>
      </c>
      <c r="M124" t="s">
        <v>121</v>
      </c>
      <c r="O124" s="3">
        <f>E124-'297195 - P0224'!F124</f>
        <v>0</v>
      </c>
      <c r="P124" s="30">
        <f>I124-'297195 - P0224'!J124</f>
        <v>0</v>
      </c>
    </row>
    <row r="125" spans="1:16" x14ac:dyDescent="0.25">
      <c r="A125">
        <v>123</v>
      </c>
      <c r="C125" t="s">
        <v>8</v>
      </c>
      <c r="D125" s="4" t="s">
        <v>124</v>
      </c>
      <c r="E125" s="12">
        <v>9.82</v>
      </c>
      <c r="F125" s="11">
        <v>9.82</v>
      </c>
      <c r="G125" s="13">
        <f t="shared" si="43"/>
        <v>0</v>
      </c>
      <c r="H125" s="7">
        <f t="shared" si="44"/>
        <v>0</v>
      </c>
      <c r="I125" s="8">
        <v>12.802370370370372</v>
      </c>
      <c r="J125" s="25">
        <v>10.822370370370372</v>
      </c>
      <c r="K125" s="3">
        <f t="shared" si="46"/>
        <v>-1.9800000000000004</v>
      </c>
      <c r="L125" s="7">
        <f t="shared" si="47"/>
        <v>-0.15465885947046845</v>
      </c>
      <c r="M125" t="s">
        <v>121</v>
      </c>
      <c r="O125" s="3">
        <f>E125-'297195 - P0224'!F125</f>
        <v>0</v>
      </c>
      <c r="P125" s="30">
        <f>I125-'297195 - P0224'!J125</f>
        <v>0</v>
      </c>
    </row>
    <row r="126" spans="1:16" x14ac:dyDescent="0.25">
      <c r="A126">
        <v>124</v>
      </c>
      <c r="C126" t="s">
        <v>8</v>
      </c>
      <c r="D126" s="4" t="s">
        <v>125</v>
      </c>
      <c r="E126" s="12">
        <v>11.01</v>
      </c>
      <c r="F126" s="11">
        <v>11.01</v>
      </c>
      <c r="G126" s="13">
        <f t="shared" si="43"/>
        <v>0</v>
      </c>
      <c r="H126" s="7">
        <f t="shared" si="44"/>
        <v>0</v>
      </c>
      <c r="I126" s="8">
        <v>14.738858490566038</v>
      </c>
      <c r="J126" s="25">
        <v>12.518858490566037</v>
      </c>
      <c r="K126" s="3">
        <f t="shared" si="46"/>
        <v>-2.2200000000000006</v>
      </c>
      <c r="L126" s="7">
        <f t="shared" si="47"/>
        <v>-0.15062224808121777</v>
      </c>
      <c r="M126" t="s">
        <v>121</v>
      </c>
      <c r="O126" s="3">
        <f>E126-'297195 - P0224'!F126</f>
        <v>0</v>
      </c>
      <c r="P126" s="30">
        <f>I126-'297195 - P0224'!J126</f>
        <v>0</v>
      </c>
    </row>
    <row r="127" spans="1:16" x14ac:dyDescent="0.25">
      <c r="A127">
        <v>125</v>
      </c>
      <c r="C127" t="s">
        <v>8</v>
      </c>
      <c r="D127" s="4" t="s">
        <v>126</v>
      </c>
      <c r="E127" s="12">
        <v>12.13</v>
      </c>
      <c r="F127" s="11">
        <v>12.13</v>
      </c>
      <c r="G127" s="6">
        <f t="shared" si="43"/>
        <v>0</v>
      </c>
      <c r="H127" s="7">
        <f t="shared" si="44"/>
        <v>0</v>
      </c>
      <c r="I127" s="8">
        <v>15.972551369863016</v>
      </c>
      <c r="J127" s="25">
        <v>13.092551369863015</v>
      </c>
      <c r="K127" s="3">
        <f t="shared" si="46"/>
        <v>-2.8800000000000008</v>
      </c>
      <c r="L127" s="7">
        <f t="shared" si="47"/>
        <v>-0.18030932775298381</v>
      </c>
      <c r="M127" t="s">
        <v>121</v>
      </c>
      <c r="O127" s="3">
        <f>E127-'297195 - P0224'!F127</f>
        <v>0</v>
      </c>
      <c r="P127" s="30">
        <f>I127-'297195 - P0224'!J127</f>
        <v>0</v>
      </c>
    </row>
    <row r="128" spans="1:16" x14ac:dyDescent="0.25">
      <c r="A128">
        <v>126</v>
      </c>
      <c r="C128" t="s">
        <v>8</v>
      </c>
      <c r="D128" s="4" t="s">
        <v>127</v>
      </c>
      <c r="E128" s="12">
        <v>16.18</v>
      </c>
      <c r="F128" s="11">
        <v>16.18</v>
      </c>
      <c r="G128" s="6">
        <f t="shared" si="43"/>
        <v>0</v>
      </c>
      <c r="H128" s="7">
        <f t="shared" si="44"/>
        <v>0</v>
      </c>
      <c r="I128" s="8">
        <v>21.971712053429638</v>
      </c>
      <c r="J128" s="25">
        <v>18.131712053429638</v>
      </c>
      <c r="K128" s="3">
        <f t="shared" si="46"/>
        <v>-3.84</v>
      </c>
      <c r="L128" s="7">
        <f t="shared" si="47"/>
        <v>-0.17477017679196288</v>
      </c>
      <c r="M128" t="s">
        <v>121</v>
      </c>
      <c r="O128" s="3">
        <f>E128-'297195 - P0224'!F128</f>
        <v>0</v>
      </c>
      <c r="P128" s="30">
        <f>I128-'297195 - P0224'!J128</f>
        <v>0</v>
      </c>
    </row>
    <row r="129" spans="1:16" x14ac:dyDescent="0.25">
      <c r="A129">
        <v>127</v>
      </c>
      <c r="C129" t="s">
        <v>8</v>
      </c>
      <c r="D129" s="4" t="s">
        <v>128</v>
      </c>
      <c r="E129" s="12">
        <v>7.18</v>
      </c>
      <c r="F129" s="11">
        <v>7.18</v>
      </c>
      <c r="G129" s="6">
        <f t="shared" si="43"/>
        <v>0</v>
      </c>
      <c r="H129" s="7">
        <f t="shared" si="44"/>
        <v>0</v>
      </c>
      <c r="I129" s="8">
        <v>9.8881221902017273</v>
      </c>
      <c r="J129" s="25">
        <v>8.8881221902017273</v>
      </c>
      <c r="K129" s="3">
        <f t="shared" si="46"/>
        <v>-1</v>
      </c>
      <c r="L129" s="7">
        <f t="shared" si="47"/>
        <v>-0.10113143636017295</v>
      </c>
      <c r="M129" t="s">
        <v>121</v>
      </c>
      <c r="O129" s="3">
        <f>E129-'297195 - P0224'!F129</f>
        <v>0</v>
      </c>
      <c r="P129" s="30">
        <f>I129-'297195 - P0224'!J129</f>
        <v>0</v>
      </c>
    </row>
    <row r="130" spans="1:16" x14ac:dyDescent="0.25">
      <c r="A130">
        <v>128</v>
      </c>
      <c r="C130" t="s">
        <v>8</v>
      </c>
      <c r="D130" s="22" t="s">
        <v>504</v>
      </c>
      <c r="E130" s="12">
        <v>7.18</v>
      </c>
      <c r="F130" s="11">
        <v>7.18</v>
      </c>
      <c r="G130" s="6">
        <f t="shared" si="43"/>
        <v>0</v>
      </c>
      <c r="H130" s="7">
        <f t="shared" si="44"/>
        <v>0</v>
      </c>
      <c r="I130" s="8">
        <v>9.8881221902017273</v>
      </c>
      <c r="J130" s="25">
        <v>8.8881221902017273</v>
      </c>
      <c r="K130" s="3">
        <f t="shared" si="46"/>
        <v>-1</v>
      </c>
      <c r="L130" s="7">
        <f t="shared" si="47"/>
        <v>-0.10113143636017295</v>
      </c>
      <c r="M130" t="s">
        <v>121</v>
      </c>
      <c r="O130" s="3">
        <f>E130-'297195 - P0224'!F130</f>
        <v>0</v>
      </c>
      <c r="P130" s="30">
        <f>I130-'297195 - P0224'!J130</f>
        <v>0</v>
      </c>
    </row>
    <row r="131" spans="1:16" x14ac:dyDescent="0.25">
      <c r="A131">
        <v>129</v>
      </c>
      <c r="C131" t="s">
        <v>8</v>
      </c>
      <c r="D131" s="4" t="s">
        <v>129</v>
      </c>
      <c r="E131" s="12">
        <v>31.782399999999999</v>
      </c>
      <c r="F131" s="11">
        <v>31.782399999999999</v>
      </c>
      <c r="G131" s="6">
        <f t="shared" si="43"/>
        <v>0</v>
      </c>
      <c r="H131" s="7">
        <f t="shared" si="44"/>
        <v>0</v>
      </c>
      <c r="I131" s="8">
        <v>42.795999999999999</v>
      </c>
      <c r="J131" s="9">
        <f t="shared" si="45"/>
        <v>42.795999999999999</v>
      </c>
      <c r="K131" s="3">
        <f t="shared" si="46"/>
        <v>0</v>
      </c>
      <c r="L131" s="7">
        <f t="shared" si="47"/>
        <v>0</v>
      </c>
      <c r="M131" t="s">
        <v>121</v>
      </c>
      <c r="O131" s="3">
        <f>E131-'297195 - P0224'!F131</f>
        <v>0</v>
      </c>
      <c r="P131" s="30">
        <f>I131-'297195 - P0224'!J131</f>
        <v>0</v>
      </c>
    </row>
    <row r="132" spans="1:16" x14ac:dyDescent="0.25">
      <c r="A132">
        <v>130</v>
      </c>
      <c r="C132" t="s">
        <v>8</v>
      </c>
      <c r="D132" s="4" t="s">
        <v>130</v>
      </c>
      <c r="E132" s="14">
        <v>38.08</v>
      </c>
      <c r="F132" s="33">
        <v>38.08</v>
      </c>
      <c r="G132" s="6">
        <f t="shared" si="43"/>
        <v>0</v>
      </c>
      <c r="H132" s="7">
        <f t="shared" si="44"/>
        <v>0</v>
      </c>
      <c r="I132" s="8">
        <v>51.185252249795468</v>
      </c>
      <c r="J132" s="25">
        <v>43.505252249795468</v>
      </c>
      <c r="K132" s="3">
        <f t="shared" si="46"/>
        <v>-7.68</v>
      </c>
      <c r="L132" s="7">
        <f t="shared" si="47"/>
        <v>-0.15004321874824186</v>
      </c>
      <c r="M132" t="s">
        <v>121</v>
      </c>
      <c r="O132" s="3">
        <f>E132-'297195 - P0224'!F132</f>
        <v>0</v>
      </c>
      <c r="P132" s="30">
        <f>I132-'297195 - P0224'!J132</f>
        <v>0</v>
      </c>
    </row>
    <row r="133" spans="1:16" x14ac:dyDescent="0.25">
      <c r="A133">
        <v>131</v>
      </c>
      <c r="C133" t="s">
        <v>8</v>
      </c>
      <c r="D133" s="4" t="s">
        <v>131</v>
      </c>
      <c r="E133" s="14">
        <v>38.08</v>
      </c>
      <c r="F133" s="33">
        <v>38.08</v>
      </c>
      <c r="G133" s="6">
        <f t="shared" si="43"/>
        <v>0</v>
      </c>
      <c r="H133" s="7">
        <f t="shared" si="44"/>
        <v>0</v>
      </c>
      <c r="I133" s="8">
        <v>57.541818816471228</v>
      </c>
      <c r="J133" s="9">
        <f t="shared" si="45"/>
        <v>57.541818816471228</v>
      </c>
      <c r="K133" s="3">
        <f t="shared" si="46"/>
        <v>0</v>
      </c>
      <c r="L133" s="7">
        <f t="shared" si="47"/>
        <v>0</v>
      </c>
      <c r="M133" t="s">
        <v>121</v>
      </c>
      <c r="O133" s="3">
        <f>E133-'297195 - P0224'!F133</f>
        <v>0</v>
      </c>
      <c r="P133" s="30">
        <f>I133-'297195 - P0224'!J133</f>
        <v>0</v>
      </c>
    </row>
    <row r="134" spans="1:16" x14ac:dyDescent="0.25">
      <c r="A134">
        <v>132</v>
      </c>
      <c r="C134" t="s">
        <v>8</v>
      </c>
      <c r="D134" s="4" t="s">
        <v>132</v>
      </c>
      <c r="E134" s="12">
        <v>15.8436</v>
      </c>
      <c r="F134" s="11">
        <v>15.8436</v>
      </c>
      <c r="G134" s="6">
        <f t="shared" si="43"/>
        <v>0</v>
      </c>
      <c r="H134" s="7">
        <f t="shared" si="44"/>
        <v>0</v>
      </c>
      <c r="I134" s="8">
        <v>22.464000000000002</v>
      </c>
      <c r="J134" s="25">
        <f>(I134*H134)+I134+K127</f>
        <v>19.584000000000003</v>
      </c>
      <c r="K134" s="3">
        <f t="shared" si="46"/>
        <v>-2.879999999999999</v>
      </c>
      <c r="L134" s="7">
        <f t="shared" si="47"/>
        <v>-0.12820512820512814</v>
      </c>
      <c r="M134" t="s">
        <v>121</v>
      </c>
      <c r="O134" s="3">
        <f>E134-'297195 - P0224'!F134</f>
        <v>0</v>
      </c>
      <c r="P134" s="30">
        <f>I134-'297195 - P0224'!J134</f>
        <v>0</v>
      </c>
    </row>
    <row r="135" spans="1:16" x14ac:dyDescent="0.25">
      <c r="A135">
        <v>133</v>
      </c>
      <c r="C135" t="s">
        <v>8</v>
      </c>
      <c r="D135" s="4" t="s">
        <v>133</v>
      </c>
      <c r="E135" s="12">
        <v>36.493200000000002</v>
      </c>
      <c r="F135" s="11">
        <v>36.493200000000002</v>
      </c>
      <c r="G135" s="6">
        <f t="shared" si="43"/>
        <v>0</v>
      </c>
      <c r="H135" s="7">
        <f t="shared" si="44"/>
        <v>0</v>
      </c>
      <c r="I135" s="8">
        <v>45.4788</v>
      </c>
      <c r="J135" s="25">
        <v>43.51</v>
      </c>
      <c r="K135" s="3">
        <f t="shared" si="46"/>
        <v>-1.9688000000000017</v>
      </c>
      <c r="L135" s="7">
        <f t="shared" si="47"/>
        <v>-4.3290500189099135E-2</v>
      </c>
      <c r="M135" t="s">
        <v>121</v>
      </c>
      <c r="O135" s="3">
        <f>E135-'297195 - P0224'!F135</f>
        <v>0</v>
      </c>
      <c r="P135" s="30">
        <f>I135-'297195 - P0224'!J135</f>
        <v>0</v>
      </c>
    </row>
    <row r="136" spans="1:16" x14ac:dyDescent="0.25">
      <c r="A136">
        <v>134</v>
      </c>
      <c r="C136" t="s">
        <v>8</v>
      </c>
      <c r="D136" s="4" t="s">
        <v>134</v>
      </c>
      <c r="E136" s="12">
        <v>54.151200000000003</v>
      </c>
      <c r="F136" s="11">
        <v>54.151200000000003</v>
      </c>
      <c r="G136" s="6">
        <f t="shared" si="43"/>
        <v>0</v>
      </c>
      <c r="H136" s="7">
        <f t="shared" si="44"/>
        <v>0</v>
      </c>
      <c r="I136" s="8">
        <v>92.212972774869115</v>
      </c>
      <c r="J136" s="9">
        <f t="shared" si="45"/>
        <v>92.212972774869115</v>
      </c>
      <c r="K136" s="3">
        <f t="shared" si="46"/>
        <v>0</v>
      </c>
      <c r="L136" s="7">
        <f t="shared" si="47"/>
        <v>0</v>
      </c>
      <c r="M136" t="s">
        <v>121</v>
      </c>
      <c r="O136" s="3">
        <f>E136-'297195 - P0224'!F136</f>
        <v>0</v>
      </c>
      <c r="P136" s="30">
        <f>I136-'297195 - P0224'!J136</f>
        <v>0</v>
      </c>
    </row>
    <row r="137" spans="1:16" x14ac:dyDescent="0.25">
      <c r="A137">
        <v>135</v>
      </c>
      <c r="C137" t="s">
        <v>8</v>
      </c>
      <c r="D137" s="4" t="s">
        <v>135</v>
      </c>
      <c r="E137" s="12">
        <v>6.0588000000000006</v>
      </c>
      <c r="F137" s="11">
        <v>6.0588000000000006</v>
      </c>
      <c r="G137" s="6">
        <f t="shared" si="43"/>
        <v>0</v>
      </c>
      <c r="H137" s="7">
        <f t="shared" si="44"/>
        <v>0</v>
      </c>
      <c r="I137" s="8">
        <v>9.417600000000002</v>
      </c>
      <c r="J137" s="9">
        <f t="shared" si="45"/>
        <v>9.417600000000002</v>
      </c>
      <c r="K137" s="3">
        <f t="shared" si="46"/>
        <v>0</v>
      </c>
      <c r="L137" s="7">
        <f t="shared" si="47"/>
        <v>0</v>
      </c>
      <c r="M137" t="s">
        <v>121</v>
      </c>
      <c r="O137" s="3">
        <f>E137-'297195 - P0224'!F137</f>
        <v>0</v>
      </c>
      <c r="P137" s="30">
        <f>I137-'297195 - P0224'!J137</f>
        <v>0</v>
      </c>
    </row>
    <row r="138" spans="1:16" x14ac:dyDescent="0.25">
      <c r="A138">
        <v>136</v>
      </c>
      <c r="C138" t="s">
        <v>8</v>
      </c>
      <c r="D138" s="4" t="s">
        <v>136</v>
      </c>
      <c r="E138" s="12">
        <v>10.7028</v>
      </c>
      <c r="F138" s="11">
        <v>10.7028</v>
      </c>
      <c r="G138" s="6">
        <f t="shared" si="43"/>
        <v>0</v>
      </c>
      <c r="H138" s="7">
        <f t="shared" si="44"/>
        <v>0</v>
      </c>
      <c r="I138" s="8">
        <v>14.990400000000001</v>
      </c>
      <c r="J138" s="9">
        <f t="shared" si="45"/>
        <v>14.990400000000001</v>
      </c>
      <c r="K138" s="3">
        <f t="shared" si="46"/>
        <v>0</v>
      </c>
      <c r="L138" s="7">
        <f t="shared" si="47"/>
        <v>0</v>
      </c>
      <c r="M138" t="s">
        <v>121</v>
      </c>
      <c r="O138" s="3">
        <f>E138-'297195 - P0224'!F138</f>
        <v>0</v>
      </c>
      <c r="P138" s="30">
        <f>I138-'297195 - P0224'!J138</f>
        <v>0</v>
      </c>
    </row>
    <row r="139" spans="1:16" x14ac:dyDescent="0.25">
      <c r="A139">
        <v>137</v>
      </c>
      <c r="C139" t="s">
        <v>8</v>
      </c>
      <c r="D139" s="4" t="s">
        <v>137</v>
      </c>
      <c r="E139" s="12">
        <v>16.0488</v>
      </c>
      <c r="F139" s="11">
        <v>16.0488</v>
      </c>
      <c r="G139" s="6">
        <f t="shared" si="43"/>
        <v>0</v>
      </c>
      <c r="H139" s="7">
        <f t="shared" si="44"/>
        <v>0</v>
      </c>
      <c r="I139" s="8">
        <v>22.485600000000002</v>
      </c>
      <c r="J139" s="9">
        <f t="shared" si="45"/>
        <v>22.485600000000002</v>
      </c>
      <c r="K139" s="3">
        <f t="shared" si="46"/>
        <v>0</v>
      </c>
      <c r="L139" s="7">
        <f t="shared" si="47"/>
        <v>0</v>
      </c>
      <c r="M139" t="s">
        <v>121</v>
      </c>
      <c r="O139" s="3">
        <f>E139-'297195 - P0224'!F139</f>
        <v>0</v>
      </c>
      <c r="P139" s="30">
        <f>I139-'297195 - P0224'!J139</f>
        <v>0</v>
      </c>
    </row>
    <row r="140" spans="1:16" x14ac:dyDescent="0.25">
      <c r="A140">
        <v>138</v>
      </c>
      <c r="C140" t="s">
        <v>8</v>
      </c>
      <c r="D140" s="4" t="s">
        <v>138</v>
      </c>
      <c r="E140" s="12">
        <v>21.4056</v>
      </c>
      <c r="F140" s="11">
        <v>21.4056</v>
      </c>
      <c r="G140" s="6">
        <f t="shared" si="43"/>
        <v>0</v>
      </c>
      <c r="H140" s="7">
        <f t="shared" si="44"/>
        <v>0</v>
      </c>
      <c r="I140" s="8">
        <v>31.557599999999997</v>
      </c>
      <c r="J140" s="9">
        <f t="shared" si="45"/>
        <v>31.557599999999997</v>
      </c>
      <c r="K140" s="3">
        <f t="shared" si="46"/>
        <v>0</v>
      </c>
      <c r="L140" s="7">
        <f t="shared" si="47"/>
        <v>0</v>
      </c>
      <c r="M140" t="s">
        <v>121</v>
      </c>
      <c r="O140" s="3">
        <f>E140-'297195 - P0224'!F140</f>
        <v>0</v>
      </c>
      <c r="P140" s="30">
        <f>I140-'297195 - P0224'!J140</f>
        <v>0</v>
      </c>
    </row>
    <row r="141" spans="1:16" x14ac:dyDescent="0.25">
      <c r="A141">
        <v>139</v>
      </c>
      <c r="C141" t="s">
        <v>8</v>
      </c>
      <c r="D141" s="4" t="s">
        <v>139</v>
      </c>
      <c r="E141" s="12">
        <v>29.019600000000001</v>
      </c>
      <c r="F141" s="11">
        <v>29.019600000000001</v>
      </c>
      <c r="G141" s="6">
        <f>+F141-E141</f>
        <v>0</v>
      </c>
      <c r="H141" s="7">
        <f t="shared" si="44"/>
        <v>0</v>
      </c>
      <c r="I141" s="8">
        <v>45.165599999999998</v>
      </c>
      <c r="J141" s="9">
        <f t="shared" si="45"/>
        <v>45.165599999999998</v>
      </c>
      <c r="K141" s="3">
        <f t="shared" si="46"/>
        <v>0</v>
      </c>
      <c r="L141" s="7">
        <f t="shared" si="47"/>
        <v>0</v>
      </c>
      <c r="M141" t="s">
        <v>121</v>
      </c>
      <c r="O141" s="3">
        <f>E141-'297195 - P0224'!F141</f>
        <v>0</v>
      </c>
      <c r="P141" s="30">
        <f>I141-'297195 - P0224'!J141</f>
        <v>0</v>
      </c>
    </row>
    <row r="142" spans="1:16" x14ac:dyDescent="0.25">
      <c r="A142">
        <v>140</v>
      </c>
      <c r="C142" t="s">
        <v>8</v>
      </c>
      <c r="D142" s="4" t="s">
        <v>140</v>
      </c>
      <c r="E142" s="12">
        <v>34.819200000000002</v>
      </c>
      <c r="F142" s="11">
        <v>34.819200000000002</v>
      </c>
      <c r="G142" s="6">
        <f t="shared" si="43"/>
        <v>0</v>
      </c>
      <c r="H142" s="7">
        <f t="shared" si="44"/>
        <v>0</v>
      </c>
      <c r="I142" s="8">
        <v>54.205199999999998</v>
      </c>
      <c r="J142" s="9">
        <f t="shared" si="45"/>
        <v>54.205199999999998</v>
      </c>
      <c r="K142" s="3">
        <f t="shared" si="46"/>
        <v>0</v>
      </c>
      <c r="L142" s="7">
        <f t="shared" si="47"/>
        <v>0</v>
      </c>
      <c r="M142" t="s">
        <v>121</v>
      </c>
      <c r="O142" s="3">
        <f>E142-'297195 - P0224'!F142</f>
        <v>0</v>
      </c>
      <c r="P142" s="30">
        <f>I142-'297195 - P0224'!J142</f>
        <v>0</v>
      </c>
    </row>
    <row r="143" spans="1:16" x14ac:dyDescent="0.25">
      <c r="A143">
        <v>141</v>
      </c>
      <c r="C143" t="s">
        <v>8</v>
      </c>
      <c r="D143" s="4" t="s">
        <v>141</v>
      </c>
      <c r="E143" s="12">
        <v>7.7867999999999995</v>
      </c>
      <c r="F143" s="11">
        <v>7.7867999999999995</v>
      </c>
      <c r="G143" s="6">
        <f t="shared" si="43"/>
        <v>0</v>
      </c>
      <c r="H143" s="7">
        <f t="shared" si="44"/>
        <v>0</v>
      </c>
      <c r="I143" s="8">
        <v>11.102399999999999</v>
      </c>
      <c r="J143" s="9">
        <f t="shared" si="45"/>
        <v>11.102399999999999</v>
      </c>
      <c r="K143" s="3">
        <f t="shared" si="46"/>
        <v>0</v>
      </c>
      <c r="L143" s="7">
        <f t="shared" si="47"/>
        <v>0</v>
      </c>
      <c r="M143" t="s">
        <v>121</v>
      </c>
      <c r="O143" s="3">
        <f>E143-'297195 - P0224'!F143</f>
        <v>0</v>
      </c>
      <c r="P143" s="30">
        <f>I143-'297195 - P0224'!J143</f>
        <v>0</v>
      </c>
    </row>
    <row r="144" spans="1:16" x14ac:dyDescent="0.25">
      <c r="A144">
        <v>142</v>
      </c>
      <c r="C144" t="s">
        <v>8</v>
      </c>
      <c r="D144" s="4" t="s">
        <v>142</v>
      </c>
      <c r="E144" s="12">
        <v>12.0528</v>
      </c>
      <c r="F144" s="11">
        <v>12.0528</v>
      </c>
      <c r="G144" s="6">
        <f t="shared" si="43"/>
        <v>0</v>
      </c>
      <c r="H144" s="7">
        <f t="shared" si="44"/>
        <v>0</v>
      </c>
      <c r="I144" s="8">
        <v>16.880400000000002</v>
      </c>
      <c r="J144" s="9">
        <f t="shared" si="45"/>
        <v>16.880400000000002</v>
      </c>
      <c r="K144" s="3">
        <f t="shared" si="46"/>
        <v>0</v>
      </c>
      <c r="L144" s="7">
        <f t="shared" si="47"/>
        <v>0</v>
      </c>
      <c r="M144" t="s">
        <v>121</v>
      </c>
      <c r="O144" s="3">
        <f>E144-'297195 - P0224'!F144</f>
        <v>0</v>
      </c>
      <c r="P144" s="30">
        <f>I144-'297195 - P0224'!J144</f>
        <v>0</v>
      </c>
    </row>
    <row r="145" spans="1:16" x14ac:dyDescent="0.25">
      <c r="A145">
        <v>143</v>
      </c>
      <c r="C145" t="s">
        <v>8</v>
      </c>
      <c r="D145" s="4" t="s">
        <v>143</v>
      </c>
      <c r="E145" s="12">
        <v>18.0792</v>
      </c>
      <c r="F145" s="11">
        <v>18.0792</v>
      </c>
      <c r="G145" s="6">
        <f t="shared" si="43"/>
        <v>0</v>
      </c>
      <c r="H145" s="7">
        <f t="shared" si="44"/>
        <v>0</v>
      </c>
      <c r="I145" s="8">
        <v>25.315200000000004</v>
      </c>
      <c r="J145" s="9">
        <f t="shared" si="45"/>
        <v>25.315200000000004</v>
      </c>
      <c r="K145" s="3">
        <f t="shared" si="46"/>
        <v>0</v>
      </c>
      <c r="L145" s="7">
        <f t="shared" si="47"/>
        <v>0</v>
      </c>
      <c r="M145" t="s">
        <v>121</v>
      </c>
      <c r="O145" s="3">
        <f>E145-'297195 - P0224'!F145</f>
        <v>0</v>
      </c>
      <c r="P145" s="30">
        <f>I145-'297195 - P0224'!J145</f>
        <v>0</v>
      </c>
    </row>
    <row r="146" spans="1:16" x14ac:dyDescent="0.25">
      <c r="A146">
        <v>144</v>
      </c>
      <c r="C146" t="s">
        <v>8</v>
      </c>
      <c r="D146" s="4" t="s">
        <v>144</v>
      </c>
      <c r="E146" s="12">
        <v>24.094799999999999</v>
      </c>
      <c r="F146" s="11">
        <v>24.094799999999999</v>
      </c>
      <c r="G146" s="6">
        <f t="shared" si="43"/>
        <v>0</v>
      </c>
      <c r="H146" s="7">
        <f t="shared" si="44"/>
        <v>0</v>
      </c>
      <c r="I146" s="8">
        <v>35.531999999999996</v>
      </c>
      <c r="J146" s="9">
        <f t="shared" si="45"/>
        <v>35.531999999999996</v>
      </c>
      <c r="K146" s="3">
        <f t="shared" si="46"/>
        <v>0</v>
      </c>
      <c r="L146" s="7">
        <f t="shared" si="47"/>
        <v>0</v>
      </c>
      <c r="M146" t="s">
        <v>121</v>
      </c>
      <c r="O146" s="3">
        <f>E146-'297195 - P0224'!F146</f>
        <v>0</v>
      </c>
      <c r="P146" s="30">
        <f>I146-'297195 - P0224'!J146</f>
        <v>0</v>
      </c>
    </row>
    <row r="147" spans="1:16" x14ac:dyDescent="0.25">
      <c r="A147">
        <v>145</v>
      </c>
      <c r="C147" t="s">
        <v>8</v>
      </c>
      <c r="D147" s="4" t="s">
        <v>145</v>
      </c>
      <c r="E147" s="12">
        <v>33.706800000000001</v>
      </c>
      <c r="F147" s="11">
        <v>33.706800000000001</v>
      </c>
      <c r="G147" s="6">
        <f t="shared" si="43"/>
        <v>0</v>
      </c>
      <c r="H147" s="7">
        <f t="shared" si="44"/>
        <v>0</v>
      </c>
      <c r="I147" s="8">
        <v>52.433999999999997</v>
      </c>
      <c r="J147" s="9">
        <f t="shared" si="45"/>
        <v>52.433999999999997</v>
      </c>
      <c r="K147" s="3">
        <f t="shared" si="46"/>
        <v>0</v>
      </c>
      <c r="L147" s="7">
        <f t="shared" si="47"/>
        <v>0</v>
      </c>
      <c r="M147" t="s">
        <v>121</v>
      </c>
      <c r="O147" s="3">
        <f>E147-'297195 - P0224'!F147</f>
        <v>0</v>
      </c>
      <c r="P147" s="30">
        <f>I147-'297195 - P0224'!J147</f>
        <v>0</v>
      </c>
    </row>
    <row r="148" spans="1:16" x14ac:dyDescent="0.25">
      <c r="A148">
        <v>146</v>
      </c>
      <c r="C148" t="s">
        <v>8</v>
      </c>
      <c r="D148" s="4" t="s">
        <v>146</v>
      </c>
      <c r="E148" s="12">
        <v>40.456800000000001</v>
      </c>
      <c r="F148" s="11">
        <v>40.456800000000001</v>
      </c>
      <c r="G148" s="6">
        <f t="shared" si="43"/>
        <v>0</v>
      </c>
      <c r="H148" s="7">
        <f t="shared" si="44"/>
        <v>0</v>
      </c>
      <c r="I148" s="8">
        <v>62.91</v>
      </c>
      <c r="J148" s="9">
        <f t="shared" si="45"/>
        <v>62.91</v>
      </c>
      <c r="K148" s="3">
        <f t="shared" si="46"/>
        <v>0</v>
      </c>
      <c r="L148" s="7">
        <f t="shared" si="47"/>
        <v>0</v>
      </c>
      <c r="M148" t="s">
        <v>121</v>
      </c>
      <c r="O148" s="3">
        <f>E148-'297195 - P0224'!F148</f>
        <v>0</v>
      </c>
      <c r="P148" s="30">
        <f>I148-'297195 - P0224'!J148</f>
        <v>0</v>
      </c>
    </row>
    <row r="149" spans="1:16" x14ac:dyDescent="0.25">
      <c r="A149">
        <v>147</v>
      </c>
      <c r="C149" t="s">
        <v>8</v>
      </c>
      <c r="D149" s="4" t="s">
        <v>147</v>
      </c>
      <c r="E149" s="12">
        <v>7.0091999999999999</v>
      </c>
      <c r="F149" s="11">
        <v>7.0091999999999999</v>
      </c>
      <c r="G149" s="6">
        <f t="shared" si="43"/>
        <v>0</v>
      </c>
      <c r="H149" s="7">
        <f t="shared" si="44"/>
        <v>0</v>
      </c>
      <c r="I149" s="8">
        <v>11.471083890410959</v>
      </c>
      <c r="J149" s="25">
        <f>(I149*H149)+I149+K129</f>
        <v>10.471083890410959</v>
      </c>
      <c r="K149" s="3">
        <f t="shared" si="46"/>
        <v>-1</v>
      </c>
      <c r="L149" s="7">
        <f t="shared" si="47"/>
        <v>-8.7175720233022752E-2</v>
      </c>
      <c r="M149" t="s">
        <v>121</v>
      </c>
      <c r="O149" s="3">
        <f>E149-'297195 - P0224'!F149</f>
        <v>0</v>
      </c>
      <c r="P149" s="30">
        <f>I149-'297195 - P0224'!J149</f>
        <v>0</v>
      </c>
    </row>
    <row r="150" spans="1:16" x14ac:dyDescent="0.25">
      <c r="A150">
        <v>148</v>
      </c>
      <c r="C150" t="s">
        <v>8</v>
      </c>
      <c r="D150" s="4" t="s">
        <v>448</v>
      </c>
      <c r="E150" s="12">
        <v>6.97</v>
      </c>
      <c r="F150" s="12">
        <v>6.97</v>
      </c>
      <c r="G150" s="6">
        <f t="shared" si="43"/>
        <v>0</v>
      </c>
      <c r="H150" s="7">
        <f t="shared" si="44"/>
        <v>0</v>
      </c>
      <c r="I150" s="8">
        <v>8.7200000000000006</v>
      </c>
      <c r="J150" s="9">
        <f t="shared" si="45"/>
        <v>8.7200000000000006</v>
      </c>
      <c r="K150" s="3">
        <f t="shared" si="46"/>
        <v>0</v>
      </c>
      <c r="L150" s="7">
        <f t="shared" si="47"/>
        <v>0</v>
      </c>
      <c r="M150" t="s">
        <v>121</v>
      </c>
      <c r="O150" s="3">
        <f>E150-'297195 - P0224'!F150</f>
        <v>0</v>
      </c>
      <c r="P150" s="30">
        <f>I150-'297195 - P0224'!J150</f>
        <v>0</v>
      </c>
    </row>
    <row r="151" spans="1:16" x14ac:dyDescent="0.25">
      <c r="A151">
        <v>149</v>
      </c>
      <c r="C151" t="s">
        <v>8</v>
      </c>
      <c r="D151" s="4" t="s">
        <v>449</v>
      </c>
      <c r="E151" s="12">
        <v>8.33</v>
      </c>
      <c r="F151" s="12">
        <v>8.33</v>
      </c>
      <c r="G151" s="6">
        <f t="shared" si="43"/>
        <v>0</v>
      </c>
      <c r="H151" s="7">
        <f t="shared" si="44"/>
        <v>0</v>
      </c>
      <c r="I151" s="8">
        <v>10.42</v>
      </c>
      <c r="J151" s="9">
        <f t="shared" si="45"/>
        <v>10.42</v>
      </c>
      <c r="K151" s="3">
        <f t="shared" si="46"/>
        <v>0</v>
      </c>
      <c r="L151" s="7">
        <f t="shared" si="47"/>
        <v>0</v>
      </c>
      <c r="M151" t="s">
        <v>121</v>
      </c>
      <c r="O151" s="3">
        <f>E151-'297195 - P0224'!F151</f>
        <v>0</v>
      </c>
      <c r="P151" s="30">
        <f>I151-'297195 - P0224'!J151</f>
        <v>0</v>
      </c>
    </row>
    <row r="152" spans="1:16" x14ac:dyDescent="0.25">
      <c r="A152">
        <v>150</v>
      </c>
      <c r="C152" t="s">
        <v>8</v>
      </c>
      <c r="D152" s="4" t="s">
        <v>450</v>
      </c>
      <c r="E152" s="12">
        <v>12.49</v>
      </c>
      <c r="F152" s="12">
        <v>12.49</v>
      </c>
      <c r="G152" s="6">
        <f t="shared" si="43"/>
        <v>0</v>
      </c>
      <c r="H152" s="7">
        <f t="shared" si="44"/>
        <v>0</v>
      </c>
      <c r="I152" s="8">
        <v>15.62</v>
      </c>
      <c r="J152" s="9">
        <f t="shared" si="45"/>
        <v>15.62</v>
      </c>
      <c r="K152" s="3">
        <f t="shared" si="46"/>
        <v>0</v>
      </c>
      <c r="L152" s="7">
        <f t="shared" si="47"/>
        <v>0</v>
      </c>
      <c r="M152" t="s">
        <v>121</v>
      </c>
      <c r="O152" s="3">
        <f>E152-'297195 - P0224'!F152</f>
        <v>0</v>
      </c>
      <c r="P152" s="30">
        <f>I152-'297195 - P0224'!J152</f>
        <v>0</v>
      </c>
    </row>
    <row r="153" spans="1:16" x14ac:dyDescent="0.25">
      <c r="A153">
        <v>151</v>
      </c>
      <c r="C153" t="s">
        <v>8</v>
      </c>
      <c r="D153" s="4" t="s">
        <v>451</v>
      </c>
      <c r="E153" s="12">
        <v>16.27</v>
      </c>
      <c r="F153" s="12">
        <v>16.27</v>
      </c>
      <c r="G153" s="6">
        <f t="shared" si="43"/>
        <v>0</v>
      </c>
      <c r="H153" s="7">
        <f t="shared" si="44"/>
        <v>0</v>
      </c>
      <c r="I153" s="8">
        <v>21.41</v>
      </c>
      <c r="J153" s="9">
        <f t="shared" si="45"/>
        <v>21.41</v>
      </c>
      <c r="K153" s="3">
        <f t="shared" si="46"/>
        <v>0</v>
      </c>
      <c r="L153" s="7">
        <f t="shared" si="47"/>
        <v>0</v>
      </c>
      <c r="M153" t="s">
        <v>121</v>
      </c>
      <c r="O153" s="3">
        <f>E153-'297195 - P0224'!F153</f>
        <v>0</v>
      </c>
      <c r="P153" s="30">
        <f>I153-'297195 - P0224'!J153</f>
        <v>0</v>
      </c>
    </row>
    <row r="154" spans="1:16" x14ac:dyDescent="0.25">
      <c r="A154">
        <v>152</v>
      </c>
      <c r="C154" t="s">
        <v>8</v>
      </c>
      <c r="D154" s="4" t="s">
        <v>452</v>
      </c>
      <c r="E154" s="12">
        <v>20.329999999999998</v>
      </c>
      <c r="F154" s="12">
        <v>20.329999999999998</v>
      </c>
      <c r="G154" s="6">
        <f>+F154-E154</f>
        <v>0</v>
      </c>
      <c r="H154" s="7">
        <f t="shared" si="44"/>
        <v>0</v>
      </c>
      <c r="I154" s="8">
        <v>28.24</v>
      </c>
      <c r="J154" s="9">
        <f t="shared" si="45"/>
        <v>28.24</v>
      </c>
      <c r="K154" s="3">
        <f t="shared" si="46"/>
        <v>0</v>
      </c>
      <c r="L154" s="7">
        <f t="shared" si="47"/>
        <v>0</v>
      </c>
      <c r="M154" t="s">
        <v>121</v>
      </c>
      <c r="O154" s="3">
        <f>E154-'297195 - P0224'!F154</f>
        <v>0</v>
      </c>
      <c r="P154" s="30">
        <f>I154-'297195 - P0224'!J154</f>
        <v>0</v>
      </c>
    </row>
    <row r="155" spans="1:16" x14ac:dyDescent="0.25">
      <c r="A155">
        <v>153</v>
      </c>
      <c r="C155" t="s">
        <v>8</v>
      </c>
      <c r="D155" s="4" t="s">
        <v>453</v>
      </c>
      <c r="E155" s="12">
        <v>24.4</v>
      </c>
      <c r="F155" s="12">
        <v>24.4</v>
      </c>
      <c r="G155" s="6">
        <f t="shared" ref="G155" si="48">+F155-E155</f>
        <v>0</v>
      </c>
      <c r="H155" s="7">
        <f t="shared" si="44"/>
        <v>0</v>
      </c>
      <c r="I155" s="8">
        <v>33.89</v>
      </c>
      <c r="J155" s="9">
        <f t="shared" si="45"/>
        <v>33.89</v>
      </c>
      <c r="K155" s="3">
        <f t="shared" si="46"/>
        <v>0</v>
      </c>
      <c r="L155" s="7">
        <f t="shared" si="47"/>
        <v>0</v>
      </c>
      <c r="M155" t="s">
        <v>121</v>
      </c>
      <c r="O155" s="3">
        <f>E155-'297195 - P0224'!F155</f>
        <v>0</v>
      </c>
      <c r="P155" s="30">
        <f>I155-'297195 - P0224'!J155</f>
        <v>0</v>
      </c>
    </row>
    <row r="156" spans="1:16" x14ac:dyDescent="0.25">
      <c r="A156">
        <v>154</v>
      </c>
      <c r="D156" s="2" t="s">
        <v>148</v>
      </c>
      <c r="F156" s="15"/>
      <c r="H156" s="10">
        <f>AVERAGE(H123:H149)</f>
        <v>0</v>
      </c>
      <c r="I156"/>
    </row>
    <row r="157" spans="1:16" x14ac:dyDescent="0.25">
      <c r="A157">
        <v>155</v>
      </c>
      <c r="D157" s="2" t="s">
        <v>149</v>
      </c>
      <c r="I157"/>
      <c r="M157" t="s">
        <v>150</v>
      </c>
    </row>
    <row r="158" spans="1:16" x14ac:dyDescent="0.25">
      <c r="A158">
        <v>156</v>
      </c>
      <c r="C158" t="s">
        <v>8</v>
      </c>
      <c r="D158" s="4" t="s">
        <v>151</v>
      </c>
      <c r="E158" s="12">
        <v>37.49</v>
      </c>
      <c r="F158" s="12">
        <v>37.49</v>
      </c>
      <c r="G158" s="6">
        <f t="shared" ref="G158:G164" si="49">+F158-E158</f>
        <v>0</v>
      </c>
      <c r="H158" s="7">
        <f t="shared" ref="H158:H164" si="50">(F158-E158)/ABS(E158)</f>
        <v>0</v>
      </c>
      <c r="I158" s="12">
        <v>40.250769230769222</v>
      </c>
      <c r="J158" s="12">
        <f t="shared" ref="J158:J164" si="51">(I158*H158)+I158</f>
        <v>40.250769230769222</v>
      </c>
      <c r="K158" s="3">
        <f t="shared" ref="K158:K164" si="52">J158-I158</f>
        <v>0</v>
      </c>
      <c r="L158" s="7">
        <f t="shared" ref="L158:L164" si="53">(J158-I158)/ABS(I158)</f>
        <v>0</v>
      </c>
      <c r="M158" t="s">
        <v>150</v>
      </c>
      <c r="O158" s="3">
        <f>E158-'297195 - P0224'!F158</f>
        <v>0</v>
      </c>
      <c r="P158" s="30">
        <f>I158-'297195 - P0224'!J158</f>
        <v>0</v>
      </c>
    </row>
    <row r="159" spans="1:16" x14ac:dyDescent="0.25">
      <c r="A159">
        <v>157</v>
      </c>
      <c r="C159" t="s">
        <v>8</v>
      </c>
      <c r="D159" s="4" t="s">
        <v>152</v>
      </c>
      <c r="E159" s="12">
        <v>6.1</v>
      </c>
      <c r="F159" s="12">
        <v>6.1</v>
      </c>
      <c r="G159" s="6">
        <f t="shared" si="49"/>
        <v>0</v>
      </c>
      <c r="H159" s="7">
        <f t="shared" si="50"/>
        <v>0</v>
      </c>
      <c r="I159" s="12">
        <v>13.248680851063828</v>
      </c>
      <c r="J159" s="12">
        <f t="shared" si="51"/>
        <v>13.248680851063828</v>
      </c>
      <c r="K159" s="3">
        <f t="shared" si="52"/>
        <v>0</v>
      </c>
      <c r="L159" s="7">
        <f t="shared" si="53"/>
        <v>0</v>
      </c>
      <c r="M159" t="s">
        <v>150</v>
      </c>
      <c r="O159" s="3">
        <f>E159-'297195 - P0224'!F159</f>
        <v>0</v>
      </c>
      <c r="P159" s="30">
        <f>I159-'297195 - P0224'!J159</f>
        <v>0</v>
      </c>
    </row>
    <row r="160" spans="1:16" x14ac:dyDescent="0.25">
      <c r="A160">
        <v>158</v>
      </c>
      <c r="C160" t="s">
        <v>8</v>
      </c>
      <c r="D160" s="4" t="s">
        <v>153</v>
      </c>
      <c r="E160" s="12">
        <v>11.16</v>
      </c>
      <c r="F160" s="12">
        <v>11.16</v>
      </c>
      <c r="G160" s="6">
        <f t="shared" si="49"/>
        <v>0</v>
      </c>
      <c r="H160" s="7">
        <f t="shared" si="50"/>
        <v>0</v>
      </c>
      <c r="I160" s="12">
        <v>22.971018518518513</v>
      </c>
      <c r="J160" s="12">
        <f t="shared" si="51"/>
        <v>22.971018518518513</v>
      </c>
      <c r="K160" s="3">
        <f t="shared" si="52"/>
        <v>0</v>
      </c>
      <c r="L160" s="7">
        <f t="shared" si="53"/>
        <v>0</v>
      </c>
      <c r="M160" t="s">
        <v>150</v>
      </c>
      <c r="O160" s="3">
        <f>E160-'297195 - P0224'!F160</f>
        <v>0</v>
      </c>
      <c r="P160" s="30">
        <f>I160-'297195 - P0224'!J160</f>
        <v>0</v>
      </c>
    </row>
    <row r="161" spans="1:16" x14ac:dyDescent="0.25">
      <c r="A161">
        <v>159</v>
      </c>
      <c r="D161" s="4" t="s">
        <v>154</v>
      </c>
      <c r="E161" s="12">
        <v>6.8040000000000003</v>
      </c>
      <c r="F161" s="12">
        <v>6.8040000000000003</v>
      </c>
      <c r="G161" s="6">
        <f t="shared" si="49"/>
        <v>0</v>
      </c>
      <c r="H161" s="7">
        <f t="shared" si="50"/>
        <v>0</v>
      </c>
      <c r="I161" s="12">
        <v>22.285410234150319</v>
      </c>
      <c r="J161" s="12">
        <f t="shared" si="51"/>
        <v>22.285410234150319</v>
      </c>
      <c r="K161" s="3">
        <f t="shared" si="52"/>
        <v>0</v>
      </c>
      <c r="L161" s="7">
        <f t="shared" si="53"/>
        <v>0</v>
      </c>
      <c r="M161" t="s">
        <v>150</v>
      </c>
      <c r="O161" s="3">
        <f>E161-'297195 - P0224'!F161</f>
        <v>0</v>
      </c>
      <c r="P161" s="30">
        <f>I161-'297195 - P0224'!J161</f>
        <v>0</v>
      </c>
    </row>
    <row r="162" spans="1:16" x14ac:dyDescent="0.25">
      <c r="A162">
        <v>160</v>
      </c>
      <c r="C162" t="s">
        <v>8</v>
      </c>
      <c r="D162" s="4" t="s">
        <v>155</v>
      </c>
      <c r="E162" s="12">
        <v>18.05</v>
      </c>
      <c r="F162" s="12">
        <v>18.05</v>
      </c>
      <c r="G162" s="6">
        <f t="shared" si="49"/>
        <v>0</v>
      </c>
      <c r="H162" s="7">
        <f t="shared" si="50"/>
        <v>0</v>
      </c>
      <c r="I162" s="12">
        <v>28.933702479338844</v>
      </c>
      <c r="J162" s="12">
        <f t="shared" si="51"/>
        <v>28.933702479338844</v>
      </c>
      <c r="K162" s="3">
        <f t="shared" si="52"/>
        <v>0</v>
      </c>
      <c r="L162" s="7">
        <f t="shared" si="53"/>
        <v>0</v>
      </c>
      <c r="M162" t="s">
        <v>150</v>
      </c>
      <c r="O162" s="3">
        <f>E162-'297195 - P0224'!F162</f>
        <v>0</v>
      </c>
      <c r="P162" s="30">
        <f>I162-'297195 - P0224'!J162</f>
        <v>0</v>
      </c>
    </row>
    <row r="163" spans="1:16" x14ac:dyDescent="0.25">
      <c r="A163">
        <v>161</v>
      </c>
      <c r="D163" s="4" t="s">
        <v>156</v>
      </c>
      <c r="E163" s="12">
        <v>0.4</v>
      </c>
      <c r="F163" s="12">
        <v>0.4</v>
      </c>
      <c r="G163" s="6">
        <f t="shared" si="49"/>
        <v>0</v>
      </c>
      <c r="H163" s="7">
        <f t="shared" si="50"/>
        <v>0</v>
      </c>
      <c r="I163" s="12">
        <v>1.1076923076923078</v>
      </c>
      <c r="J163" s="12">
        <f t="shared" si="51"/>
        <v>1.1076923076923078</v>
      </c>
      <c r="K163" s="3">
        <f t="shared" si="52"/>
        <v>0</v>
      </c>
      <c r="L163" s="7">
        <f t="shared" si="53"/>
        <v>0</v>
      </c>
      <c r="M163" t="s">
        <v>150</v>
      </c>
      <c r="O163" s="3">
        <f>E163-'297195 - P0224'!F163</f>
        <v>0</v>
      </c>
      <c r="P163" s="30">
        <f>I163-'297195 - P0224'!J163</f>
        <v>0</v>
      </c>
    </row>
    <row r="164" spans="1:16" x14ac:dyDescent="0.25">
      <c r="A164">
        <v>162</v>
      </c>
      <c r="C164" t="s">
        <v>8</v>
      </c>
      <c r="D164" s="4" t="s">
        <v>157</v>
      </c>
      <c r="E164" s="12">
        <v>5.99</v>
      </c>
      <c r="F164" s="12">
        <v>5.99</v>
      </c>
      <c r="G164" s="6">
        <f t="shared" si="49"/>
        <v>0</v>
      </c>
      <c r="H164" s="7">
        <f t="shared" si="50"/>
        <v>0</v>
      </c>
      <c r="I164" s="12">
        <v>10.65</v>
      </c>
      <c r="J164" s="12">
        <f t="shared" si="51"/>
        <v>10.65</v>
      </c>
      <c r="K164" s="3">
        <f t="shared" si="52"/>
        <v>0</v>
      </c>
      <c r="L164" s="7">
        <f t="shared" si="53"/>
        <v>0</v>
      </c>
      <c r="M164" t="s">
        <v>150</v>
      </c>
      <c r="O164" s="3">
        <f>E164-'297195 - P0224'!F164</f>
        <v>0</v>
      </c>
      <c r="P164" s="30">
        <f>I164-'297195 - P0224'!J164</f>
        <v>0</v>
      </c>
    </row>
    <row r="165" spans="1:16" x14ac:dyDescent="0.25">
      <c r="A165">
        <v>163</v>
      </c>
      <c r="D165" s="2" t="s">
        <v>158</v>
      </c>
      <c r="H165" s="10">
        <f>AVERAGE(H158:H163)</f>
        <v>0</v>
      </c>
      <c r="I165"/>
    </row>
    <row r="166" spans="1:16" x14ac:dyDescent="0.25">
      <c r="A166">
        <v>164</v>
      </c>
      <c r="D166" s="2" t="s">
        <v>159</v>
      </c>
      <c r="I166"/>
    </row>
    <row r="167" spans="1:16" x14ac:dyDescent="0.25">
      <c r="A167">
        <v>165</v>
      </c>
      <c r="C167" t="s">
        <v>8</v>
      </c>
      <c r="D167" s="4" t="s">
        <v>160</v>
      </c>
      <c r="E167" s="5">
        <v>3.34</v>
      </c>
      <c r="F167" s="5">
        <v>3.34</v>
      </c>
      <c r="G167" s="6">
        <f t="shared" ref="G167:G191" si="54">+F167-E167</f>
        <v>0</v>
      </c>
      <c r="H167" s="7">
        <f t="shared" ref="H167:H191" si="55">(F167-E167)/ABS(E167)</f>
        <v>0</v>
      </c>
      <c r="I167" s="8">
        <v>6.1290657389972267</v>
      </c>
      <c r="J167" s="9">
        <f t="shared" ref="J167:J191" si="56">(I167*H167)+I167</f>
        <v>6.1290657389972267</v>
      </c>
      <c r="K167" s="3">
        <f t="shared" ref="K167:K191" si="57">J167-I167</f>
        <v>0</v>
      </c>
      <c r="L167" s="7">
        <f t="shared" ref="L167:L191" si="58">(J167-I167)/ABS(I167)</f>
        <v>0</v>
      </c>
      <c r="M167" t="s">
        <v>150</v>
      </c>
      <c r="O167" s="3">
        <f>E167-'297195 - P0224'!F167</f>
        <v>0</v>
      </c>
      <c r="P167" s="30">
        <f>I167-'297195 - P0224'!J167</f>
        <v>0</v>
      </c>
    </row>
    <row r="168" spans="1:16" x14ac:dyDescent="0.25">
      <c r="A168">
        <v>166</v>
      </c>
      <c r="C168" t="s">
        <v>8</v>
      </c>
      <c r="D168" s="4" t="s">
        <v>161</v>
      </c>
      <c r="E168" s="5">
        <v>4.17</v>
      </c>
      <c r="F168" s="5">
        <v>4.17</v>
      </c>
      <c r="G168" s="6">
        <f t="shared" si="54"/>
        <v>0</v>
      </c>
      <c r="H168" s="7">
        <f t="shared" si="55"/>
        <v>0</v>
      </c>
      <c r="I168" s="8">
        <v>8.8595399379795996</v>
      </c>
      <c r="J168" s="9">
        <f t="shared" si="56"/>
        <v>8.8595399379795996</v>
      </c>
      <c r="K168" s="3">
        <f t="shared" si="57"/>
        <v>0</v>
      </c>
      <c r="L168" s="7">
        <f t="shared" si="58"/>
        <v>0</v>
      </c>
      <c r="M168" t="s">
        <v>150</v>
      </c>
      <c r="O168" s="3">
        <f>E168-'297195 - P0224'!F168</f>
        <v>0</v>
      </c>
      <c r="P168" s="30">
        <f>I168-'297195 - P0224'!J168</f>
        <v>0</v>
      </c>
    </row>
    <row r="169" spans="1:16" x14ac:dyDescent="0.25">
      <c r="A169">
        <v>167</v>
      </c>
      <c r="C169" t="s">
        <v>8</v>
      </c>
      <c r="D169" s="4" t="s">
        <v>162</v>
      </c>
      <c r="E169" s="5">
        <v>4.6500000000000004</v>
      </c>
      <c r="F169" s="5">
        <v>4.6500000000000004</v>
      </c>
      <c r="G169" s="6">
        <f t="shared" si="54"/>
        <v>0</v>
      </c>
      <c r="H169" s="7">
        <f t="shared" si="55"/>
        <v>0</v>
      </c>
      <c r="I169" s="8">
        <v>6.5993171022995547</v>
      </c>
      <c r="J169" s="9">
        <f t="shared" si="56"/>
        <v>6.5993171022995547</v>
      </c>
      <c r="K169" s="3">
        <f t="shared" si="57"/>
        <v>0</v>
      </c>
      <c r="L169" s="7">
        <f t="shared" si="58"/>
        <v>0</v>
      </c>
      <c r="M169" t="s">
        <v>150</v>
      </c>
      <c r="O169" s="3">
        <f>E169-'297195 - P0224'!F169</f>
        <v>0</v>
      </c>
      <c r="P169" s="30">
        <f>I169-'297195 - P0224'!J169</f>
        <v>0</v>
      </c>
    </row>
    <row r="170" spans="1:16" x14ac:dyDescent="0.25">
      <c r="A170">
        <v>168</v>
      </c>
      <c r="C170" t="s">
        <v>8</v>
      </c>
      <c r="D170" s="4" t="s">
        <v>163</v>
      </c>
      <c r="E170" s="5">
        <v>15.35</v>
      </c>
      <c r="F170" s="5">
        <v>15.35</v>
      </c>
      <c r="G170" s="6">
        <f t="shared" si="54"/>
        <v>0</v>
      </c>
      <c r="H170" s="7">
        <f t="shared" si="55"/>
        <v>0</v>
      </c>
      <c r="I170" s="8">
        <v>22.942750812259177</v>
      </c>
      <c r="J170" s="9">
        <f t="shared" si="56"/>
        <v>22.942750812259177</v>
      </c>
      <c r="K170" s="3">
        <f t="shared" si="57"/>
        <v>0</v>
      </c>
      <c r="L170" s="7">
        <f t="shared" si="58"/>
        <v>0</v>
      </c>
      <c r="M170" t="s">
        <v>150</v>
      </c>
      <c r="O170" s="3">
        <f>E170-'297195 - P0224'!F170</f>
        <v>0</v>
      </c>
      <c r="P170" s="30">
        <f>I170-'297195 - P0224'!J170</f>
        <v>0</v>
      </c>
    </row>
    <row r="171" spans="1:16" x14ac:dyDescent="0.25">
      <c r="A171">
        <v>169</v>
      </c>
      <c r="C171" t="s">
        <v>8</v>
      </c>
      <c r="D171" s="4" t="s">
        <v>164</v>
      </c>
      <c r="E171" s="5">
        <v>1700</v>
      </c>
      <c r="F171" s="5">
        <v>1700</v>
      </c>
      <c r="G171" s="6">
        <f t="shared" si="54"/>
        <v>0</v>
      </c>
      <c r="H171" s="7">
        <f t="shared" si="55"/>
        <v>0</v>
      </c>
      <c r="I171" s="8">
        <v>45.101581324280765</v>
      </c>
      <c r="J171" s="9">
        <f t="shared" si="56"/>
        <v>45.101581324280765</v>
      </c>
      <c r="K171" s="3">
        <f t="shared" si="57"/>
        <v>0</v>
      </c>
      <c r="L171" s="7">
        <f t="shared" si="58"/>
        <v>0</v>
      </c>
      <c r="M171" t="s">
        <v>150</v>
      </c>
      <c r="O171" s="3">
        <f>E171-'297195 - P0224'!F171</f>
        <v>0</v>
      </c>
      <c r="P171" s="30">
        <f>I171-'297195 - P0224'!J171</f>
        <v>0</v>
      </c>
    </row>
    <row r="172" spans="1:16" x14ac:dyDescent="0.25">
      <c r="A172">
        <v>170</v>
      </c>
      <c r="C172" t="s">
        <v>8</v>
      </c>
      <c r="D172" s="4" t="s">
        <v>165</v>
      </c>
      <c r="E172" s="5">
        <v>1560</v>
      </c>
      <c r="F172" s="5">
        <v>1560</v>
      </c>
      <c r="G172" s="6">
        <f t="shared" si="54"/>
        <v>0</v>
      </c>
      <c r="H172" s="7">
        <f t="shared" si="55"/>
        <v>0</v>
      </c>
      <c r="I172" s="8">
        <v>2467.1012006861065</v>
      </c>
      <c r="J172" s="9">
        <f t="shared" si="56"/>
        <v>2467.1012006861065</v>
      </c>
      <c r="K172" s="3">
        <f t="shared" si="57"/>
        <v>0</v>
      </c>
      <c r="L172" s="7">
        <f t="shared" si="58"/>
        <v>0</v>
      </c>
      <c r="M172" t="s">
        <v>150</v>
      </c>
      <c r="O172" s="3">
        <f>E172-'297195 - P0224'!F172</f>
        <v>0</v>
      </c>
      <c r="P172" s="30">
        <f>I172-'297195 - P0224'!J172</f>
        <v>0</v>
      </c>
    </row>
    <row r="173" spans="1:16" x14ac:dyDescent="0.25">
      <c r="A173">
        <v>171</v>
      </c>
      <c r="C173" t="s">
        <v>8</v>
      </c>
      <c r="D173" s="4" t="s">
        <v>166</v>
      </c>
      <c r="E173" s="5">
        <v>18.45</v>
      </c>
      <c r="F173" s="5">
        <v>18.45</v>
      </c>
      <c r="G173" s="6">
        <f t="shared" si="54"/>
        <v>0</v>
      </c>
      <c r="H173" s="7">
        <f t="shared" si="55"/>
        <v>0</v>
      </c>
      <c r="I173" s="8">
        <v>32.593520987016632</v>
      </c>
      <c r="J173" s="9">
        <f t="shared" si="56"/>
        <v>32.593520987016632</v>
      </c>
      <c r="K173" s="3">
        <f t="shared" si="57"/>
        <v>0</v>
      </c>
      <c r="L173" s="7">
        <f t="shared" si="58"/>
        <v>0</v>
      </c>
      <c r="M173" t="s">
        <v>150</v>
      </c>
      <c r="O173" s="3">
        <f>E173-'297195 - P0224'!F173</f>
        <v>0</v>
      </c>
      <c r="P173" s="30">
        <f>I173-'297195 - P0224'!J173</f>
        <v>-5.3083910402300205E-2</v>
      </c>
    </row>
    <row r="174" spans="1:16" x14ac:dyDescent="0.25">
      <c r="A174">
        <v>172</v>
      </c>
      <c r="C174" t="s">
        <v>8</v>
      </c>
      <c r="D174" s="4" t="s">
        <v>167</v>
      </c>
      <c r="E174" s="11">
        <v>4.0199999999999996</v>
      </c>
      <c r="F174" s="11">
        <v>4.0199999999999996</v>
      </c>
      <c r="G174" s="6">
        <f t="shared" si="54"/>
        <v>0</v>
      </c>
      <c r="H174" s="7">
        <f t="shared" si="55"/>
        <v>0</v>
      </c>
      <c r="I174" s="8">
        <v>15.098612891135524</v>
      </c>
      <c r="J174" s="9">
        <f t="shared" si="56"/>
        <v>15.098612891135524</v>
      </c>
      <c r="K174" s="3">
        <f t="shared" si="57"/>
        <v>0</v>
      </c>
      <c r="L174" s="7">
        <f t="shared" si="58"/>
        <v>0</v>
      </c>
      <c r="M174" t="s">
        <v>150</v>
      </c>
      <c r="O174" s="3">
        <f>E174-'297195 - P0224'!F174</f>
        <v>0</v>
      </c>
      <c r="P174" s="30">
        <f>I174-'297195 - P0224'!J174</f>
        <v>0</v>
      </c>
    </row>
    <row r="175" spans="1:16" x14ac:dyDescent="0.25">
      <c r="A175">
        <v>173</v>
      </c>
      <c r="C175" t="s">
        <v>8</v>
      </c>
      <c r="D175" s="4" t="s">
        <v>168</v>
      </c>
      <c r="E175" s="11">
        <v>0.59</v>
      </c>
      <c r="F175" s="11">
        <v>0.59</v>
      </c>
      <c r="G175" s="6">
        <f t="shared" si="54"/>
        <v>0</v>
      </c>
      <c r="H175" s="7">
        <f t="shared" si="55"/>
        <v>0</v>
      </c>
      <c r="I175" s="8">
        <v>2.1049549224666428</v>
      </c>
      <c r="J175" s="9">
        <f t="shared" si="56"/>
        <v>2.1049549224666428</v>
      </c>
      <c r="K175" s="3">
        <f t="shared" si="57"/>
        <v>0</v>
      </c>
      <c r="L175" s="7">
        <f t="shared" si="58"/>
        <v>0</v>
      </c>
      <c r="M175" t="s">
        <v>150</v>
      </c>
      <c r="O175" s="3">
        <f>E175-'297195 - P0224'!F175</f>
        <v>0</v>
      </c>
      <c r="P175" s="30">
        <f>I175-'297195 - P0224'!J175</f>
        <v>0</v>
      </c>
    </row>
    <row r="176" spans="1:16" x14ac:dyDescent="0.25">
      <c r="A176">
        <v>174</v>
      </c>
      <c r="C176" t="s">
        <v>8</v>
      </c>
      <c r="D176" s="4" t="s">
        <v>169</v>
      </c>
      <c r="E176" s="11">
        <v>0.63</v>
      </c>
      <c r="F176" s="11">
        <v>0.63</v>
      </c>
      <c r="G176" s="6">
        <f t="shared" si="54"/>
        <v>0</v>
      </c>
      <c r="H176" s="7">
        <f t="shared" si="55"/>
        <v>0</v>
      </c>
      <c r="I176" s="8">
        <v>1.9152</v>
      </c>
      <c r="J176" s="9">
        <f t="shared" si="56"/>
        <v>1.9152</v>
      </c>
      <c r="K176" s="3">
        <f t="shared" si="57"/>
        <v>0</v>
      </c>
      <c r="L176" s="7">
        <f t="shared" si="58"/>
        <v>0</v>
      </c>
      <c r="M176" t="s">
        <v>150</v>
      </c>
      <c r="O176" s="3">
        <f>E176-'297195 - P0224'!F176</f>
        <v>0</v>
      </c>
      <c r="P176" s="30">
        <f>I176-'297195 - P0224'!J176</f>
        <v>0</v>
      </c>
    </row>
    <row r="177" spans="1:16" x14ac:dyDescent="0.25">
      <c r="A177">
        <v>175</v>
      </c>
      <c r="C177" t="s">
        <v>8</v>
      </c>
      <c r="D177" s="4" t="s">
        <v>461</v>
      </c>
      <c r="E177" s="11">
        <v>29</v>
      </c>
      <c r="F177" s="11">
        <v>29</v>
      </c>
      <c r="G177" s="6">
        <f t="shared" si="54"/>
        <v>0</v>
      </c>
      <c r="H177" s="7">
        <f t="shared" si="55"/>
        <v>0</v>
      </c>
      <c r="I177" s="8">
        <v>45.490196078431374</v>
      </c>
      <c r="J177" s="9">
        <f t="shared" si="56"/>
        <v>45.490196078431374</v>
      </c>
      <c r="K177" s="3">
        <f t="shared" si="57"/>
        <v>0</v>
      </c>
      <c r="L177" s="7">
        <f t="shared" si="58"/>
        <v>0</v>
      </c>
      <c r="M177" t="s">
        <v>150</v>
      </c>
      <c r="O177" s="3">
        <f>E177-'297195 - P0224'!F177</f>
        <v>0</v>
      </c>
      <c r="P177" s="30">
        <f>I177-'297195 - P0224'!J177</f>
        <v>0</v>
      </c>
    </row>
    <row r="178" spans="1:16" x14ac:dyDescent="0.25">
      <c r="A178">
        <v>176</v>
      </c>
      <c r="C178" t="s">
        <v>8</v>
      </c>
      <c r="D178" s="4" t="s">
        <v>170</v>
      </c>
      <c r="E178" s="11">
        <v>35.4</v>
      </c>
      <c r="F178" s="11">
        <v>35.4</v>
      </c>
      <c r="G178" s="6">
        <f t="shared" si="54"/>
        <v>0</v>
      </c>
      <c r="H178" s="7">
        <f t="shared" si="55"/>
        <v>0</v>
      </c>
      <c r="I178" s="8">
        <v>21.717791411042946</v>
      </c>
      <c r="J178" s="9">
        <f t="shared" si="56"/>
        <v>21.717791411042946</v>
      </c>
      <c r="K178" s="3">
        <f t="shared" si="57"/>
        <v>0</v>
      </c>
      <c r="L178" s="7">
        <f t="shared" si="58"/>
        <v>0</v>
      </c>
      <c r="M178" t="s">
        <v>150</v>
      </c>
      <c r="O178" s="3">
        <f>E178-'297195 - P0224'!F178</f>
        <v>0</v>
      </c>
      <c r="P178" s="30">
        <f>I178-'297195 - P0224'!J178</f>
        <v>0</v>
      </c>
    </row>
    <row r="179" spans="1:16" x14ac:dyDescent="0.25">
      <c r="A179">
        <v>177</v>
      </c>
      <c r="C179" t="s">
        <v>8</v>
      </c>
      <c r="D179" s="4" t="s">
        <v>171</v>
      </c>
      <c r="E179" s="11">
        <v>29.3</v>
      </c>
      <c r="F179" s="11">
        <v>29.3</v>
      </c>
      <c r="G179" s="6">
        <f t="shared" si="54"/>
        <v>0</v>
      </c>
      <c r="H179" s="7">
        <f t="shared" si="55"/>
        <v>0</v>
      </c>
      <c r="I179" s="8">
        <v>20</v>
      </c>
      <c r="J179" s="9">
        <f t="shared" si="56"/>
        <v>20</v>
      </c>
      <c r="K179" s="3">
        <f t="shared" si="57"/>
        <v>0</v>
      </c>
      <c r="L179" s="7">
        <f t="shared" si="58"/>
        <v>0</v>
      </c>
      <c r="M179" t="s">
        <v>150</v>
      </c>
      <c r="O179" s="3">
        <f>E179-'297195 - P0224'!F179</f>
        <v>0</v>
      </c>
      <c r="P179" s="30">
        <f>I179-'297195 - P0224'!J179</f>
        <v>0</v>
      </c>
    </row>
    <row r="180" spans="1:16" x14ac:dyDescent="0.25">
      <c r="A180">
        <v>178</v>
      </c>
      <c r="C180" t="s">
        <v>8</v>
      </c>
      <c r="D180" s="4" t="s">
        <v>172</v>
      </c>
      <c r="E180" s="11">
        <v>24.2</v>
      </c>
      <c r="F180" s="11">
        <v>24.2</v>
      </c>
      <c r="G180" s="6">
        <f t="shared" si="54"/>
        <v>0</v>
      </c>
      <c r="H180" s="7">
        <f t="shared" si="55"/>
        <v>0</v>
      </c>
      <c r="I180" s="8">
        <v>20</v>
      </c>
      <c r="J180" s="9">
        <f t="shared" si="56"/>
        <v>20</v>
      </c>
      <c r="K180" s="3">
        <f t="shared" si="57"/>
        <v>0</v>
      </c>
      <c r="L180" s="7">
        <f t="shared" si="58"/>
        <v>0</v>
      </c>
      <c r="M180" t="s">
        <v>150</v>
      </c>
      <c r="O180" s="3">
        <f>E180-'297195 - P0224'!F180</f>
        <v>0</v>
      </c>
      <c r="P180" s="30">
        <f>I180-'297195 - P0224'!J180</f>
        <v>0</v>
      </c>
    </row>
    <row r="181" spans="1:16" x14ac:dyDescent="0.25">
      <c r="A181">
        <v>179</v>
      </c>
      <c r="C181" t="s">
        <v>8</v>
      </c>
      <c r="D181" s="4" t="s">
        <v>173</v>
      </c>
      <c r="E181" s="12">
        <v>116</v>
      </c>
      <c r="F181" s="12">
        <v>116</v>
      </c>
      <c r="G181" s="6">
        <f t="shared" si="54"/>
        <v>0</v>
      </c>
      <c r="H181" s="7">
        <f t="shared" si="55"/>
        <v>0</v>
      </c>
      <c r="I181" s="8">
        <v>153.29999999999998</v>
      </c>
      <c r="J181" s="9">
        <f t="shared" si="56"/>
        <v>153.29999999999998</v>
      </c>
      <c r="K181" s="3">
        <f t="shared" si="57"/>
        <v>0</v>
      </c>
      <c r="L181" s="7">
        <f t="shared" si="58"/>
        <v>0</v>
      </c>
      <c r="M181" t="s">
        <v>121</v>
      </c>
      <c r="O181" s="3">
        <f>E181-'297195 - P0224'!F181</f>
        <v>0</v>
      </c>
      <c r="P181" s="30">
        <f>I181-'297195 - P0224'!J181</f>
        <v>0</v>
      </c>
    </row>
    <row r="182" spans="1:16" x14ac:dyDescent="0.25">
      <c r="A182">
        <v>180</v>
      </c>
      <c r="C182" t="s">
        <v>8</v>
      </c>
      <c r="D182" s="4" t="s">
        <v>174</v>
      </c>
      <c r="E182" s="12">
        <v>9.98</v>
      </c>
      <c r="F182" s="12">
        <v>9.98</v>
      </c>
      <c r="G182" s="6">
        <f t="shared" si="54"/>
        <v>0</v>
      </c>
      <c r="H182" s="7">
        <f t="shared" si="55"/>
        <v>0</v>
      </c>
      <c r="I182" s="8">
        <v>13.625326315789476</v>
      </c>
      <c r="J182" s="9">
        <f t="shared" si="56"/>
        <v>13.625326315789476</v>
      </c>
      <c r="K182" s="3">
        <f t="shared" si="57"/>
        <v>0</v>
      </c>
      <c r="L182" s="7">
        <f t="shared" si="58"/>
        <v>0</v>
      </c>
      <c r="M182" t="s">
        <v>121</v>
      </c>
      <c r="O182" s="3">
        <f>E182-'297195 - P0224'!F182</f>
        <v>0</v>
      </c>
      <c r="P182" s="30">
        <f>I182-'297195 - P0224'!J182</f>
        <v>0</v>
      </c>
    </row>
    <row r="183" spans="1:16" x14ac:dyDescent="0.25">
      <c r="A183">
        <v>181</v>
      </c>
      <c r="C183" t="s">
        <v>8</v>
      </c>
      <c r="D183" s="4" t="s">
        <v>175</v>
      </c>
      <c r="E183" s="12">
        <v>190.995</v>
      </c>
      <c r="F183" s="12">
        <v>190.995</v>
      </c>
      <c r="G183" s="6">
        <f t="shared" si="54"/>
        <v>0</v>
      </c>
      <c r="H183" s="7">
        <f t="shared" si="55"/>
        <v>0</v>
      </c>
      <c r="I183" s="8">
        <v>251</v>
      </c>
      <c r="J183" s="9">
        <f t="shared" si="56"/>
        <v>251</v>
      </c>
      <c r="K183" s="3">
        <f t="shared" si="57"/>
        <v>0</v>
      </c>
      <c r="L183" s="7">
        <f t="shared" si="58"/>
        <v>0</v>
      </c>
      <c r="M183" t="s">
        <v>121</v>
      </c>
      <c r="O183" s="3">
        <f>E183-'297195 - P0224'!F183</f>
        <v>0</v>
      </c>
      <c r="P183" s="30">
        <f>I183-'297195 - P0224'!J183</f>
        <v>0</v>
      </c>
    </row>
    <row r="184" spans="1:16" x14ac:dyDescent="0.25">
      <c r="A184">
        <v>182</v>
      </c>
      <c r="C184" t="s">
        <v>8</v>
      </c>
      <c r="D184" s="4" t="s">
        <v>176</v>
      </c>
      <c r="E184" s="12">
        <v>14.01</v>
      </c>
      <c r="F184" s="12">
        <v>14.01</v>
      </c>
      <c r="G184" s="6">
        <f t="shared" si="54"/>
        <v>0</v>
      </c>
      <c r="H184" s="7">
        <f t="shared" si="55"/>
        <v>0</v>
      </c>
      <c r="I184" s="8">
        <v>19.616308543063266</v>
      </c>
      <c r="J184" s="9">
        <f t="shared" si="56"/>
        <v>19.616308543063266</v>
      </c>
      <c r="K184" s="3">
        <f t="shared" si="57"/>
        <v>0</v>
      </c>
      <c r="L184" s="7">
        <f t="shared" si="58"/>
        <v>0</v>
      </c>
      <c r="M184" t="s">
        <v>121</v>
      </c>
      <c r="O184" s="3">
        <f>E184-'297195 - P0224'!F184</f>
        <v>0</v>
      </c>
      <c r="P184" s="30">
        <f>I184-'297195 - P0224'!J184</f>
        <v>0</v>
      </c>
    </row>
    <row r="185" spans="1:16" x14ac:dyDescent="0.25">
      <c r="A185">
        <v>183</v>
      </c>
      <c r="C185" t="s">
        <v>8</v>
      </c>
      <c r="D185" s="4" t="s">
        <v>177</v>
      </c>
      <c r="E185" s="12">
        <v>33.25</v>
      </c>
      <c r="F185" s="12">
        <v>33.25</v>
      </c>
      <c r="G185" s="6">
        <f t="shared" si="54"/>
        <v>0</v>
      </c>
      <c r="H185" s="7">
        <f t="shared" si="55"/>
        <v>0</v>
      </c>
      <c r="I185" s="8">
        <v>49.869393819571762</v>
      </c>
      <c r="J185" s="9">
        <f t="shared" si="56"/>
        <v>49.869393819571762</v>
      </c>
      <c r="K185" s="3">
        <f t="shared" si="57"/>
        <v>0</v>
      </c>
      <c r="L185" s="7">
        <f t="shared" si="58"/>
        <v>0</v>
      </c>
      <c r="M185" t="s">
        <v>121</v>
      </c>
      <c r="O185" s="3">
        <f>E185-'297195 - P0224'!F185</f>
        <v>0</v>
      </c>
      <c r="P185" s="30">
        <f>I185-'297195 - P0224'!J185</f>
        <v>0</v>
      </c>
    </row>
    <row r="186" spans="1:16" x14ac:dyDescent="0.25">
      <c r="A186">
        <v>184</v>
      </c>
      <c r="C186" t="s">
        <v>8</v>
      </c>
      <c r="D186" s="4" t="s">
        <v>178</v>
      </c>
      <c r="E186" s="12">
        <v>44.04</v>
      </c>
      <c r="F186" s="12">
        <v>44.04</v>
      </c>
      <c r="G186" s="6">
        <f t="shared" si="54"/>
        <v>0</v>
      </c>
      <c r="H186" s="7">
        <f t="shared" si="55"/>
        <v>0</v>
      </c>
      <c r="I186" s="8">
        <v>61.644476622337386</v>
      </c>
      <c r="J186" s="9">
        <f t="shared" si="56"/>
        <v>61.644476622337386</v>
      </c>
      <c r="K186" s="3">
        <f t="shared" si="57"/>
        <v>0</v>
      </c>
      <c r="L186" s="7">
        <f t="shared" si="58"/>
        <v>0</v>
      </c>
      <c r="M186" t="s">
        <v>121</v>
      </c>
      <c r="O186" s="3">
        <f>E186-'297195 - P0224'!F186</f>
        <v>0</v>
      </c>
      <c r="P186" s="30">
        <f>I186-'297195 - P0224'!J186</f>
        <v>0</v>
      </c>
    </row>
    <row r="187" spans="1:16" x14ac:dyDescent="0.25">
      <c r="A187">
        <v>185</v>
      </c>
      <c r="C187" t="s">
        <v>8</v>
      </c>
      <c r="D187" s="4" t="s">
        <v>179</v>
      </c>
      <c r="E187" s="12">
        <v>144.85</v>
      </c>
      <c r="F187" s="12">
        <v>144.85</v>
      </c>
      <c r="G187" s="6">
        <f t="shared" si="54"/>
        <v>0</v>
      </c>
      <c r="H187" s="7">
        <f t="shared" si="55"/>
        <v>0</v>
      </c>
      <c r="I187" s="8">
        <v>241.42</v>
      </c>
      <c r="J187" s="9">
        <f t="shared" si="56"/>
        <v>241.42</v>
      </c>
      <c r="K187" s="3">
        <f t="shared" si="57"/>
        <v>0</v>
      </c>
      <c r="L187" s="7">
        <f t="shared" si="58"/>
        <v>0</v>
      </c>
      <c r="M187" t="s">
        <v>121</v>
      </c>
      <c r="O187" s="3">
        <f>E187-'297195 - P0224'!F187</f>
        <v>0</v>
      </c>
      <c r="P187" s="30">
        <f>I187-'297195 - P0224'!J187</f>
        <v>0</v>
      </c>
    </row>
    <row r="188" spans="1:16" x14ac:dyDescent="0.25">
      <c r="A188">
        <v>186</v>
      </c>
      <c r="C188" t="s">
        <v>8</v>
      </c>
      <c r="D188" s="4" t="s">
        <v>180</v>
      </c>
      <c r="E188" s="11">
        <v>21.42</v>
      </c>
      <c r="F188" s="11">
        <v>21.42</v>
      </c>
      <c r="G188" s="6">
        <f t="shared" si="54"/>
        <v>0</v>
      </c>
      <c r="H188" s="7">
        <f t="shared" si="55"/>
        <v>0</v>
      </c>
      <c r="I188" s="8">
        <v>36.651079812206568</v>
      </c>
      <c r="J188" s="9">
        <f t="shared" si="56"/>
        <v>36.651079812206568</v>
      </c>
      <c r="K188" s="3">
        <f t="shared" si="57"/>
        <v>0</v>
      </c>
      <c r="L188" s="7">
        <f t="shared" si="58"/>
        <v>0</v>
      </c>
      <c r="M188" t="s">
        <v>150</v>
      </c>
      <c r="O188" s="3">
        <f>E188-'297195 - P0224'!F188</f>
        <v>0</v>
      </c>
      <c r="P188" s="30">
        <f>I188-'297195 - P0224'!J188</f>
        <v>0</v>
      </c>
    </row>
    <row r="189" spans="1:16" x14ac:dyDescent="0.25">
      <c r="A189">
        <v>187</v>
      </c>
      <c r="C189" t="s">
        <v>8</v>
      </c>
      <c r="D189" s="4" t="s">
        <v>181</v>
      </c>
      <c r="E189" s="11">
        <v>32.67</v>
      </c>
      <c r="F189" s="11">
        <v>32.67</v>
      </c>
      <c r="G189" s="6">
        <f t="shared" si="54"/>
        <v>0</v>
      </c>
      <c r="H189" s="7">
        <f t="shared" si="55"/>
        <v>0</v>
      </c>
      <c r="I189" s="8">
        <v>45.558072000000003</v>
      </c>
      <c r="J189" s="9">
        <f t="shared" si="56"/>
        <v>45.558072000000003</v>
      </c>
      <c r="K189" s="3">
        <f t="shared" si="57"/>
        <v>0</v>
      </c>
      <c r="L189" s="7">
        <f t="shared" si="58"/>
        <v>0</v>
      </c>
      <c r="M189" t="s">
        <v>150</v>
      </c>
      <c r="O189" s="3">
        <f>E189-'297195 - P0224'!F189</f>
        <v>0</v>
      </c>
      <c r="P189" s="30">
        <f>I189-'297195 - P0224'!J189</f>
        <v>0</v>
      </c>
    </row>
    <row r="190" spans="1:16" x14ac:dyDescent="0.25">
      <c r="A190">
        <v>188</v>
      </c>
      <c r="C190" t="s">
        <v>8</v>
      </c>
      <c r="D190" s="4" t="s">
        <v>182</v>
      </c>
      <c r="E190" s="11">
        <v>43</v>
      </c>
      <c r="F190" s="11">
        <v>43</v>
      </c>
      <c r="G190" s="13">
        <f t="shared" si="54"/>
        <v>0</v>
      </c>
      <c r="H190" s="7">
        <f t="shared" si="55"/>
        <v>0</v>
      </c>
      <c r="I190" s="8">
        <v>91.806916426512956</v>
      </c>
      <c r="J190" s="9">
        <f t="shared" si="56"/>
        <v>91.806916426512956</v>
      </c>
      <c r="K190" s="3">
        <f t="shared" si="57"/>
        <v>0</v>
      </c>
      <c r="L190" s="7">
        <f t="shared" si="58"/>
        <v>0</v>
      </c>
      <c r="M190" t="s">
        <v>150</v>
      </c>
      <c r="O190" s="3">
        <f>E190-'297195 - P0224'!F190</f>
        <v>0</v>
      </c>
      <c r="P190" s="30">
        <f>I190-'297195 - P0224'!J190</f>
        <v>0</v>
      </c>
    </row>
    <row r="191" spans="1:16" x14ac:dyDescent="0.25">
      <c r="A191">
        <v>189</v>
      </c>
      <c r="C191" t="s">
        <v>8</v>
      </c>
      <c r="D191" s="4" t="s">
        <v>183</v>
      </c>
      <c r="E191" s="11">
        <v>4.24</v>
      </c>
      <c r="F191" s="11">
        <v>4.24</v>
      </c>
      <c r="G191" s="6">
        <f t="shared" si="54"/>
        <v>0</v>
      </c>
      <c r="H191" s="7">
        <f t="shared" si="55"/>
        <v>0</v>
      </c>
      <c r="I191" s="8">
        <v>7.5095819935691317</v>
      </c>
      <c r="J191" s="9">
        <f t="shared" si="56"/>
        <v>7.5095819935691317</v>
      </c>
      <c r="K191" s="3">
        <f t="shared" si="57"/>
        <v>0</v>
      </c>
      <c r="L191" s="7">
        <f t="shared" si="58"/>
        <v>0</v>
      </c>
      <c r="M191" t="s">
        <v>150</v>
      </c>
      <c r="O191" s="3">
        <f>E191-'297195 - P0224'!F191</f>
        <v>0</v>
      </c>
      <c r="P191" s="30">
        <f>I191-'297195 - P0224'!J191</f>
        <v>0</v>
      </c>
    </row>
    <row r="192" spans="1:16" x14ac:dyDescent="0.25">
      <c r="A192">
        <v>190</v>
      </c>
      <c r="D192" s="2" t="s">
        <v>184</v>
      </c>
      <c r="H192" s="10">
        <f>AVERAGE(H167:H191)</f>
        <v>0</v>
      </c>
      <c r="I192"/>
    </row>
    <row r="193" spans="1:16" x14ac:dyDescent="0.25">
      <c r="A193">
        <v>191</v>
      </c>
      <c r="D193" s="2" t="s">
        <v>185</v>
      </c>
      <c r="I193"/>
    </row>
    <row r="194" spans="1:16" x14ac:dyDescent="0.25">
      <c r="A194">
        <v>192</v>
      </c>
      <c r="C194" t="s">
        <v>8</v>
      </c>
      <c r="D194" s="4" t="s">
        <v>186</v>
      </c>
      <c r="E194" s="12">
        <v>1.79</v>
      </c>
      <c r="F194" s="12">
        <v>1.79</v>
      </c>
      <c r="G194" s="6">
        <f t="shared" ref="G194:G241" si="59">+F194-E194</f>
        <v>0</v>
      </c>
      <c r="H194" s="7">
        <f t="shared" ref="H194:H241" si="60">(F194-E194)/ABS(E194)</f>
        <v>0</v>
      </c>
      <c r="I194" s="8">
        <v>2.3437962240000001</v>
      </c>
      <c r="J194" s="9">
        <f t="shared" ref="J194:J241" si="61">(I194*H194)+I194</f>
        <v>2.3437962240000001</v>
      </c>
      <c r="K194" s="3">
        <f t="shared" ref="K194:K241" si="62">J194-I194</f>
        <v>0</v>
      </c>
      <c r="L194" s="7">
        <f t="shared" ref="L194:L241" si="63">(J194-I194)/ABS(I194)</f>
        <v>0</v>
      </c>
      <c r="M194" t="s">
        <v>187</v>
      </c>
      <c r="O194" s="3">
        <f>E194-'297195 - P0224'!F194</f>
        <v>0</v>
      </c>
      <c r="P194" s="30">
        <f>I194-'297195 - P0224'!J194</f>
        <v>0</v>
      </c>
    </row>
    <row r="195" spans="1:16" x14ac:dyDescent="0.25">
      <c r="A195">
        <v>193</v>
      </c>
      <c r="C195" t="s">
        <v>8</v>
      </c>
      <c r="D195" s="4" t="s">
        <v>188</v>
      </c>
      <c r="E195" s="12">
        <v>0.46</v>
      </c>
      <c r="F195" s="12">
        <v>0.46</v>
      </c>
      <c r="G195" s="6">
        <f t="shared" si="59"/>
        <v>0</v>
      </c>
      <c r="H195" s="7">
        <f t="shared" si="60"/>
        <v>0</v>
      </c>
      <c r="I195" s="8">
        <v>0.70471188480000002</v>
      </c>
      <c r="J195" s="9">
        <f t="shared" si="61"/>
        <v>0.70471188480000002</v>
      </c>
      <c r="K195" s="3">
        <f t="shared" si="62"/>
        <v>0</v>
      </c>
      <c r="L195" s="7">
        <f t="shared" si="63"/>
        <v>0</v>
      </c>
      <c r="M195" t="s">
        <v>187</v>
      </c>
      <c r="O195" s="3">
        <f>E195-'297195 - P0224'!F195</f>
        <v>0</v>
      </c>
      <c r="P195" s="30">
        <f>I195-'297195 - P0224'!J195</f>
        <v>0</v>
      </c>
    </row>
    <row r="196" spans="1:16" x14ac:dyDescent="0.25">
      <c r="A196">
        <v>194</v>
      </c>
      <c r="C196" t="s">
        <v>8</v>
      </c>
      <c r="D196" s="4" t="s">
        <v>462</v>
      </c>
      <c r="E196" s="12">
        <v>0.6</v>
      </c>
      <c r="F196" s="12">
        <v>0.6</v>
      </c>
      <c r="G196" s="6">
        <f t="shared" si="59"/>
        <v>0</v>
      </c>
      <c r="H196" s="7">
        <f t="shared" si="60"/>
        <v>0</v>
      </c>
      <c r="I196" s="8">
        <v>1.04</v>
      </c>
      <c r="J196" s="9">
        <f t="shared" si="61"/>
        <v>1.04</v>
      </c>
      <c r="K196" s="3">
        <f t="shared" si="62"/>
        <v>0</v>
      </c>
      <c r="L196" s="7">
        <f t="shared" si="63"/>
        <v>0</v>
      </c>
      <c r="M196" t="s">
        <v>187</v>
      </c>
      <c r="O196" s="3">
        <f>E196-'297195 - P0224'!F196</f>
        <v>0</v>
      </c>
      <c r="P196" s="30">
        <f>I196-'297195 - P0224'!J196</f>
        <v>0</v>
      </c>
    </row>
    <row r="197" spans="1:16" x14ac:dyDescent="0.25">
      <c r="A197">
        <v>195</v>
      </c>
      <c r="C197" t="s">
        <v>8</v>
      </c>
      <c r="D197" s="4" t="s">
        <v>189</v>
      </c>
      <c r="E197" s="12">
        <v>17.88</v>
      </c>
      <c r="F197" s="12">
        <v>17.88</v>
      </c>
      <c r="G197" s="6">
        <f t="shared" si="59"/>
        <v>0</v>
      </c>
      <c r="H197" s="7">
        <f t="shared" si="60"/>
        <v>0</v>
      </c>
      <c r="I197" s="8">
        <v>35.219578060799989</v>
      </c>
      <c r="J197" s="9">
        <f t="shared" si="61"/>
        <v>35.219578060799989</v>
      </c>
      <c r="K197" s="3">
        <f t="shared" si="62"/>
        <v>0</v>
      </c>
      <c r="L197" s="7">
        <f t="shared" si="63"/>
        <v>0</v>
      </c>
      <c r="M197" t="s">
        <v>187</v>
      </c>
      <c r="O197" s="3">
        <f>E197-'297195 - P0224'!F197</f>
        <v>0</v>
      </c>
      <c r="P197" s="30">
        <f>I197-'297195 - P0224'!J197</f>
        <v>0</v>
      </c>
    </row>
    <row r="198" spans="1:16" x14ac:dyDescent="0.25">
      <c r="A198">
        <v>196</v>
      </c>
      <c r="C198" t="s">
        <v>8</v>
      </c>
      <c r="D198" s="4" t="s">
        <v>190</v>
      </c>
      <c r="E198" s="12">
        <v>36.299999999999997</v>
      </c>
      <c r="F198" s="12">
        <v>36.299999999999997</v>
      </c>
      <c r="G198" s="6">
        <f t="shared" si="59"/>
        <v>0</v>
      </c>
      <c r="H198" s="7">
        <f t="shared" si="60"/>
        <v>0</v>
      </c>
      <c r="I198" s="8">
        <v>82.49</v>
      </c>
      <c r="J198" s="9">
        <f t="shared" si="61"/>
        <v>82.49</v>
      </c>
      <c r="K198" s="3">
        <f t="shared" si="62"/>
        <v>0</v>
      </c>
      <c r="L198" s="7">
        <f t="shared" si="63"/>
        <v>0</v>
      </c>
      <c r="M198" t="s">
        <v>187</v>
      </c>
      <c r="O198" s="3">
        <f>E198-'297195 - P0224'!F198</f>
        <v>0</v>
      </c>
      <c r="P198" s="30">
        <f>I198-'297195 - P0224'!J198</f>
        <v>0</v>
      </c>
    </row>
    <row r="199" spans="1:16" x14ac:dyDescent="0.25">
      <c r="A199">
        <v>197</v>
      </c>
      <c r="C199" t="s">
        <v>8</v>
      </c>
      <c r="D199" s="4" t="s">
        <v>487</v>
      </c>
      <c r="E199" s="12">
        <v>5.18</v>
      </c>
      <c r="F199" s="12">
        <v>5.18</v>
      </c>
      <c r="G199" s="6">
        <f t="shared" si="59"/>
        <v>0</v>
      </c>
      <c r="H199" s="7">
        <f t="shared" si="60"/>
        <v>0</v>
      </c>
      <c r="I199" s="8">
        <v>7.13</v>
      </c>
      <c r="J199" s="9">
        <f t="shared" si="61"/>
        <v>7.13</v>
      </c>
      <c r="K199" s="3">
        <f t="shared" si="62"/>
        <v>0</v>
      </c>
      <c r="L199" s="7">
        <f t="shared" si="63"/>
        <v>0</v>
      </c>
      <c r="M199" t="s">
        <v>187</v>
      </c>
      <c r="O199" s="3">
        <f>E199-'297195 - P0224'!F199</f>
        <v>0</v>
      </c>
      <c r="P199" s="30">
        <f>I199-'297195 - P0224'!J199</f>
        <v>0</v>
      </c>
    </row>
    <row r="200" spans="1:16" x14ac:dyDescent="0.25">
      <c r="A200">
        <v>198</v>
      </c>
      <c r="C200" t="s">
        <v>8</v>
      </c>
      <c r="D200" s="4" t="s">
        <v>191</v>
      </c>
      <c r="E200" s="12">
        <v>8.2200000000000006</v>
      </c>
      <c r="F200" s="12">
        <v>8.2200000000000006</v>
      </c>
      <c r="G200" s="6">
        <f t="shared" si="59"/>
        <v>0</v>
      </c>
      <c r="H200" s="7">
        <f t="shared" si="60"/>
        <v>0</v>
      </c>
      <c r="I200" s="8">
        <v>18.68</v>
      </c>
      <c r="J200" s="9">
        <f t="shared" si="61"/>
        <v>18.68</v>
      </c>
      <c r="K200" s="3">
        <f t="shared" si="62"/>
        <v>0</v>
      </c>
      <c r="L200" s="7">
        <f t="shared" si="63"/>
        <v>0</v>
      </c>
      <c r="M200" t="s">
        <v>187</v>
      </c>
      <c r="O200" s="3">
        <f>E200-'297195 - P0224'!F200</f>
        <v>0</v>
      </c>
      <c r="P200" s="30">
        <f>I200-'297195 - P0224'!J200</f>
        <v>0</v>
      </c>
    </row>
    <row r="201" spans="1:16" x14ac:dyDescent="0.25">
      <c r="A201">
        <v>199</v>
      </c>
      <c r="C201" t="s">
        <v>8</v>
      </c>
      <c r="D201" s="4" t="s">
        <v>192</v>
      </c>
      <c r="E201" s="12">
        <v>137.77000000000001</v>
      </c>
      <c r="F201" s="12">
        <v>137.77000000000001</v>
      </c>
      <c r="G201" s="6">
        <f t="shared" si="59"/>
        <v>0</v>
      </c>
      <c r="H201" s="7">
        <f t="shared" si="60"/>
        <v>0</v>
      </c>
      <c r="I201" s="8">
        <v>207.19</v>
      </c>
      <c r="J201" s="9">
        <f t="shared" si="61"/>
        <v>207.19</v>
      </c>
      <c r="K201" s="3">
        <f t="shared" si="62"/>
        <v>0</v>
      </c>
      <c r="L201" s="7">
        <f t="shared" si="63"/>
        <v>0</v>
      </c>
      <c r="M201" t="s">
        <v>187</v>
      </c>
      <c r="O201" s="3">
        <f>E201-'297195 - P0224'!F201</f>
        <v>0</v>
      </c>
      <c r="P201" s="30">
        <f>I201-'297195 - P0224'!J201</f>
        <v>0</v>
      </c>
    </row>
    <row r="202" spans="1:16" x14ac:dyDescent="0.25">
      <c r="A202">
        <v>200</v>
      </c>
      <c r="C202" t="s">
        <v>8</v>
      </c>
      <c r="D202" s="4" t="s">
        <v>193</v>
      </c>
      <c r="E202" s="12">
        <v>123.36</v>
      </c>
      <c r="F202" s="12">
        <v>123.36</v>
      </c>
      <c r="G202" s="6">
        <f t="shared" si="59"/>
        <v>0</v>
      </c>
      <c r="H202" s="7">
        <f t="shared" si="60"/>
        <v>0</v>
      </c>
      <c r="I202" s="8">
        <v>168.12183306239999</v>
      </c>
      <c r="J202" s="9">
        <f t="shared" si="61"/>
        <v>168.12183306239999</v>
      </c>
      <c r="K202" s="3">
        <f t="shared" si="62"/>
        <v>0</v>
      </c>
      <c r="L202" s="7">
        <f t="shared" si="63"/>
        <v>0</v>
      </c>
      <c r="M202" t="s">
        <v>187</v>
      </c>
      <c r="O202" s="3">
        <f>E202-'297195 - P0224'!F202</f>
        <v>0</v>
      </c>
      <c r="P202" s="30">
        <f>I202-'297195 - P0224'!J202</f>
        <v>0</v>
      </c>
    </row>
    <row r="203" spans="1:16" x14ac:dyDescent="0.25">
      <c r="A203">
        <v>201</v>
      </c>
      <c r="C203" t="s">
        <v>8</v>
      </c>
      <c r="D203" s="4" t="s">
        <v>194</v>
      </c>
      <c r="E203" s="12">
        <v>36.909999999999997</v>
      </c>
      <c r="F203" s="12">
        <v>36.909999999999997</v>
      </c>
      <c r="G203" s="6">
        <f t="shared" si="59"/>
        <v>0</v>
      </c>
      <c r="H203" s="7">
        <f t="shared" si="60"/>
        <v>0</v>
      </c>
      <c r="I203" s="8">
        <v>77.662452940799994</v>
      </c>
      <c r="J203" s="9">
        <f t="shared" si="61"/>
        <v>77.662452940799994</v>
      </c>
      <c r="K203" s="3">
        <f t="shared" si="62"/>
        <v>0</v>
      </c>
      <c r="L203" s="7">
        <f t="shared" si="63"/>
        <v>0</v>
      </c>
      <c r="M203" t="s">
        <v>187</v>
      </c>
      <c r="O203" s="3">
        <f>E203-'297195 - P0224'!F203</f>
        <v>0</v>
      </c>
      <c r="P203" s="30">
        <f>I203-'297195 - P0224'!J203</f>
        <v>0</v>
      </c>
    </row>
    <row r="204" spans="1:16" x14ac:dyDescent="0.25">
      <c r="A204">
        <v>202</v>
      </c>
      <c r="C204" t="s">
        <v>8</v>
      </c>
      <c r="D204" s="4" t="s">
        <v>195</v>
      </c>
      <c r="E204" s="12">
        <v>25.49</v>
      </c>
      <c r="F204" s="12">
        <v>25.49</v>
      </c>
      <c r="G204" s="6">
        <f>+F204-E204</f>
        <v>0</v>
      </c>
      <c r="H204" s="7">
        <f>(F204-E204)/ABS(E204)</f>
        <v>0</v>
      </c>
      <c r="I204" s="8">
        <v>39.21</v>
      </c>
      <c r="J204" s="9">
        <f>(I204*H204)+I204</f>
        <v>39.21</v>
      </c>
      <c r="K204" s="3">
        <f>J204-I204</f>
        <v>0</v>
      </c>
      <c r="L204" s="7">
        <f>(J204-I204)/ABS(I204)</f>
        <v>0</v>
      </c>
      <c r="M204" t="s">
        <v>187</v>
      </c>
      <c r="O204" s="3">
        <f>E204-'297195 - P0224'!F204</f>
        <v>0</v>
      </c>
      <c r="P204" s="30">
        <f>I204-'297195 - P0224'!J204</f>
        <v>0</v>
      </c>
    </row>
    <row r="205" spans="1:16" x14ac:dyDescent="0.25">
      <c r="A205">
        <v>203</v>
      </c>
      <c r="C205" t="s">
        <v>8</v>
      </c>
      <c r="D205" s="4" t="s">
        <v>196</v>
      </c>
      <c r="E205" s="12">
        <v>5.72</v>
      </c>
      <c r="F205" s="12">
        <v>5.72</v>
      </c>
      <c r="G205" s="6">
        <f t="shared" si="59"/>
        <v>0</v>
      </c>
      <c r="H205" s="7">
        <f t="shared" si="60"/>
        <v>0</v>
      </c>
      <c r="I205" s="8">
        <v>8.6487367680000027</v>
      </c>
      <c r="J205" s="9">
        <f t="shared" si="61"/>
        <v>8.6487367680000027</v>
      </c>
      <c r="K205" s="3">
        <f t="shared" si="62"/>
        <v>0</v>
      </c>
      <c r="L205" s="7">
        <f t="shared" si="63"/>
        <v>0</v>
      </c>
      <c r="M205" t="s">
        <v>187</v>
      </c>
      <c r="O205" s="3">
        <f>E205-'297195 - P0224'!F205</f>
        <v>0</v>
      </c>
      <c r="P205" s="30">
        <f>I205-'297195 - P0224'!J205</f>
        <v>0</v>
      </c>
    </row>
    <row r="206" spans="1:16" x14ac:dyDescent="0.25">
      <c r="A206">
        <v>204</v>
      </c>
      <c r="C206" t="s">
        <v>8</v>
      </c>
      <c r="D206" s="4" t="s">
        <v>197</v>
      </c>
      <c r="E206" s="12">
        <v>21.44</v>
      </c>
      <c r="F206" s="12">
        <v>21.44</v>
      </c>
      <c r="G206" s="6">
        <f t="shared" si="59"/>
        <v>0</v>
      </c>
      <c r="H206" s="7">
        <f t="shared" si="60"/>
        <v>0</v>
      </c>
      <c r="I206" s="8">
        <v>57.90134784</v>
      </c>
      <c r="J206" s="9">
        <f t="shared" si="61"/>
        <v>57.90134784</v>
      </c>
      <c r="K206" s="3">
        <f t="shared" si="62"/>
        <v>0</v>
      </c>
      <c r="L206" s="7">
        <f t="shared" si="63"/>
        <v>0</v>
      </c>
      <c r="M206" t="s">
        <v>187</v>
      </c>
      <c r="O206" s="3">
        <f>E206-'297195 - P0224'!F206</f>
        <v>0</v>
      </c>
      <c r="P206" s="30">
        <f>I206-'297195 - P0224'!J206</f>
        <v>0</v>
      </c>
    </row>
    <row r="207" spans="1:16" x14ac:dyDescent="0.25">
      <c r="A207">
        <v>205</v>
      </c>
      <c r="C207" t="s">
        <v>8</v>
      </c>
      <c r="D207" s="4" t="s">
        <v>198</v>
      </c>
      <c r="E207" s="12">
        <v>8.5399999999999991</v>
      </c>
      <c r="F207" s="12">
        <v>8.5399999999999991</v>
      </c>
      <c r="G207" s="6">
        <f t="shared" si="59"/>
        <v>0</v>
      </c>
      <c r="H207" s="7">
        <f t="shared" si="60"/>
        <v>0</v>
      </c>
      <c r="I207" s="8">
        <v>17.61</v>
      </c>
      <c r="J207" s="9">
        <f t="shared" si="61"/>
        <v>17.61</v>
      </c>
      <c r="K207" s="3">
        <f t="shared" si="62"/>
        <v>0</v>
      </c>
      <c r="L207" s="7">
        <f t="shared" si="63"/>
        <v>0</v>
      </c>
      <c r="M207" t="s">
        <v>187</v>
      </c>
      <c r="O207" s="3">
        <f>E207-'297195 - P0224'!F207</f>
        <v>0</v>
      </c>
      <c r="P207" s="30">
        <f>I207-'297195 - P0224'!J207</f>
        <v>0</v>
      </c>
    </row>
    <row r="208" spans="1:16" x14ac:dyDescent="0.25">
      <c r="A208">
        <v>206</v>
      </c>
      <c r="C208" t="s">
        <v>8</v>
      </c>
      <c r="D208" s="4" t="s">
        <v>199</v>
      </c>
      <c r="E208" s="12">
        <v>2.2400000000000002</v>
      </c>
      <c r="F208" s="12">
        <v>2.2400000000000002</v>
      </c>
      <c r="G208" s="6">
        <f t="shared" si="59"/>
        <v>0</v>
      </c>
      <c r="H208" s="7">
        <f t="shared" si="60"/>
        <v>0</v>
      </c>
      <c r="I208" s="8">
        <v>3.2169142539130431</v>
      </c>
      <c r="J208" s="9">
        <f t="shared" si="61"/>
        <v>3.2169142539130431</v>
      </c>
      <c r="K208" s="3">
        <f t="shared" si="62"/>
        <v>0</v>
      </c>
      <c r="L208" s="7">
        <f t="shared" si="63"/>
        <v>0</v>
      </c>
      <c r="M208" t="s">
        <v>187</v>
      </c>
      <c r="O208" s="3">
        <f>E208-'297195 - P0224'!F208</f>
        <v>0</v>
      </c>
      <c r="P208" s="30">
        <f>I208-'297195 - P0224'!J208</f>
        <v>0</v>
      </c>
    </row>
    <row r="209" spans="1:16" x14ac:dyDescent="0.25">
      <c r="A209">
        <v>207</v>
      </c>
      <c r="C209" t="s">
        <v>8</v>
      </c>
      <c r="D209" s="4" t="s">
        <v>200</v>
      </c>
      <c r="E209" s="12">
        <v>12.54</v>
      </c>
      <c r="F209" s="12">
        <v>12.54</v>
      </c>
      <c r="G209" s="6">
        <f t="shared" si="59"/>
        <v>0</v>
      </c>
      <c r="H209" s="7">
        <f t="shared" si="60"/>
        <v>0</v>
      </c>
      <c r="I209" s="8">
        <v>18.163175635862068</v>
      </c>
      <c r="J209" s="9">
        <f t="shared" si="61"/>
        <v>18.163175635862068</v>
      </c>
      <c r="K209" s="3">
        <f t="shared" si="62"/>
        <v>0</v>
      </c>
      <c r="L209" s="7">
        <f t="shared" si="63"/>
        <v>0</v>
      </c>
      <c r="M209" t="s">
        <v>187</v>
      </c>
      <c r="O209" s="3">
        <f>E209-'297195 - P0224'!F209</f>
        <v>0</v>
      </c>
      <c r="P209" s="30">
        <f>I209-'297195 - P0224'!J209</f>
        <v>0</v>
      </c>
    </row>
    <row r="210" spans="1:16" x14ac:dyDescent="0.25">
      <c r="A210">
        <v>208</v>
      </c>
      <c r="C210" t="s">
        <v>8</v>
      </c>
      <c r="D210" s="4" t="s">
        <v>201</v>
      </c>
      <c r="E210" s="12">
        <v>13.2</v>
      </c>
      <c r="F210" s="12">
        <v>13.2</v>
      </c>
      <c r="G210" s="6">
        <f t="shared" si="59"/>
        <v>0</v>
      </c>
      <c r="H210" s="7">
        <f t="shared" si="60"/>
        <v>0</v>
      </c>
      <c r="I210" s="8">
        <v>33.770000000000003</v>
      </c>
      <c r="J210" s="9">
        <f t="shared" si="61"/>
        <v>33.770000000000003</v>
      </c>
      <c r="K210" s="3">
        <f t="shared" si="62"/>
        <v>0</v>
      </c>
      <c r="L210" s="7">
        <f t="shared" si="63"/>
        <v>0</v>
      </c>
      <c r="M210" t="s">
        <v>187</v>
      </c>
      <c r="O210" s="3">
        <f>E210-'297195 - P0224'!F210</f>
        <v>0</v>
      </c>
      <c r="P210" s="30">
        <f>I210-'297195 - P0224'!J210</f>
        <v>0</v>
      </c>
    </row>
    <row r="211" spans="1:16" x14ac:dyDescent="0.25">
      <c r="A211">
        <v>209</v>
      </c>
      <c r="C211" t="s">
        <v>8</v>
      </c>
      <c r="D211" s="4" t="s">
        <v>202</v>
      </c>
      <c r="E211" s="12">
        <v>20.100000000000001</v>
      </c>
      <c r="F211" s="12">
        <v>20.100000000000001</v>
      </c>
      <c r="G211" s="6">
        <f t="shared" si="59"/>
        <v>0</v>
      </c>
      <c r="H211" s="7">
        <f t="shared" si="60"/>
        <v>0</v>
      </c>
      <c r="I211" s="8">
        <v>54.326307840000005</v>
      </c>
      <c r="J211" s="9">
        <f t="shared" si="61"/>
        <v>54.326307840000005</v>
      </c>
      <c r="K211" s="3">
        <f t="shared" si="62"/>
        <v>0</v>
      </c>
      <c r="L211" s="7">
        <f t="shared" si="63"/>
        <v>0</v>
      </c>
      <c r="M211" t="s">
        <v>187</v>
      </c>
      <c r="O211" s="3">
        <f>E211-'297195 - P0224'!F211</f>
        <v>0</v>
      </c>
      <c r="P211" s="30">
        <f>I211-'297195 - P0224'!J211</f>
        <v>0</v>
      </c>
    </row>
    <row r="212" spans="1:16" x14ac:dyDescent="0.25">
      <c r="A212">
        <v>210</v>
      </c>
      <c r="C212" t="s">
        <v>8</v>
      </c>
      <c r="D212" s="4" t="s">
        <v>203</v>
      </c>
      <c r="E212" s="12">
        <v>38.64</v>
      </c>
      <c r="F212" s="12">
        <v>38.64</v>
      </c>
      <c r="G212" s="6">
        <f t="shared" si="59"/>
        <v>0</v>
      </c>
      <c r="H212" s="7">
        <f t="shared" si="60"/>
        <v>0</v>
      </c>
      <c r="I212" s="8">
        <v>85.68</v>
      </c>
      <c r="J212" s="9">
        <f t="shared" si="61"/>
        <v>85.68</v>
      </c>
      <c r="K212" s="3">
        <f t="shared" si="62"/>
        <v>0</v>
      </c>
      <c r="L212" s="7">
        <f t="shared" si="63"/>
        <v>0</v>
      </c>
      <c r="M212" t="s">
        <v>187</v>
      </c>
      <c r="O212" s="3">
        <f>E212-'297195 - P0224'!F212</f>
        <v>0</v>
      </c>
      <c r="P212" s="30">
        <f>I212-'297195 - P0224'!J212</f>
        <v>0</v>
      </c>
    </row>
    <row r="213" spans="1:16" x14ac:dyDescent="0.25">
      <c r="A213">
        <v>211</v>
      </c>
      <c r="C213" t="s">
        <v>8</v>
      </c>
      <c r="D213" s="4" t="s">
        <v>204</v>
      </c>
      <c r="E213" s="12">
        <v>17.16</v>
      </c>
      <c r="F213" s="12">
        <v>17.16</v>
      </c>
      <c r="G213" s="6">
        <f t="shared" si="59"/>
        <v>0</v>
      </c>
      <c r="H213" s="7">
        <f t="shared" si="60"/>
        <v>0</v>
      </c>
      <c r="I213" s="8">
        <v>26.391854075214955</v>
      </c>
      <c r="J213" s="9">
        <f t="shared" si="61"/>
        <v>26.391854075214955</v>
      </c>
      <c r="K213" s="3">
        <f t="shared" si="62"/>
        <v>0</v>
      </c>
      <c r="L213" s="7">
        <f t="shared" si="63"/>
        <v>0</v>
      </c>
      <c r="M213" t="s">
        <v>187</v>
      </c>
      <c r="O213" s="3">
        <f>E213-'297195 - P0224'!F213</f>
        <v>0</v>
      </c>
      <c r="P213" s="30">
        <f>I213-'297195 - P0224'!J213</f>
        <v>0</v>
      </c>
    </row>
    <row r="214" spans="1:16" x14ac:dyDescent="0.25">
      <c r="A214">
        <v>212</v>
      </c>
      <c r="C214" t="s">
        <v>8</v>
      </c>
      <c r="D214" s="4" t="s">
        <v>205</v>
      </c>
      <c r="E214" s="12">
        <v>30.07</v>
      </c>
      <c r="F214" s="12">
        <v>30.07</v>
      </c>
      <c r="G214" s="6">
        <f t="shared" si="59"/>
        <v>0</v>
      </c>
      <c r="H214" s="7">
        <f t="shared" si="60"/>
        <v>0</v>
      </c>
      <c r="I214" s="8">
        <v>35.416393485128204</v>
      </c>
      <c r="J214" s="9">
        <f t="shared" si="61"/>
        <v>35.416393485128204</v>
      </c>
      <c r="K214" s="3">
        <f t="shared" si="62"/>
        <v>0</v>
      </c>
      <c r="L214" s="7">
        <f t="shared" si="63"/>
        <v>0</v>
      </c>
      <c r="M214" t="s">
        <v>187</v>
      </c>
      <c r="O214" s="3">
        <f>E214-'297195 - P0224'!F214</f>
        <v>0</v>
      </c>
      <c r="P214" s="30">
        <f>I214-'297195 - P0224'!J214</f>
        <v>0</v>
      </c>
    </row>
    <row r="215" spans="1:16" x14ac:dyDescent="0.25">
      <c r="A215">
        <v>213</v>
      </c>
      <c r="C215" t="s">
        <v>8</v>
      </c>
      <c r="D215" s="4" t="s">
        <v>206</v>
      </c>
      <c r="E215" s="12">
        <v>30.42</v>
      </c>
      <c r="F215" s="12">
        <v>30.42</v>
      </c>
      <c r="G215" s="6">
        <f t="shared" si="59"/>
        <v>0</v>
      </c>
      <c r="H215" s="7">
        <f t="shared" si="60"/>
        <v>0</v>
      </c>
      <c r="I215" s="8">
        <v>42.49</v>
      </c>
      <c r="J215" s="9">
        <f t="shared" si="61"/>
        <v>42.49</v>
      </c>
      <c r="K215" s="3">
        <f t="shared" si="62"/>
        <v>0</v>
      </c>
      <c r="L215" s="7">
        <f t="shared" si="63"/>
        <v>0</v>
      </c>
      <c r="M215" t="s">
        <v>187</v>
      </c>
      <c r="O215" s="3">
        <f>E215-'297195 - P0224'!F215</f>
        <v>0</v>
      </c>
      <c r="P215" s="30">
        <f>I215-'297195 - P0224'!J215</f>
        <v>0</v>
      </c>
    </row>
    <row r="216" spans="1:16" x14ac:dyDescent="0.25">
      <c r="A216">
        <v>214</v>
      </c>
      <c r="C216" t="s">
        <v>8</v>
      </c>
      <c r="D216" s="4" t="s">
        <v>207</v>
      </c>
      <c r="E216" s="12">
        <v>2.4</v>
      </c>
      <c r="F216" s="12">
        <v>2.4</v>
      </c>
      <c r="G216" s="6">
        <f t="shared" si="59"/>
        <v>0</v>
      </c>
      <c r="H216" s="7">
        <f t="shared" si="60"/>
        <v>0</v>
      </c>
      <c r="I216" s="8">
        <v>4.84</v>
      </c>
      <c r="J216" s="9">
        <f t="shared" si="61"/>
        <v>4.84</v>
      </c>
      <c r="K216" s="3">
        <f t="shared" si="62"/>
        <v>0</v>
      </c>
      <c r="L216" s="7">
        <f t="shared" si="63"/>
        <v>0</v>
      </c>
      <c r="M216" t="s">
        <v>187</v>
      </c>
      <c r="O216" s="3">
        <f>E216-'297195 - P0224'!F216</f>
        <v>0</v>
      </c>
      <c r="P216" s="30">
        <f>I216-'297195 - P0224'!J216</f>
        <v>0</v>
      </c>
    </row>
    <row r="217" spans="1:16" x14ac:dyDescent="0.25">
      <c r="A217">
        <v>215</v>
      </c>
      <c r="C217" t="s">
        <v>8</v>
      </c>
      <c r="D217" s="4" t="s">
        <v>208</v>
      </c>
      <c r="E217" s="12">
        <v>3.66</v>
      </c>
      <c r="F217" s="12">
        <v>3.66</v>
      </c>
      <c r="G217" s="6">
        <f t="shared" si="59"/>
        <v>0</v>
      </c>
      <c r="H217" s="7">
        <f t="shared" si="60"/>
        <v>0</v>
      </c>
      <c r="I217" s="8">
        <v>5.4831979136563875</v>
      </c>
      <c r="J217" s="9">
        <f t="shared" si="61"/>
        <v>5.4831979136563875</v>
      </c>
      <c r="K217" s="3">
        <f t="shared" si="62"/>
        <v>0</v>
      </c>
      <c r="L217" s="7">
        <f t="shared" si="63"/>
        <v>0</v>
      </c>
      <c r="M217" t="s">
        <v>187</v>
      </c>
      <c r="O217" s="3">
        <f>E217-'297195 - P0224'!F217</f>
        <v>0</v>
      </c>
      <c r="P217" s="30">
        <f>I217-'297195 - P0224'!J217</f>
        <v>0</v>
      </c>
    </row>
    <row r="218" spans="1:16" x14ac:dyDescent="0.25">
      <c r="A218">
        <v>216</v>
      </c>
      <c r="C218" t="s">
        <v>8</v>
      </c>
      <c r="D218" s="4" t="s">
        <v>209</v>
      </c>
      <c r="E218" s="12">
        <v>3.26</v>
      </c>
      <c r="F218" s="12">
        <v>3.26</v>
      </c>
      <c r="G218" s="13">
        <f t="shared" si="59"/>
        <v>0</v>
      </c>
      <c r="H218" s="7">
        <f t="shared" si="60"/>
        <v>0</v>
      </c>
      <c r="I218" s="8">
        <v>5.48</v>
      </c>
      <c r="J218" s="9">
        <f t="shared" si="61"/>
        <v>5.48</v>
      </c>
      <c r="K218" s="3">
        <f t="shared" si="62"/>
        <v>0</v>
      </c>
      <c r="L218" s="7">
        <f t="shared" si="63"/>
        <v>0</v>
      </c>
      <c r="M218" t="s">
        <v>187</v>
      </c>
      <c r="O218" s="3">
        <f>E218-'297195 - P0224'!F218</f>
        <v>0</v>
      </c>
      <c r="P218" s="30">
        <f>I218-'297195 - P0224'!J218</f>
        <v>0</v>
      </c>
    </row>
    <row r="219" spans="1:16" x14ac:dyDescent="0.25">
      <c r="A219">
        <v>217</v>
      </c>
      <c r="C219" t="s">
        <v>8</v>
      </c>
      <c r="D219" s="4" t="s">
        <v>210</v>
      </c>
      <c r="E219" s="12">
        <v>4.46</v>
      </c>
      <c r="F219" s="12">
        <v>4.46</v>
      </c>
      <c r="G219" s="6">
        <f t="shared" si="59"/>
        <v>0</v>
      </c>
      <c r="H219" s="7">
        <f t="shared" si="60"/>
        <v>0</v>
      </c>
      <c r="I219" s="8">
        <v>6.8717173187003597</v>
      </c>
      <c r="J219" s="9">
        <f t="shared" si="61"/>
        <v>6.8717173187003597</v>
      </c>
      <c r="K219" s="3">
        <f t="shared" si="62"/>
        <v>0</v>
      </c>
      <c r="L219" s="7">
        <f t="shared" si="63"/>
        <v>0</v>
      </c>
      <c r="M219" t="s">
        <v>187</v>
      </c>
      <c r="O219" s="3">
        <f>E219-'297195 - P0224'!F219</f>
        <v>0</v>
      </c>
      <c r="P219" s="30">
        <f>I219-'297195 - P0224'!J219</f>
        <v>0</v>
      </c>
    </row>
    <row r="220" spans="1:16" x14ac:dyDescent="0.25">
      <c r="A220">
        <v>218</v>
      </c>
      <c r="C220" t="s">
        <v>8</v>
      </c>
      <c r="D220" s="4" t="s">
        <v>211</v>
      </c>
      <c r="E220" s="12">
        <v>1.78</v>
      </c>
      <c r="F220" s="12">
        <v>1.78</v>
      </c>
      <c r="G220" s="6">
        <f t="shared" si="59"/>
        <v>0</v>
      </c>
      <c r="H220" s="7">
        <f t="shared" si="60"/>
        <v>0</v>
      </c>
      <c r="I220" s="8">
        <v>3.6982813789090896</v>
      </c>
      <c r="J220" s="9">
        <f t="shared" si="61"/>
        <v>3.6982813789090896</v>
      </c>
      <c r="K220" s="3">
        <f t="shared" si="62"/>
        <v>0</v>
      </c>
      <c r="L220" s="7">
        <f t="shared" si="63"/>
        <v>0</v>
      </c>
      <c r="M220" t="s">
        <v>187</v>
      </c>
      <c r="O220" s="3">
        <f>E220-'297195 - P0224'!F220</f>
        <v>0</v>
      </c>
      <c r="P220" s="30">
        <f>I220-'297195 - P0224'!J220</f>
        <v>0</v>
      </c>
    </row>
    <row r="221" spans="1:16" x14ac:dyDescent="0.25">
      <c r="A221">
        <v>219</v>
      </c>
      <c r="C221" t="s">
        <v>8</v>
      </c>
      <c r="D221" s="4" t="s">
        <v>212</v>
      </c>
      <c r="E221" s="12">
        <v>2.66</v>
      </c>
      <c r="F221" s="12">
        <v>2.66</v>
      </c>
      <c r="G221" s="6">
        <f t="shared" si="59"/>
        <v>0</v>
      </c>
      <c r="H221" s="7">
        <f t="shared" si="60"/>
        <v>0</v>
      </c>
      <c r="I221" s="8">
        <v>4.4491697803636372</v>
      </c>
      <c r="J221" s="9">
        <f t="shared" si="61"/>
        <v>4.4491697803636372</v>
      </c>
      <c r="K221" s="3">
        <f t="shared" si="62"/>
        <v>0</v>
      </c>
      <c r="L221" s="7">
        <f t="shared" si="63"/>
        <v>0</v>
      </c>
      <c r="M221" t="s">
        <v>187</v>
      </c>
      <c r="O221" s="3">
        <f>E221-'297195 - P0224'!F221</f>
        <v>0</v>
      </c>
      <c r="P221" s="30">
        <f>I221-'297195 - P0224'!J221</f>
        <v>0</v>
      </c>
    </row>
    <row r="222" spans="1:16" x14ac:dyDescent="0.25">
      <c r="A222">
        <v>220</v>
      </c>
      <c r="C222" t="s">
        <v>8</v>
      </c>
      <c r="D222" s="4" t="s">
        <v>213</v>
      </c>
      <c r="E222" s="12">
        <v>2.85</v>
      </c>
      <c r="F222" s="12">
        <v>2.85</v>
      </c>
      <c r="G222" s="6">
        <f t="shared" si="59"/>
        <v>0</v>
      </c>
      <c r="H222" s="7">
        <f t="shared" si="60"/>
        <v>0</v>
      </c>
      <c r="I222" s="8">
        <v>7.25</v>
      </c>
      <c r="J222" s="9">
        <f t="shared" si="61"/>
        <v>7.25</v>
      </c>
      <c r="K222" s="3">
        <f t="shared" si="62"/>
        <v>0</v>
      </c>
      <c r="L222" s="7">
        <f t="shared" si="63"/>
        <v>0</v>
      </c>
      <c r="M222" t="s">
        <v>187</v>
      </c>
      <c r="O222" s="3">
        <f>E222-'297195 - P0224'!F222</f>
        <v>0</v>
      </c>
      <c r="P222" s="30">
        <f>I222-'297195 - P0224'!J222</f>
        <v>0</v>
      </c>
    </row>
    <row r="223" spans="1:16" x14ac:dyDescent="0.25">
      <c r="A223">
        <v>221</v>
      </c>
      <c r="C223" t="s">
        <v>8</v>
      </c>
      <c r="D223" s="4" t="s">
        <v>465</v>
      </c>
      <c r="E223" s="12">
        <v>2.5099999999999998</v>
      </c>
      <c r="F223" s="12">
        <v>2.5099999999999998</v>
      </c>
      <c r="G223" s="6">
        <f t="shared" si="59"/>
        <v>0</v>
      </c>
      <c r="H223" s="7">
        <f t="shared" si="60"/>
        <v>0</v>
      </c>
      <c r="I223" s="8">
        <v>4.32</v>
      </c>
      <c r="J223" s="9">
        <f t="shared" si="61"/>
        <v>4.32</v>
      </c>
      <c r="K223" s="3">
        <f t="shared" si="62"/>
        <v>0</v>
      </c>
      <c r="L223" s="7">
        <f t="shared" si="63"/>
        <v>0</v>
      </c>
      <c r="M223" t="s">
        <v>187</v>
      </c>
      <c r="O223" s="3">
        <f>E223-'297195 - P0224'!F223</f>
        <v>0</v>
      </c>
      <c r="P223" s="30">
        <f>I223-'297195 - P0224'!J223</f>
        <v>0</v>
      </c>
    </row>
    <row r="224" spans="1:16" x14ac:dyDescent="0.25">
      <c r="A224">
        <v>222</v>
      </c>
      <c r="C224" t="s">
        <v>8</v>
      </c>
      <c r="D224" s="4" t="s">
        <v>214</v>
      </c>
      <c r="E224" s="12">
        <v>2.69</v>
      </c>
      <c r="F224" s="12">
        <v>2.69</v>
      </c>
      <c r="G224" s="6">
        <f t="shared" si="59"/>
        <v>0</v>
      </c>
      <c r="H224" s="7">
        <f t="shared" si="60"/>
        <v>0</v>
      </c>
      <c r="I224" s="8">
        <v>4.49</v>
      </c>
      <c r="J224" s="9">
        <f t="shared" si="61"/>
        <v>4.49</v>
      </c>
      <c r="K224" s="3">
        <f t="shared" si="62"/>
        <v>0</v>
      </c>
      <c r="L224" s="7">
        <f t="shared" si="63"/>
        <v>0</v>
      </c>
      <c r="M224" t="s">
        <v>187</v>
      </c>
      <c r="O224" s="3">
        <f>E224-'297195 - P0224'!F224</f>
        <v>0</v>
      </c>
      <c r="P224" s="30">
        <f>I224-'297195 - P0224'!J224</f>
        <v>0</v>
      </c>
    </row>
    <row r="225" spans="1:16" x14ac:dyDescent="0.25">
      <c r="A225">
        <v>223</v>
      </c>
      <c r="C225" t="s">
        <v>8</v>
      </c>
      <c r="D225" s="4" t="s">
        <v>215</v>
      </c>
      <c r="E225" s="12">
        <v>0.45</v>
      </c>
      <c r="F225" s="12">
        <v>0.45</v>
      </c>
      <c r="G225" s="6">
        <f t="shared" si="59"/>
        <v>0</v>
      </c>
      <c r="H225" s="7">
        <f t="shared" si="60"/>
        <v>0</v>
      </c>
      <c r="I225" s="8">
        <v>0.70471188480000002</v>
      </c>
      <c r="J225" s="9">
        <f t="shared" si="61"/>
        <v>0.70471188480000002</v>
      </c>
      <c r="K225" s="3">
        <f t="shared" si="62"/>
        <v>0</v>
      </c>
      <c r="L225" s="7">
        <f t="shared" si="63"/>
        <v>0</v>
      </c>
      <c r="M225" t="s">
        <v>187</v>
      </c>
      <c r="O225" s="3">
        <f>E225-'297195 - P0224'!F225</f>
        <v>0</v>
      </c>
      <c r="P225" s="30">
        <f>I225-'297195 - P0224'!J225</f>
        <v>0</v>
      </c>
    </row>
    <row r="226" spans="1:16" x14ac:dyDescent="0.25">
      <c r="A226">
        <v>224</v>
      </c>
      <c r="C226" t="s">
        <v>8</v>
      </c>
      <c r="D226" s="4" t="s">
        <v>216</v>
      </c>
      <c r="E226" s="12">
        <v>1.1000000000000001</v>
      </c>
      <c r="F226" s="12">
        <v>1.1000000000000001</v>
      </c>
      <c r="G226" s="6">
        <f t="shared" si="59"/>
        <v>0</v>
      </c>
      <c r="H226" s="7">
        <f t="shared" si="60"/>
        <v>0</v>
      </c>
      <c r="I226" s="8">
        <v>1.23</v>
      </c>
      <c r="J226" s="9">
        <f t="shared" si="61"/>
        <v>1.23</v>
      </c>
      <c r="K226" s="3">
        <f t="shared" si="62"/>
        <v>0</v>
      </c>
      <c r="L226" s="7">
        <f t="shared" si="63"/>
        <v>0</v>
      </c>
      <c r="M226" t="s">
        <v>187</v>
      </c>
      <c r="O226" s="3">
        <f>E226-'297195 - P0224'!F226</f>
        <v>0</v>
      </c>
      <c r="P226" s="30">
        <f>I226-'297195 - P0224'!J226</f>
        <v>0</v>
      </c>
    </row>
    <row r="227" spans="1:16" x14ac:dyDescent="0.25">
      <c r="A227">
        <v>225</v>
      </c>
      <c r="C227" t="s">
        <v>8</v>
      </c>
      <c r="D227" s="4" t="s">
        <v>217</v>
      </c>
      <c r="E227" s="12">
        <v>1.1000000000000001</v>
      </c>
      <c r="F227" s="12">
        <v>1.1000000000000001</v>
      </c>
      <c r="G227" s="6">
        <f t="shared" si="59"/>
        <v>0</v>
      </c>
      <c r="H227" s="7">
        <f t="shared" si="60"/>
        <v>0</v>
      </c>
      <c r="I227" s="8">
        <v>1.8621752470588233</v>
      </c>
      <c r="J227" s="9">
        <f t="shared" si="61"/>
        <v>1.8621752470588233</v>
      </c>
      <c r="K227" s="3">
        <f t="shared" si="62"/>
        <v>0</v>
      </c>
      <c r="L227" s="7">
        <f t="shared" si="63"/>
        <v>0</v>
      </c>
      <c r="M227" t="s">
        <v>187</v>
      </c>
      <c r="O227" s="3">
        <f>E227-'297195 - P0224'!F227</f>
        <v>0</v>
      </c>
      <c r="P227" s="30">
        <f>I227-'297195 - P0224'!J227</f>
        <v>0</v>
      </c>
    </row>
    <row r="228" spans="1:16" x14ac:dyDescent="0.25">
      <c r="A228">
        <v>226</v>
      </c>
      <c r="C228" t="s">
        <v>8</v>
      </c>
      <c r="D228" s="4" t="s">
        <v>218</v>
      </c>
      <c r="E228" s="12">
        <v>1.28</v>
      </c>
      <c r="F228" s="12">
        <v>1.28</v>
      </c>
      <c r="G228" s="6">
        <f t="shared" si="59"/>
        <v>0</v>
      </c>
      <c r="H228" s="7">
        <f t="shared" si="60"/>
        <v>0</v>
      </c>
      <c r="I228" s="8">
        <v>2.3682151048101265</v>
      </c>
      <c r="J228" s="9">
        <f t="shared" si="61"/>
        <v>2.3682151048101265</v>
      </c>
      <c r="K228" s="3">
        <f t="shared" si="62"/>
        <v>0</v>
      </c>
      <c r="L228" s="7">
        <f t="shared" si="63"/>
        <v>0</v>
      </c>
      <c r="M228" t="s">
        <v>187</v>
      </c>
      <c r="O228" s="3">
        <f>E228-'297195 - P0224'!F228</f>
        <v>0</v>
      </c>
      <c r="P228" s="30">
        <f>I228-'297195 - P0224'!J228</f>
        <v>0</v>
      </c>
    </row>
    <row r="229" spans="1:16" x14ac:dyDescent="0.25">
      <c r="A229">
        <v>227</v>
      </c>
      <c r="C229" t="s">
        <v>8</v>
      </c>
      <c r="D229" s="4" t="s">
        <v>219</v>
      </c>
      <c r="E229" s="12">
        <v>2.64</v>
      </c>
      <c r="F229" s="12">
        <v>2.64</v>
      </c>
      <c r="G229" s="6">
        <f t="shared" si="59"/>
        <v>0</v>
      </c>
      <c r="H229" s="7">
        <f t="shared" si="60"/>
        <v>0</v>
      </c>
      <c r="I229" s="8">
        <v>5.58</v>
      </c>
      <c r="J229" s="9">
        <f t="shared" si="61"/>
        <v>5.58</v>
      </c>
      <c r="K229" s="3">
        <f t="shared" si="62"/>
        <v>0</v>
      </c>
      <c r="L229" s="7">
        <f t="shared" si="63"/>
        <v>0</v>
      </c>
      <c r="M229" t="s">
        <v>187</v>
      </c>
      <c r="O229" s="3">
        <f>E229-'297195 - P0224'!F229</f>
        <v>0</v>
      </c>
      <c r="P229" s="30">
        <f>I229-'297195 - P0224'!J229</f>
        <v>0</v>
      </c>
    </row>
    <row r="230" spans="1:16" x14ac:dyDescent="0.25">
      <c r="A230">
        <v>228</v>
      </c>
      <c r="C230" t="s">
        <v>8</v>
      </c>
      <c r="D230" s="4" t="s">
        <v>220</v>
      </c>
      <c r="E230" s="12">
        <v>0.09</v>
      </c>
      <c r="F230" s="12">
        <v>0.09</v>
      </c>
      <c r="G230" s="6">
        <f t="shared" si="59"/>
        <v>0</v>
      </c>
      <c r="H230" s="7">
        <f t="shared" si="60"/>
        <v>0</v>
      </c>
      <c r="I230" s="8">
        <v>0.19219415040000001</v>
      </c>
      <c r="J230" s="9">
        <f t="shared" si="61"/>
        <v>0.19219415040000001</v>
      </c>
      <c r="K230" s="3">
        <f t="shared" si="62"/>
        <v>0</v>
      </c>
      <c r="L230" s="7">
        <f t="shared" si="63"/>
        <v>0</v>
      </c>
      <c r="M230" t="s">
        <v>187</v>
      </c>
      <c r="O230" s="3">
        <f>E230-'297195 - P0224'!F230</f>
        <v>0</v>
      </c>
      <c r="P230" s="30">
        <f>I230-'297195 - P0224'!J230</f>
        <v>0</v>
      </c>
    </row>
    <row r="231" spans="1:16" x14ac:dyDescent="0.25">
      <c r="A231">
        <v>229</v>
      </c>
      <c r="C231" t="s">
        <v>8</v>
      </c>
      <c r="D231" s="4" t="s">
        <v>221</v>
      </c>
      <c r="E231" s="12">
        <v>1.01</v>
      </c>
      <c r="F231" s="12">
        <v>1.01</v>
      </c>
      <c r="G231" s="6">
        <f t="shared" si="59"/>
        <v>0</v>
      </c>
      <c r="H231" s="7">
        <f t="shared" si="60"/>
        <v>0</v>
      </c>
      <c r="I231" s="8">
        <v>1.6874188799999998</v>
      </c>
      <c r="J231" s="9">
        <f t="shared" si="61"/>
        <v>1.6874188799999998</v>
      </c>
      <c r="K231" s="3">
        <f t="shared" si="62"/>
        <v>0</v>
      </c>
      <c r="L231" s="7">
        <f t="shared" si="63"/>
        <v>0</v>
      </c>
      <c r="M231" t="s">
        <v>187</v>
      </c>
      <c r="O231" s="3">
        <f>E231-'297195 - P0224'!F231</f>
        <v>0</v>
      </c>
      <c r="P231" s="30">
        <f>I231-'297195 - P0224'!J231</f>
        <v>0</v>
      </c>
    </row>
    <row r="232" spans="1:16" x14ac:dyDescent="0.25">
      <c r="A232">
        <v>230</v>
      </c>
      <c r="C232" t="s">
        <v>8</v>
      </c>
      <c r="D232" s="4" t="s">
        <v>222</v>
      </c>
      <c r="E232" s="12">
        <v>0.06</v>
      </c>
      <c r="F232" s="12">
        <v>0.06</v>
      </c>
      <c r="G232" s="6">
        <f t="shared" si="59"/>
        <v>0</v>
      </c>
      <c r="H232" s="7">
        <f t="shared" si="60"/>
        <v>0</v>
      </c>
      <c r="I232" s="8">
        <v>2.29</v>
      </c>
      <c r="J232" s="9">
        <f t="shared" si="61"/>
        <v>2.29</v>
      </c>
      <c r="K232" s="3">
        <f t="shared" si="62"/>
        <v>0</v>
      </c>
      <c r="L232" s="7">
        <f t="shared" si="63"/>
        <v>0</v>
      </c>
      <c r="M232" t="s">
        <v>187</v>
      </c>
      <c r="O232" s="3">
        <f>E232-'297195 - P0224'!F232</f>
        <v>0</v>
      </c>
      <c r="P232" s="30">
        <f>I232-'297195 - P0224'!J232</f>
        <v>0</v>
      </c>
    </row>
    <row r="233" spans="1:16" x14ac:dyDescent="0.25">
      <c r="A233">
        <v>231</v>
      </c>
      <c r="C233" t="s">
        <v>8</v>
      </c>
      <c r="D233" s="4" t="s">
        <v>223</v>
      </c>
      <c r="E233" s="12">
        <v>4.1399999999999997</v>
      </c>
      <c r="F233" s="12">
        <v>4.1399999999999997</v>
      </c>
      <c r="G233" s="6">
        <f t="shared" si="59"/>
        <v>0</v>
      </c>
      <c r="H233" s="7">
        <f t="shared" si="60"/>
        <v>0</v>
      </c>
      <c r="I233" s="8">
        <v>6.49</v>
      </c>
      <c r="J233" s="9">
        <f t="shared" si="61"/>
        <v>6.49</v>
      </c>
      <c r="K233" s="3">
        <f t="shared" si="62"/>
        <v>0</v>
      </c>
      <c r="L233" s="7">
        <f t="shared" si="63"/>
        <v>0</v>
      </c>
      <c r="M233" t="s">
        <v>187</v>
      </c>
      <c r="O233" s="3">
        <f>E233-'297195 - P0224'!F233</f>
        <v>0</v>
      </c>
      <c r="P233" s="30">
        <f>I233-'297195 - P0224'!J233</f>
        <v>0</v>
      </c>
    </row>
    <row r="234" spans="1:16" x14ac:dyDescent="0.25">
      <c r="A234">
        <v>232</v>
      </c>
      <c r="C234" t="s">
        <v>8</v>
      </c>
      <c r="D234" s="4" t="s">
        <v>224</v>
      </c>
      <c r="E234" s="12">
        <v>24.6</v>
      </c>
      <c r="F234" s="12">
        <v>24.6</v>
      </c>
      <c r="G234" s="6">
        <f t="shared" si="59"/>
        <v>0</v>
      </c>
      <c r="H234" s="7">
        <f t="shared" si="60"/>
        <v>0</v>
      </c>
      <c r="I234" s="8">
        <v>37.85520480000001</v>
      </c>
      <c r="J234" s="9">
        <f t="shared" si="61"/>
        <v>37.85520480000001</v>
      </c>
      <c r="K234" s="3">
        <f t="shared" si="62"/>
        <v>0</v>
      </c>
      <c r="L234" s="7">
        <f t="shared" si="63"/>
        <v>0</v>
      </c>
      <c r="M234" t="s">
        <v>187</v>
      </c>
      <c r="O234" s="3">
        <f>E234-'297195 - P0224'!F234</f>
        <v>0</v>
      </c>
      <c r="P234" s="30">
        <f>I234-'297195 - P0224'!J234</f>
        <v>0</v>
      </c>
    </row>
    <row r="235" spans="1:16" x14ac:dyDescent="0.25">
      <c r="A235">
        <v>233</v>
      </c>
      <c r="C235" t="s">
        <v>8</v>
      </c>
      <c r="D235" s="4" t="s">
        <v>225</v>
      </c>
      <c r="E235" s="12">
        <v>8.41</v>
      </c>
      <c r="F235" s="12">
        <v>8.41</v>
      </c>
      <c r="G235" s="6">
        <f t="shared" si="59"/>
        <v>0</v>
      </c>
      <c r="H235" s="7">
        <f t="shared" si="60"/>
        <v>0</v>
      </c>
      <c r="I235" s="8">
        <v>17.605379996335873</v>
      </c>
      <c r="J235" s="9">
        <f t="shared" si="61"/>
        <v>17.605379996335873</v>
      </c>
      <c r="K235" s="3">
        <f t="shared" si="62"/>
        <v>0</v>
      </c>
      <c r="L235" s="7">
        <f t="shared" si="63"/>
        <v>0</v>
      </c>
      <c r="M235" t="s">
        <v>187</v>
      </c>
      <c r="O235" s="3">
        <f>E235-'297195 - P0224'!F235</f>
        <v>0</v>
      </c>
      <c r="P235" s="30">
        <f>I235-'297195 - P0224'!J235</f>
        <v>0</v>
      </c>
    </row>
    <row r="236" spans="1:16" x14ac:dyDescent="0.25">
      <c r="A236">
        <v>234</v>
      </c>
      <c r="C236" t="s">
        <v>8</v>
      </c>
      <c r="D236" s="4" t="s">
        <v>226</v>
      </c>
      <c r="E236" s="12">
        <v>19.87</v>
      </c>
      <c r="F236" s="12">
        <v>19.87</v>
      </c>
      <c r="G236" s="6">
        <f t="shared" si="59"/>
        <v>0</v>
      </c>
      <c r="H236" s="7">
        <f t="shared" si="60"/>
        <v>0</v>
      </c>
      <c r="I236" s="8">
        <v>37.722017205436892</v>
      </c>
      <c r="J236" s="9">
        <f t="shared" si="61"/>
        <v>37.722017205436892</v>
      </c>
      <c r="K236" s="3">
        <f t="shared" si="62"/>
        <v>0</v>
      </c>
      <c r="L236" s="7">
        <f t="shared" si="63"/>
        <v>0</v>
      </c>
      <c r="M236" t="s">
        <v>187</v>
      </c>
      <c r="O236" s="3">
        <f>E236-'297195 - P0224'!F236</f>
        <v>0</v>
      </c>
      <c r="P236" s="30">
        <f>I236-'297195 - P0224'!J236</f>
        <v>0</v>
      </c>
    </row>
    <row r="237" spans="1:16" x14ac:dyDescent="0.25">
      <c r="A237">
        <v>235</v>
      </c>
      <c r="C237" t="s">
        <v>8</v>
      </c>
      <c r="D237" s="4" t="s">
        <v>227</v>
      </c>
      <c r="E237" s="12">
        <v>19.89</v>
      </c>
      <c r="F237" s="12">
        <v>19.89</v>
      </c>
      <c r="G237" s="6">
        <f t="shared" si="59"/>
        <v>0</v>
      </c>
      <c r="H237" s="7">
        <f t="shared" si="60"/>
        <v>0</v>
      </c>
      <c r="I237" s="8">
        <v>39.222494967342996</v>
      </c>
      <c r="J237" s="9">
        <f t="shared" si="61"/>
        <v>39.222494967342996</v>
      </c>
      <c r="K237" s="3">
        <f t="shared" si="62"/>
        <v>0</v>
      </c>
      <c r="L237" s="7">
        <f t="shared" si="63"/>
        <v>0</v>
      </c>
      <c r="M237" t="s">
        <v>187</v>
      </c>
      <c r="O237" s="3">
        <f>E237-'297195 - P0224'!F237</f>
        <v>0</v>
      </c>
      <c r="P237" s="30">
        <f>I237-'297195 - P0224'!J237</f>
        <v>0</v>
      </c>
    </row>
    <row r="238" spans="1:16" x14ac:dyDescent="0.25">
      <c r="A238">
        <v>236</v>
      </c>
      <c r="C238" t="s">
        <v>8</v>
      </c>
      <c r="D238" s="4" t="s">
        <v>228</v>
      </c>
      <c r="E238" s="12">
        <v>4.71</v>
      </c>
      <c r="F238" s="12">
        <v>4.71</v>
      </c>
      <c r="G238" s="6">
        <f t="shared" si="59"/>
        <v>0</v>
      </c>
      <c r="H238" s="7">
        <f t="shared" si="60"/>
        <v>0</v>
      </c>
      <c r="I238" s="8">
        <v>11.98</v>
      </c>
      <c r="J238" s="9">
        <f t="shared" si="61"/>
        <v>11.98</v>
      </c>
      <c r="K238" s="3">
        <f t="shared" si="62"/>
        <v>0</v>
      </c>
      <c r="L238" s="7">
        <f t="shared" si="63"/>
        <v>0</v>
      </c>
      <c r="M238" t="s">
        <v>187</v>
      </c>
      <c r="O238" s="3">
        <f>E238-'297195 - P0224'!F238</f>
        <v>0</v>
      </c>
      <c r="P238" s="30">
        <f>I238-'297195 - P0224'!J238</f>
        <v>0</v>
      </c>
    </row>
    <row r="239" spans="1:16" x14ac:dyDescent="0.25">
      <c r="A239">
        <v>237</v>
      </c>
      <c r="C239" t="s">
        <v>8</v>
      </c>
      <c r="D239" s="4" t="s">
        <v>229</v>
      </c>
      <c r="E239" s="12">
        <v>51.79</v>
      </c>
      <c r="F239" s="12">
        <v>51.79</v>
      </c>
      <c r="G239" s="6">
        <f t="shared" si="59"/>
        <v>0</v>
      </c>
      <c r="H239" s="7">
        <f t="shared" si="60"/>
        <v>0</v>
      </c>
      <c r="I239" s="8">
        <v>79.680000000000007</v>
      </c>
      <c r="J239" s="9">
        <f t="shared" si="61"/>
        <v>79.680000000000007</v>
      </c>
      <c r="K239" s="3">
        <f t="shared" si="62"/>
        <v>0</v>
      </c>
      <c r="L239" s="7">
        <f t="shared" si="63"/>
        <v>0</v>
      </c>
      <c r="M239" t="s">
        <v>187</v>
      </c>
      <c r="O239" s="3">
        <f>E239-'297195 - P0224'!F239</f>
        <v>0</v>
      </c>
      <c r="P239" s="30">
        <f>I239-'297195 - P0224'!J239</f>
        <v>0</v>
      </c>
    </row>
    <row r="240" spans="1:16" x14ac:dyDescent="0.25">
      <c r="A240">
        <v>238</v>
      </c>
      <c r="C240" t="s">
        <v>8</v>
      </c>
      <c r="D240" s="4" t="s">
        <v>230</v>
      </c>
      <c r="E240" s="12">
        <v>9.76</v>
      </c>
      <c r="F240" s="12">
        <v>9.76</v>
      </c>
      <c r="G240" s="6">
        <f t="shared" si="59"/>
        <v>0</v>
      </c>
      <c r="H240" s="7">
        <f t="shared" si="60"/>
        <v>0</v>
      </c>
      <c r="I240" s="8">
        <v>19.82</v>
      </c>
      <c r="J240" s="9">
        <f t="shared" si="61"/>
        <v>19.82</v>
      </c>
      <c r="K240" s="3">
        <f t="shared" si="62"/>
        <v>0</v>
      </c>
      <c r="L240" s="7">
        <f t="shared" si="63"/>
        <v>0</v>
      </c>
      <c r="M240" t="s">
        <v>187</v>
      </c>
      <c r="O240" s="3">
        <f>E240-'297195 - P0224'!F240</f>
        <v>0</v>
      </c>
      <c r="P240" s="30">
        <f>I240-'297195 - P0224'!J240</f>
        <v>0</v>
      </c>
    </row>
    <row r="241" spans="1:16" x14ac:dyDescent="0.25">
      <c r="A241">
        <v>239</v>
      </c>
      <c r="C241" t="s">
        <v>8</v>
      </c>
      <c r="D241" s="4" t="s">
        <v>231</v>
      </c>
      <c r="E241" s="12">
        <v>2.87</v>
      </c>
      <c r="F241" s="12">
        <v>2.87</v>
      </c>
      <c r="G241" s="6">
        <f t="shared" si="59"/>
        <v>0</v>
      </c>
      <c r="H241" s="7">
        <f t="shared" si="60"/>
        <v>0</v>
      </c>
      <c r="I241" s="8">
        <v>5.82</v>
      </c>
      <c r="J241" s="9">
        <f t="shared" si="61"/>
        <v>5.82</v>
      </c>
      <c r="K241" s="3">
        <f t="shared" si="62"/>
        <v>0</v>
      </c>
      <c r="L241" s="7">
        <f t="shared" si="63"/>
        <v>0</v>
      </c>
      <c r="M241" t="s">
        <v>187</v>
      </c>
      <c r="O241" s="3">
        <f>E241-'297195 - P0224'!F241</f>
        <v>0</v>
      </c>
      <c r="P241" s="30">
        <f>I241-'297195 - P0224'!J241</f>
        <v>0</v>
      </c>
    </row>
    <row r="242" spans="1:16" x14ac:dyDescent="0.25">
      <c r="A242">
        <v>240</v>
      </c>
      <c r="D242" s="2" t="s">
        <v>232</v>
      </c>
      <c r="H242" s="10">
        <f>AVERAGE(H194:H237)</f>
        <v>0</v>
      </c>
      <c r="I242"/>
    </row>
    <row r="243" spans="1:16" x14ac:dyDescent="0.25">
      <c r="A243">
        <v>241</v>
      </c>
      <c r="D243" s="2" t="s">
        <v>233</v>
      </c>
      <c r="I243"/>
      <c r="M243" t="s">
        <v>234</v>
      </c>
      <c r="O243" s="3">
        <f>E243-'297195 - P0224'!F243</f>
        <v>0</v>
      </c>
      <c r="P243" s="30">
        <f>I243-'297195 - P0224'!J243</f>
        <v>0</v>
      </c>
    </row>
    <row r="244" spans="1:16" x14ac:dyDescent="0.25">
      <c r="A244">
        <v>242</v>
      </c>
      <c r="C244" t="s">
        <v>8</v>
      </c>
      <c r="D244" s="4" t="s">
        <v>235</v>
      </c>
      <c r="E244" s="12">
        <v>19.32</v>
      </c>
      <c r="F244" s="12">
        <v>19.32</v>
      </c>
      <c r="G244" s="6">
        <f t="shared" ref="G244:G248" si="64">+F244-E244</f>
        <v>0</v>
      </c>
      <c r="H244" s="7">
        <f t="shared" ref="H244:H248" si="65">(F244-E244)/ABS(E244)</f>
        <v>0</v>
      </c>
      <c r="I244" s="8">
        <v>43.363738242210459</v>
      </c>
      <c r="J244" s="9">
        <f t="shared" ref="J244:J248" si="66">(I244*H244)+I244</f>
        <v>43.363738242210459</v>
      </c>
      <c r="K244" s="3">
        <f t="shared" ref="K244:K248" si="67">J244-I244</f>
        <v>0</v>
      </c>
      <c r="L244" s="7">
        <f t="shared" ref="L244:L248" si="68">(J244-I244)/ABS(I244)</f>
        <v>0</v>
      </c>
      <c r="M244" t="s">
        <v>234</v>
      </c>
      <c r="O244" s="3">
        <f>E244-'297195 - P0224'!F244</f>
        <v>0</v>
      </c>
      <c r="P244" s="30">
        <f>I244-'297195 - P0224'!J244</f>
        <v>0</v>
      </c>
    </row>
    <row r="245" spans="1:16" x14ac:dyDescent="0.25">
      <c r="A245">
        <v>243</v>
      </c>
      <c r="C245" t="s">
        <v>8</v>
      </c>
      <c r="D245" s="4" t="s">
        <v>236</v>
      </c>
      <c r="E245" s="12">
        <v>25.76</v>
      </c>
      <c r="F245" s="12">
        <v>25.76</v>
      </c>
      <c r="G245" s="6">
        <f t="shared" si="64"/>
        <v>0</v>
      </c>
      <c r="H245" s="7">
        <f t="shared" si="65"/>
        <v>0</v>
      </c>
      <c r="I245" s="8">
        <v>54.72</v>
      </c>
      <c r="J245" s="9">
        <f t="shared" si="66"/>
        <v>54.72</v>
      </c>
      <c r="K245" s="3">
        <f t="shared" si="67"/>
        <v>0</v>
      </c>
      <c r="L245" s="7">
        <f t="shared" si="68"/>
        <v>0</v>
      </c>
      <c r="M245" t="s">
        <v>234</v>
      </c>
      <c r="O245" s="3">
        <f>E245-'297195 - P0224'!F245</f>
        <v>0</v>
      </c>
      <c r="P245" s="30">
        <f>I245-'297195 - P0224'!J245</f>
        <v>0</v>
      </c>
    </row>
    <row r="246" spans="1:16" x14ac:dyDescent="0.25">
      <c r="A246">
        <v>244</v>
      </c>
      <c r="C246" t="s">
        <v>8</v>
      </c>
      <c r="D246" s="4" t="s">
        <v>237</v>
      </c>
      <c r="E246" s="12">
        <v>26.28</v>
      </c>
      <c r="F246" s="12">
        <v>26.28</v>
      </c>
      <c r="G246" s="6">
        <f t="shared" si="64"/>
        <v>0</v>
      </c>
      <c r="H246" s="7">
        <f t="shared" si="65"/>
        <v>0</v>
      </c>
      <c r="I246" s="8">
        <v>41.047300934300516</v>
      </c>
      <c r="J246" s="9">
        <f t="shared" si="66"/>
        <v>41.047300934300516</v>
      </c>
      <c r="K246" s="3">
        <f t="shared" si="67"/>
        <v>0</v>
      </c>
      <c r="L246" s="7">
        <f t="shared" si="68"/>
        <v>0</v>
      </c>
      <c r="M246" t="s">
        <v>234</v>
      </c>
      <c r="O246" s="3">
        <f>E246-'297195 - P0224'!F246</f>
        <v>0</v>
      </c>
      <c r="P246" s="30">
        <f>I246-'297195 - P0224'!J246</f>
        <v>0</v>
      </c>
    </row>
    <row r="247" spans="1:16" x14ac:dyDescent="0.25">
      <c r="A247">
        <v>245</v>
      </c>
      <c r="C247" t="s">
        <v>8</v>
      </c>
      <c r="D247" s="4" t="s">
        <v>238</v>
      </c>
      <c r="E247" s="12">
        <v>35.04</v>
      </c>
      <c r="F247" s="12">
        <v>35.04</v>
      </c>
      <c r="G247" s="6">
        <f t="shared" si="64"/>
        <v>0</v>
      </c>
      <c r="H247" s="7">
        <f t="shared" si="65"/>
        <v>0</v>
      </c>
      <c r="I247" s="8">
        <v>54.724364707150258</v>
      </c>
      <c r="J247" s="9">
        <f t="shared" si="66"/>
        <v>54.724364707150258</v>
      </c>
      <c r="K247" s="3">
        <f t="shared" si="67"/>
        <v>0</v>
      </c>
      <c r="L247" s="7">
        <f t="shared" si="68"/>
        <v>0</v>
      </c>
      <c r="M247" t="s">
        <v>234</v>
      </c>
      <c r="O247" s="3">
        <f>E247-'297195 - P0224'!F247</f>
        <v>0</v>
      </c>
      <c r="P247" s="30">
        <f>I247-'297195 - P0224'!J247</f>
        <v>0</v>
      </c>
    </row>
    <row r="248" spans="1:16" x14ac:dyDescent="0.25">
      <c r="A248">
        <v>246</v>
      </c>
      <c r="C248" t="s">
        <v>8</v>
      </c>
      <c r="D248" s="4" t="s">
        <v>239</v>
      </c>
      <c r="E248" s="12">
        <v>43.8</v>
      </c>
      <c r="F248" s="12">
        <v>43.8</v>
      </c>
      <c r="G248" s="6">
        <f t="shared" si="64"/>
        <v>0</v>
      </c>
      <c r="H248" s="7">
        <f t="shared" si="65"/>
        <v>0</v>
      </c>
      <c r="I248" s="8">
        <v>68.401428479999993</v>
      </c>
      <c r="J248" s="9">
        <f t="shared" si="66"/>
        <v>68.401428479999993</v>
      </c>
      <c r="K248" s="3">
        <f t="shared" si="67"/>
        <v>0</v>
      </c>
      <c r="L248" s="7">
        <f t="shared" si="68"/>
        <v>0</v>
      </c>
      <c r="M248" t="s">
        <v>234</v>
      </c>
      <c r="O248" s="3">
        <f>E248-'297195 - P0224'!F248</f>
        <v>0</v>
      </c>
      <c r="P248" s="30">
        <f>I248-'297195 - P0224'!J248</f>
        <v>0</v>
      </c>
    </row>
    <row r="249" spans="1:16" x14ac:dyDescent="0.25">
      <c r="A249">
        <v>247</v>
      </c>
      <c r="D249" s="2" t="s">
        <v>240</v>
      </c>
      <c r="H249" s="10">
        <f>AVERAGE(H244:H248)</f>
        <v>0</v>
      </c>
      <c r="I249"/>
    </row>
    <row r="250" spans="1:16" x14ac:dyDescent="0.25">
      <c r="A250">
        <v>248</v>
      </c>
      <c r="D250" s="2" t="s">
        <v>241</v>
      </c>
      <c r="I250"/>
    </row>
    <row r="251" spans="1:16" x14ac:dyDescent="0.25">
      <c r="A251">
        <v>249</v>
      </c>
      <c r="C251" t="s">
        <v>8</v>
      </c>
      <c r="D251" s="4" t="s">
        <v>242</v>
      </c>
      <c r="E251" s="12">
        <v>8.2200000000000006</v>
      </c>
      <c r="F251" s="11">
        <v>8.2200000000000006</v>
      </c>
      <c r="G251" s="6">
        <f t="shared" ref="G251:G295" si="69">+F251-E251</f>
        <v>0</v>
      </c>
      <c r="H251" s="7">
        <f t="shared" ref="H251:H295" si="70">(F251-E251)/ABS(E251)</f>
        <v>0</v>
      </c>
      <c r="I251" s="8">
        <v>28.54202272220985</v>
      </c>
      <c r="J251" s="9">
        <f t="shared" ref="J251:J295" si="71">(I251*H251)+I251</f>
        <v>28.54202272220985</v>
      </c>
      <c r="K251" s="3">
        <f t="shared" ref="K251:K295" si="72">J251-I251</f>
        <v>0</v>
      </c>
      <c r="L251" s="7">
        <f t="shared" ref="L251:L295" si="73">(J251-I251)/ABS(I251)</f>
        <v>0</v>
      </c>
      <c r="M251" t="s">
        <v>150</v>
      </c>
      <c r="O251" s="3">
        <f>E251-'297195 - P0224'!F251</f>
        <v>0</v>
      </c>
      <c r="P251" s="30">
        <f>I251-'297195 - P0224'!J251</f>
        <v>0</v>
      </c>
    </row>
    <row r="252" spans="1:16" x14ac:dyDescent="0.25">
      <c r="A252">
        <v>250</v>
      </c>
      <c r="C252" t="s">
        <v>8</v>
      </c>
      <c r="D252" s="4" t="s">
        <v>243</v>
      </c>
      <c r="E252" s="12">
        <v>7.68</v>
      </c>
      <c r="F252" s="11">
        <v>7.68</v>
      </c>
      <c r="G252" s="6">
        <f t="shared" si="69"/>
        <v>0</v>
      </c>
      <c r="H252" s="7">
        <f t="shared" si="70"/>
        <v>0</v>
      </c>
      <c r="I252" s="8">
        <v>16.421831032972253</v>
      </c>
      <c r="J252" s="9">
        <f t="shared" si="71"/>
        <v>16.421831032972253</v>
      </c>
      <c r="K252" s="3">
        <f t="shared" si="72"/>
        <v>0</v>
      </c>
      <c r="L252" s="7">
        <f t="shared" si="73"/>
        <v>0</v>
      </c>
      <c r="M252" t="s">
        <v>150</v>
      </c>
      <c r="O252" s="3">
        <f>E252-'297195 - P0224'!F252</f>
        <v>0</v>
      </c>
      <c r="P252" s="30">
        <f>I252-'297195 - P0224'!J252</f>
        <v>0</v>
      </c>
    </row>
    <row r="253" spans="1:16" x14ac:dyDescent="0.25">
      <c r="A253">
        <v>251</v>
      </c>
      <c r="C253" t="s">
        <v>8</v>
      </c>
      <c r="D253" s="4" t="s">
        <v>244</v>
      </c>
      <c r="E253" s="12">
        <v>54.2</v>
      </c>
      <c r="F253" s="12">
        <v>54.2</v>
      </c>
      <c r="G253" s="6">
        <f t="shared" si="69"/>
        <v>0</v>
      </c>
      <c r="H253" s="7">
        <f t="shared" si="70"/>
        <v>0</v>
      </c>
      <c r="I253" s="8">
        <v>77.863720000000001</v>
      </c>
      <c r="J253" s="9">
        <f t="shared" si="71"/>
        <v>77.863720000000001</v>
      </c>
      <c r="K253" s="3">
        <f t="shared" si="72"/>
        <v>0</v>
      </c>
      <c r="L253" s="7">
        <f t="shared" si="73"/>
        <v>0</v>
      </c>
      <c r="M253" t="s">
        <v>150</v>
      </c>
      <c r="O253" s="3">
        <f>E253-'297195 - P0224'!F253</f>
        <v>0</v>
      </c>
      <c r="P253" s="30">
        <f>I253-'297195 - P0224'!J253</f>
        <v>0</v>
      </c>
    </row>
    <row r="254" spans="1:16" x14ac:dyDescent="0.25">
      <c r="A254">
        <v>252</v>
      </c>
      <c r="C254" t="s">
        <v>8</v>
      </c>
      <c r="D254" s="4" t="s">
        <v>245</v>
      </c>
      <c r="E254" s="12">
        <v>3.75</v>
      </c>
      <c r="F254" s="12">
        <v>3.75</v>
      </c>
      <c r="G254" s="6">
        <f t="shared" si="69"/>
        <v>0</v>
      </c>
      <c r="H254" s="7">
        <f t="shared" si="70"/>
        <v>0</v>
      </c>
      <c r="I254" s="8">
        <v>7.7840909090909092</v>
      </c>
      <c r="J254" s="9">
        <f t="shared" si="71"/>
        <v>7.7840909090909092</v>
      </c>
      <c r="K254" s="3">
        <f t="shared" si="72"/>
        <v>0</v>
      </c>
      <c r="L254" s="7">
        <f t="shared" si="73"/>
        <v>0</v>
      </c>
      <c r="M254" t="s">
        <v>150</v>
      </c>
      <c r="O254" s="3">
        <f>E254-'297195 - P0224'!F254</f>
        <v>0</v>
      </c>
      <c r="P254" s="30">
        <f>I254-'297195 - P0224'!J254</f>
        <v>0</v>
      </c>
    </row>
    <row r="255" spans="1:16" x14ac:dyDescent="0.25">
      <c r="A255">
        <v>253</v>
      </c>
      <c r="C255" t="s">
        <v>8</v>
      </c>
      <c r="D255" s="4" t="s">
        <v>246</v>
      </c>
      <c r="E255" s="12">
        <v>7.34</v>
      </c>
      <c r="F255" s="11">
        <v>7.34</v>
      </c>
      <c r="G255" s="6">
        <f t="shared" si="69"/>
        <v>0</v>
      </c>
      <c r="H255" s="7">
        <f t="shared" si="70"/>
        <v>0</v>
      </c>
      <c r="I255" s="8">
        <v>27.961904761904762</v>
      </c>
      <c r="J255" s="9">
        <f t="shared" si="71"/>
        <v>27.961904761904762</v>
      </c>
      <c r="K255" s="3">
        <f t="shared" si="72"/>
        <v>0</v>
      </c>
      <c r="L255" s="7">
        <f t="shared" si="73"/>
        <v>0</v>
      </c>
      <c r="M255" t="s">
        <v>150</v>
      </c>
      <c r="O255" s="3">
        <f>E255-'297195 - P0224'!F255</f>
        <v>0</v>
      </c>
      <c r="P255" s="30">
        <f>I255-'297195 - P0224'!J255</f>
        <v>0</v>
      </c>
    </row>
    <row r="256" spans="1:16" x14ac:dyDescent="0.25">
      <c r="A256">
        <v>254</v>
      </c>
      <c r="C256" t="s">
        <v>8</v>
      </c>
      <c r="D256" s="4" t="s">
        <v>247</v>
      </c>
      <c r="E256" s="12">
        <v>13.75</v>
      </c>
      <c r="F256" s="12">
        <v>13.75</v>
      </c>
      <c r="G256" s="6">
        <f t="shared" si="69"/>
        <v>0</v>
      </c>
      <c r="H256" s="7">
        <f t="shared" si="70"/>
        <v>0</v>
      </c>
      <c r="I256" s="8">
        <v>17.348837209302324</v>
      </c>
      <c r="J256" s="9">
        <f t="shared" si="71"/>
        <v>17.348837209302324</v>
      </c>
      <c r="K256" s="3">
        <f t="shared" si="72"/>
        <v>0</v>
      </c>
      <c r="L256" s="7">
        <f t="shared" si="73"/>
        <v>0</v>
      </c>
      <c r="M256" t="s">
        <v>150</v>
      </c>
      <c r="O256" s="3">
        <f>E256-'297195 - P0224'!F256</f>
        <v>0</v>
      </c>
      <c r="P256" s="30">
        <f>I256-'297195 - P0224'!J256</f>
        <v>0</v>
      </c>
    </row>
    <row r="257" spans="1:16" x14ac:dyDescent="0.25">
      <c r="A257">
        <v>255</v>
      </c>
      <c r="C257" t="s">
        <v>8</v>
      </c>
      <c r="D257" s="4" t="s">
        <v>248</v>
      </c>
      <c r="E257" s="12">
        <v>10.25</v>
      </c>
      <c r="F257" s="12">
        <v>10.25</v>
      </c>
      <c r="G257" s="6">
        <f t="shared" si="69"/>
        <v>0</v>
      </c>
      <c r="H257" s="7">
        <f t="shared" si="70"/>
        <v>0</v>
      </c>
      <c r="I257" s="8">
        <v>13.461538461538462</v>
      </c>
      <c r="J257" s="9">
        <f t="shared" si="71"/>
        <v>13.461538461538462</v>
      </c>
      <c r="K257" s="3">
        <f t="shared" si="72"/>
        <v>0</v>
      </c>
      <c r="L257" s="7">
        <f t="shared" si="73"/>
        <v>0</v>
      </c>
      <c r="M257" t="s">
        <v>150</v>
      </c>
      <c r="O257" s="3">
        <f>E257-'297195 - P0224'!F257</f>
        <v>0</v>
      </c>
      <c r="P257" s="30">
        <f>I257-'297195 - P0224'!J257</f>
        <v>0</v>
      </c>
    </row>
    <row r="258" spans="1:16" x14ac:dyDescent="0.25">
      <c r="A258">
        <v>256</v>
      </c>
      <c r="C258" t="s">
        <v>8</v>
      </c>
      <c r="D258" s="4" t="s">
        <v>249</v>
      </c>
      <c r="E258" s="12">
        <v>5.75</v>
      </c>
      <c r="F258" s="12">
        <v>5.75</v>
      </c>
      <c r="G258" s="6">
        <f t="shared" si="69"/>
        <v>0</v>
      </c>
      <c r="H258" s="7">
        <f t="shared" si="70"/>
        <v>0</v>
      </c>
      <c r="I258" s="8">
        <v>15.717408000000002</v>
      </c>
      <c r="J258" s="9">
        <f t="shared" si="71"/>
        <v>15.717408000000002</v>
      </c>
      <c r="K258" s="3">
        <f t="shared" si="72"/>
        <v>0</v>
      </c>
      <c r="L258" s="7">
        <f t="shared" si="73"/>
        <v>0</v>
      </c>
      <c r="M258" t="s">
        <v>187</v>
      </c>
      <c r="O258" s="3">
        <f>E258-'297195 - P0224'!F258</f>
        <v>0</v>
      </c>
      <c r="P258" s="30">
        <f>I258-'297195 - P0224'!J258</f>
        <v>0</v>
      </c>
    </row>
    <row r="259" spans="1:16" x14ac:dyDescent="0.25">
      <c r="A259">
        <v>257</v>
      </c>
      <c r="C259" t="s">
        <v>8</v>
      </c>
      <c r="D259" s="4" t="s">
        <v>250</v>
      </c>
      <c r="E259" s="12">
        <v>18.22</v>
      </c>
      <c r="F259" s="5">
        <v>18.22</v>
      </c>
      <c r="G259" s="6">
        <f t="shared" si="69"/>
        <v>0</v>
      </c>
      <c r="H259" s="7">
        <f t="shared" si="70"/>
        <v>0</v>
      </c>
      <c r="I259" s="8">
        <v>36.44</v>
      </c>
      <c r="J259" s="9">
        <f t="shared" si="71"/>
        <v>36.44</v>
      </c>
      <c r="K259" s="3">
        <f t="shared" si="72"/>
        <v>0</v>
      </c>
      <c r="L259" s="7">
        <f t="shared" si="73"/>
        <v>0</v>
      </c>
      <c r="M259" t="s">
        <v>150</v>
      </c>
      <c r="O259" s="3">
        <f>E259-'297195 - P0224'!F259</f>
        <v>0</v>
      </c>
      <c r="P259" s="30">
        <f>I259-'297195 - P0224'!J259</f>
        <v>0</v>
      </c>
    </row>
    <row r="260" spans="1:16" x14ac:dyDescent="0.25">
      <c r="A260">
        <v>258</v>
      </c>
      <c r="C260" t="s">
        <v>8</v>
      </c>
      <c r="D260" s="4" t="s">
        <v>251</v>
      </c>
      <c r="E260" s="12">
        <v>2.21</v>
      </c>
      <c r="F260" s="5">
        <v>2.21</v>
      </c>
      <c r="G260" s="6">
        <f t="shared" si="69"/>
        <v>0</v>
      </c>
      <c r="H260" s="7">
        <f t="shared" si="70"/>
        <v>0</v>
      </c>
      <c r="I260" s="8">
        <v>4.5939072847682123</v>
      </c>
      <c r="J260" s="9">
        <f t="shared" si="71"/>
        <v>4.5939072847682123</v>
      </c>
      <c r="K260" s="3">
        <f t="shared" si="72"/>
        <v>0</v>
      </c>
      <c r="L260" s="7">
        <f t="shared" si="73"/>
        <v>0</v>
      </c>
      <c r="M260" t="s">
        <v>150</v>
      </c>
      <c r="O260" s="3">
        <f>E260-'297195 - P0224'!F260</f>
        <v>0</v>
      </c>
      <c r="P260" s="30">
        <f>I260-'297195 - P0224'!J260</f>
        <v>0</v>
      </c>
    </row>
    <row r="261" spans="1:16" x14ac:dyDescent="0.25">
      <c r="A261">
        <v>259</v>
      </c>
      <c r="C261" t="s">
        <v>8</v>
      </c>
      <c r="D261" s="4" t="s">
        <v>252</v>
      </c>
      <c r="E261" s="12">
        <v>3.3</v>
      </c>
      <c r="F261" s="5">
        <v>3.3</v>
      </c>
      <c r="G261" s="6">
        <f t="shared" si="69"/>
        <v>0</v>
      </c>
      <c r="H261" s="7">
        <f t="shared" si="70"/>
        <v>0</v>
      </c>
      <c r="I261" s="8">
        <v>7.177170731707319</v>
      </c>
      <c r="J261" s="9">
        <f t="shared" si="71"/>
        <v>7.177170731707319</v>
      </c>
      <c r="K261" s="3">
        <f t="shared" si="72"/>
        <v>0</v>
      </c>
      <c r="L261" s="7">
        <f t="shared" si="73"/>
        <v>0</v>
      </c>
      <c r="M261" t="s">
        <v>150</v>
      </c>
      <c r="O261" s="3">
        <f>E261-'297195 - P0224'!F261</f>
        <v>0</v>
      </c>
      <c r="P261" s="30">
        <f>I261-'297195 - P0224'!J261</f>
        <v>0</v>
      </c>
    </row>
    <row r="262" spans="1:16" x14ac:dyDescent="0.25">
      <c r="A262">
        <v>260</v>
      </c>
      <c r="C262" t="s">
        <v>8</v>
      </c>
      <c r="D262" s="4" t="s">
        <v>253</v>
      </c>
      <c r="E262" s="12">
        <v>123.23</v>
      </c>
      <c r="F262" s="12">
        <v>123.23</v>
      </c>
      <c r="G262" s="6">
        <f t="shared" si="69"/>
        <v>0</v>
      </c>
      <c r="H262" s="7">
        <f t="shared" si="70"/>
        <v>0</v>
      </c>
      <c r="I262" s="8">
        <v>262.95999999999998</v>
      </c>
      <c r="J262" s="9">
        <f t="shared" si="71"/>
        <v>262.95999999999998</v>
      </c>
      <c r="K262" s="3">
        <f t="shared" si="72"/>
        <v>0</v>
      </c>
      <c r="L262" s="7">
        <f t="shared" si="73"/>
        <v>0</v>
      </c>
      <c r="M262" t="s">
        <v>150</v>
      </c>
      <c r="O262" s="3">
        <f>E262-'297195 - P0224'!F262</f>
        <v>0</v>
      </c>
      <c r="P262" s="30">
        <f>I262-'297195 - P0224'!J262</f>
        <v>0</v>
      </c>
    </row>
    <row r="263" spans="1:16" x14ac:dyDescent="0.25">
      <c r="A263">
        <v>261</v>
      </c>
      <c r="C263" t="s">
        <v>8</v>
      </c>
      <c r="D263" s="4" t="s">
        <v>254</v>
      </c>
      <c r="E263" s="12">
        <v>121.84</v>
      </c>
      <c r="F263" s="12">
        <v>121.84</v>
      </c>
      <c r="G263" s="6">
        <f t="shared" si="69"/>
        <v>0</v>
      </c>
      <c r="H263" s="7">
        <f t="shared" si="70"/>
        <v>0</v>
      </c>
      <c r="I263" s="8">
        <v>219.99</v>
      </c>
      <c r="J263" s="9">
        <f t="shared" si="71"/>
        <v>219.99</v>
      </c>
      <c r="K263" s="3">
        <f t="shared" si="72"/>
        <v>0</v>
      </c>
      <c r="L263" s="7">
        <f t="shared" si="73"/>
        <v>0</v>
      </c>
      <c r="M263" t="s">
        <v>150</v>
      </c>
      <c r="O263" s="3">
        <f>E263-'297195 - P0224'!F263</f>
        <v>0</v>
      </c>
      <c r="P263" s="30">
        <f>I263-'297195 - P0224'!J263</f>
        <v>0</v>
      </c>
    </row>
    <row r="264" spans="1:16" x14ac:dyDescent="0.25">
      <c r="A264">
        <v>262</v>
      </c>
      <c r="C264" t="s">
        <v>8</v>
      </c>
      <c r="D264" s="4" t="s">
        <v>255</v>
      </c>
      <c r="E264" s="5">
        <v>10.8</v>
      </c>
      <c r="F264" s="5">
        <v>10.8</v>
      </c>
      <c r="G264" s="6">
        <f t="shared" si="69"/>
        <v>0</v>
      </c>
      <c r="H264" s="7">
        <f t="shared" si="70"/>
        <v>0</v>
      </c>
      <c r="I264" s="8">
        <v>23.043154761904759</v>
      </c>
      <c r="J264" s="9">
        <f t="shared" si="71"/>
        <v>23.043154761904759</v>
      </c>
      <c r="K264" s="3">
        <f t="shared" si="72"/>
        <v>0</v>
      </c>
      <c r="L264" s="7">
        <f t="shared" si="73"/>
        <v>0</v>
      </c>
      <c r="M264" s="7" t="s">
        <v>150</v>
      </c>
      <c r="O264" s="3">
        <f>E264-'297195 - P0224'!F264</f>
        <v>0</v>
      </c>
      <c r="P264" s="30">
        <f>I264-'297195 - P0224'!J264</f>
        <v>0</v>
      </c>
    </row>
    <row r="265" spans="1:16" x14ac:dyDescent="0.25">
      <c r="A265">
        <v>263</v>
      </c>
      <c r="C265" t="s">
        <v>8</v>
      </c>
      <c r="D265" s="4" t="s">
        <v>256</v>
      </c>
      <c r="E265" s="5">
        <v>12.96</v>
      </c>
      <c r="F265" s="5">
        <v>12.96</v>
      </c>
      <c r="G265" s="6">
        <f t="shared" si="69"/>
        <v>0</v>
      </c>
      <c r="H265" s="7">
        <f t="shared" si="70"/>
        <v>0</v>
      </c>
      <c r="I265" s="8">
        <v>30.49</v>
      </c>
      <c r="J265" s="9">
        <f t="shared" si="71"/>
        <v>30.49</v>
      </c>
      <c r="K265" s="3">
        <f t="shared" si="72"/>
        <v>0</v>
      </c>
      <c r="L265" s="7">
        <f t="shared" si="73"/>
        <v>0</v>
      </c>
      <c r="M265" s="7" t="s">
        <v>150</v>
      </c>
      <c r="O265" s="3">
        <f>E265-'297195 - P0224'!F265</f>
        <v>0</v>
      </c>
      <c r="P265" s="30">
        <f>I265-'297195 - P0224'!J265</f>
        <v>0</v>
      </c>
    </row>
    <row r="266" spans="1:16" x14ac:dyDescent="0.25">
      <c r="A266">
        <v>264</v>
      </c>
      <c r="C266" t="s">
        <v>8</v>
      </c>
      <c r="D266" s="4" t="s">
        <v>257</v>
      </c>
      <c r="E266" s="5">
        <v>10.8</v>
      </c>
      <c r="F266" s="5">
        <v>10.8</v>
      </c>
      <c r="G266" s="6">
        <f t="shared" si="69"/>
        <v>0</v>
      </c>
      <c r="H266" s="7">
        <f t="shared" si="70"/>
        <v>0</v>
      </c>
      <c r="I266" s="8">
        <v>23.043154761904759</v>
      </c>
      <c r="J266" s="9">
        <f t="shared" si="71"/>
        <v>23.043154761904759</v>
      </c>
      <c r="K266" s="3">
        <f t="shared" si="72"/>
        <v>0</v>
      </c>
      <c r="L266" s="7">
        <f t="shared" si="73"/>
        <v>0</v>
      </c>
      <c r="M266" t="s">
        <v>150</v>
      </c>
      <c r="O266" s="3">
        <f>E266-'297195 - P0224'!F266</f>
        <v>0</v>
      </c>
      <c r="P266" s="30">
        <f>I266-'297195 - P0224'!J266</f>
        <v>0</v>
      </c>
    </row>
    <row r="267" spans="1:16" x14ac:dyDescent="0.25">
      <c r="A267">
        <v>265</v>
      </c>
      <c r="C267" t="s">
        <v>8</v>
      </c>
      <c r="D267" s="4" t="s">
        <v>258</v>
      </c>
      <c r="E267" s="5">
        <v>3.44</v>
      </c>
      <c r="F267" s="5">
        <v>3.44</v>
      </c>
      <c r="G267" s="6">
        <f t="shared" si="69"/>
        <v>0</v>
      </c>
      <c r="H267" s="7">
        <f t="shared" si="70"/>
        <v>0</v>
      </c>
      <c r="I267" s="8">
        <v>6.5289583333333336</v>
      </c>
      <c r="J267" s="9">
        <f t="shared" si="71"/>
        <v>6.5289583333333336</v>
      </c>
      <c r="K267" s="3">
        <f t="shared" si="72"/>
        <v>0</v>
      </c>
      <c r="L267" s="7">
        <f t="shared" si="73"/>
        <v>0</v>
      </c>
      <c r="M267" t="s">
        <v>150</v>
      </c>
      <c r="O267" s="3">
        <f>E267-'297195 - P0224'!F267</f>
        <v>0</v>
      </c>
      <c r="P267" s="30">
        <f>I267-'297195 - P0224'!J267</f>
        <v>0</v>
      </c>
    </row>
    <row r="268" spans="1:16" x14ac:dyDescent="0.25">
      <c r="A268">
        <v>266</v>
      </c>
      <c r="C268" t="s">
        <v>8</v>
      </c>
      <c r="D268" s="4" t="s">
        <v>259</v>
      </c>
      <c r="E268" s="5">
        <v>2.64</v>
      </c>
      <c r="F268" s="5">
        <v>2.64</v>
      </c>
      <c r="G268" s="6">
        <f t="shared" si="69"/>
        <v>0</v>
      </c>
      <c r="H268" s="7">
        <f t="shared" si="70"/>
        <v>0</v>
      </c>
      <c r="I268" s="8">
        <v>5.9648076923076916</v>
      </c>
      <c r="J268" s="9">
        <f t="shared" si="71"/>
        <v>5.9648076923076916</v>
      </c>
      <c r="K268" s="3">
        <f t="shared" si="72"/>
        <v>0</v>
      </c>
      <c r="L268" s="7">
        <f t="shared" si="73"/>
        <v>0</v>
      </c>
      <c r="M268" t="s">
        <v>150</v>
      </c>
      <c r="O268" s="3">
        <f>E268-'297195 - P0224'!F268</f>
        <v>0</v>
      </c>
      <c r="P268" s="30">
        <f>I268-'297195 - P0224'!J268</f>
        <v>0</v>
      </c>
    </row>
    <row r="269" spans="1:16" x14ac:dyDescent="0.25">
      <c r="A269">
        <v>267</v>
      </c>
      <c r="C269" t="s">
        <v>8</v>
      </c>
      <c r="D269" s="4" t="s">
        <v>260</v>
      </c>
      <c r="E269" s="5">
        <v>2.64</v>
      </c>
      <c r="F269" s="5">
        <v>2.64</v>
      </c>
      <c r="G269" s="6">
        <f t="shared" si="69"/>
        <v>0</v>
      </c>
      <c r="H269" s="7">
        <f t="shared" si="70"/>
        <v>0</v>
      </c>
      <c r="I269" s="8">
        <v>4.9814285714285704</v>
      </c>
      <c r="J269" s="9">
        <f t="shared" si="71"/>
        <v>4.9814285714285704</v>
      </c>
      <c r="K269" s="3">
        <f t="shared" si="72"/>
        <v>0</v>
      </c>
      <c r="L269" s="7">
        <f t="shared" si="73"/>
        <v>0</v>
      </c>
      <c r="M269" t="s">
        <v>150</v>
      </c>
      <c r="O269" s="3">
        <f>E269-'297195 - P0224'!F269</f>
        <v>0</v>
      </c>
      <c r="P269" s="30">
        <f>I269-'297195 - P0224'!J269</f>
        <v>0</v>
      </c>
    </row>
    <row r="270" spans="1:16" x14ac:dyDescent="0.25">
      <c r="A270">
        <v>268</v>
      </c>
      <c r="C270" t="s">
        <v>8</v>
      </c>
      <c r="D270" s="4" t="s">
        <v>261</v>
      </c>
      <c r="E270" s="5">
        <v>3.6</v>
      </c>
      <c r="F270" s="5">
        <v>3.6</v>
      </c>
      <c r="G270" s="6">
        <f t="shared" si="69"/>
        <v>0</v>
      </c>
      <c r="H270" s="7">
        <f t="shared" si="70"/>
        <v>0</v>
      </c>
      <c r="I270" s="8">
        <v>6.3735069444444443</v>
      </c>
      <c r="J270" s="9">
        <f t="shared" si="71"/>
        <v>6.3735069444444443</v>
      </c>
      <c r="K270" s="3">
        <f t="shared" si="72"/>
        <v>0</v>
      </c>
      <c r="L270" s="7">
        <f t="shared" si="73"/>
        <v>0</v>
      </c>
      <c r="M270" t="s">
        <v>150</v>
      </c>
      <c r="O270" s="3">
        <f>E270-'297195 - P0224'!F270</f>
        <v>0</v>
      </c>
      <c r="P270" s="30">
        <f>I270-'297195 - P0224'!J270</f>
        <v>0</v>
      </c>
    </row>
    <row r="271" spans="1:16" x14ac:dyDescent="0.25">
      <c r="A271">
        <v>269</v>
      </c>
      <c r="C271" t="s">
        <v>8</v>
      </c>
      <c r="D271" s="4" t="s">
        <v>262</v>
      </c>
      <c r="E271" s="5">
        <v>3.2</v>
      </c>
      <c r="F271" s="5">
        <v>3.2</v>
      </c>
      <c r="G271" s="6">
        <f t="shared" si="69"/>
        <v>0</v>
      </c>
      <c r="H271" s="7">
        <f t="shared" si="70"/>
        <v>0</v>
      </c>
      <c r="I271" s="8">
        <v>9.5772187500000001</v>
      </c>
      <c r="J271" s="9">
        <f t="shared" si="71"/>
        <v>9.5772187500000001</v>
      </c>
      <c r="K271" s="3">
        <f t="shared" si="72"/>
        <v>0</v>
      </c>
      <c r="L271" s="7">
        <f t="shared" si="73"/>
        <v>0</v>
      </c>
      <c r="M271" t="s">
        <v>150</v>
      </c>
      <c r="O271" s="3">
        <f>E271-'297195 - P0224'!F271</f>
        <v>0</v>
      </c>
      <c r="P271" s="30">
        <f>I271-'297195 - P0224'!J271</f>
        <v>0</v>
      </c>
    </row>
    <row r="272" spans="1:16" x14ac:dyDescent="0.25">
      <c r="A272">
        <v>270</v>
      </c>
      <c r="C272" t="s">
        <v>8</v>
      </c>
      <c r="D272" s="4" t="s">
        <v>263</v>
      </c>
      <c r="E272" s="5">
        <v>3.2</v>
      </c>
      <c r="F272" s="5">
        <v>3.2</v>
      </c>
      <c r="G272" s="6">
        <f t="shared" si="69"/>
        <v>0</v>
      </c>
      <c r="H272" s="7">
        <f t="shared" si="70"/>
        <v>0</v>
      </c>
      <c r="I272" s="8">
        <v>6.3735069444444443</v>
      </c>
      <c r="J272" s="9">
        <f t="shared" si="71"/>
        <v>6.3735069444444443</v>
      </c>
      <c r="K272" s="3">
        <f t="shared" si="72"/>
        <v>0</v>
      </c>
      <c r="L272" s="7">
        <f t="shared" si="73"/>
        <v>0</v>
      </c>
      <c r="M272" t="s">
        <v>150</v>
      </c>
      <c r="O272" s="3">
        <f>E272-'297195 - P0224'!F272</f>
        <v>0</v>
      </c>
      <c r="P272" s="30">
        <f>I272-'297195 - P0224'!J272</f>
        <v>0</v>
      </c>
    </row>
    <row r="273" spans="1:16" x14ac:dyDescent="0.25">
      <c r="A273">
        <v>271</v>
      </c>
      <c r="C273" t="s">
        <v>8</v>
      </c>
      <c r="D273" s="4" t="s">
        <v>264</v>
      </c>
      <c r="E273" s="12">
        <v>34.130000000000003</v>
      </c>
      <c r="F273" s="11">
        <v>34.130000000000003</v>
      </c>
      <c r="G273" s="6">
        <f t="shared" si="69"/>
        <v>0</v>
      </c>
      <c r="H273" s="7">
        <f t="shared" si="70"/>
        <v>0</v>
      </c>
      <c r="I273" s="8">
        <v>83.99904491032467</v>
      </c>
      <c r="J273" s="9">
        <f t="shared" si="71"/>
        <v>83.99904491032467</v>
      </c>
      <c r="K273" s="3">
        <f t="shared" si="72"/>
        <v>0</v>
      </c>
      <c r="L273" s="7">
        <f t="shared" si="73"/>
        <v>0</v>
      </c>
      <c r="M273" t="s">
        <v>150</v>
      </c>
      <c r="O273" s="3">
        <f>E273-'297195 - P0224'!F273</f>
        <v>0</v>
      </c>
      <c r="P273" s="30">
        <f>I273-'297195 - P0224'!J273</f>
        <v>0</v>
      </c>
    </row>
    <row r="274" spans="1:16" x14ac:dyDescent="0.25">
      <c r="A274">
        <v>272</v>
      </c>
      <c r="C274" t="s">
        <v>8</v>
      </c>
      <c r="D274" s="4" t="s">
        <v>265</v>
      </c>
      <c r="E274" s="12">
        <v>40.14</v>
      </c>
      <c r="F274" s="11">
        <v>40.14</v>
      </c>
      <c r="G274" s="6">
        <f t="shared" si="69"/>
        <v>0</v>
      </c>
      <c r="H274" s="7">
        <f t="shared" si="70"/>
        <v>0</v>
      </c>
      <c r="I274" s="8">
        <v>100.73811614890289</v>
      </c>
      <c r="J274" s="9">
        <f t="shared" si="71"/>
        <v>100.73811614890289</v>
      </c>
      <c r="K274" s="3">
        <f t="shared" si="72"/>
        <v>0</v>
      </c>
      <c r="L274" s="7">
        <f t="shared" si="73"/>
        <v>0</v>
      </c>
      <c r="M274" t="s">
        <v>150</v>
      </c>
      <c r="O274" s="3">
        <f>E274-'297195 - P0224'!F274</f>
        <v>0</v>
      </c>
      <c r="P274" s="30">
        <f>I274-'297195 - P0224'!J274</f>
        <v>0</v>
      </c>
    </row>
    <row r="275" spans="1:16" x14ac:dyDescent="0.25">
      <c r="A275">
        <v>273</v>
      </c>
      <c r="C275" t="s">
        <v>8</v>
      </c>
      <c r="D275" s="4" t="s">
        <v>266</v>
      </c>
      <c r="E275" s="12">
        <v>0.71</v>
      </c>
      <c r="F275" s="11">
        <v>0.71</v>
      </c>
      <c r="G275" s="6">
        <f t="shared" si="69"/>
        <v>0</v>
      </c>
      <c r="H275" s="7">
        <f t="shared" si="70"/>
        <v>0</v>
      </c>
      <c r="I275" s="8">
        <v>1.3974603174603173</v>
      </c>
      <c r="J275" s="9">
        <f t="shared" si="71"/>
        <v>1.3974603174603173</v>
      </c>
      <c r="K275" s="3">
        <f t="shared" si="72"/>
        <v>0</v>
      </c>
      <c r="L275" s="7">
        <f t="shared" si="73"/>
        <v>0</v>
      </c>
      <c r="M275" t="s">
        <v>150</v>
      </c>
      <c r="O275" s="3">
        <f>E275-'297195 - P0224'!F275</f>
        <v>0</v>
      </c>
      <c r="P275" s="30">
        <f>I275-'297195 - P0224'!J275</f>
        <v>0</v>
      </c>
    </row>
    <row r="276" spans="1:16" x14ac:dyDescent="0.25">
      <c r="A276">
        <v>274</v>
      </c>
      <c r="C276" t="s">
        <v>8</v>
      </c>
      <c r="D276" s="4" t="s">
        <v>267</v>
      </c>
      <c r="E276" s="12">
        <v>15.02</v>
      </c>
      <c r="F276" s="11">
        <v>15.02</v>
      </c>
      <c r="G276" s="6">
        <f t="shared" si="69"/>
        <v>0</v>
      </c>
      <c r="H276" s="7">
        <f t="shared" si="70"/>
        <v>0</v>
      </c>
      <c r="I276" s="8">
        <v>39.554925957158105</v>
      </c>
      <c r="J276" s="9">
        <f t="shared" si="71"/>
        <v>39.554925957158105</v>
      </c>
      <c r="K276" s="3">
        <f t="shared" si="72"/>
        <v>0</v>
      </c>
      <c r="L276" s="7">
        <f t="shared" si="73"/>
        <v>0</v>
      </c>
      <c r="M276" t="s">
        <v>150</v>
      </c>
      <c r="O276" s="3">
        <f>E276-'297195 - P0224'!F276</f>
        <v>0</v>
      </c>
      <c r="P276" s="30">
        <f>I276-'297195 - P0224'!J276</f>
        <v>0</v>
      </c>
    </row>
    <row r="277" spans="1:16" x14ac:dyDescent="0.25">
      <c r="A277">
        <v>275</v>
      </c>
      <c r="C277" t="s">
        <v>8</v>
      </c>
      <c r="D277" s="4" t="s">
        <v>268</v>
      </c>
      <c r="E277" s="12">
        <v>12.5</v>
      </c>
      <c r="F277" s="11">
        <v>12.5</v>
      </c>
      <c r="G277" s="6">
        <f t="shared" si="69"/>
        <v>0</v>
      </c>
      <c r="H277" s="7">
        <f t="shared" si="70"/>
        <v>0</v>
      </c>
      <c r="I277" s="8">
        <v>21.214819136522753</v>
      </c>
      <c r="J277" s="9">
        <f t="shared" si="71"/>
        <v>21.214819136522753</v>
      </c>
      <c r="K277" s="3">
        <f t="shared" si="72"/>
        <v>0</v>
      </c>
      <c r="L277" s="7">
        <f t="shared" si="73"/>
        <v>0</v>
      </c>
      <c r="M277" t="s">
        <v>187</v>
      </c>
      <c r="O277" s="3">
        <f>E277-'297195 - P0224'!F277</f>
        <v>0</v>
      </c>
      <c r="P277" s="30">
        <f>I277-'297195 - P0224'!J277</f>
        <v>0</v>
      </c>
    </row>
    <row r="278" spans="1:16" x14ac:dyDescent="0.25">
      <c r="A278">
        <v>276</v>
      </c>
      <c r="C278" t="s">
        <v>8</v>
      </c>
      <c r="D278" s="4" t="s">
        <v>269</v>
      </c>
      <c r="E278" s="12">
        <v>12</v>
      </c>
      <c r="F278" s="12">
        <v>12</v>
      </c>
      <c r="G278" s="6">
        <f>+F278-E278</f>
        <v>0</v>
      </c>
      <c r="H278" s="7">
        <f>(F278-E278)/ABS(E278)</f>
        <v>0</v>
      </c>
      <c r="I278" s="8">
        <v>18.47</v>
      </c>
      <c r="J278" s="9">
        <f>(I278*H278)+I278</f>
        <v>18.47</v>
      </c>
      <c r="K278" s="3">
        <f>J278-I278</f>
        <v>0</v>
      </c>
      <c r="L278" s="7">
        <f>(J278-I278)/ABS(I278)</f>
        <v>0</v>
      </c>
      <c r="M278" t="s">
        <v>187</v>
      </c>
      <c r="O278" s="3">
        <f>E278-'297195 - P0224'!F278</f>
        <v>0</v>
      </c>
      <c r="P278" s="30">
        <f>I278-'297195 - P0224'!J278</f>
        <v>0</v>
      </c>
    </row>
    <row r="279" spans="1:16" x14ac:dyDescent="0.25">
      <c r="A279">
        <v>277</v>
      </c>
      <c r="C279" t="s">
        <v>8</v>
      </c>
      <c r="D279" s="4" t="s">
        <v>270</v>
      </c>
      <c r="E279" s="12">
        <v>8.9499999999999993</v>
      </c>
      <c r="F279" s="11">
        <v>8.9499999999999993</v>
      </c>
      <c r="G279" s="6">
        <f t="shared" si="69"/>
        <v>0</v>
      </c>
      <c r="H279" s="7">
        <f t="shared" si="70"/>
        <v>0</v>
      </c>
      <c r="I279" s="8">
        <v>29.456687862360731</v>
      </c>
      <c r="J279" s="9">
        <f t="shared" si="71"/>
        <v>29.456687862360731</v>
      </c>
      <c r="K279" s="3">
        <f t="shared" si="72"/>
        <v>0</v>
      </c>
      <c r="L279" s="7">
        <f t="shared" si="73"/>
        <v>0</v>
      </c>
      <c r="M279" t="s">
        <v>187</v>
      </c>
      <c r="O279" s="3">
        <f>E279-'297195 - P0224'!F279</f>
        <v>0</v>
      </c>
      <c r="P279" s="30">
        <f>I279-'297195 - P0224'!J279</f>
        <v>0</v>
      </c>
    </row>
    <row r="280" spans="1:16" x14ac:dyDescent="0.25">
      <c r="A280">
        <v>278</v>
      </c>
      <c r="C280" t="s">
        <v>8</v>
      </c>
      <c r="D280" s="4" t="s">
        <v>271</v>
      </c>
      <c r="E280" s="16">
        <v>46.13</v>
      </c>
      <c r="F280" s="12">
        <v>46.13</v>
      </c>
      <c r="G280" s="6">
        <f t="shared" si="69"/>
        <v>0</v>
      </c>
      <c r="H280" s="7">
        <f t="shared" si="70"/>
        <v>0</v>
      </c>
      <c r="I280" s="8">
        <v>71.680000000000007</v>
      </c>
      <c r="J280" s="9">
        <f t="shared" si="71"/>
        <v>71.680000000000007</v>
      </c>
      <c r="K280" s="3">
        <f t="shared" si="72"/>
        <v>0</v>
      </c>
      <c r="L280" s="7">
        <f t="shared" si="73"/>
        <v>0</v>
      </c>
      <c r="M280" t="s">
        <v>187</v>
      </c>
      <c r="O280" s="3">
        <f>E280-'297195 - P0224'!F280</f>
        <v>0</v>
      </c>
      <c r="P280" s="30">
        <f>I280-'297195 - P0224'!J280</f>
        <v>0</v>
      </c>
    </row>
    <row r="281" spans="1:16" x14ac:dyDescent="0.25">
      <c r="A281">
        <v>279</v>
      </c>
      <c r="C281" t="s">
        <v>8</v>
      </c>
      <c r="D281" s="4" t="s">
        <v>272</v>
      </c>
      <c r="E281" s="5">
        <v>5.85</v>
      </c>
      <c r="F281" s="5">
        <v>5.85</v>
      </c>
      <c r="G281" s="6">
        <f t="shared" si="69"/>
        <v>0</v>
      </c>
      <c r="H281" s="7">
        <f t="shared" si="70"/>
        <v>0</v>
      </c>
      <c r="I281" s="8">
        <v>6.9</v>
      </c>
      <c r="J281" s="9">
        <f t="shared" si="71"/>
        <v>6.9</v>
      </c>
      <c r="K281" s="3">
        <f t="shared" si="72"/>
        <v>0</v>
      </c>
      <c r="L281" s="7">
        <f t="shared" si="73"/>
        <v>0</v>
      </c>
      <c r="M281" t="s">
        <v>150</v>
      </c>
      <c r="O281" s="3">
        <f>E281-'297195 - P0224'!F281</f>
        <v>0</v>
      </c>
      <c r="P281" s="30">
        <f>I281-'297195 - P0224'!J281</f>
        <v>0</v>
      </c>
    </row>
    <row r="282" spans="1:16" x14ac:dyDescent="0.25">
      <c r="A282">
        <v>280</v>
      </c>
      <c r="C282" t="s">
        <v>8</v>
      </c>
      <c r="D282" s="4" t="s">
        <v>273</v>
      </c>
      <c r="E282" s="5">
        <v>6.93</v>
      </c>
      <c r="F282" s="5">
        <v>6.93</v>
      </c>
      <c r="G282" s="6">
        <f t="shared" si="69"/>
        <v>0</v>
      </c>
      <c r="H282" s="7">
        <f t="shared" si="70"/>
        <v>0</v>
      </c>
      <c r="I282" s="8">
        <v>13.99</v>
      </c>
      <c r="J282" s="9">
        <f t="shared" si="71"/>
        <v>13.99</v>
      </c>
      <c r="K282" s="3">
        <f t="shared" si="72"/>
        <v>0</v>
      </c>
      <c r="L282" s="7">
        <f t="shared" si="73"/>
        <v>0</v>
      </c>
      <c r="M282" t="s">
        <v>150</v>
      </c>
      <c r="O282" s="3">
        <f>E282-'297195 - P0224'!F282</f>
        <v>0</v>
      </c>
      <c r="P282" s="30">
        <f>I282-'297195 - P0224'!J282</f>
        <v>0</v>
      </c>
    </row>
    <row r="283" spans="1:16" x14ac:dyDescent="0.25">
      <c r="A283">
        <v>281</v>
      </c>
      <c r="C283" t="s">
        <v>8</v>
      </c>
      <c r="D283" s="4" t="s">
        <v>274</v>
      </c>
      <c r="E283" s="5">
        <v>6.93</v>
      </c>
      <c r="F283" s="5">
        <v>6.93</v>
      </c>
      <c r="G283" s="6">
        <f t="shared" si="69"/>
        <v>0</v>
      </c>
      <c r="H283" s="7">
        <f t="shared" si="70"/>
        <v>0</v>
      </c>
      <c r="I283" s="8">
        <v>7.9</v>
      </c>
      <c r="J283" s="9">
        <f t="shared" si="71"/>
        <v>7.9</v>
      </c>
      <c r="K283" s="3">
        <f t="shared" si="72"/>
        <v>0</v>
      </c>
      <c r="L283" s="7">
        <f t="shared" si="73"/>
        <v>0</v>
      </c>
      <c r="M283" t="s">
        <v>150</v>
      </c>
      <c r="O283" s="3">
        <f>E283-'297195 - P0224'!F283</f>
        <v>0</v>
      </c>
      <c r="P283" s="30">
        <f>I283-'297195 - P0224'!J283</f>
        <v>0</v>
      </c>
    </row>
    <row r="284" spans="1:16" x14ac:dyDescent="0.25">
      <c r="A284">
        <v>282</v>
      </c>
      <c r="C284" t="s">
        <v>8</v>
      </c>
      <c r="D284" s="4" t="s">
        <v>275</v>
      </c>
      <c r="E284" s="12">
        <v>2.56</v>
      </c>
      <c r="F284" s="11">
        <v>2.56</v>
      </c>
      <c r="G284" s="6">
        <f t="shared" si="69"/>
        <v>0</v>
      </c>
      <c r="H284" s="7">
        <f t="shared" si="70"/>
        <v>0</v>
      </c>
      <c r="I284" s="8">
        <v>8.0228714375055841</v>
      </c>
      <c r="J284" s="9">
        <f t="shared" si="71"/>
        <v>8.0228714375055841</v>
      </c>
      <c r="K284" s="3">
        <f t="shared" si="72"/>
        <v>0</v>
      </c>
      <c r="L284" s="7">
        <f t="shared" si="73"/>
        <v>0</v>
      </c>
      <c r="M284" t="s">
        <v>150</v>
      </c>
      <c r="O284" s="3">
        <f>E284-'297195 - P0224'!F284</f>
        <v>0</v>
      </c>
      <c r="P284" s="30">
        <f>I284-'297195 - P0224'!J284</f>
        <v>0</v>
      </c>
    </row>
    <row r="285" spans="1:16" x14ac:dyDescent="0.25">
      <c r="A285">
        <v>283</v>
      </c>
      <c r="C285" t="s">
        <v>8</v>
      </c>
      <c r="D285" s="4" t="s">
        <v>276</v>
      </c>
      <c r="E285" s="12">
        <v>3.71</v>
      </c>
      <c r="F285" s="11">
        <v>3.71</v>
      </c>
      <c r="G285" s="6">
        <f t="shared" si="69"/>
        <v>0</v>
      </c>
      <c r="H285" s="7">
        <f t="shared" si="70"/>
        <v>0</v>
      </c>
      <c r="I285" s="8">
        <v>9.2527255216693405</v>
      </c>
      <c r="J285" s="9">
        <f t="shared" si="71"/>
        <v>9.2527255216693405</v>
      </c>
      <c r="K285" s="3">
        <f t="shared" si="72"/>
        <v>0</v>
      </c>
      <c r="L285" s="7">
        <f t="shared" si="73"/>
        <v>0</v>
      </c>
      <c r="M285" t="s">
        <v>150</v>
      </c>
      <c r="O285" s="3">
        <f>E285-'297195 - P0224'!F285</f>
        <v>0</v>
      </c>
      <c r="P285" s="30">
        <f>I285-'297195 - P0224'!J285</f>
        <v>0</v>
      </c>
    </row>
    <row r="286" spans="1:16" x14ac:dyDescent="0.25">
      <c r="A286">
        <v>284</v>
      </c>
      <c r="C286" t="s">
        <v>277</v>
      </c>
      <c r="D286" s="4" t="s">
        <v>278</v>
      </c>
      <c r="E286" s="11">
        <v>76.17</v>
      </c>
      <c r="F286" s="11">
        <v>76.17</v>
      </c>
      <c r="G286" s="6">
        <f t="shared" si="69"/>
        <v>0</v>
      </c>
      <c r="H286" s="7">
        <f t="shared" si="70"/>
        <v>0</v>
      </c>
      <c r="I286" s="8">
        <v>129.08106565176024</v>
      </c>
      <c r="J286" s="9">
        <f t="shared" si="71"/>
        <v>129.08106565176024</v>
      </c>
      <c r="K286" s="3">
        <f t="shared" si="72"/>
        <v>0</v>
      </c>
      <c r="L286" s="7">
        <f t="shared" si="73"/>
        <v>0</v>
      </c>
      <c r="M286" t="s">
        <v>150</v>
      </c>
      <c r="O286" s="3">
        <f>E286-'297195 - P0224'!F286</f>
        <v>0</v>
      </c>
      <c r="P286" s="30">
        <f>I286-'297195 - P0224'!J286</f>
        <v>0</v>
      </c>
    </row>
    <row r="287" spans="1:16" x14ac:dyDescent="0.25">
      <c r="A287">
        <v>285</v>
      </c>
      <c r="C287" t="s">
        <v>8</v>
      </c>
      <c r="D287" s="4" t="s">
        <v>279</v>
      </c>
      <c r="E287" s="12">
        <v>3.47</v>
      </c>
      <c r="F287" s="12">
        <v>3.47</v>
      </c>
      <c r="G287" s="6">
        <f t="shared" si="69"/>
        <v>0</v>
      </c>
      <c r="H287" s="7">
        <f t="shared" si="70"/>
        <v>0</v>
      </c>
      <c r="I287" s="8">
        <v>9.272871621621622</v>
      </c>
      <c r="J287" s="9">
        <f t="shared" si="71"/>
        <v>9.272871621621622</v>
      </c>
      <c r="K287" s="3">
        <f t="shared" si="72"/>
        <v>0</v>
      </c>
      <c r="L287" s="7">
        <f t="shared" si="73"/>
        <v>0</v>
      </c>
      <c r="M287" t="s">
        <v>150</v>
      </c>
      <c r="O287" s="3">
        <f>E287-'297195 - P0224'!F287</f>
        <v>0</v>
      </c>
      <c r="P287" s="30">
        <f>I287-'297195 - P0224'!J287</f>
        <v>0</v>
      </c>
    </row>
    <row r="288" spans="1:16" x14ac:dyDescent="0.25">
      <c r="A288">
        <v>286</v>
      </c>
      <c r="C288" t="s">
        <v>8</v>
      </c>
      <c r="D288" s="4" t="s">
        <v>280</v>
      </c>
      <c r="E288" s="12">
        <v>3.03</v>
      </c>
      <c r="F288" s="12">
        <v>3.03</v>
      </c>
      <c r="G288" s="6">
        <f t="shared" si="69"/>
        <v>0</v>
      </c>
      <c r="H288" s="7">
        <f t="shared" si="70"/>
        <v>0</v>
      </c>
      <c r="I288" s="8">
        <v>6.4226640926640925</v>
      </c>
      <c r="J288" s="9">
        <f t="shared" si="71"/>
        <v>6.4226640926640925</v>
      </c>
      <c r="K288" s="3">
        <f t="shared" si="72"/>
        <v>0</v>
      </c>
      <c r="L288" s="7">
        <f t="shared" si="73"/>
        <v>0</v>
      </c>
      <c r="M288" t="s">
        <v>150</v>
      </c>
      <c r="O288" s="3">
        <f>E288-'297195 - P0224'!F288</f>
        <v>0</v>
      </c>
      <c r="P288" s="30">
        <f>I288-'297195 - P0224'!J288</f>
        <v>0</v>
      </c>
    </row>
    <row r="289" spans="1:16" x14ac:dyDescent="0.25">
      <c r="A289">
        <v>287</v>
      </c>
      <c r="C289" t="s">
        <v>8</v>
      </c>
      <c r="D289" s="4" t="s">
        <v>281</v>
      </c>
      <c r="E289" s="12">
        <v>12.95</v>
      </c>
      <c r="F289" s="12">
        <v>12.95</v>
      </c>
      <c r="G289" s="6">
        <f t="shared" si="69"/>
        <v>0</v>
      </c>
      <c r="H289" s="7">
        <f t="shared" si="70"/>
        <v>0</v>
      </c>
      <c r="I289" s="8">
        <v>25.9</v>
      </c>
      <c r="J289" s="9">
        <f t="shared" si="71"/>
        <v>25.9</v>
      </c>
      <c r="K289" s="3">
        <f t="shared" si="72"/>
        <v>0</v>
      </c>
      <c r="L289" s="7">
        <f t="shared" si="73"/>
        <v>0</v>
      </c>
      <c r="M289" t="s">
        <v>150</v>
      </c>
      <c r="O289" s="3">
        <f>E289-'297195 - P0224'!F289</f>
        <v>0</v>
      </c>
      <c r="P289" s="30">
        <f>I289-'297195 - P0224'!J289</f>
        <v>0</v>
      </c>
    </row>
    <row r="290" spans="1:16" x14ac:dyDescent="0.25">
      <c r="A290">
        <v>288</v>
      </c>
      <c r="C290" t="s">
        <v>8</v>
      </c>
      <c r="D290" s="4" t="s">
        <v>282</v>
      </c>
      <c r="E290" s="12">
        <v>9.27</v>
      </c>
      <c r="F290" s="12">
        <v>9.27</v>
      </c>
      <c r="G290" s="6">
        <f t="shared" si="69"/>
        <v>0</v>
      </c>
      <c r="H290" s="7">
        <f t="shared" si="70"/>
        <v>0</v>
      </c>
      <c r="I290" s="8">
        <v>18.54</v>
      </c>
      <c r="J290" s="9">
        <f t="shared" si="71"/>
        <v>18.54</v>
      </c>
      <c r="K290" s="3">
        <f t="shared" si="72"/>
        <v>0</v>
      </c>
      <c r="L290" s="7">
        <f t="shared" si="73"/>
        <v>0</v>
      </c>
      <c r="M290" t="s">
        <v>150</v>
      </c>
      <c r="O290" s="3">
        <f>E290-'297195 - P0224'!F290</f>
        <v>0</v>
      </c>
      <c r="P290" s="30">
        <f>I290-'297195 - P0224'!J290</f>
        <v>0</v>
      </c>
    </row>
    <row r="291" spans="1:16" x14ac:dyDescent="0.25">
      <c r="A291">
        <v>289</v>
      </c>
      <c r="C291" t="s">
        <v>8</v>
      </c>
      <c r="D291" s="4" t="s">
        <v>283</v>
      </c>
      <c r="E291" s="12">
        <v>4.38</v>
      </c>
      <c r="F291" s="12">
        <v>4.38</v>
      </c>
      <c r="G291" s="6">
        <f t="shared" si="69"/>
        <v>0</v>
      </c>
      <c r="H291" s="7">
        <f t="shared" si="70"/>
        <v>0</v>
      </c>
      <c r="I291" s="8">
        <v>19.878299999999999</v>
      </c>
      <c r="J291" s="9">
        <f t="shared" si="71"/>
        <v>19.878299999999999</v>
      </c>
      <c r="K291" s="3">
        <f t="shared" si="72"/>
        <v>0</v>
      </c>
      <c r="L291" s="7">
        <f t="shared" si="73"/>
        <v>0</v>
      </c>
      <c r="M291" t="s">
        <v>150</v>
      </c>
      <c r="O291" s="3">
        <f>E291-'297195 - P0224'!F291</f>
        <v>0</v>
      </c>
      <c r="P291" s="30">
        <f>I291-'297195 - P0224'!J291</f>
        <v>0</v>
      </c>
    </row>
    <row r="292" spans="1:16" x14ac:dyDescent="0.25">
      <c r="A292">
        <v>290</v>
      </c>
      <c r="C292" t="s">
        <v>8</v>
      </c>
      <c r="D292" s="4" t="s">
        <v>284</v>
      </c>
      <c r="E292" s="12">
        <v>7.78</v>
      </c>
      <c r="F292" s="12">
        <v>7.78</v>
      </c>
      <c r="G292" s="6">
        <f t="shared" si="69"/>
        <v>0</v>
      </c>
      <c r="H292" s="7">
        <f t="shared" si="70"/>
        <v>0</v>
      </c>
      <c r="I292" s="8">
        <v>20.218751857355123</v>
      </c>
      <c r="J292" s="9">
        <f t="shared" si="71"/>
        <v>20.218751857355123</v>
      </c>
      <c r="K292" s="3">
        <f t="shared" si="72"/>
        <v>0</v>
      </c>
      <c r="L292" s="7">
        <f t="shared" si="73"/>
        <v>0</v>
      </c>
      <c r="M292" t="s">
        <v>150</v>
      </c>
      <c r="O292" s="3">
        <f>E292-'297195 - P0224'!F292</f>
        <v>0</v>
      </c>
      <c r="P292" s="30">
        <f>I292-'297195 - P0224'!J292</f>
        <v>0</v>
      </c>
    </row>
    <row r="293" spans="1:16" x14ac:dyDescent="0.25">
      <c r="A293">
        <v>291</v>
      </c>
      <c r="C293" t="s">
        <v>8</v>
      </c>
      <c r="D293" s="4" t="s">
        <v>285</v>
      </c>
      <c r="E293" s="12">
        <v>0.98</v>
      </c>
      <c r="F293" s="12">
        <v>0.98</v>
      </c>
      <c r="G293" s="6">
        <f t="shared" si="69"/>
        <v>0</v>
      </c>
      <c r="H293" s="7">
        <f t="shared" si="70"/>
        <v>0</v>
      </c>
      <c r="I293" s="8">
        <v>2.0746808510638299</v>
      </c>
      <c r="J293" s="9">
        <f t="shared" si="71"/>
        <v>2.0746808510638299</v>
      </c>
      <c r="K293" s="3">
        <f t="shared" si="72"/>
        <v>0</v>
      </c>
      <c r="L293" s="7">
        <f t="shared" si="73"/>
        <v>0</v>
      </c>
      <c r="M293" t="s">
        <v>150</v>
      </c>
      <c r="O293" s="3">
        <f>E293-'297195 - P0224'!F293</f>
        <v>0</v>
      </c>
      <c r="P293" s="30">
        <f>I293-'297195 - P0224'!J293</f>
        <v>0</v>
      </c>
    </row>
    <row r="294" spans="1:16" x14ac:dyDescent="0.25">
      <c r="A294">
        <v>292</v>
      </c>
      <c r="C294" t="s">
        <v>8</v>
      </c>
      <c r="D294" s="4" t="s">
        <v>286</v>
      </c>
      <c r="E294" s="12">
        <v>0.56999999999999995</v>
      </c>
      <c r="F294" s="12">
        <v>0.56999999999999995</v>
      </c>
      <c r="G294" s="6">
        <f t="shared" si="69"/>
        <v>0</v>
      </c>
      <c r="H294" s="7">
        <f t="shared" si="70"/>
        <v>0</v>
      </c>
      <c r="I294" s="8">
        <v>1.29</v>
      </c>
      <c r="J294" s="9">
        <f t="shared" si="71"/>
        <v>1.29</v>
      </c>
      <c r="K294" s="3">
        <f t="shared" si="72"/>
        <v>0</v>
      </c>
      <c r="L294" s="7">
        <f t="shared" si="73"/>
        <v>0</v>
      </c>
      <c r="M294" t="s">
        <v>150</v>
      </c>
      <c r="O294" s="3">
        <f>E294-'297195 - P0224'!F294</f>
        <v>0</v>
      </c>
      <c r="P294" s="30">
        <f>I294-'297195 - P0224'!J294</f>
        <v>0</v>
      </c>
    </row>
    <row r="295" spans="1:16" x14ac:dyDescent="0.25">
      <c r="A295">
        <v>293</v>
      </c>
      <c r="C295" t="s">
        <v>8</v>
      </c>
      <c r="D295" s="4" t="s">
        <v>287</v>
      </c>
      <c r="E295" s="12">
        <v>3.2</v>
      </c>
      <c r="F295" s="12">
        <v>3.2</v>
      </c>
      <c r="G295" s="6">
        <f t="shared" si="69"/>
        <v>0</v>
      </c>
      <c r="H295" s="7">
        <f t="shared" si="70"/>
        <v>0</v>
      </c>
      <c r="I295" s="8">
        <v>9.2899999999999991</v>
      </c>
      <c r="J295" s="9">
        <f t="shared" si="71"/>
        <v>9.2899999999999991</v>
      </c>
      <c r="K295" s="3">
        <f t="shared" si="72"/>
        <v>0</v>
      </c>
      <c r="L295" s="7">
        <f t="shared" si="73"/>
        <v>0</v>
      </c>
      <c r="M295" t="s">
        <v>150</v>
      </c>
      <c r="O295" s="3">
        <f>E295-'297195 - P0224'!F295</f>
        <v>0</v>
      </c>
      <c r="P295" s="30">
        <f>I295-'297195 - P0224'!J295</f>
        <v>0</v>
      </c>
    </row>
    <row r="296" spans="1:16" x14ac:dyDescent="0.25">
      <c r="A296">
        <v>294</v>
      </c>
      <c r="D296" s="2" t="s">
        <v>288</v>
      </c>
      <c r="H296" s="10">
        <f>AVERAGE(H251:H290)</f>
        <v>0</v>
      </c>
      <c r="I296"/>
    </row>
    <row r="297" spans="1:16" x14ac:dyDescent="0.25">
      <c r="A297">
        <v>295</v>
      </c>
      <c r="D297" s="2" t="s">
        <v>289</v>
      </c>
      <c r="I297"/>
      <c r="M297" t="s">
        <v>187</v>
      </c>
    </row>
    <row r="298" spans="1:16" x14ac:dyDescent="0.25">
      <c r="A298">
        <v>296</v>
      </c>
      <c r="B298" t="s">
        <v>468</v>
      </c>
      <c r="C298" t="s">
        <v>291</v>
      </c>
      <c r="D298" s="4" t="s">
        <v>292</v>
      </c>
      <c r="E298" s="12">
        <v>83.45</v>
      </c>
      <c r="F298" s="12">
        <v>83.45</v>
      </c>
      <c r="G298" s="6">
        <f t="shared" ref="G298:G331" si="74">+F298-E298</f>
        <v>0</v>
      </c>
      <c r="H298" s="7">
        <f t="shared" ref="H298:H331" si="75">(F298-E298)/ABS(E298)</f>
        <v>0</v>
      </c>
      <c r="I298" s="8">
        <v>116.82130707692306</v>
      </c>
      <c r="J298" s="9">
        <f t="shared" ref="J298:J331" si="76">(I298*H298)+I298</f>
        <v>116.82130707692306</v>
      </c>
      <c r="K298" s="3">
        <f t="shared" ref="K298:K331" si="77">J298-I298</f>
        <v>0</v>
      </c>
      <c r="L298" s="7">
        <f t="shared" ref="L298:L331" si="78">(J298-I298)/ABS(I298)</f>
        <v>0</v>
      </c>
      <c r="M298" t="s">
        <v>187</v>
      </c>
      <c r="O298" s="3">
        <f>E298-'297195 - P0224'!F298</f>
        <v>0</v>
      </c>
      <c r="P298" s="30">
        <f>I298-'297195 - P0224'!J298</f>
        <v>0</v>
      </c>
    </row>
    <row r="299" spans="1:16" x14ac:dyDescent="0.25">
      <c r="A299">
        <v>297</v>
      </c>
      <c r="B299" t="s">
        <v>471</v>
      </c>
      <c r="C299" t="s">
        <v>291</v>
      </c>
      <c r="D299" s="4" t="s">
        <v>293</v>
      </c>
      <c r="E299" s="12">
        <v>17.16</v>
      </c>
      <c r="F299" s="12">
        <v>17.16</v>
      </c>
      <c r="G299" s="6">
        <f t="shared" si="74"/>
        <v>0</v>
      </c>
      <c r="H299" s="7">
        <f t="shared" si="75"/>
        <v>0</v>
      </c>
      <c r="I299" s="8">
        <v>23.58</v>
      </c>
      <c r="J299" s="9">
        <f t="shared" si="76"/>
        <v>23.58</v>
      </c>
      <c r="K299" s="3">
        <f t="shared" si="77"/>
        <v>0</v>
      </c>
      <c r="L299" s="7">
        <f t="shared" si="78"/>
        <v>0</v>
      </c>
      <c r="M299" t="s">
        <v>187</v>
      </c>
      <c r="O299" s="3">
        <f>E299-'297195 - P0224'!F299</f>
        <v>0</v>
      </c>
      <c r="P299" s="30">
        <f>I299-'297195 - P0224'!J299</f>
        <v>0</v>
      </c>
    </row>
    <row r="300" spans="1:16" x14ac:dyDescent="0.25">
      <c r="A300">
        <v>298</v>
      </c>
      <c r="B300" t="s">
        <v>468</v>
      </c>
      <c r="C300" t="s">
        <v>291</v>
      </c>
      <c r="D300" s="4" t="s">
        <v>295</v>
      </c>
      <c r="E300" s="12">
        <v>20.45</v>
      </c>
      <c r="F300" s="12">
        <v>20.45</v>
      </c>
      <c r="G300" s="6">
        <f t="shared" si="74"/>
        <v>0</v>
      </c>
      <c r="H300" s="7">
        <f t="shared" si="75"/>
        <v>0</v>
      </c>
      <c r="I300" s="8">
        <v>28.117117241379304</v>
      </c>
      <c r="J300" s="9">
        <f t="shared" si="76"/>
        <v>28.117117241379304</v>
      </c>
      <c r="K300" s="3">
        <f t="shared" si="77"/>
        <v>0</v>
      </c>
      <c r="L300" s="7">
        <f t="shared" si="78"/>
        <v>0</v>
      </c>
      <c r="M300" t="s">
        <v>187</v>
      </c>
      <c r="O300" s="3">
        <f>E300-'297195 - P0224'!F300</f>
        <v>0</v>
      </c>
      <c r="P300" s="30">
        <f>I300-'297195 - P0224'!J300</f>
        <v>0</v>
      </c>
    </row>
    <row r="301" spans="1:16" x14ac:dyDescent="0.25">
      <c r="A301">
        <v>299</v>
      </c>
      <c r="B301" t="s">
        <v>471</v>
      </c>
      <c r="C301" t="s">
        <v>291</v>
      </c>
      <c r="D301" s="4" t="s">
        <v>296</v>
      </c>
      <c r="E301" s="12">
        <v>35.15</v>
      </c>
      <c r="F301" s="12">
        <v>35.15</v>
      </c>
      <c r="G301" s="6">
        <f t="shared" si="74"/>
        <v>0</v>
      </c>
      <c r="H301" s="7">
        <f t="shared" si="75"/>
        <v>0</v>
      </c>
      <c r="I301" s="8">
        <v>48.263872071910107</v>
      </c>
      <c r="J301" s="9">
        <f t="shared" si="76"/>
        <v>48.263872071910107</v>
      </c>
      <c r="K301" s="3">
        <f t="shared" si="77"/>
        <v>0</v>
      </c>
      <c r="L301" s="7">
        <f t="shared" si="78"/>
        <v>0</v>
      </c>
      <c r="M301" t="s">
        <v>187</v>
      </c>
      <c r="O301" s="3">
        <f>E301-'297195 - P0224'!F301</f>
        <v>0</v>
      </c>
      <c r="P301" s="30">
        <f>I301-'297195 - P0224'!J301</f>
        <v>0</v>
      </c>
    </row>
    <row r="302" spans="1:16" x14ac:dyDescent="0.25">
      <c r="A302">
        <v>300</v>
      </c>
      <c r="B302" t="s">
        <v>472</v>
      </c>
      <c r="C302" t="s">
        <v>291</v>
      </c>
      <c r="D302" s="4" t="s">
        <v>297</v>
      </c>
      <c r="E302" s="12">
        <v>7.16</v>
      </c>
      <c r="F302" s="12">
        <v>7.16</v>
      </c>
      <c r="G302" s="6">
        <f t="shared" si="74"/>
        <v>0</v>
      </c>
      <c r="H302" s="7">
        <f t="shared" si="75"/>
        <v>0</v>
      </c>
      <c r="I302" s="8">
        <v>9.85</v>
      </c>
      <c r="J302" s="9">
        <f t="shared" si="76"/>
        <v>9.85</v>
      </c>
      <c r="K302" s="3">
        <f t="shared" si="77"/>
        <v>0</v>
      </c>
      <c r="L302" s="7">
        <f t="shared" si="78"/>
        <v>0</v>
      </c>
      <c r="M302" t="s">
        <v>187</v>
      </c>
      <c r="O302" s="3">
        <f>E302-'297195 - P0224'!F302</f>
        <v>0</v>
      </c>
      <c r="P302" s="30">
        <f>I302-'297195 - P0224'!J302</f>
        <v>0</v>
      </c>
    </row>
    <row r="303" spans="1:16" x14ac:dyDescent="0.25">
      <c r="A303">
        <v>301</v>
      </c>
      <c r="B303" t="s">
        <v>486</v>
      </c>
      <c r="C303" t="s">
        <v>291</v>
      </c>
      <c r="D303" s="4" t="s">
        <v>298</v>
      </c>
      <c r="E303" s="12">
        <v>0.49</v>
      </c>
      <c r="F303" s="12">
        <v>0.49</v>
      </c>
      <c r="G303" s="6">
        <f t="shared" si="74"/>
        <v>0</v>
      </c>
      <c r="H303" s="7">
        <f t="shared" si="75"/>
        <v>0</v>
      </c>
      <c r="I303" s="8">
        <v>0.69</v>
      </c>
      <c r="J303" s="9">
        <f t="shared" si="76"/>
        <v>0.69</v>
      </c>
      <c r="K303" s="3">
        <f t="shared" si="77"/>
        <v>0</v>
      </c>
      <c r="L303" s="7">
        <f t="shared" si="78"/>
        <v>0</v>
      </c>
      <c r="M303" t="s">
        <v>187</v>
      </c>
      <c r="O303" s="3">
        <f>E303-'297195 - P0224'!F303</f>
        <v>0</v>
      </c>
      <c r="P303" s="30">
        <f>I303-'297195 - P0224'!J303</f>
        <v>0</v>
      </c>
    </row>
    <row r="304" spans="1:16" x14ac:dyDescent="0.25">
      <c r="A304">
        <v>302</v>
      </c>
      <c r="B304" t="s">
        <v>471</v>
      </c>
      <c r="C304" t="s">
        <v>291</v>
      </c>
      <c r="D304" s="4" t="s">
        <v>299</v>
      </c>
      <c r="E304" s="12">
        <v>21.81</v>
      </c>
      <c r="F304" s="12">
        <v>21.81</v>
      </c>
      <c r="G304" s="6">
        <f t="shared" si="74"/>
        <v>0</v>
      </c>
      <c r="H304" s="7">
        <f t="shared" si="75"/>
        <v>0</v>
      </c>
      <c r="I304" s="8">
        <v>29.968966617429842</v>
      </c>
      <c r="J304" s="9">
        <f t="shared" si="76"/>
        <v>29.968966617429842</v>
      </c>
      <c r="K304" s="3">
        <f t="shared" si="77"/>
        <v>0</v>
      </c>
      <c r="L304" s="7">
        <f t="shared" si="78"/>
        <v>0</v>
      </c>
      <c r="M304" t="s">
        <v>187</v>
      </c>
      <c r="O304" s="3">
        <f>E304-'297195 - P0224'!F304</f>
        <v>0</v>
      </c>
      <c r="P304" s="30">
        <f>I304-'297195 - P0224'!J304</f>
        <v>0</v>
      </c>
    </row>
    <row r="305" spans="1:16" x14ac:dyDescent="0.25">
      <c r="A305">
        <v>303</v>
      </c>
      <c r="B305" s="28" t="s">
        <v>471</v>
      </c>
      <c r="C305" t="s">
        <v>291</v>
      </c>
      <c r="D305" s="4" t="s">
        <v>300</v>
      </c>
      <c r="E305" s="12">
        <v>2.2000000000000002</v>
      </c>
      <c r="F305" s="12">
        <v>2.2000000000000002</v>
      </c>
      <c r="G305" s="6">
        <f t="shared" si="74"/>
        <v>0</v>
      </c>
      <c r="H305" s="7">
        <f t="shared" si="75"/>
        <v>0</v>
      </c>
      <c r="I305" s="8">
        <v>3.0480105109489042</v>
      </c>
      <c r="J305" s="9">
        <f t="shared" si="76"/>
        <v>3.0480105109489042</v>
      </c>
      <c r="K305" s="3">
        <f t="shared" si="77"/>
        <v>0</v>
      </c>
      <c r="L305" s="7">
        <f t="shared" si="78"/>
        <v>0</v>
      </c>
      <c r="M305" t="s">
        <v>187</v>
      </c>
      <c r="O305" s="3">
        <f>E305-'297195 - P0224'!F305</f>
        <v>0</v>
      </c>
      <c r="P305" s="30">
        <f>I305-'297195 - P0224'!J305</f>
        <v>0</v>
      </c>
    </row>
    <row r="306" spans="1:16" x14ac:dyDescent="0.25">
      <c r="A306">
        <v>304</v>
      </c>
      <c r="B306" t="s">
        <v>471</v>
      </c>
      <c r="C306" t="s">
        <v>291</v>
      </c>
      <c r="D306" s="4" t="s">
        <v>301</v>
      </c>
      <c r="E306" s="12">
        <v>2.73</v>
      </c>
      <c r="F306" s="12">
        <v>2.73</v>
      </c>
      <c r="G306" s="6">
        <f t="shared" si="74"/>
        <v>0</v>
      </c>
      <c r="H306" s="7">
        <f t="shared" si="75"/>
        <v>0</v>
      </c>
      <c r="I306" s="8">
        <v>3.751827692307693</v>
      </c>
      <c r="J306" s="9">
        <f t="shared" si="76"/>
        <v>3.751827692307693</v>
      </c>
      <c r="K306" s="3">
        <f t="shared" si="77"/>
        <v>0</v>
      </c>
      <c r="L306" s="7">
        <f t="shared" si="78"/>
        <v>0</v>
      </c>
      <c r="M306" t="s">
        <v>187</v>
      </c>
      <c r="O306" s="3">
        <f>E306-'297195 - P0224'!F306</f>
        <v>0</v>
      </c>
      <c r="P306" s="30">
        <f>I306-'297195 - P0224'!J306</f>
        <v>0</v>
      </c>
    </row>
    <row r="307" spans="1:16" x14ac:dyDescent="0.25">
      <c r="A307">
        <v>305</v>
      </c>
      <c r="B307" t="s">
        <v>469</v>
      </c>
      <c r="C307" t="s">
        <v>291</v>
      </c>
      <c r="D307" s="4" t="s">
        <v>302</v>
      </c>
      <c r="E307" s="12">
        <v>0.9</v>
      </c>
      <c r="F307" s="12">
        <v>0.9</v>
      </c>
      <c r="G307" s="6">
        <f t="shared" si="74"/>
        <v>0</v>
      </c>
      <c r="H307" s="7">
        <f t="shared" si="75"/>
        <v>0</v>
      </c>
      <c r="I307" s="8">
        <v>1.7875199999999998</v>
      </c>
      <c r="J307" s="9">
        <f t="shared" si="76"/>
        <v>1.7875199999999998</v>
      </c>
      <c r="K307" s="3">
        <f t="shared" si="77"/>
        <v>0</v>
      </c>
      <c r="L307" s="7">
        <f t="shared" si="78"/>
        <v>0</v>
      </c>
      <c r="M307" t="s">
        <v>187</v>
      </c>
      <c r="O307" s="3">
        <f>E307-'297195 - P0224'!F307</f>
        <v>0</v>
      </c>
      <c r="P307" s="30">
        <f>I307-'297195 - P0224'!J307</f>
        <v>0</v>
      </c>
    </row>
    <row r="308" spans="1:16" x14ac:dyDescent="0.25">
      <c r="A308">
        <v>306</v>
      </c>
      <c r="B308" t="s">
        <v>303</v>
      </c>
      <c r="C308" t="s">
        <v>291</v>
      </c>
      <c r="D308" s="4" t="s">
        <v>304</v>
      </c>
      <c r="E308" s="12">
        <v>66.48</v>
      </c>
      <c r="F308" s="12">
        <v>66.48</v>
      </c>
      <c r="G308" s="6">
        <f t="shared" si="74"/>
        <v>0</v>
      </c>
      <c r="H308" s="7">
        <f t="shared" si="75"/>
        <v>0</v>
      </c>
      <c r="I308" s="8">
        <v>91.32</v>
      </c>
      <c r="J308" s="9">
        <f t="shared" si="76"/>
        <v>91.32</v>
      </c>
      <c r="K308" s="3">
        <f t="shared" si="77"/>
        <v>0</v>
      </c>
      <c r="L308" s="7">
        <f t="shared" si="78"/>
        <v>0</v>
      </c>
      <c r="M308" t="s">
        <v>187</v>
      </c>
      <c r="O308" s="3">
        <f>E308-'297195 - P0224'!F308</f>
        <v>0</v>
      </c>
      <c r="P308" s="30">
        <f>I308-'297195 - P0224'!J308</f>
        <v>0</v>
      </c>
    </row>
    <row r="309" spans="1:16" x14ac:dyDescent="0.25">
      <c r="A309">
        <v>307</v>
      </c>
      <c r="B309" t="s">
        <v>305</v>
      </c>
      <c r="C309" t="s">
        <v>291</v>
      </c>
      <c r="D309" s="4" t="s">
        <v>306</v>
      </c>
      <c r="E309" s="12">
        <v>26.81</v>
      </c>
      <c r="F309" s="12">
        <v>26.81</v>
      </c>
      <c r="G309" s="13">
        <f t="shared" si="74"/>
        <v>0</v>
      </c>
      <c r="H309" s="7">
        <f t="shared" si="75"/>
        <v>0</v>
      </c>
      <c r="I309" s="8">
        <v>41.25</v>
      </c>
      <c r="J309" s="9">
        <f t="shared" si="76"/>
        <v>41.25</v>
      </c>
      <c r="K309" s="3">
        <f t="shared" si="77"/>
        <v>0</v>
      </c>
      <c r="L309" s="7">
        <f t="shared" si="78"/>
        <v>0</v>
      </c>
      <c r="M309" t="s">
        <v>187</v>
      </c>
      <c r="O309" s="3">
        <f>E309-'297195 - P0224'!F309</f>
        <v>0</v>
      </c>
      <c r="P309" s="30">
        <f>I309-'297195 - P0224'!J309</f>
        <v>0</v>
      </c>
    </row>
    <row r="310" spans="1:16" x14ac:dyDescent="0.25">
      <c r="A310">
        <v>308</v>
      </c>
      <c r="B310" t="s">
        <v>303</v>
      </c>
      <c r="C310" t="s">
        <v>291</v>
      </c>
      <c r="D310" s="4" t="s">
        <v>307</v>
      </c>
      <c r="E310" s="12">
        <v>38.020000000000003</v>
      </c>
      <c r="F310" s="12">
        <v>38.020000000000003</v>
      </c>
      <c r="G310" s="6">
        <f t="shared" si="74"/>
        <v>0</v>
      </c>
      <c r="H310" s="7">
        <f t="shared" si="75"/>
        <v>0</v>
      </c>
      <c r="I310" s="8">
        <v>52.23</v>
      </c>
      <c r="J310" s="9">
        <f t="shared" si="76"/>
        <v>52.23</v>
      </c>
      <c r="K310" s="3">
        <f t="shared" si="77"/>
        <v>0</v>
      </c>
      <c r="L310" s="7">
        <f t="shared" si="78"/>
        <v>0</v>
      </c>
      <c r="M310" t="s">
        <v>187</v>
      </c>
      <c r="O310" s="3">
        <f>E310-'297195 - P0224'!F310</f>
        <v>0</v>
      </c>
      <c r="P310" s="30">
        <f>I310-'297195 - P0224'!J310</f>
        <v>0</v>
      </c>
    </row>
    <row r="311" spans="1:16" x14ac:dyDescent="0.25">
      <c r="A311">
        <v>309</v>
      </c>
      <c r="B311" t="s">
        <v>303</v>
      </c>
      <c r="C311" t="s">
        <v>291</v>
      </c>
      <c r="D311" s="4" t="s">
        <v>308</v>
      </c>
      <c r="E311" s="12">
        <v>95.36</v>
      </c>
      <c r="F311" s="12">
        <v>95.36</v>
      </c>
      <c r="G311" s="6">
        <f t="shared" si="74"/>
        <v>0</v>
      </c>
      <c r="H311" s="7">
        <f t="shared" si="75"/>
        <v>0</v>
      </c>
      <c r="I311" s="8">
        <v>130.96011922503726</v>
      </c>
      <c r="J311" s="9">
        <f t="shared" si="76"/>
        <v>130.96011922503726</v>
      </c>
      <c r="K311" s="3">
        <f t="shared" si="77"/>
        <v>0</v>
      </c>
      <c r="L311" s="7">
        <f t="shared" si="78"/>
        <v>0</v>
      </c>
      <c r="M311" t="s">
        <v>187</v>
      </c>
      <c r="O311" s="3">
        <f>E311-'297195 - P0224'!F311</f>
        <v>0</v>
      </c>
      <c r="P311" s="30">
        <f>I311-'297195 - P0224'!J311</f>
        <v>0</v>
      </c>
    </row>
    <row r="312" spans="1:16" x14ac:dyDescent="0.25">
      <c r="A312">
        <v>310</v>
      </c>
      <c r="B312" t="s">
        <v>303</v>
      </c>
      <c r="C312" t="s">
        <v>291</v>
      </c>
      <c r="D312" s="4" t="s">
        <v>309</v>
      </c>
      <c r="E312" s="12">
        <v>15.89</v>
      </c>
      <c r="F312" s="12">
        <v>15.89</v>
      </c>
      <c r="G312" s="6">
        <f t="shared" si="74"/>
        <v>0</v>
      </c>
      <c r="H312" s="7">
        <f t="shared" si="75"/>
        <v>0</v>
      </c>
      <c r="I312" s="8">
        <v>21.821258516129031</v>
      </c>
      <c r="J312" s="9">
        <f t="shared" si="76"/>
        <v>21.821258516129031</v>
      </c>
      <c r="K312" s="3">
        <f t="shared" si="77"/>
        <v>0</v>
      </c>
      <c r="L312" s="7">
        <f t="shared" si="78"/>
        <v>0</v>
      </c>
      <c r="M312" t="s">
        <v>187</v>
      </c>
      <c r="O312" s="3">
        <f>E312-'297195 - P0224'!F312</f>
        <v>0</v>
      </c>
      <c r="P312" s="30">
        <f>I312-'297195 - P0224'!J312</f>
        <v>0</v>
      </c>
    </row>
    <row r="313" spans="1:16" x14ac:dyDescent="0.25">
      <c r="A313">
        <v>311</v>
      </c>
      <c r="B313" t="s">
        <v>303</v>
      </c>
      <c r="C313" t="s">
        <v>291</v>
      </c>
      <c r="D313" s="4" t="s">
        <v>310</v>
      </c>
      <c r="E313" s="12">
        <v>8.59</v>
      </c>
      <c r="F313" s="12">
        <v>8.59</v>
      </c>
      <c r="G313" s="6">
        <f t="shared" si="74"/>
        <v>0</v>
      </c>
      <c r="H313" s="7">
        <f t="shared" si="75"/>
        <v>0</v>
      </c>
      <c r="I313" s="8">
        <v>11.8</v>
      </c>
      <c r="J313" s="9">
        <f t="shared" si="76"/>
        <v>11.8</v>
      </c>
      <c r="K313" s="3">
        <f t="shared" si="77"/>
        <v>0</v>
      </c>
      <c r="L313" s="7">
        <f t="shared" si="78"/>
        <v>0</v>
      </c>
      <c r="M313" t="s">
        <v>187</v>
      </c>
      <c r="O313" s="3">
        <f>E313-'297195 - P0224'!F313</f>
        <v>0</v>
      </c>
      <c r="P313" s="30">
        <f>I313-'297195 - P0224'!J313</f>
        <v>0</v>
      </c>
    </row>
    <row r="314" spans="1:16" x14ac:dyDescent="0.25">
      <c r="A314">
        <v>312</v>
      </c>
      <c r="B314" t="s">
        <v>319</v>
      </c>
      <c r="C314" t="s">
        <v>291</v>
      </c>
      <c r="D314" s="4" t="s">
        <v>311</v>
      </c>
      <c r="E314" s="12">
        <v>11.51</v>
      </c>
      <c r="F314" s="12">
        <v>11.51</v>
      </c>
      <c r="G314" s="6">
        <f t="shared" si="74"/>
        <v>0</v>
      </c>
      <c r="H314" s="7">
        <f t="shared" si="75"/>
        <v>0</v>
      </c>
      <c r="I314" s="8">
        <v>21.72</v>
      </c>
      <c r="J314" s="9">
        <f t="shared" si="76"/>
        <v>21.72</v>
      </c>
      <c r="K314" s="3">
        <f t="shared" si="77"/>
        <v>0</v>
      </c>
      <c r="L314" s="7">
        <f t="shared" si="78"/>
        <v>0</v>
      </c>
      <c r="M314" t="s">
        <v>187</v>
      </c>
      <c r="O314" s="3">
        <f>E314-'297195 - P0224'!F314</f>
        <v>0</v>
      </c>
      <c r="P314" s="30">
        <f>I314-'297195 - P0224'!J314</f>
        <v>0</v>
      </c>
    </row>
    <row r="315" spans="1:16" x14ac:dyDescent="0.25">
      <c r="A315">
        <v>313</v>
      </c>
      <c r="B315" t="s">
        <v>303</v>
      </c>
      <c r="C315" t="s">
        <v>291</v>
      </c>
      <c r="D315" s="4" t="s">
        <v>312</v>
      </c>
      <c r="E315" s="12">
        <v>175</v>
      </c>
      <c r="F315" s="12">
        <v>175</v>
      </c>
      <c r="G315" s="6">
        <f t="shared" si="74"/>
        <v>0</v>
      </c>
      <c r="H315" s="7">
        <f t="shared" si="75"/>
        <v>0</v>
      </c>
      <c r="I315" s="8">
        <v>284.09826122118881</v>
      </c>
      <c r="J315" s="9">
        <f t="shared" si="76"/>
        <v>284.09826122118881</v>
      </c>
      <c r="K315" s="3">
        <f t="shared" si="77"/>
        <v>0</v>
      </c>
      <c r="L315" s="7">
        <f t="shared" si="78"/>
        <v>0</v>
      </c>
      <c r="M315" t="s">
        <v>187</v>
      </c>
      <c r="O315" s="3">
        <f>E315-'297195 - P0224'!F315</f>
        <v>0</v>
      </c>
      <c r="P315" s="30">
        <f>I315-'297195 - P0224'!J315</f>
        <v>0</v>
      </c>
    </row>
    <row r="316" spans="1:16" x14ac:dyDescent="0.25">
      <c r="A316">
        <v>314</v>
      </c>
      <c r="B316" t="s">
        <v>470</v>
      </c>
      <c r="C316" t="s">
        <v>291</v>
      </c>
      <c r="D316" s="4" t="s">
        <v>313</v>
      </c>
      <c r="E316" s="12">
        <v>175</v>
      </c>
      <c r="F316" s="12">
        <v>175</v>
      </c>
      <c r="G316" s="6">
        <f t="shared" si="74"/>
        <v>0</v>
      </c>
      <c r="H316" s="7">
        <f t="shared" si="75"/>
        <v>0</v>
      </c>
      <c r="I316" s="8">
        <v>284.09826122118881</v>
      </c>
      <c r="J316" s="9">
        <f t="shared" si="76"/>
        <v>284.09826122118881</v>
      </c>
      <c r="K316" s="3">
        <f t="shared" si="77"/>
        <v>0</v>
      </c>
      <c r="L316" s="7">
        <f t="shared" si="78"/>
        <v>0</v>
      </c>
      <c r="M316" t="s">
        <v>187</v>
      </c>
      <c r="O316" s="3">
        <f>E316-'297195 - P0224'!F316</f>
        <v>0</v>
      </c>
      <c r="P316" s="30">
        <f>I316-'297195 - P0224'!J316</f>
        <v>0</v>
      </c>
    </row>
    <row r="317" spans="1:16" x14ac:dyDescent="0.25">
      <c r="A317">
        <v>315</v>
      </c>
      <c r="B317" t="s">
        <v>303</v>
      </c>
      <c r="C317" t="s">
        <v>291</v>
      </c>
      <c r="D317" s="4" t="s">
        <v>314</v>
      </c>
      <c r="E317" s="12">
        <v>20.73</v>
      </c>
      <c r="F317" s="12">
        <v>20.73</v>
      </c>
      <c r="G317" s="6">
        <f t="shared" si="74"/>
        <v>0</v>
      </c>
      <c r="H317" s="7">
        <f t="shared" si="75"/>
        <v>0</v>
      </c>
      <c r="I317" s="8">
        <v>33.65</v>
      </c>
      <c r="J317" s="9">
        <f t="shared" si="76"/>
        <v>33.65</v>
      </c>
      <c r="K317" s="3">
        <f t="shared" si="77"/>
        <v>0</v>
      </c>
      <c r="L317" s="7">
        <f t="shared" si="78"/>
        <v>0</v>
      </c>
      <c r="M317" t="s">
        <v>187</v>
      </c>
      <c r="O317" s="3">
        <f>E317-'297195 - P0224'!F317</f>
        <v>0</v>
      </c>
      <c r="P317" s="30">
        <f>I317-'297195 - P0224'!J317</f>
        <v>0</v>
      </c>
    </row>
    <row r="318" spans="1:16" x14ac:dyDescent="0.25">
      <c r="A318">
        <v>316</v>
      </c>
      <c r="B318" t="s">
        <v>470</v>
      </c>
      <c r="C318" t="s">
        <v>291</v>
      </c>
      <c r="D318" s="4" t="s">
        <v>315</v>
      </c>
      <c r="E318" s="12">
        <v>11.34</v>
      </c>
      <c r="F318" s="12">
        <v>11.34</v>
      </c>
      <c r="G318" s="6">
        <f t="shared" si="74"/>
        <v>0</v>
      </c>
      <c r="H318" s="7">
        <f t="shared" si="75"/>
        <v>0</v>
      </c>
      <c r="I318" s="8">
        <v>17.673479758926415</v>
      </c>
      <c r="J318" s="9">
        <f t="shared" si="76"/>
        <v>17.673479758926415</v>
      </c>
      <c r="K318" s="3">
        <f t="shared" si="77"/>
        <v>0</v>
      </c>
      <c r="L318" s="7">
        <f t="shared" si="78"/>
        <v>0</v>
      </c>
      <c r="M318" t="s">
        <v>187</v>
      </c>
      <c r="O318" s="3">
        <f>E318-'297195 - P0224'!F318</f>
        <v>0</v>
      </c>
      <c r="P318" s="30">
        <f>I318-'297195 - P0224'!J318</f>
        <v>0</v>
      </c>
    </row>
    <row r="319" spans="1:16" x14ac:dyDescent="0.25">
      <c r="A319">
        <v>317</v>
      </c>
      <c r="B319" t="s">
        <v>473</v>
      </c>
      <c r="C319" t="s">
        <v>291</v>
      </c>
      <c r="D319" s="4" t="s">
        <v>316</v>
      </c>
      <c r="E319" s="12">
        <v>36.4</v>
      </c>
      <c r="F319" s="12">
        <v>36.4</v>
      </c>
      <c r="G319" s="6">
        <f t="shared" si="74"/>
        <v>0</v>
      </c>
      <c r="H319" s="7">
        <f t="shared" si="75"/>
        <v>0</v>
      </c>
      <c r="I319" s="8">
        <v>56</v>
      </c>
      <c r="J319" s="9">
        <f t="shared" si="76"/>
        <v>56</v>
      </c>
      <c r="K319" s="3">
        <f t="shared" si="77"/>
        <v>0</v>
      </c>
      <c r="L319" s="7">
        <f t="shared" si="78"/>
        <v>0</v>
      </c>
      <c r="M319" t="s">
        <v>187</v>
      </c>
      <c r="O319" s="3">
        <f>E319-'297195 - P0224'!F319</f>
        <v>0</v>
      </c>
      <c r="P319" s="30">
        <f>I319-'297195 - P0224'!J319</f>
        <v>0</v>
      </c>
    </row>
    <row r="320" spans="1:16" x14ac:dyDescent="0.25">
      <c r="A320">
        <v>318</v>
      </c>
      <c r="B320" t="s">
        <v>470</v>
      </c>
      <c r="C320" t="s">
        <v>291</v>
      </c>
      <c r="D320" s="4" t="s">
        <v>317</v>
      </c>
      <c r="E320" s="12">
        <v>32.81</v>
      </c>
      <c r="F320" s="12">
        <v>32.81</v>
      </c>
      <c r="G320" s="6">
        <f t="shared" si="74"/>
        <v>0</v>
      </c>
      <c r="H320" s="7">
        <f t="shared" si="75"/>
        <v>0</v>
      </c>
      <c r="I320" s="8">
        <v>85.12</v>
      </c>
      <c r="J320" s="9">
        <f t="shared" si="76"/>
        <v>85.12</v>
      </c>
      <c r="K320" s="3">
        <f t="shared" si="77"/>
        <v>0</v>
      </c>
      <c r="L320" s="7">
        <f t="shared" si="78"/>
        <v>0</v>
      </c>
      <c r="M320" t="s">
        <v>187</v>
      </c>
      <c r="O320" s="3">
        <f>E320-'297195 - P0224'!F320</f>
        <v>0</v>
      </c>
      <c r="P320" s="30">
        <f>I320-'297195 - P0224'!J320</f>
        <v>0</v>
      </c>
    </row>
    <row r="321" spans="1:16" x14ac:dyDescent="0.25">
      <c r="A321">
        <v>319</v>
      </c>
      <c r="B321" t="s">
        <v>473</v>
      </c>
      <c r="C321" t="s">
        <v>291</v>
      </c>
      <c r="D321" s="4" t="s">
        <v>318</v>
      </c>
      <c r="E321" s="12">
        <v>21.15</v>
      </c>
      <c r="F321" s="12">
        <v>21.15</v>
      </c>
      <c r="G321" s="6">
        <f t="shared" si="74"/>
        <v>0</v>
      </c>
      <c r="H321" s="7">
        <f t="shared" si="75"/>
        <v>0</v>
      </c>
      <c r="I321" s="8">
        <v>32.590000000000003</v>
      </c>
      <c r="J321" s="9">
        <f t="shared" si="76"/>
        <v>32.590000000000003</v>
      </c>
      <c r="K321" s="3">
        <f t="shared" si="77"/>
        <v>0</v>
      </c>
      <c r="L321" s="7">
        <f t="shared" si="78"/>
        <v>0</v>
      </c>
      <c r="M321" t="s">
        <v>187</v>
      </c>
      <c r="O321" s="3">
        <f>E321-'297195 - P0224'!F321</f>
        <v>0</v>
      </c>
      <c r="P321" s="30">
        <f>I321-'297195 - P0224'!J321</f>
        <v>0</v>
      </c>
    </row>
    <row r="322" spans="1:16" x14ac:dyDescent="0.25">
      <c r="A322">
        <v>320</v>
      </c>
      <c r="B322" t="s">
        <v>319</v>
      </c>
      <c r="C322" t="s">
        <v>291</v>
      </c>
      <c r="D322" s="4" t="s">
        <v>320</v>
      </c>
      <c r="E322" s="12">
        <v>1.34</v>
      </c>
      <c r="F322" s="12">
        <v>1.34</v>
      </c>
      <c r="G322" s="6">
        <f t="shared" si="74"/>
        <v>0</v>
      </c>
      <c r="H322" s="7">
        <f t="shared" si="75"/>
        <v>0</v>
      </c>
      <c r="I322" s="8">
        <v>2.5299999999999998</v>
      </c>
      <c r="J322" s="9">
        <f t="shared" si="76"/>
        <v>2.5299999999999998</v>
      </c>
      <c r="K322" s="3">
        <f t="shared" si="77"/>
        <v>0</v>
      </c>
      <c r="L322" s="7">
        <f t="shared" si="78"/>
        <v>0</v>
      </c>
      <c r="M322" t="s">
        <v>187</v>
      </c>
      <c r="O322" s="3">
        <f>E322-'297195 - P0224'!F322</f>
        <v>0</v>
      </c>
      <c r="P322" s="30">
        <f>I322-'297195 - P0224'!J322</f>
        <v>0</v>
      </c>
    </row>
    <row r="323" spans="1:16" x14ac:dyDescent="0.25">
      <c r="A323">
        <v>321</v>
      </c>
      <c r="B323" t="s">
        <v>473</v>
      </c>
      <c r="C323" t="s">
        <v>291</v>
      </c>
      <c r="D323" s="4" t="s">
        <v>321</v>
      </c>
      <c r="E323" s="12">
        <v>1.7</v>
      </c>
      <c r="F323" s="12">
        <v>1.7</v>
      </c>
      <c r="G323" s="6">
        <f t="shared" si="74"/>
        <v>0</v>
      </c>
      <c r="H323" s="7">
        <f t="shared" si="75"/>
        <v>0</v>
      </c>
      <c r="I323" s="8">
        <v>2.62</v>
      </c>
      <c r="J323" s="9">
        <f t="shared" si="76"/>
        <v>2.62</v>
      </c>
      <c r="K323" s="3">
        <f t="shared" si="77"/>
        <v>0</v>
      </c>
      <c r="L323" s="7">
        <f t="shared" si="78"/>
        <v>0</v>
      </c>
      <c r="M323" t="s">
        <v>187</v>
      </c>
      <c r="O323" s="3">
        <f>E323-'297195 - P0224'!F323</f>
        <v>0</v>
      </c>
      <c r="P323" s="30">
        <f>I323-'297195 - P0224'!J323</f>
        <v>0</v>
      </c>
    </row>
    <row r="324" spans="1:16" x14ac:dyDescent="0.25">
      <c r="A324">
        <v>322</v>
      </c>
      <c r="B324" t="s">
        <v>474</v>
      </c>
      <c r="C324" t="s">
        <v>291</v>
      </c>
      <c r="D324" s="4" t="s">
        <v>323</v>
      </c>
      <c r="E324" s="16">
        <v>35.229999999999997</v>
      </c>
      <c r="F324" s="12">
        <v>35.229999999999997</v>
      </c>
      <c r="G324" s="6">
        <f t="shared" si="74"/>
        <v>0</v>
      </c>
      <c r="H324" s="7">
        <f t="shared" si="75"/>
        <v>0</v>
      </c>
      <c r="I324" s="8">
        <v>54.21</v>
      </c>
      <c r="J324" s="9">
        <f t="shared" si="76"/>
        <v>54.21</v>
      </c>
      <c r="K324" s="3">
        <f t="shared" si="77"/>
        <v>0</v>
      </c>
      <c r="L324" s="7">
        <f t="shared" si="78"/>
        <v>0</v>
      </c>
      <c r="M324" t="s">
        <v>187</v>
      </c>
      <c r="O324" s="3">
        <f>E324-'297195 - P0224'!F324</f>
        <v>0</v>
      </c>
      <c r="P324" s="30">
        <f>I324-'297195 - P0224'!J324</f>
        <v>0</v>
      </c>
    </row>
    <row r="325" spans="1:16" x14ac:dyDescent="0.25">
      <c r="A325">
        <v>323</v>
      </c>
      <c r="B325" t="s">
        <v>474</v>
      </c>
      <c r="C325" t="s">
        <v>291</v>
      </c>
      <c r="D325" s="4" t="s">
        <v>324</v>
      </c>
      <c r="E325" s="16">
        <v>19.350000000000001</v>
      </c>
      <c r="F325" s="12">
        <v>19.350000000000001</v>
      </c>
      <c r="G325" s="6">
        <f t="shared" si="74"/>
        <v>0</v>
      </c>
      <c r="H325" s="7">
        <f t="shared" si="75"/>
        <v>0</v>
      </c>
      <c r="I325" s="8">
        <v>34.01</v>
      </c>
      <c r="J325" s="9">
        <f t="shared" si="76"/>
        <v>34.01</v>
      </c>
      <c r="K325" s="3">
        <f t="shared" si="77"/>
        <v>0</v>
      </c>
      <c r="L325" s="7">
        <f t="shared" si="78"/>
        <v>0</v>
      </c>
      <c r="M325" t="s">
        <v>187</v>
      </c>
      <c r="O325" s="3">
        <f>E325-'297195 - P0224'!F325</f>
        <v>0</v>
      </c>
      <c r="P325" s="30">
        <f>I325-'297195 - P0224'!J325</f>
        <v>0</v>
      </c>
    </row>
    <row r="326" spans="1:16" x14ac:dyDescent="0.25">
      <c r="A326">
        <v>324</v>
      </c>
      <c r="B326" t="s">
        <v>474</v>
      </c>
      <c r="C326" t="s">
        <v>291</v>
      </c>
      <c r="D326" s="4" t="s">
        <v>325</v>
      </c>
      <c r="E326" s="16">
        <v>13.97</v>
      </c>
      <c r="F326" s="12">
        <v>13.97</v>
      </c>
      <c r="G326" s="6">
        <f t="shared" si="74"/>
        <v>0</v>
      </c>
      <c r="H326" s="7">
        <f t="shared" si="75"/>
        <v>0</v>
      </c>
      <c r="I326" s="8">
        <v>21.5</v>
      </c>
      <c r="J326" s="9">
        <f t="shared" si="76"/>
        <v>21.5</v>
      </c>
      <c r="K326" s="3">
        <f t="shared" si="77"/>
        <v>0</v>
      </c>
      <c r="L326" s="7">
        <f t="shared" si="78"/>
        <v>0</v>
      </c>
      <c r="M326" t="s">
        <v>187</v>
      </c>
      <c r="O326" s="3">
        <f>E326-'297195 - P0224'!F326</f>
        <v>0</v>
      </c>
      <c r="P326" s="30">
        <f>I326-'297195 - P0224'!J326</f>
        <v>0</v>
      </c>
    </row>
    <row r="327" spans="1:16" x14ac:dyDescent="0.25">
      <c r="A327">
        <v>325</v>
      </c>
      <c r="B327" t="s">
        <v>474</v>
      </c>
      <c r="C327" t="s">
        <v>291</v>
      </c>
      <c r="D327" s="4" t="s">
        <v>326</v>
      </c>
      <c r="E327" s="16">
        <v>4.5599999999999996</v>
      </c>
      <c r="F327" s="12">
        <v>4.5599999999999996</v>
      </c>
      <c r="G327" s="6">
        <f t="shared" si="74"/>
        <v>0</v>
      </c>
      <c r="H327" s="7">
        <f t="shared" si="75"/>
        <v>0</v>
      </c>
      <c r="I327" s="8">
        <v>9.14</v>
      </c>
      <c r="J327" s="9">
        <f t="shared" si="76"/>
        <v>9.14</v>
      </c>
      <c r="K327" s="3">
        <f t="shared" si="77"/>
        <v>0</v>
      </c>
      <c r="L327" s="7">
        <f t="shared" si="78"/>
        <v>0</v>
      </c>
      <c r="M327" t="s">
        <v>187</v>
      </c>
      <c r="O327" s="3">
        <f>E327-'297195 - P0224'!F327</f>
        <v>0</v>
      </c>
      <c r="P327" s="30">
        <f>I327-'297195 - P0224'!J327</f>
        <v>0</v>
      </c>
    </row>
    <row r="328" spans="1:16" x14ac:dyDescent="0.25">
      <c r="A328">
        <v>326</v>
      </c>
      <c r="B328" t="s">
        <v>475</v>
      </c>
      <c r="C328" t="s">
        <v>291</v>
      </c>
      <c r="D328" s="4" t="s">
        <v>327</v>
      </c>
      <c r="E328" s="16">
        <v>3.49</v>
      </c>
      <c r="F328" s="12">
        <v>3.49</v>
      </c>
      <c r="G328" s="6">
        <f t="shared" si="74"/>
        <v>0</v>
      </c>
      <c r="H328" s="7">
        <f t="shared" si="75"/>
        <v>0</v>
      </c>
      <c r="I328" s="8">
        <v>6.59</v>
      </c>
      <c r="J328" s="9">
        <f t="shared" si="76"/>
        <v>6.59</v>
      </c>
      <c r="K328" s="3">
        <f t="shared" si="77"/>
        <v>0</v>
      </c>
      <c r="L328" s="7">
        <f t="shared" si="78"/>
        <v>0</v>
      </c>
      <c r="M328" t="s">
        <v>187</v>
      </c>
      <c r="O328" s="3">
        <f>E328-'297195 - P0224'!F328</f>
        <v>0</v>
      </c>
      <c r="P328" s="30">
        <f>I328-'297195 - P0224'!J328</f>
        <v>0</v>
      </c>
    </row>
    <row r="329" spans="1:16" x14ac:dyDescent="0.25">
      <c r="A329">
        <v>327</v>
      </c>
      <c r="B329" t="s">
        <v>474</v>
      </c>
      <c r="C329" t="s">
        <v>291</v>
      </c>
      <c r="D329" s="4" t="s">
        <v>328</v>
      </c>
      <c r="E329" s="16">
        <v>5.68</v>
      </c>
      <c r="F329" s="12">
        <v>5.68</v>
      </c>
      <c r="G329" s="6">
        <f t="shared" si="74"/>
        <v>0</v>
      </c>
      <c r="H329" s="7">
        <f t="shared" si="75"/>
        <v>0</v>
      </c>
      <c r="I329" s="8">
        <v>8.77</v>
      </c>
      <c r="J329" s="9">
        <f t="shared" si="76"/>
        <v>8.77</v>
      </c>
      <c r="K329" s="3">
        <f t="shared" si="77"/>
        <v>0</v>
      </c>
      <c r="L329" s="7">
        <f t="shared" si="78"/>
        <v>0</v>
      </c>
      <c r="M329" t="s">
        <v>187</v>
      </c>
      <c r="O329" s="3">
        <f>E329-'297195 - P0224'!F329</f>
        <v>0</v>
      </c>
      <c r="P329" s="30">
        <f>I329-'297195 - P0224'!J329</f>
        <v>0</v>
      </c>
    </row>
    <row r="330" spans="1:16" x14ac:dyDescent="0.25">
      <c r="A330">
        <v>328</v>
      </c>
      <c r="B330" t="s">
        <v>473</v>
      </c>
      <c r="C330" t="s">
        <v>291</v>
      </c>
      <c r="D330" s="4" t="s">
        <v>329</v>
      </c>
      <c r="E330" s="16">
        <v>5.22</v>
      </c>
      <c r="F330" s="12">
        <v>5.22</v>
      </c>
      <c r="G330" s="6">
        <f t="shared" si="74"/>
        <v>0</v>
      </c>
      <c r="H330" s="7">
        <f t="shared" si="75"/>
        <v>0</v>
      </c>
      <c r="I330" s="8">
        <v>8.0399999999999991</v>
      </c>
      <c r="J330" s="9">
        <f t="shared" si="76"/>
        <v>8.0399999999999991</v>
      </c>
      <c r="K330" s="3">
        <f t="shared" si="77"/>
        <v>0</v>
      </c>
      <c r="L330" s="7">
        <f t="shared" si="78"/>
        <v>0</v>
      </c>
      <c r="M330" t="s">
        <v>187</v>
      </c>
      <c r="O330" s="3">
        <f>E330-'297195 - P0224'!F330</f>
        <v>0</v>
      </c>
      <c r="P330" s="30">
        <f>I330-'297195 - P0224'!J330</f>
        <v>0</v>
      </c>
    </row>
    <row r="331" spans="1:16" x14ac:dyDescent="0.25">
      <c r="A331">
        <v>329</v>
      </c>
      <c r="B331" t="s">
        <v>474</v>
      </c>
      <c r="C331" t="s">
        <v>291</v>
      </c>
      <c r="D331" s="4" t="s">
        <v>330</v>
      </c>
      <c r="E331" s="16">
        <v>34.32</v>
      </c>
      <c r="F331" s="12">
        <v>34.32</v>
      </c>
      <c r="G331" s="6">
        <f t="shared" si="74"/>
        <v>0</v>
      </c>
      <c r="H331" s="7">
        <f t="shared" si="75"/>
        <v>0</v>
      </c>
      <c r="I331" s="8">
        <v>52.8</v>
      </c>
      <c r="J331" s="9">
        <f t="shared" si="76"/>
        <v>52.8</v>
      </c>
      <c r="K331" s="3">
        <f t="shared" si="77"/>
        <v>0</v>
      </c>
      <c r="L331" s="7">
        <f t="shared" si="78"/>
        <v>0</v>
      </c>
      <c r="M331" t="s">
        <v>187</v>
      </c>
      <c r="O331" s="3">
        <f>E331-'297195 - P0224'!F331</f>
        <v>0</v>
      </c>
      <c r="P331" s="30">
        <f>I331-'297195 - P0224'!J331</f>
        <v>0</v>
      </c>
    </row>
    <row r="332" spans="1:16" x14ac:dyDescent="0.25">
      <c r="A332">
        <v>330</v>
      </c>
      <c r="B332" t="s">
        <v>474</v>
      </c>
      <c r="C332" t="s">
        <v>291</v>
      </c>
      <c r="D332" s="4" t="s">
        <v>331</v>
      </c>
      <c r="E332" s="16">
        <v>2.96</v>
      </c>
      <c r="F332" s="12">
        <v>2.96</v>
      </c>
      <c r="G332" s="6">
        <f>+F332-E332</f>
        <v>0</v>
      </c>
      <c r="H332" s="7">
        <f>(F332-E332)/ABS(E332)</f>
        <v>0</v>
      </c>
      <c r="I332" s="8">
        <v>4.5599999999999996</v>
      </c>
      <c r="J332" s="9">
        <f>(I332*H332)+I332</f>
        <v>4.5599999999999996</v>
      </c>
      <c r="K332" s="3">
        <f>J332-I332</f>
        <v>0</v>
      </c>
      <c r="L332" s="7">
        <f>(J332-I332)/ABS(I332)</f>
        <v>0</v>
      </c>
      <c r="M332" t="s">
        <v>187</v>
      </c>
      <c r="O332" s="3">
        <f>E332-'297195 - P0224'!F332</f>
        <v>0</v>
      </c>
      <c r="P332" s="30">
        <f>I332-'297195 - P0224'!J332</f>
        <v>0</v>
      </c>
    </row>
    <row r="333" spans="1:16" x14ac:dyDescent="0.25">
      <c r="A333">
        <v>331</v>
      </c>
      <c r="B333" t="s">
        <v>473</v>
      </c>
      <c r="C333" t="s">
        <v>291</v>
      </c>
      <c r="D333" s="4" t="s">
        <v>332</v>
      </c>
      <c r="E333" s="12">
        <v>197</v>
      </c>
      <c r="F333" s="12">
        <v>197</v>
      </c>
      <c r="G333" s="6">
        <f t="shared" ref="G333:G345" si="79">+F333-E333</f>
        <v>0</v>
      </c>
      <c r="H333" s="7">
        <f t="shared" ref="H333:H345" si="80">(F333-E333)/ABS(E333)</f>
        <v>0</v>
      </c>
      <c r="I333" s="8">
        <v>303.08</v>
      </c>
      <c r="J333" s="9">
        <f t="shared" ref="J333:J345" si="81">(I333*H333)+I333</f>
        <v>303.08</v>
      </c>
      <c r="K333" s="3">
        <f t="shared" ref="K333:K345" si="82">J333-I333</f>
        <v>0</v>
      </c>
      <c r="L333" s="7">
        <f t="shared" ref="L333:L345" si="83">(J333-I333)/ABS(I333)</f>
        <v>0</v>
      </c>
      <c r="M333" t="s">
        <v>187</v>
      </c>
      <c r="O333" s="3">
        <f>E333-'297195 - P0224'!F333</f>
        <v>0</v>
      </c>
      <c r="P333" s="30">
        <f>I333-'297195 - P0224'!J333</f>
        <v>0</v>
      </c>
    </row>
    <row r="334" spans="1:16" x14ac:dyDescent="0.25">
      <c r="A334">
        <v>332</v>
      </c>
      <c r="B334" t="s">
        <v>319</v>
      </c>
      <c r="C334" t="s">
        <v>291</v>
      </c>
      <c r="D334" s="4" t="s">
        <v>333</v>
      </c>
      <c r="E334" s="12">
        <v>83</v>
      </c>
      <c r="F334" s="12">
        <v>83</v>
      </c>
      <c r="G334" s="6">
        <f t="shared" si="79"/>
        <v>0</v>
      </c>
      <c r="H334" s="7">
        <f t="shared" si="80"/>
        <v>0</v>
      </c>
      <c r="I334" s="8">
        <v>100.7</v>
      </c>
      <c r="J334" s="9">
        <f t="shared" si="81"/>
        <v>100.7</v>
      </c>
      <c r="K334" s="3">
        <f t="shared" si="82"/>
        <v>0</v>
      </c>
      <c r="L334" s="7">
        <f t="shared" si="83"/>
        <v>0</v>
      </c>
      <c r="M334" t="s">
        <v>187</v>
      </c>
      <c r="O334" s="3">
        <f>E334-'297195 - P0224'!F334</f>
        <v>0</v>
      </c>
      <c r="P334" s="30">
        <f>I334-'297195 - P0224'!J334</f>
        <v>0</v>
      </c>
    </row>
    <row r="335" spans="1:16" x14ac:dyDescent="0.25">
      <c r="A335">
        <v>333</v>
      </c>
      <c r="B335" t="s">
        <v>305</v>
      </c>
      <c r="C335" t="s">
        <v>291</v>
      </c>
      <c r="D335" s="4" t="s">
        <v>334</v>
      </c>
      <c r="E335" s="12">
        <v>10</v>
      </c>
      <c r="F335" s="12">
        <v>10</v>
      </c>
      <c r="G335" s="6">
        <f t="shared" si="79"/>
        <v>0</v>
      </c>
      <c r="H335" s="7">
        <f t="shared" si="80"/>
        <v>0</v>
      </c>
      <c r="I335" s="8">
        <v>15.39</v>
      </c>
      <c r="J335" s="9">
        <f t="shared" si="81"/>
        <v>15.39</v>
      </c>
      <c r="K335" s="3">
        <f t="shared" si="82"/>
        <v>0</v>
      </c>
      <c r="L335" s="7">
        <f t="shared" si="83"/>
        <v>0</v>
      </c>
      <c r="M335" t="s">
        <v>187</v>
      </c>
      <c r="O335" s="3">
        <f>E335-'297195 - P0224'!F335</f>
        <v>0</v>
      </c>
      <c r="P335" s="30">
        <f>I335-'297195 - P0224'!J335</f>
        <v>0</v>
      </c>
    </row>
    <row r="336" spans="1:16" x14ac:dyDescent="0.25">
      <c r="A336">
        <v>334</v>
      </c>
      <c r="B336" t="s">
        <v>476</v>
      </c>
      <c r="C336" t="s">
        <v>291</v>
      </c>
      <c r="D336" s="4" t="s">
        <v>335</v>
      </c>
      <c r="E336" s="12">
        <v>2.5099999999999998</v>
      </c>
      <c r="F336" s="12">
        <v>2.5099999999999998</v>
      </c>
      <c r="G336" s="6">
        <f t="shared" si="79"/>
        <v>0</v>
      </c>
      <c r="H336" s="7">
        <f t="shared" si="80"/>
        <v>0</v>
      </c>
      <c r="I336" s="8">
        <v>5.14</v>
      </c>
      <c r="J336" s="9">
        <f t="shared" si="81"/>
        <v>5.14</v>
      </c>
      <c r="K336" s="3">
        <f t="shared" si="82"/>
        <v>0</v>
      </c>
      <c r="L336" s="7">
        <f t="shared" si="83"/>
        <v>0</v>
      </c>
      <c r="M336" t="s">
        <v>187</v>
      </c>
      <c r="O336" s="3">
        <f>E336-'297195 - P0224'!F336</f>
        <v>0</v>
      </c>
      <c r="P336" s="30">
        <f>I336-'297195 - P0224'!J336</f>
        <v>0</v>
      </c>
    </row>
    <row r="337" spans="1:16" x14ac:dyDescent="0.25">
      <c r="A337">
        <v>335</v>
      </c>
      <c r="B337" t="s">
        <v>477</v>
      </c>
      <c r="C337" t="s">
        <v>291</v>
      </c>
      <c r="D337" s="4" t="s">
        <v>336</v>
      </c>
      <c r="E337" s="12">
        <v>5.44</v>
      </c>
      <c r="F337" s="12">
        <v>5.44</v>
      </c>
      <c r="G337" s="6">
        <f t="shared" si="79"/>
        <v>0</v>
      </c>
      <c r="H337" s="7">
        <f t="shared" si="80"/>
        <v>0</v>
      </c>
      <c r="I337" s="8">
        <v>9.49</v>
      </c>
      <c r="J337" s="9">
        <f t="shared" si="81"/>
        <v>9.49</v>
      </c>
      <c r="K337" s="3">
        <f t="shared" si="82"/>
        <v>0</v>
      </c>
      <c r="L337" s="7">
        <f t="shared" si="83"/>
        <v>0</v>
      </c>
      <c r="M337" t="s">
        <v>187</v>
      </c>
      <c r="O337" s="3">
        <f>E337-'297195 - P0224'!F337</f>
        <v>0</v>
      </c>
      <c r="P337" s="30">
        <f>I337-'297195 - P0224'!J337</f>
        <v>0</v>
      </c>
    </row>
    <row r="338" spans="1:16" x14ac:dyDescent="0.25">
      <c r="A338">
        <v>336</v>
      </c>
      <c r="B338" t="s">
        <v>463</v>
      </c>
      <c r="C338" t="s">
        <v>291</v>
      </c>
      <c r="D338" s="4" t="s">
        <v>337</v>
      </c>
      <c r="E338" s="12">
        <v>115.32</v>
      </c>
      <c r="F338" s="12">
        <v>115.32</v>
      </c>
      <c r="G338" s="6">
        <f t="shared" si="79"/>
        <v>0</v>
      </c>
      <c r="H338" s="7">
        <f t="shared" si="80"/>
        <v>0</v>
      </c>
      <c r="I338" s="8">
        <v>177.42</v>
      </c>
      <c r="J338" s="9">
        <f t="shared" si="81"/>
        <v>177.42</v>
      </c>
      <c r="K338" s="3">
        <f t="shared" si="82"/>
        <v>0</v>
      </c>
      <c r="L338" s="7">
        <f t="shared" si="83"/>
        <v>0</v>
      </c>
      <c r="M338" t="s">
        <v>187</v>
      </c>
      <c r="O338" s="3">
        <f>E338-'297195 - P0224'!F338</f>
        <v>0</v>
      </c>
      <c r="P338" s="30">
        <f>I338-'297195 - P0224'!J338</f>
        <v>0</v>
      </c>
    </row>
    <row r="339" spans="1:16" x14ac:dyDescent="0.25">
      <c r="A339">
        <v>337</v>
      </c>
      <c r="B339" t="s">
        <v>463</v>
      </c>
      <c r="C339" t="s">
        <v>291</v>
      </c>
      <c r="D339" s="4" t="s">
        <v>338</v>
      </c>
      <c r="E339" s="12">
        <v>0.89</v>
      </c>
      <c r="F339" s="12">
        <v>0.89</v>
      </c>
      <c r="G339" s="6">
        <f t="shared" si="79"/>
        <v>0</v>
      </c>
      <c r="H339" s="7">
        <f t="shared" si="80"/>
        <v>0</v>
      </c>
      <c r="I339" s="8">
        <v>1.37</v>
      </c>
      <c r="J339" s="9">
        <f t="shared" si="81"/>
        <v>1.37</v>
      </c>
      <c r="K339" s="3">
        <f t="shared" si="82"/>
        <v>0</v>
      </c>
      <c r="L339" s="7">
        <f t="shared" si="83"/>
        <v>0</v>
      </c>
      <c r="M339" t="s">
        <v>187</v>
      </c>
      <c r="O339" s="3">
        <f>E339-'297195 - P0224'!F339</f>
        <v>0</v>
      </c>
      <c r="P339" s="30">
        <f>I339-'297195 - P0224'!J339</f>
        <v>0</v>
      </c>
    </row>
    <row r="340" spans="1:16" x14ac:dyDescent="0.25">
      <c r="A340">
        <v>338</v>
      </c>
      <c r="B340" t="s">
        <v>463</v>
      </c>
      <c r="C340" t="s">
        <v>291</v>
      </c>
      <c r="D340" s="4" t="s">
        <v>339</v>
      </c>
      <c r="E340" s="12">
        <v>33.590000000000003</v>
      </c>
      <c r="F340" s="12">
        <v>33.590000000000003</v>
      </c>
      <c r="G340" s="6">
        <f t="shared" si="79"/>
        <v>0</v>
      </c>
      <c r="H340" s="7">
        <f t="shared" si="80"/>
        <v>0</v>
      </c>
      <c r="I340" s="8">
        <v>51.68</v>
      </c>
      <c r="J340" s="9">
        <f t="shared" si="81"/>
        <v>51.68</v>
      </c>
      <c r="K340" s="3">
        <f t="shared" si="82"/>
        <v>0</v>
      </c>
      <c r="L340" s="7">
        <f t="shared" si="83"/>
        <v>0</v>
      </c>
      <c r="M340" t="s">
        <v>187</v>
      </c>
      <c r="O340" s="3">
        <f>E340-'297195 - P0224'!F340</f>
        <v>0</v>
      </c>
      <c r="P340" s="30">
        <f>I340-'297195 - P0224'!J340</f>
        <v>0</v>
      </c>
    </row>
    <row r="341" spans="1:16" x14ac:dyDescent="0.25">
      <c r="A341">
        <v>339</v>
      </c>
      <c r="B341" t="s">
        <v>463</v>
      </c>
      <c r="C341" t="s">
        <v>291</v>
      </c>
      <c r="D341" s="4" t="s">
        <v>464</v>
      </c>
      <c r="E341" s="12">
        <v>14.78</v>
      </c>
      <c r="F341" s="12">
        <v>14.78</v>
      </c>
      <c r="G341" s="6">
        <f t="shared" si="79"/>
        <v>0</v>
      </c>
      <c r="H341" s="7">
        <f t="shared" si="80"/>
        <v>0</v>
      </c>
      <c r="I341" s="8">
        <v>22.74</v>
      </c>
      <c r="J341" s="9">
        <f t="shared" si="81"/>
        <v>22.74</v>
      </c>
      <c r="K341" s="3">
        <f t="shared" si="82"/>
        <v>0</v>
      </c>
      <c r="L341" s="7">
        <f t="shared" si="83"/>
        <v>0</v>
      </c>
      <c r="M341" t="s">
        <v>187</v>
      </c>
      <c r="O341" s="3">
        <f>E341-'297195 - P0224'!F341</f>
        <v>0</v>
      </c>
      <c r="P341" s="30">
        <f>I341-'297195 - P0224'!J341</f>
        <v>0</v>
      </c>
    </row>
    <row r="342" spans="1:16" x14ac:dyDescent="0.25">
      <c r="A342">
        <v>340</v>
      </c>
      <c r="B342" t="s">
        <v>463</v>
      </c>
      <c r="C342" t="s">
        <v>291</v>
      </c>
      <c r="D342" s="4" t="s">
        <v>466</v>
      </c>
      <c r="E342" s="12">
        <v>2.21</v>
      </c>
      <c r="F342" s="12">
        <v>2.21</v>
      </c>
      <c r="G342" s="6">
        <f t="shared" si="79"/>
        <v>0</v>
      </c>
      <c r="H342" s="7">
        <f t="shared" si="80"/>
        <v>0</v>
      </c>
      <c r="I342" s="8">
        <v>3.8</v>
      </c>
      <c r="J342" s="9">
        <f t="shared" si="81"/>
        <v>3.8</v>
      </c>
      <c r="K342" s="3">
        <f t="shared" si="82"/>
        <v>0</v>
      </c>
      <c r="L342" s="7">
        <f t="shared" si="83"/>
        <v>0</v>
      </c>
      <c r="M342" t="s">
        <v>187</v>
      </c>
      <c r="O342" s="3">
        <f>E342-'297195 - P0224'!F342</f>
        <v>0</v>
      </c>
      <c r="P342" s="30">
        <f>I342-'297195 - P0224'!J342</f>
        <v>0</v>
      </c>
    </row>
    <row r="343" spans="1:16" x14ac:dyDescent="0.25">
      <c r="A343">
        <v>341</v>
      </c>
      <c r="B343" t="s">
        <v>463</v>
      </c>
      <c r="C343" t="s">
        <v>291</v>
      </c>
      <c r="D343" s="4" t="s">
        <v>467</v>
      </c>
      <c r="E343" s="12">
        <v>30.62</v>
      </c>
      <c r="F343" s="12">
        <v>30.62</v>
      </c>
      <c r="G343" s="6">
        <f t="shared" si="79"/>
        <v>0</v>
      </c>
      <c r="H343" s="7">
        <f t="shared" si="80"/>
        <v>0</v>
      </c>
      <c r="I343" s="8">
        <v>52.76</v>
      </c>
      <c r="J343" s="9">
        <f t="shared" si="81"/>
        <v>52.76</v>
      </c>
      <c r="K343" s="3">
        <f t="shared" si="82"/>
        <v>0</v>
      </c>
      <c r="L343" s="7">
        <f t="shared" si="83"/>
        <v>0</v>
      </c>
      <c r="M343" t="s">
        <v>187</v>
      </c>
      <c r="O343" s="3">
        <f>E343-'297195 - P0224'!F343</f>
        <v>0</v>
      </c>
      <c r="P343" s="30">
        <f>I343-'297195 - P0224'!J343</f>
        <v>0</v>
      </c>
    </row>
    <row r="344" spans="1:16" x14ac:dyDescent="0.25">
      <c r="A344">
        <v>342</v>
      </c>
      <c r="B344" t="s">
        <v>485</v>
      </c>
      <c r="C344" t="s">
        <v>291</v>
      </c>
      <c r="D344" s="4" t="s">
        <v>488</v>
      </c>
      <c r="E344" s="12">
        <v>147</v>
      </c>
      <c r="F344" s="12">
        <v>147</v>
      </c>
      <c r="G344" s="6">
        <f t="shared" si="79"/>
        <v>0</v>
      </c>
      <c r="H344" s="7">
        <f t="shared" si="80"/>
        <v>0</v>
      </c>
      <c r="I344" s="8">
        <v>226.16</v>
      </c>
      <c r="J344" s="9">
        <f t="shared" si="81"/>
        <v>226.16</v>
      </c>
      <c r="K344" s="3">
        <f t="shared" si="82"/>
        <v>0</v>
      </c>
      <c r="L344" s="7">
        <f t="shared" si="83"/>
        <v>0</v>
      </c>
      <c r="M344" t="s">
        <v>187</v>
      </c>
      <c r="O344" s="3">
        <f>E344-'297195 - P0224'!F344</f>
        <v>0</v>
      </c>
      <c r="P344" s="30">
        <f>I344-'297195 - P0224'!J344</f>
        <v>0</v>
      </c>
    </row>
    <row r="345" spans="1:16" x14ac:dyDescent="0.25">
      <c r="A345">
        <v>343</v>
      </c>
      <c r="B345" t="s">
        <v>290</v>
      </c>
      <c r="C345" t="s">
        <v>291</v>
      </c>
      <c r="D345" s="4" t="s">
        <v>489</v>
      </c>
      <c r="E345" s="12">
        <v>66.349999999999994</v>
      </c>
      <c r="F345" s="12">
        <v>66.349999999999994</v>
      </c>
      <c r="G345" s="6">
        <f t="shared" si="79"/>
        <v>0</v>
      </c>
      <c r="H345" s="7">
        <f t="shared" si="80"/>
        <v>0</v>
      </c>
      <c r="I345" s="8">
        <v>102.08</v>
      </c>
      <c r="J345" s="9">
        <f t="shared" si="81"/>
        <v>102.08</v>
      </c>
      <c r="K345" s="3">
        <f t="shared" si="82"/>
        <v>0</v>
      </c>
      <c r="L345" s="7">
        <f t="shared" si="83"/>
        <v>0</v>
      </c>
      <c r="M345" t="s">
        <v>187</v>
      </c>
      <c r="O345" s="3">
        <f>E345-'297195 - P0224'!F345</f>
        <v>0</v>
      </c>
      <c r="P345" s="30">
        <f>I345-'297195 - P0224'!J345</f>
        <v>0</v>
      </c>
    </row>
    <row r="346" spans="1:16" x14ac:dyDescent="0.25">
      <c r="A346">
        <v>344</v>
      </c>
      <c r="D346" s="2" t="s">
        <v>340</v>
      </c>
      <c r="H346" s="10">
        <f>AVERAGE(H298:H343)</f>
        <v>0</v>
      </c>
      <c r="I346"/>
    </row>
    <row r="347" spans="1:16" x14ac:dyDescent="0.25">
      <c r="A347">
        <v>345</v>
      </c>
      <c r="D347" s="2" t="s">
        <v>341</v>
      </c>
      <c r="I347"/>
      <c r="M347" t="s">
        <v>7</v>
      </c>
    </row>
    <row r="348" spans="1:16" x14ac:dyDescent="0.25">
      <c r="A348">
        <v>346</v>
      </c>
      <c r="D348" s="2" t="s">
        <v>342</v>
      </c>
      <c r="I348"/>
      <c r="O348" s="3">
        <f>E348-'297195 - P0224'!F348</f>
        <v>0</v>
      </c>
      <c r="P348" s="30">
        <f>I348-'297195 - P0224'!J348</f>
        <v>0</v>
      </c>
    </row>
    <row r="349" spans="1:16" x14ac:dyDescent="0.25">
      <c r="A349">
        <v>347</v>
      </c>
      <c r="B349" t="s">
        <v>470</v>
      </c>
      <c r="C349" s="28" t="s">
        <v>454</v>
      </c>
      <c r="D349" s="4" t="s">
        <v>497</v>
      </c>
      <c r="E349" s="11">
        <v>1430</v>
      </c>
      <c r="F349" s="11">
        <v>1450</v>
      </c>
      <c r="G349" s="6">
        <f t="shared" ref="G349:G356" si="84">+F349-E349</f>
        <v>20</v>
      </c>
      <c r="H349" s="7">
        <f t="shared" ref="H349:H356" si="85">(F349-E349)/ABS(E349)</f>
        <v>1.3986013986013986E-2</v>
      </c>
      <c r="I349" s="9">
        <v>118.24570098910753</v>
      </c>
      <c r="J349" s="8">
        <f t="shared" ref="J349:J356" si="86">(I349*H349)+I349</f>
        <v>119.89948701692722</v>
      </c>
      <c r="K349" s="3">
        <f t="shared" ref="K349:K356" si="87">J349-I349</f>
        <v>1.6537860278196916</v>
      </c>
      <c r="L349" s="7">
        <f t="shared" ref="L349:L356" si="88">(J349-I349)/ABS(I349)</f>
        <v>1.3986013986014036E-2</v>
      </c>
      <c r="M349" t="s">
        <v>7</v>
      </c>
      <c r="O349" s="3">
        <f>E349-'297195 - P0224'!F349</f>
        <v>0</v>
      </c>
      <c r="P349" s="30">
        <f>I349-'297195 - P0224'!J349</f>
        <v>0</v>
      </c>
    </row>
    <row r="350" spans="1:16" x14ac:dyDescent="0.25">
      <c r="A350">
        <v>348</v>
      </c>
      <c r="B350" t="s">
        <v>290</v>
      </c>
      <c r="C350" s="28" t="s">
        <v>344</v>
      </c>
      <c r="D350" s="4" t="s">
        <v>345</v>
      </c>
      <c r="E350" s="11">
        <v>4.93</v>
      </c>
      <c r="F350" s="11">
        <v>4.93</v>
      </c>
      <c r="G350" s="6">
        <f t="shared" si="84"/>
        <v>0</v>
      </c>
      <c r="H350" s="7">
        <f t="shared" si="85"/>
        <v>0</v>
      </c>
      <c r="I350" s="8">
        <v>10.18301417057406</v>
      </c>
      <c r="J350" s="9">
        <f t="shared" si="86"/>
        <v>10.18301417057406</v>
      </c>
      <c r="K350" s="3">
        <f t="shared" si="87"/>
        <v>0</v>
      </c>
      <c r="L350" s="7">
        <f t="shared" si="88"/>
        <v>0</v>
      </c>
      <c r="M350" t="s">
        <v>7</v>
      </c>
      <c r="O350" s="3">
        <f>E350-'297195 - P0224'!F350</f>
        <v>0</v>
      </c>
      <c r="P350" s="30">
        <f>I350-'297195 - P0224'!J350</f>
        <v>0</v>
      </c>
    </row>
    <row r="351" spans="1:16" x14ac:dyDescent="0.25">
      <c r="A351">
        <v>349</v>
      </c>
      <c r="B351" t="s">
        <v>463</v>
      </c>
      <c r="C351" s="28" t="s">
        <v>344</v>
      </c>
      <c r="D351" s="4" t="s">
        <v>346</v>
      </c>
      <c r="E351" s="11">
        <v>6.5</v>
      </c>
      <c r="F351" s="11">
        <v>6.5</v>
      </c>
      <c r="G351" s="6">
        <f t="shared" si="84"/>
        <v>0</v>
      </c>
      <c r="H351" s="7">
        <f t="shared" si="85"/>
        <v>0</v>
      </c>
      <c r="I351" s="8">
        <v>11.46</v>
      </c>
      <c r="J351" s="9">
        <f t="shared" si="86"/>
        <v>11.46</v>
      </c>
      <c r="K351" s="3">
        <f t="shared" si="87"/>
        <v>0</v>
      </c>
      <c r="L351" s="7">
        <f t="shared" si="88"/>
        <v>0</v>
      </c>
      <c r="M351" t="s">
        <v>7</v>
      </c>
      <c r="O351" s="3">
        <f>E351-'297195 - P0224'!F351</f>
        <v>0</v>
      </c>
      <c r="P351" s="30">
        <f>I351-'297195 - P0224'!J351</f>
        <v>0</v>
      </c>
    </row>
    <row r="352" spans="1:16" x14ac:dyDescent="0.25">
      <c r="A352">
        <v>350</v>
      </c>
      <c r="B352" t="s">
        <v>463</v>
      </c>
      <c r="C352" s="28" t="s">
        <v>347</v>
      </c>
      <c r="D352" s="4" t="s">
        <v>348</v>
      </c>
      <c r="E352" s="11">
        <v>4.7699999999999996</v>
      </c>
      <c r="F352" s="11">
        <v>4.7699999999999996</v>
      </c>
      <c r="G352" s="6">
        <f t="shared" si="84"/>
        <v>0</v>
      </c>
      <c r="H352" s="7">
        <f t="shared" si="85"/>
        <v>0</v>
      </c>
      <c r="I352" s="8">
        <v>6.82</v>
      </c>
      <c r="J352" s="9">
        <f t="shared" si="86"/>
        <v>6.82</v>
      </c>
      <c r="K352" s="3">
        <f t="shared" si="87"/>
        <v>0</v>
      </c>
      <c r="L352" s="7">
        <f t="shared" si="88"/>
        <v>0</v>
      </c>
      <c r="M352" t="s">
        <v>7</v>
      </c>
      <c r="O352" s="3">
        <f>E352-'297195 - P0224'!F352</f>
        <v>0</v>
      </c>
      <c r="P352" s="30">
        <f>I352-'297195 - P0224'!J352</f>
        <v>0</v>
      </c>
    </row>
    <row r="353" spans="1:16" x14ac:dyDescent="0.25">
      <c r="A353">
        <v>351</v>
      </c>
      <c r="B353" t="s">
        <v>463</v>
      </c>
      <c r="C353" s="28" t="s">
        <v>347</v>
      </c>
      <c r="D353" s="4" t="s">
        <v>349</v>
      </c>
      <c r="E353" s="11">
        <v>104</v>
      </c>
      <c r="F353" s="11">
        <v>104</v>
      </c>
      <c r="G353" s="6">
        <f t="shared" si="84"/>
        <v>0</v>
      </c>
      <c r="H353" s="7">
        <f t="shared" si="85"/>
        <v>0</v>
      </c>
      <c r="I353" s="8">
        <v>159.78</v>
      </c>
      <c r="J353" s="9">
        <f t="shared" si="86"/>
        <v>159.78</v>
      </c>
      <c r="K353" s="3">
        <f t="shared" si="87"/>
        <v>0</v>
      </c>
      <c r="L353" s="7">
        <f t="shared" si="88"/>
        <v>0</v>
      </c>
      <c r="M353" t="s">
        <v>7</v>
      </c>
      <c r="O353" s="3">
        <f>E353-'297195 - P0224'!F353</f>
        <v>0</v>
      </c>
      <c r="P353" s="30">
        <f>I353-'297195 - P0224'!J353</f>
        <v>0</v>
      </c>
    </row>
    <row r="354" spans="1:16" x14ac:dyDescent="0.25">
      <c r="A354">
        <v>352</v>
      </c>
      <c r="B354" t="s">
        <v>445</v>
      </c>
      <c r="C354" s="28" t="s">
        <v>343</v>
      </c>
      <c r="D354" s="4" t="s">
        <v>446</v>
      </c>
      <c r="E354" s="11">
        <v>49.22</v>
      </c>
      <c r="F354" s="11">
        <v>49.89</v>
      </c>
      <c r="G354" s="6">
        <f t="shared" si="84"/>
        <v>0.67000000000000171</v>
      </c>
      <c r="H354" s="7">
        <f t="shared" si="85"/>
        <v>1.3612352702153632E-2</v>
      </c>
      <c r="I354" s="8">
        <v>65.413333333333341</v>
      </c>
      <c r="J354" s="9">
        <f t="shared" si="86"/>
        <v>66.30376269809021</v>
      </c>
      <c r="K354" s="3">
        <f t="shared" si="87"/>
        <v>0.89042936475686929</v>
      </c>
      <c r="L354" s="7">
        <f t="shared" si="88"/>
        <v>1.3612352702153524E-2</v>
      </c>
      <c r="M354" t="s">
        <v>7</v>
      </c>
      <c r="O354" s="3">
        <f>E354-'297195 - P0224'!F354</f>
        <v>0</v>
      </c>
      <c r="P354" s="30">
        <f>I354-'297195 - P0224'!J354</f>
        <v>0</v>
      </c>
    </row>
    <row r="355" spans="1:16" x14ac:dyDescent="0.25">
      <c r="A355">
        <v>353</v>
      </c>
      <c r="B355" t="s">
        <v>303</v>
      </c>
      <c r="C355" s="28" t="s">
        <v>343</v>
      </c>
      <c r="D355" s="4" t="s">
        <v>350</v>
      </c>
      <c r="E355" s="11">
        <v>28.21</v>
      </c>
      <c r="F355" s="11">
        <v>28.21</v>
      </c>
      <c r="G355" s="6">
        <f t="shared" si="84"/>
        <v>0</v>
      </c>
      <c r="H355" s="7">
        <f t="shared" si="85"/>
        <v>0</v>
      </c>
      <c r="I355" s="8">
        <v>60.400819101768519</v>
      </c>
      <c r="J355" s="9">
        <f t="shared" si="86"/>
        <v>60.400819101768519</v>
      </c>
      <c r="K355" s="3">
        <f t="shared" si="87"/>
        <v>0</v>
      </c>
      <c r="L355" s="7">
        <f t="shared" si="88"/>
        <v>0</v>
      </c>
      <c r="M355" t="s">
        <v>7</v>
      </c>
      <c r="O355" s="3">
        <f>E355-'297195 - P0224'!F355</f>
        <v>0</v>
      </c>
      <c r="P355" s="30">
        <f>I355-'297195 - P0224'!J355</f>
        <v>0</v>
      </c>
    </row>
    <row r="356" spans="1:16" x14ac:dyDescent="0.25">
      <c r="A356">
        <v>354</v>
      </c>
      <c r="B356" t="s">
        <v>303</v>
      </c>
      <c r="C356" s="28" t="s">
        <v>351</v>
      </c>
      <c r="D356" s="4" t="s">
        <v>352</v>
      </c>
      <c r="E356" s="11">
        <v>20.36</v>
      </c>
      <c r="F356" s="11">
        <v>20.36</v>
      </c>
      <c r="G356" s="6">
        <f t="shared" si="84"/>
        <v>0</v>
      </c>
      <c r="H356" s="7">
        <f t="shared" si="85"/>
        <v>0</v>
      </c>
      <c r="I356" s="8">
        <v>33.75</v>
      </c>
      <c r="J356" s="9">
        <f t="shared" si="86"/>
        <v>33.75</v>
      </c>
      <c r="K356" s="3">
        <f t="shared" si="87"/>
        <v>0</v>
      </c>
      <c r="L356" s="7">
        <f t="shared" si="88"/>
        <v>0</v>
      </c>
      <c r="M356" t="s">
        <v>7</v>
      </c>
      <c r="O356" s="3">
        <f>E356-'297195 - P0224'!F356</f>
        <v>0</v>
      </c>
      <c r="P356" s="30">
        <f>I356-'297195 - P0224'!J356</f>
        <v>0</v>
      </c>
    </row>
    <row r="357" spans="1:16" x14ac:dyDescent="0.25">
      <c r="A357">
        <v>355</v>
      </c>
      <c r="C357" s="28"/>
      <c r="D357" s="2" t="s">
        <v>353</v>
      </c>
      <c r="I357"/>
    </row>
    <row r="358" spans="1:16" x14ac:dyDescent="0.25">
      <c r="A358">
        <v>356</v>
      </c>
      <c r="B358" t="s">
        <v>294</v>
      </c>
      <c r="C358" s="28" t="s">
        <v>354</v>
      </c>
      <c r="D358" s="4" t="s">
        <v>355</v>
      </c>
      <c r="E358" s="12">
        <v>5.98</v>
      </c>
      <c r="F358" s="12">
        <v>5.98</v>
      </c>
      <c r="G358" s="6">
        <f>+F358-E358</f>
        <v>0</v>
      </c>
      <c r="H358" s="7">
        <f>(F358-E358)/ABS(E358)</f>
        <v>0</v>
      </c>
      <c r="I358" s="12">
        <v>10.64931506849315</v>
      </c>
      <c r="J358" s="12">
        <f>(I358*H358)+I358</f>
        <v>10.64931506849315</v>
      </c>
      <c r="K358" s="3">
        <f>J358-I358</f>
        <v>0</v>
      </c>
      <c r="L358" s="7">
        <f>(J358-I358)/ABS(I358)</f>
        <v>0</v>
      </c>
      <c r="M358" t="s">
        <v>150</v>
      </c>
      <c r="O358" s="3">
        <f>E358-'297195 - P0224'!F358</f>
        <v>0</v>
      </c>
      <c r="P358" s="30">
        <f>I358-'297195 - P0224'!J358</f>
        <v>0</v>
      </c>
    </row>
    <row r="359" spans="1:16" x14ac:dyDescent="0.25">
      <c r="A359">
        <v>357</v>
      </c>
      <c r="C359" s="28"/>
      <c r="D359" s="2" t="s">
        <v>356</v>
      </c>
      <c r="I359"/>
    </row>
    <row r="360" spans="1:16" x14ac:dyDescent="0.25">
      <c r="A360">
        <v>358</v>
      </c>
      <c r="B360" t="s">
        <v>502</v>
      </c>
      <c r="C360" s="28" t="s">
        <v>454</v>
      </c>
      <c r="D360" s="4" t="s">
        <v>503</v>
      </c>
      <c r="E360" s="11">
        <v>1527</v>
      </c>
      <c r="F360" s="11">
        <v>1517</v>
      </c>
      <c r="G360" s="13">
        <f t="shared" ref="G360:G394" si="89">+F360-E360</f>
        <v>-10</v>
      </c>
      <c r="H360" s="7">
        <f t="shared" ref="H360:H394" si="90">(F360-E360)/ABS(E360)</f>
        <v>-6.5487884741322853E-3</v>
      </c>
      <c r="I360" s="9">
        <v>83.5202093596059</v>
      </c>
      <c r="J360" s="8">
        <f t="shared" ref="J360:J394" si="91">(I360*H360)+I360</f>
        <v>82.9732531751946</v>
      </c>
      <c r="K360" s="3">
        <f t="shared" ref="K360:K394" si="92">J360-I360</f>
        <v>-0.54695618441130023</v>
      </c>
      <c r="L360" s="7">
        <f t="shared" ref="L360:L394" si="93">(J360-I360)/ABS(I360)</f>
        <v>-6.5487884741322576E-3</v>
      </c>
      <c r="M360" t="s">
        <v>7</v>
      </c>
      <c r="O360" s="3">
        <f>E360-'297195 - P0224'!F360</f>
        <v>0</v>
      </c>
      <c r="P360" s="30">
        <f>I360-'297195 - P0224'!J360</f>
        <v>2.8526826726241126</v>
      </c>
    </row>
    <row r="361" spans="1:16" x14ac:dyDescent="0.25">
      <c r="A361">
        <v>359</v>
      </c>
      <c r="B361" t="s">
        <v>290</v>
      </c>
      <c r="C361" s="28" t="s">
        <v>454</v>
      </c>
      <c r="D361" s="4" t="s">
        <v>498</v>
      </c>
      <c r="E361" s="11">
        <v>1670</v>
      </c>
      <c r="F361" s="11">
        <v>1710</v>
      </c>
      <c r="G361" s="13">
        <f t="shared" si="89"/>
        <v>40</v>
      </c>
      <c r="H361" s="7">
        <f t="shared" si="90"/>
        <v>2.3952095808383235E-2</v>
      </c>
      <c r="I361" s="8">
        <v>40.460441510876777</v>
      </c>
      <c r="J361" s="9">
        <f t="shared" si="91"/>
        <v>41.429553882394785</v>
      </c>
      <c r="K361" s="3">
        <f t="shared" si="92"/>
        <v>0.96911237151800833</v>
      </c>
      <c r="L361" s="7">
        <f t="shared" si="93"/>
        <v>2.3952095808383277E-2</v>
      </c>
      <c r="M361" t="s">
        <v>7</v>
      </c>
      <c r="O361" s="3">
        <f>E361-'297195 - P0224'!F361</f>
        <v>0</v>
      </c>
      <c r="P361" s="30">
        <f>I361-'297195 - P0224'!J361</f>
        <v>0</v>
      </c>
    </row>
    <row r="362" spans="1:16" x14ac:dyDescent="0.25">
      <c r="A362">
        <v>360</v>
      </c>
      <c r="B362" t="s">
        <v>290</v>
      </c>
      <c r="C362" s="28" t="s">
        <v>454</v>
      </c>
      <c r="D362" s="4" t="s">
        <v>495</v>
      </c>
      <c r="E362" s="11">
        <v>76.16</v>
      </c>
      <c r="F362" s="11">
        <v>76.16</v>
      </c>
      <c r="G362" s="13">
        <f t="shared" si="89"/>
        <v>0</v>
      </c>
      <c r="H362" s="7">
        <f t="shared" si="90"/>
        <v>0</v>
      </c>
      <c r="I362" s="9">
        <v>118.41812494751909</v>
      </c>
      <c r="J362" s="8">
        <f t="shared" si="91"/>
        <v>118.41812494751909</v>
      </c>
      <c r="K362" s="3">
        <f t="shared" si="92"/>
        <v>0</v>
      </c>
      <c r="L362" s="7">
        <f t="shared" si="93"/>
        <v>0</v>
      </c>
      <c r="M362" t="s">
        <v>7</v>
      </c>
      <c r="O362" s="3">
        <f>E362-'297195 - P0224'!F362</f>
        <v>0</v>
      </c>
      <c r="P362" s="30">
        <f>I362-'297195 - P0224'!J362</f>
        <v>0</v>
      </c>
    </row>
    <row r="363" spans="1:16" x14ac:dyDescent="0.25">
      <c r="A363">
        <v>361</v>
      </c>
      <c r="B363" t="s">
        <v>290</v>
      </c>
      <c r="C363" s="28" t="s">
        <v>454</v>
      </c>
      <c r="D363" s="4" t="s">
        <v>496</v>
      </c>
      <c r="E363" s="11">
        <v>1840</v>
      </c>
      <c r="F363" s="11">
        <v>1860</v>
      </c>
      <c r="G363" s="13">
        <f t="shared" si="89"/>
        <v>20</v>
      </c>
      <c r="H363" s="7">
        <f t="shared" si="90"/>
        <v>1.0869565217391304E-2</v>
      </c>
      <c r="I363" s="8">
        <v>246.84337380502768</v>
      </c>
      <c r="J363" s="9">
        <f t="shared" si="91"/>
        <v>249.52645395508233</v>
      </c>
      <c r="K363" s="3">
        <f t="shared" si="92"/>
        <v>2.6830801500546499</v>
      </c>
      <c r="L363" s="7">
        <f t="shared" si="93"/>
        <v>1.0869565217391309E-2</v>
      </c>
      <c r="M363" t="s">
        <v>7</v>
      </c>
      <c r="O363" s="3">
        <f>E363-'297195 - P0224'!F363</f>
        <v>0</v>
      </c>
      <c r="P363" s="30">
        <f>I363-'297195 - P0224'!J363</f>
        <v>0</v>
      </c>
    </row>
    <row r="364" spans="1:16" x14ac:dyDescent="0.25">
      <c r="A364">
        <v>362</v>
      </c>
      <c r="B364" t="s">
        <v>483</v>
      </c>
      <c r="C364" s="28" t="s">
        <v>351</v>
      </c>
      <c r="D364" s="4" t="s">
        <v>357</v>
      </c>
      <c r="E364" s="11">
        <v>2709</v>
      </c>
      <c r="F364" s="11">
        <v>2709</v>
      </c>
      <c r="G364" s="13">
        <f t="shared" si="89"/>
        <v>0</v>
      </c>
      <c r="H364" s="7">
        <f t="shared" si="90"/>
        <v>0</v>
      </c>
      <c r="I364" s="8">
        <v>5.1687034714890512</v>
      </c>
      <c r="J364" s="9">
        <f t="shared" si="91"/>
        <v>5.1687034714890512</v>
      </c>
      <c r="K364" s="3">
        <f t="shared" si="92"/>
        <v>0</v>
      </c>
      <c r="L364" s="7">
        <f t="shared" si="93"/>
        <v>0</v>
      </c>
      <c r="M364" t="s">
        <v>7</v>
      </c>
      <c r="O364" s="3">
        <f>E364-'297195 - P0224'!F364</f>
        <v>0</v>
      </c>
      <c r="P364" s="30">
        <f>I364-'297195 - P0224'!J364</f>
        <v>0</v>
      </c>
    </row>
    <row r="365" spans="1:16" x14ac:dyDescent="0.25">
      <c r="A365">
        <v>363</v>
      </c>
      <c r="B365" t="s">
        <v>484</v>
      </c>
      <c r="C365" s="28" t="s">
        <v>351</v>
      </c>
      <c r="D365" s="4" t="s">
        <v>358</v>
      </c>
      <c r="E365" s="11">
        <v>2709</v>
      </c>
      <c r="F365" s="11">
        <v>2709</v>
      </c>
      <c r="G365" s="13">
        <f t="shared" si="89"/>
        <v>0</v>
      </c>
      <c r="H365" s="7">
        <f t="shared" si="90"/>
        <v>0</v>
      </c>
      <c r="I365" s="8">
        <v>8.0702736339232413</v>
      </c>
      <c r="J365" s="9">
        <f t="shared" si="91"/>
        <v>8.0702736339232413</v>
      </c>
      <c r="K365" s="3">
        <f t="shared" si="92"/>
        <v>0</v>
      </c>
      <c r="L365" s="7">
        <f t="shared" si="93"/>
        <v>0</v>
      </c>
      <c r="M365" t="s">
        <v>7</v>
      </c>
      <c r="O365" s="3">
        <f>E365-'297195 - P0224'!F365</f>
        <v>0</v>
      </c>
      <c r="P365" s="30">
        <f>I365-'297195 - P0224'!J365</f>
        <v>0</v>
      </c>
    </row>
    <row r="366" spans="1:16" x14ac:dyDescent="0.25">
      <c r="A366">
        <v>364</v>
      </c>
      <c r="B366" t="s">
        <v>290</v>
      </c>
      <c r="C366" s="28" t="s">
        <v>351</v>
      </c>
      <c r="D366" s="4" t="s">
        <v>359</v>
      </c>
      <c r="E366" s="11">
        <v>2709</v>
      </c>
      <c r="F366" s="11">
        <v>2709</v>
      </c>
      <c r="G366" s="13">
        <f t="shared" si="89"/>
        <v>0</v>
      </c>
      <c r="H366" s="7">
        <f t="shared" si="90"/>
        <v>0</v>
      </c>
      <c r="I366" s="8">
        <v>11.040593760943526</v>
      </c>
      <c r="J366" s="9">
        <f t="shared" si="91"/>
        <v>11.040593760943526</v>
      </c>
      <c r="K366" s="3">
        <f t="shared" si="92"/>
        <v>0</v>
      </c>
      <c r="L366" s="7">
        <f t="shared" si="93"/>
        <v>0</v>
      </c>
      <c r="M366" t="s">
        <v>7</v>
      </c>
      <c r="O366" s="3">
        <f>E366-'297195 - P0224'!F366</f>
        <v>0</v>
      </c>
      <c r="P366" s="30">
        <f>I366-'297195 - P0224'!J366</f>
        <v>0</v>
      </c>
    </row>
    <row r="367" spans="1:16" x14ac:dyDescent="0.25">
      <c r="A367">
        <v>365</v>
      </c>
      <c r="B367" t="s">
        <v>476</v>
      </c>
      <c r="C367" s="28" t="s">
        <v>351</v>
      </c>
      <c r="D367" s="4" t="s">
        <v>360</v>
      </c>
      <c r="E367" s="11">
        <v>3148</v>
      </c>
      <c r="F367" s="11">
        <v>3148</v>
      </c>
      <c r="G367" s="13">
        <f t="shared" si="89"/>
        <v>0</v>
      </c>
      <c r="H367" s="7">
        <f t="shared" si="90"/>
        <v>0</v>
      </c>
      <c r="I367" s="8">
        <v>14.3</v>
      </c>
      <c r="J367" s="9">
        <f t="shared" si="91"/>
        <v>14.3</v>
      </c>
      <c r="K367" s="3">
        <f t="shared" si="92"/>
        <v>0</v>
      </c>
      <c r="L367" s="7">
        <f t="shared" si="93"/>
        <v>0</v>
      </c>
      <c r="M367" t="s">
        <v>7</v>
      </c>
      <c r="O367" s="3">
        <f>E367-'297195 - P0224'!F367</f>
        <v>0</v>
      </c>
      <c r="P367" s="30">
        <f>I367-'297195 - P0224'!J367</f>
        <v>0</v>
      </c>
    </row>
    <row r="368" spans="1:16" x14ac:dyDescent="0.25">
      <c r="A368">
        <v>366</v>
      </c>
      <c r="B368" t="s">
        <v>478</v>
      </c>
      <c r="C368" s="28" t="s">
        <v>351</v>
      </c>
      <c r="D368" s="4" t="s">
        <v>361</v>
      </c>
      <c r="E368" s="11">
        <v>3065</v>
      </c>
      <c r="F368" s="11">
        <v>3065</v>
      </c>
      <c r="G368" s="13">
        <f t="shared" si="89"/>
        <v>0</v>
      </c>
      <c r="H368" s="7">
        <f t="shared" si="90"/>
        <v>0</v>
      </c>
      <c r="I368" s="8">
        <v>19.904756025519848</v>
      </c>
      <c r="J368" s="9">
        <f t="shared" si="91"/>
        <v>19.904756025519848</v>
      </c>
      <c r="K368" s="3">
        <f t="shared" si="92"/>
        <v>0</v>
      </c>
      <c r="L368" s="7">
        <f t="shared" si="93"/>
        <v>0</v>
      </c>
      <c r="M368" t="s">
        <v>7</v>
      </c>
      <c r="O368" s="3">
        <f>E368-'297195 - P0224'!F368</f>
        <v>0</v>
      </c>
      <c r="P368" s="30">
        <f>I368-'297195 - P0224'!J368</f>
        <v>0</v>
      </c>
    </row>
    <row r="369" spans="1:16" x14ac:dyDescent="0.25">
      <c r="A369">
        <v>367</v>
      </c>
      <c r="B369" t="s">
        <v>445</v>
      </c>
      <c r="C369" s="28" t="s">
        <v>351</v>
      </c>
      <c r="D369" s="4" t="s">
        <v>362</v>
      </c>
      <c r="E369" s="11">
        <v>3065</v>
      </c>
      <c r="F369" s="11">
        <v>3065</v>
      </c>
      <c r="G369" s="13">
        <f t="shared" si="89"/>
        <v>0</v>
      </c>
      <c r="H369" s="7">
        <f t="shared" si="90"/>
        <v>0</v>
      </c>
      <c r="I369" s="8">
        <v>23.00692071335494</v>
      </c>
      <c r="J369" s="9">
        <f t="shared" si="91"/>
        <v>23.00692071335494</v>
      </c>
      <c r="K369" s="3">
        <f t="shared" si="92"/>
        <v>0</v>
      </c>
      <c r="L369" s="7">
        <f t="shared" si="93"/>
        <v>0</v>
      </c>
      <c r="M369" t="s">
        <v>7</v>
      </c>
      <c r="O369" s="3">
        <f>E369-'297195 - P0224'!F369</f>
        <v>0</v>
      </c>
      <c r="P369" s="30">
        <f>I369-'297195 - P0224'!J369</f>
        <v>0</v>
      </c>
    </row>
    <row r="370" spans="1:16" x14ac:dyDescent="0.25">
      <c r="A370">
        <v>368</v>
      </c>
      <c r="B370" t="s">
        <v>478</v>
      </c>
      <c r="C370" s="28" t="s">
        <v>351</v>
      </c>
      <c r="D370" s="4" t="s">
        <v>363</v>
      </c>
      <c r="E370" s="11">
        <v>3135</v>
      </c>
      <c r="F370" s="11">
        <v>3135</v>
      </c>
      <c r="G370" s="13">
        <f t="shared" si="89"/>
        <v>0</v>
      </c>
      <c r="H370" s="7">
        <f t="shared" si="90"/>
        <v>0</v>
      </c>
      <c r="I370" s="8">
        <v>26.876311326468805</v>
      </c>
      <c r="J370" s="9">
        <f t="shared" si="91"/>
        <v>26.876311326468805</v>
      </c>
      <c r="K370" s="3">
        <f t="shared" si="92"/>
        <v>0</v>
      </c>
      <c r="L370" s="7">
        <f t="shared" si="93"/>
        <v>0</v>
      </c>
      <c r="M370" t="s">
        <v>7</v>
      </c>
      <c r="O370" s="3">
        <f>E370-'297195 - P0224'!F370</f>
        <v>0</v>
      </c>
      <c r="P370" s="30">
        <f>I370-'297195 - P0224'!J370</f>
        <v>0</v>
      </c>
    </row>
    <row r="371" spans="1:16" x14ac:dyDescent="0.25">
      <c r="A371">
        <v>369</v>
      </c>
      <c r="B371" t="s">
        <v>481</v>
      </c>
      <c r="C371" s="28" t="s">
        <v>351</v>
      </c>
      <c r="D371" s="4" t="s">
        <v>364</v>
      </c>
      <c r="E371" s="11">
        <v>2931</v>
      </c>
      <c r="F371" s="11">
        <v>2931</v>
      </c>
      <c r="G371" s="13">
        <f t="shared" si="89"/>
        <v>0</v>
      </c>
      <c r="H371" s="7">
        <f t="shared" si="90"/>
        <v>0</v>
      </c>
      <c r="I371" s="8">
        <v>5.5842827924987404</v>
      </c>
      <c r="J371" s="9">
        <f t="shared" si="91"/>
        <v>5.5842827924987404</v>
      </c>
      <c r="K371" s="3">
        <f t="shared" si="92"/>
        <v>0</v>
      </c>
      <c r="L371" s="7">
        <f t="shared" si="93"/>
        <v>0</v>
      </c>
      <c r="M371" t="s">
        <v>7</v>
      </c>
      <c r="O371" s="3">
        <f>E371-'297195 - P0224'!F371</f>
        <v>0</v>
      </c>
      <c r="P371" s="30">
        <f>I371-'297195 - P0224'!J371</f>
        <v>0</v>
      </c>
    </row>
    <row r="372" spans="1:16" x14ac:dyDescent="0.25">
      <c r="A372">
        <v>370</v>
      </c>
      <c r="B372" t="s">
        <v>479</v>
      </c>
      <c r="C372" t="s">
        <v>365</v>
      </c>
      <c r="D372" s="4" t="s">
        <v>366</v>
      </c>
      <c r="E372" s="11">
        <v>3205</v>
      </c>
      <c r="F372" s="11">
        <v>3205</v>
      </c>
      <c r="G372" s="13">
        <f t="shared" si="89"/>
        <v>0</v>
      </c>
      <c r="H372" s="7">
        <f t="shared" si="90"/>
        <v>0</v>
      </c>
      <c r="I372" s="8">
        <v>12.576720322698609</v>
      </c>
      <c r="J372" s="9">
        <f t="shared" si="91"/>
        <v>12.576720322698609</v>
      </c>
      <c r="K372" s="3">
        <f t="shared" si="92"/>
        <v>0</v>
      </c>
      <c r="L372" s="7">
        <f t="shared" si="93"/>
        <v>0</v>
      </c>
      <c r="M372" t="s">
        <v>7</v>
      </c>
      <c r="O372" s="3">
        <f>E372-'297195 - P0224'!F372</f>
        <v>0</v>
      </c>
      <c r="P372" s="30">
        <f>I372-'297195 - P0224'!J372</f>
        <v>0</v>
      </c>
    </row>
    <row r="373" spans="1:16" x14ac:dyDescent="0.25">
      <c r="A373">
        <v>371</v>
      </c>
      <c r="B373" t="s">
        <v>470</v>
      </c>
      <c r="C373" t="s">
        <v>365</v>
      </c>
      <c r="D373" s="4" t="s">
        <v>367</v>
      </c>
      <c r="E373" s="11">
        <v>2952</v>
      </c>
      <c r="F373" s="11">
        <v>2952</v>
      </c>
      <c r="G373" s="13">
        <f t="shared" si="89"/>
        <v>0</v>
      </c>
      <c r="H373" s="7">
        <f t="shared" si="90"/>
        <v>0</v>
      </c>
      <c r="I373" s="8">
        <v>24.324911704207679</v>
      </c>
      <c r="J373" s="9">
        <f t="shared" si="91"/>
        <v>24.324911704207679</v>
      </c>
      <c r="K373" s="3">
        <f t="shared" si="92"/>
        <v>0</v>
      </c>
      <c r="L373" s="7">
        <f t="shared" si="93"/>
        <v>0</v>
      </c>
      <c r="M373" t="s">
        <v>7</v>
      </c>
      <c r="O373" s="3">
        <f>E373-'297195 - P0224'!F373</f>
        <v>0</v>
      </c>
      <c r="P373" s="30">
        <f>I373-'297195 - P0224'!J373</f>
        <v>0</v>
      </c>
    </row>
    <row r="374" spans="1:16" x14ac:dyDescent="0.25">
      <c r="A374">
        <v>372</v>
      </c>
      <c r="B374" t="s">
        <v>303</v>
      </c>
      <c r="C374" t="s">
        <v>365</v>
      </c>
      <c r="D374" s="4" t="s">
        <v>368</v>
      </c>
      <c r="E374" s="11">
        <v>2702</v>
      </c>
      <c r="F374" s="11">
        <v>2702</v>
      </c>
      <c r="G374" s="13">
        <f t="shared" si="89"/>
        <v>0</v>
      </c>
      <c r="H374" s="7">
        <f t="shared" si="90"/>
        <v>0</v>
      </c>
      <c r="I374" s="8">
        <v>40.51093209547124</v>
      </c>
      <c r="J374" s="9">
        <f>(I374*H374)+I374</f>
        <v>40.51093209547124</v>
      </c>
      <c r="K374" s="3">
        <f t="shared" si="92"/>
        <v>0</v>
      </c>
      <c r="L374" s="7">
        <f t="shared" si="93"/>
        <v>0</v>
      </c>
      <c r="M374" t="s">
        <v>7</v>
      </c>
      <c r="O374" s="3">
        <f>E374-'297195 - P0224'!F374</f>
        <v>0</v>
      </c>
      <c r="P374" s="30">
        <f>I374-'297195 - P0224'!J374</f>
        <v>0</v>
      </c>
    </row>
    <row r="375" spans="1:16" x14ac:dyDescent="0.25">
      <c r="A375">
        <v>373</v>
      </c>
      <c r="B375" t="s">
        <v>290</v>
      </c>
      <c r="C375" t="s">
        <v>365</v>
      </c>
      <c r="D375" s="4" t="s">
        <v>369</v>
      </c>
      <c r="E375" s="11">
        <v>2702</v>
      </c>
      <c r="F375" s="11">
        <v>2702</v>
      </c>
      <c r="G375" s="13">
        <f t="shared" si="89"/>
        <v>0</v>
      </c>
      <c r="H375" s="7">
        <f t="shared" si="90"/>
        <v>0</v>
      </c>
      <c r="I375" s="8">
        <v>50.641879791355422</v>
      </c>
      <c r="J375" s="9">
        <f t="shared" si="91"/>
        <v>50.641879791355422</v>
      </c>
      <c r="K375" s="3">
        <f t="shared" si="92"/>
        <v>0</v>
      </c>
      <c r="L375" s="7">
        <f t="shared" si="93"/>
        <v>0</v>
      </c>
      <c r="M375" t="s">
        <v>7</v>
      </c>
      <c r="O375" s="3">
        <f>E375-'297195 - P0224'!F375</f>
        <v>0</v>
      </c>
      <c r="P375" s="30">
        <f>I375-'297195 - P0224'!J375</f>
        <v>0</v>
      </c>
    </row>
    <row r="376" spans="1:16" x14ac:dyDescent="0.25">
      <c r="A376">
        <v>374</v>
      </c>
      <c r="B376" t="s">
        <v>470</v>
      </c>
      <c r="C376" t="s">
        <v>365</v>
      </c>
      <c r="D376" s="4" t="s">
        <v>370</v>
      </c>
      <c r="E376" s="11">
        <v>2702</v>
      </c>
      <c r="F376" s="11">
        <v>2702</v>
      </c>
      <c r="G376" s="13">
        <f t="shared" si="89"/>
        <v>0</v>
      </c>
      <c r="H376" s="7">
        <f t="shared" si="90"/>
        <v>0</v>
      </c>
      <c r="I376" s="8">
        <v>60.769079441442358</v>
      </c>
      <c r="J376" s="9">
        <f t="shared" si="91"/>
        <v>60.769079441442358</v>
      </c>
      <c r="K376" s="3">
        <f t="shared" si="92"/>
        <v>0</v>
      </c>
      <c r="L376" s="7">
        <f t="shared" si="93"/>
        <v>0</v>
      </c>
      <c r="M376" t="s">
        <v>7</v>
      </c>
      <c r="O376" s="3">
        <f>E376-'297195 - P0224'!F376</f>
        <v>0</v>
      </c>
      <c r="P376" s="30">
        <f>I376-'297195 - P0224'!J376</f>
        <v>0</v>
      </c>
    </row>
    <row r="377" spans="1:16" x14ac:dyDescent="0.25">
      <c r="A377">
        <v>375</v>
      </c>
      <c r="B377" t="s">
        <v>479</v>
      </c>
      <c r="C377" t="s">
        <v>365</v>
      </c>
      <c r="D377" s="4" t="s">
        <v>371</v>
      </c>
      <c r="E377" s="11">
        <v>3868</v>
      </c>
      <c r="F377" s="11">
        <v>3868</v>
      </c>
      <c r="G377" s="13">
        <f t="shared" si="89"/>
        <v>0</v>
      </c>
      <c r="H377" s="7">
        <f t="shared" si="90"/>
        <v>0</v>
      </c>
      <c r="I377" s="8">
        <v>63.401973632327376</v>
      </c>
      <c r="J377" s="9">
        <f t="shared" si="91"/>
        <v>63.401973632327376</v>
      </c>
      <c r="K377" s="3">
        <f t="shared" si="92"/>
        <v>0</v>
      </c>
      <c r="L377" s="7">
        <f t="shared" si="93"/>
        <v>0</v>
      </c>
      <c r="M377" t="s">
        <v>7</v>
      </c>
      <c r="O377" s="3">
        <f>E377-'297195 - P0224'!F377</f>
        <v>0</v>
      </c>
      <c r="P377" s="30">
        <f>I377-'297195 - P0224'!J377</f>
        <v>0</v>
      </c>
    </row>
    <row r="378" spans="1:16" x14ac:dyDescent="0.25">
      <c r="A378">
        <v>376</v>
      </c>
      <c r="B378" t="s">
        <v>479</v>
      </c>
      <c r="C378" t="s">
        <v>365</v>
      </c>
      <c r="D378" s="4" t="s">
        <v>372</v>
      </c>
      <c r="E378" s="11">
        <v>3928</v>
      </c>
      <c r="F378" s="11">
        <v>3928</v>
      </c>
      <c r="G378" s="13">
        <f t="shared" si="89"/>
        <v>0</v>
      </c>
      <c r="H378" s="7">
        <f t="shared" si="90"/>
        <v>0</v>
      </c>
      <c r="I378" s="8">
        <v>80.721941958125299</v>
      </c>
      <c r="J378" s="9">
        <f t="shared" si="91"/>
        <v>80.721941958125299</v>
      </c>
      <c r="K378" s="3">
        <f t="shared" si="92"/>
        <v>0</v>
      </c>
      <c r="L378" s="7">
        <f t="shared" si="93"/>
        <v>0</v>
      </c>
      <c r="M378" t="s">
        <v>7</v>
      </c>
      <c r="O378" s="3">
        <f>E378-'297195 - P0224'!F378</f>
        <v>0</v>
      </c>
      <c r="P378" s="30">
        <f>I378-'297195 - P0224'!J378</f>
        <v>0</v>
      </c>
    </row>
    <row r="379" spans="1:16" x14ac:dyDescent="0.25">
      <c r="A379">
        <v>377</v>
      </c>
      <c r="B379" t="s">
        <v>473</v>
      </c>
      <c r="C379" t="s">
        <v>365</v>
      </c>
      <c r="D379" s="4" t="s">
        <v>373</v>
      </c>
      <c r="E379" s="11">
        <v>3928</v>
      </c>
      <c r="F379" s="11">
        <v>3928</v>
      </c>
      <c r="G379" s="13">
        <f t="shared" si="89"/>
        <v>0</v>
      </c>
      <c r="H379" s="7">
        <f t="shared" si="90"/>
        <v>0</v>
      </c>
      <c r="I379" s="8">
        <v>100.90409723646053</v>
      </c>
      <c r="J379" s="9">
        <f t="shared" si="91"/>
        <v>100.90409723646053</v>
      </c>
      <c r="K379" s="3">
        <f t="shared" si="92"/>
        <v>0</v>
      </c>
      <c r="L379" s="7">
        <f t="shared" si="93"/>
        <v>0</v>
      </c>
      <c r="M379" t="s">
        <v>7</v>
      </c>
      <c r="O379" s="3">
        <f>E379-'297195 - P0224'!F379</f>
        <v>0</v>
      </c>
      <c r="P379" s="30">
        <f>I379-'297195 - P0224'!J379</f>
        <v>0</v>
      </c>
    </row>
    <row r="380" spans="1:16" x14ac:dyDescent="0.25">
      <c r="A380">
        <v>378</v>
      </c>
      <c r="B380" t="s">
        <v>470</v>
      </c>
      <c r="C380" t="s">
        <v>365</v>
      </c>
      <c r="D380" s="4" t="s">
        <v>374</v>
      </c>
      <c r="E380" s="11">
        <v>3928</v>
      </c>
      <c r="F380" s="11">
        <v>3928</v>
      </c>
      <c r="G380" s="13">
        <f t="shared" si="89"/>
        <v>0</v>
      </c>
      <c r="H380" s="7">
        <f t="shared" si="90"/>
        <v>0</v>
      </c>
      <c r="I380" s="8">
        <v>121.08871182445142</v>
      </c>
      <c r="J380" s="9">
        <f t="shared" si="91"/>
        <v>121.08871182445142</v>
      </c>
      <c r="K380" s="3">
        <f t="shared" si="92"/>
        <v>0</v>
      </c>
      <c r="L380" s="7">
        <f t="shared" si="93"/>
        <v>0</v>
      </c>
      <c r="M380" t="s">
        <v>7</v>
      </c>
      <c r="O380" s="3">
        <f>E380-'297195 - P0224'!F380</f>
        <v>0</v>
      </c>
      <c r="P380" s="30">
        <f>I380-'297195 - P0224'!J380</f>
        <v>0</v>
      </c>
    </row>
    <row r="381" spans="1:16" x14ac:dyDescent="0.25">
      <c r="A381">
        <v>379</v>
      </c>
      <c r="B381" t="s">
        <v>470</v>
      </c>
      <c r="C381" t="s">
        <v>365</v>
      </c>
      <c r="D381" s="4" t="s">
        <v>375</v>
      </c>
      <c r="E381" s="11">
        <v>3700</v>
      </c>
      <c r="F381" s="11">
        <v>3700</v>
      </c>
      <c r="G381" s="13">
        <f t="shared" si="89"/>
        <v>0</v>
      </c>
      <c r="H381" s="7">
        <f t="shared" si="90"/>
        <v>0</v>
      </c>
      <c r="I381" s="8">
        <v>119.12776534176258</v>
      </c>
      <c r="J381" s="9">
        <f t="shared" si="91"/>
        <v>119.12776534176258</v>
      </c>
      <c r="K381" s="3">
        <f t="shared" si="92"/>
        <v>0</v>
      </c>
      <c r="L381" s="7">
        <f t="shared" si="93"/>
        <v>0</v>
      </c>
      <c r="M381" t="s">
        <v>7</v>
      </c>
      <c r="O381" s="3">
        <f>E381-'297195 - P0224'!F381</f>
        <v>0</v>
      </c>
      <c r="P381" s="30">
        <f>I381-'297195 - P0224'!J381</f>
        <v>0</v>
      </c>
    </row>
    <row r="382" spans="1:16" x14ac:dyDescent="0.25">
      <c r="A382">
        <v>380</v>
      </c>
      <c r="B382" t="s">
        <v>290</v>
      </c>
      <c r="C382" t="s">
        <v>365</v>
      </c>
      <c r="D382" s="4" t="s">
        <v>376</v>
      </c>
      <c r="E382" s="11">
        <v>3700</v>
      </c>
      <c r="F382" s="11">
        <v>3700</v>
      </c>
      <c r="G382" s="13">
        <f t="shared" si="89"/>
        <v>0</v>
      </c>
      <c r="H382" s="7">
        <f t="shared" si="90"/>
        <v>0</v>
      </c>
      <c r="I382" s="8">
        <v>208.45869530604656</v>
      </c>
      <c r="J382" s="9">
        <f t="shared" si="91"/>
        <v>208.45869530604656</v>
      </c>
      <c r="K382" s="3">
        <f t="shared" si="92"/>
        <v>0</v>
      </c>
      <c r="L382" s="7">
        <f t="shared" si="93"/>
        <v>0</v>
      </c>
      <c r="M382" t="s">
        <v>7</v>
      </c>
      <c r="O382" s="3">
        <f>E382-'297195 - P0224'!F382</f>
        <v>0</v>
      </c>
      <c r="P382" s="30">
        <f>I382-'297195 - P0224'!J382</f>
        <v>0</v>
      </c>
    </row>
    <row r="383" spans="1:16" x14ac:dyDescent="0.25">
      <c r="A383">
        <v>381</v>
      </c>
      <c r="B383" t="s">
        <v>303</v>
      </c>
      <c r="C383" t="s">
        <v>365</v>
      </c>
      <c r="D383" s="4" t="s">
        <v>377</v>
      </c>
      <c r="E383" s="11">
        <v>5269</v>
      </c>
      <c r="F383" s="11">
        <v>5269</v>
      </c>
      <c r="G383" s="13">
        <f t="shared" si="89"/>
        <v>0</v>
      </c>
      <c r="H383" s="7">
        <f t="shared" si="90"/>
        <v>0</v>
      </c>
      <c r="I383" s="8">
        <v>195.32781627941307</v>
      </c>
      <c r="J383" s="9">
        <f t="shared" si="91"/>
        <v>195.32781627941307</v>
      </c>
      <c r="K383" s="3">
        <f t="shared" si="92"/>
        <v>0</v>
      </c>
      <c r="L383" s="7">
        <f t="shared" si="93"/>
        <v>0</v>
      </c>
      <c r="M383" t="s">
        <v>7</v>
      </c>
      <c r="O383" s="3">
        <f>E383-'297195 - P0224'!F383</f>
        <v>0</v>
      </c>
      <c r="P383" s="30">
        <f>I383-'297195 - P0224'!J383</f>
        <v>0</v>
      </c>
    </row>
    <row r="384" spans="1:16" x14ac:dyDescent="0.25">
      <c r="A384">
        <v>382</v>
      </c>
      <c r="B384" t="s">
        <v>303</v>
      </c>
      <c r="C384" t="s">
        <v>365</v>
      </c>
      <c r="D384" s="4" t="s">
        <v>378</v>
      </c>
      <c r="E384" s="11">
        <v>5395</v>
      </c>
      <c r="F384" s="11">
        <v>5395</v>
      </c>
      <c r="G384" s="13">
        <f t="shared" si="89"/>
        <v>0</v>
      </c>
      <c r="H384" s="7">
        <f t="shared" si="90"/>
        <v>0</v>
      </c>
      <c r="I384" s="8">
        <v>519.78770475648537</v>
      </c>
      <c r="J384" s="9">
        <f t="shared" si="91"/>
        <v>519.78770475648537</v>
      </c>
      <c r="K384" s="3">
        <f t="shared" si="92"/>
        <v>0</v>
      </c>
      <c r="L384" s="7">
        <f t="shared" si="93"/>
        <v>0</v>
      </c>
      <c r="M384" t="s">
        <v>7</v>
      </c>
      <c r="O384" s="3">
        <f>E384-'297195 - P0224'!F384</f>
        <v>0</v>
      </c>
      <c r="P384" s="30">
        <f>I384-'297195 - P0224'!J384</f>
        <v>0</v>
      </c>
    </row>
    <row r="385" spans="1:16" x14ac:dyDescent="0.25">
      <c r="A385">
        <v>383</v>
      </c>
      <c r="B385" t="s">
        <v>290</v>
      </c>
      <c r="C385" t="s">
        <v>365</v>
      </c>
      <c r="D385" s="4" t="s">
        <v>379</v>
      </c>
      <c r="E385" s="11">
        <v>5200</v>
      </c>
      <c r="F385" s="11">
        <v>5200</v>
      </c>
      <c r="G385" s="13">
        <f t="shared" si="89"/>
        <v>0</v>
      </c>
      <c r="H385" s="7">
        <f t="shared" si="90"/>
        <v>0</v>
      </c>
      <c r="I385" s="8">
        <v>341.80468131321027</v>
      </c>
      <c r="J385" s="9">
        <f t="shared" si="91"/>
        <v>341.80468131321027</v>
      </c>
      <c r="K385" s="3">
        <f t="shared" si="92"/>
        <v>0</v>
      </c>
      <c r="L385" s="7">
        <f t="shared" si="93"/>
        <v>0</v>
      </c>
      <c r="M385" t="s">
        <v>7</v>
      </c>
      <c r="O385" s="3">
        <f>E385-'297195 - P0224'!F385</f>
        <v>0</v>
      </c>
      <c r="P385" s="30">
        <f>I385-'297195 - P0224'!J385</f>
        <v>0</v>
      </c>
    </row>
    <row r="386" spans="1:16" x14ac:dyDescent="0.25">
      <c r="A386">
        <v>384</v>
      </c>
      <c r="B386" t="s">
        <v>485</v>
      </c>
      <c r="C386" t="s">
        <v>343</v>
      </c>
      <c r="D386" s="4" t="s">
        <v>380</v>
      </c>
      <c r="E386" s="12">
        <v>9.0500000000000007</v>
      </c>
      <c r="F386" s="11">
        <v>9.0500000000000007</v>
      </c>
      <c r="G386" s="13">
        <f t="shared" si="89"/>
        <v>0</v>
      </c>
      <c r="H386" s="7">
        <f t="shared" si="90"/>
        <v>0</v>
      </c>
      <c r="I386" s="8">
        <v>10.951190325581399</v>
      </c>
      <c r="J386" s="25">
        <f>(I386*H386)+I386-1.5</f>
        <v>9.4511903255813987</v>
      </c>
      <c r="K386" s="3">
        <f t="shared" si="92"/>
        <v>-1.5</v>
      </c>
      <c r="L386" s="7">
        <f t="shared" si="93"/>
        <v>-0.13697141181959735</v>
      </c>
      <c r="M386" t="s">
        <v>121</v>
      </c>
      <c r="O386" s="3">
        <f>E386-'297195 - P0224'!F386</f>
        <v>0</v>
      </c>
      <c r="P386" s="30">
        <f>I386-'297195 - P0224'!J386</f>
        <v>0</v>
      </c>
    </row>
    <row r="387" spans="1:16" x14ac:dyDescent="0.25">
      <c r="A387">
        <v>385</v>
      </c>
      <c r="B387" t="s">
        <v>290</v>
      </c>
      <c r="C387" t="s">
        <v>343</v>
      </c>
      <c r="D387" s="4" t="s">
        <v>381</v>
      </c>
      <c r="E387" s="12">
        <v>17.38</v>
      </c>
      <c r="F387" s="11">
        <v>17.38</v>
      </c>
      <c r="G387" s="13">
        <f t="shared" si="89"/>
        <v>0</v>
      </c>
      <c r="H387" s="7">
        <f t="shared" si="90"/>
        <v>0</v>
      </c>
      <c r="I387" s="8">
        <v>21.018687748031493</v>
      </c>
      <c r="J387" s="25">
        <f>(I387*H387)+I387-2.88</f>
        <v>18.138687748031494</v>
      </c>
      <c r="K387" s="3">
        <f t="shared" si="92"/>
        <v>-2.879999999999999</v>
      </c>
      <c r="L387" s="7">
        <f t="shared" si="93"/>
        <v>-0.13702092321485321</v>
      </c>
      <c r="M387" t="s">
        <v>121</v>
      </c>
      <c r="O387" s="3">
        <f>E387-'297195 - P0224'!F387</f>
        <v>0</v>
      </c>
      <c r="P387" s="30">
        <f>I387-'297195 - P0224'!J387</f>
        <v>0</v>
      </c>
    </row>
    <row r="388" spans="1:16" x14ac:dyDescent="0.25">
      <c r="A388">
        <v>386</v>
      </c>
      <c r="B388" t="s">
        <v>481</v>
      </c>
      <c r="C388" s="28" t="s">
        <v>382</v>
      </c>
      <c r="D388" s="4" t="s">
        <v>383</v>
      </c>
      <c r="E388" s="14">
        <v>112.02</v>
      </c>
      <c r="F388" s="14">
        <v>112.02</v>
      </c>
      <c r="G388" s="6">
        <f t="shared" si="89"/>
        <v>0</v>
      </c>
      <c r="H388" s="7">
        <f t="shared" si="90"/>
        <v>0</v>
      </c>
      <c r="I388" s="8">
        <v>334.74445542845763</v>
      </c>
      <c r="J388" s="9">
        <f t="shared" si="91"/>
        <v>334.74445542845763</v>
      </c>
      <c r="K388" s="3">
        <f t="shared" si="92"/>
        <v>0</v>
      </c>
      <c r="L388" s="7">
        <f t="shared" si="93"/>
        <v>0</v>
      </c>
      <c r="M388" t="s">
        <v>121</v>
      </c>
      <c r="O388" s="3">
        <f>E388-'297195 - P0224'!F388</f>
        <v>0</v>
      </c>
      <c r="P388" s="30">
        <f>I388-'297195 - P0224'!J388</f>
        <v>0</v>
      </c>
    </row>
    <row r="389" spans="1:16" x14ac:dyDescent="0.25">
      <c r="A389">
        <v>387</v>
      </c>
      <c r="B389" t="s">
        <v>482</v>
      </c>
      <c r="C389" s="28" t="s">
        <v>343</v>
      </c>
      <c r="D389" s="4" t="s">
        <v>384</v>
      </c>
      <c r="E389" s="11">
        <v>35.4</v>
      </c>
      <c r="F389" s="11">
        <v>35.4</v>
      </c>
      <c r="G389" s="6">
        <f t="shared" si="89"/>
        <v>0</v>
      </c>
      <c r="H389" s="7">
        <f t="shared" si="90"/>
        <v>0</v>
      </c>
      <c r="I389" s="8">
        <v>53.73333333333332</v>
      </c>
      <c r="J389" s="9">
        <f t="shared" si="91"/>
        <v>53.73333333333332</v>
      </c>
      <c r="K389" s="3">
        <f t="shared" si="92"/>
        <v>0</v>
      </c>
      <c r="L389" s="7">
        <f t="shared" si="93"/>
        <v>0</v>
      </c>
      <c r="M389" t="s">
        <v>150</v>
      </c>
      <c r="O389" s="3">
        <f>E389-'297195 - P0224'!F389</f>
        <v>0</v>
      </c>
      <c r="P389" s="30">
        <f>I389-'297195 - P0224'!J389</f>
        <v>0</v>
      </c>
    </row>
    <row r="390" spans="1:16" x14ac:dyDescent="0.25">
      <c r="A390">
        <v>388</v>
      </c>
      <c r="B390" t="s">
        <v>476</v>
      </c>
      <c r="C390" s="28" t="s">
        <v>385</v>
      </c>
      <c r="D390" s="4" t="s">
        <v>386</v>
      </c>
      <c r="E390" s="11">
        <v>70.2</v>
      </c>
      <c r="F390" s="11">
        <v>70.2</v>
      </c>
      <c r="G390" s="6">
        <f t="shared" si="89"/>
        <v>0</v>
      </c>
      <c r="H390" s="7">
        <f t="shared" si="90"/>
        <v>0</v>
      </c>
      <c r="I390" s="8">
        <v>114.84819573542534</v>
      </c>
      <c r="J390" s="9">
        <f t="shared" si="91"/>
        <v>114.84819573542534</v>
      </c>
      <c r="K390" s="3">
        <f t="shared" si="92"/>
        <v>0</v>
      </c>
      <c r="L390" s="7">
        <f t="shared" si="93"/>
        <v>0</v>
      </c>
      <c r="M390" t="s">
        <v>150</v>
      </c>
      <c r="O390" s="3">
        <f>E390-'297195 - P0224'!F390</f>
        <v>0</v>
      </c>
      <c r="P390" s="30">
        <f>I390-'297195 - P0224'!J390</f>
        <v>0</v>
      </c>
    </row>
    <row r="391" spans="1:16" x14ac:dyDescent="0.25">
      <c r="A391">
        <v>389</v>
      </c>
      <c r="B391" t="s">
        <v>445</v>
      </c>
      <c r="C391" s="28" t="s">
        <v>351</v>
      </c>
      <c r="D391" s="4" t="s">
        <v>500</v>
      </c>
      <c r="E391" s="11">
        <v>208</v>
      </c>
      <c r="F391" s="11">
        <v>208</v>
      </c>
      <c r="G391" s="6">
        <f t="shared" si="89"/>
        <v>0</v>
      </c>
      <c r="H391" s="7">
        <f t="shared" si="90"/>
        <v>0</v>
      </c>
      <c r="I391" s="8">
        <v>297.15636363636361</v>
      </c>
      <c r="J391" s="9">
        <f t="shared" si="91"/>
        <v>297.15636363636361</v>
      </c>
      <c r="K391" s="3">
        <f t="shared" si="92"/>
        <v>0</v>
      </c>
      <c r="L391" s="7">
        <f t="shared" si="93"/>
        <v>0</v>
      </c>
      <c r="M391" t="s">
        <v>150</v>
      </c>
      <c r="O391" s="3">
        <f>E391-'297195 - P0224'!F391</f>
        <v>0</v>
      </c>
      <c r="P391" s="30">
        <f>I391-'297195 - P0224'!J391</f>
        <v>0</v>
      </c>
    </row>
    <row r="392" spans="1:16" x14ac:dyDescent="0.25">
      <c r="A392">
        <v>390</v>
      </c>
      <c r="B392" t="s">
        <v>387</v>
      </c>
      <c r="C392" s="28" t="s">
        <v>351</v>
      </c>
      <c r="D392" s="4" t="s">
        <v>388</v>
      </c>
      <c r="E392" s="12">
        <v>13.11</v>
      </c>
      <c r="F392" s="12">
        <v>13.11</v>
      </c>
      <c r="G392" s="6">
        <f t="shared" si="89"/>
        <v>0</v>
      </c>
      <c r="H392" s="7">
        <f t="shared" si="90"/>
        <v>0</v>
      </c>
      <c r="I392" s="8">
        <v>15.06</v>
      </c>
      <c r="J392" s="9">
        <f t="shared" si="91"/>
        <v>15.06</v>
      </c>
      <c r="K392" s="3">
        <f t="shared" si="92"/>
        <v>0</v>
      </c>
      <c r="L392" s="7">
        <f t="shared" si="93"/>
        <v>0</v>
      </c>
      <c r="M392" t="s">
        <v>150</v>
      </c>
      <c r="O392" s="3">
        <f>E392-'297195 - P0224'!F392</f>
        <v>0</v>
      </c>
      <c r="P392" s="30">
        <f>I392-'297195 - P0224'!J392</f>
        <v>0</v>
      </c>
    </row>
    <row r="393" spans="1:16" x14ac:dyDescent="0.25">
      <c r="A393">
        <v>391</v>
      </c>
      <c r="B393" t="s">
        <v>387</v>
      </c>
      <c r="C393" s="28" t="s">
        <v>351</v>
      </c>
      <c r="D393" s="4" t="s">
        <v>389</v>
      </c>
      <c r="E393" s="12">
        <v>27.99</v>
      </c>
      <c r="F393" s="12">
        <v>27.99</v>
      </c>
      <c r="G393" s="6">
        <f t="shared" si="89"/>
        <v>0</v>
      </c>
      <c r="H393" s="7">
        <f t="shared" si="90"/>
        <v>0</v>
      </c>
      <c r="I393" s="8">
        <v>32.15</v>
      </c>
      <c r="J393" s="9">
        <f t="shared" si="91"/>
        <v>32.15</v>
      </c>
      <c r="K393" s="3">
        <f t="shared" si="92"/>
        <v>0</v>
      </c>
      <c r="L393" s="7">
        <f t="shared" si="93"/>
        <v>0</v>
      </c>
      <c r="M393" t="s">
        <v>150</v>
      </c>
      <c r="O393" s="3">
        <f>E393-'297195 - P0224'!F393</f>
        <v>0</v>
      </c>
      <c r="P393" s="30">
        <f>I393-'297195 - P0224'!J393</f>
        <v>0</v>
      </c>
    </row>
    <row r="394" spans="1:16" x14ac:dyDescent="0.25">
      <c r="A394">
        <v>392</v>
      </c>
      <c r="B394" t="s">
        <v>387</v>
      </c>
      <c r="C394" s="28" t="s">
        <v>351</v>
      </c>
      <c r="D394" s="4" t="s">
        <v>390</v>
      </c>
      <c r="E394" s="12">
        <v>24.27</v>
      </c>
      <c r="F394" s="12">
        <v>24.27</v>
      </c>
      <c r="G394" s="6">
        <f t="shared" si="89"/>
        <v>0</v>
      </c>
      <c r="H394" s="7">
        <f t="shared" si="90"/>
        <v>0</v>
      </c>
      <c r="I394" s="8">
        <v>27.88</v>
      </c>
      <c r="J394" s="9">
        <f t="shared" si="91"/>
        <v>27.88</v>
      </c>
      <c r="K394" s="3">
        <f t="shared" si="92"/>
        <v>0</v>
      </c>
      <c r="L394" s="7">
        <f t="shared" si="93"/>
        <v>0</v>
      </c>
      <c r="M394" t="s">
        <v>150</v>
      </c>
      <c r="O394" s="3">
        <f>E394-'297195 - P0224'!F394</f>
        <v>0</v>
      </c>
      <c r="P394" s="30">
        <f>I394-'297195 - P0224'!J394</f>
        <v>0</v>
      </c>
    </row>
    <row r="395" spans="1:16" x14ac:dyDescent="0.25">
      <c r="A395">
        <v>393</v>
      </c>
      <c r="C395" s="28"/>
      <c r="D395" s="2" t="s">
        <v>391</v>
      </c>
      <c r="M395" t="s">
        <v>150</v>
      </c>
    </row>
    <row r="396" spans="1:16" x14ac:dyDescent="0.25">
      <c r="A396">
        <v>394</v>
      </c>
      <c r="B396" t="s">
        <v>322</v>
      </c>
      <c r="C396" s="28" t="s">
        <v>354</v>
      </c>
      <c r="D396" s="4" t="s">
        <v>392</v>
      </c>
      <c r="E396" s="12">
        <v>3.7791000000000001</v>
      </c>
      <c r="F396" s="12">
        <v>3.7791000000000001</v>
      </c>
      <c r="G396" s="6">
        <f t="shared" ref="G396:G413" si="94">+F396-E396</f>
        <v>0</v>
      </c>
      <c r="H396" s="7">
        <f t="shared" ref="H396:H413" si="95">(F396-E396)/ABS(E396)</f>
        <v>0</v>
      </c>
      <c r="I396" s="8">
        <v>7.5582000000000003</v>
      </c>
      <c r="J396" s="9">
        <f t="shared" ref="J396:J413" si="96">(I396*H396)+I396</f>
        <v>7.5582000000000003</v>
      </c>
      <c r="K396" s="3">
        <f t="shared" ref="K396:K413" si="97">J396-I396</f>
        <v>0</v>
      </c>
      <c r="L396" s="7">
        <f t="shared" ref="L396:L413" si="98">(J396-I396)/ABS(I396)</f>
        <v>0</v>
      </c>
      <c r="M396" t="s">
        <v>150</v>
      </c>
      <c r="O396" s="3">
        <f>E396-'297195 - P0224'!F396</f>
        <v>0</v>
      </c>
      <c r="P396" s="30">
        <f>I396-'297195 - P0224'!J396</f>
        <v>0</v>
      </c>
    </row>
    <row r="397" spans="1:16" x14ac:dyDescent="0.25">
      <c r="A397">
        <v>395</v>
      </c>
      <c r="B397" t="s">
        <v>476</v>
      </c>
      <c r="C397" s="28" t="s">
        <v>354</v>
      </c>
      <c r="D397" s="4" t="s">
        <v>393</v>
      </c>
      <c r="E397" s="12">
        <v>1.81</v>
      </c>
      <c r="F397" s="12">
        <v>1.81</v>
      </c>
      <c r="G397" s="6">
        <f t="shared" si="94"/>
        <v>0</v>
      </c>
      <c r="H397" s="7">
        <f t="shared" si="95"/>
        <v>0</v>
      </c>
      <c r="I397" s="8">
        <v>3.62</v>
      </c>
      <c r="J397" s="9">
        <f t="shared" si="96"/>
        <v>3.62</v>
      </c>
      <c r="K397" s="3">
        <f t="shared" si="97"/>
        <v>0</v>
      </c>
      <c r="L397" s="7">
        <f t="shared" si="98"/>
        <v>0</v>
      </c>
      <c r="M397" t="s">
        <v>150</v>
      </c>
      <c r="O397" s="3">
        <f>E397-'297195 - P0224'!F397</f>
        <v>0</v>
      </c>
      <c r="P397" s="30">
        <f>I397-'297195 - P0224'!J397</f>
        <v>0</v>
      </c>
    </row>
    <row r="398" spans="1:16" x14ac:dyDescent="0.25">
      <c r="A398">
        <v>396</v>
      </c>
      <c r="B398" t="s">
        <v>480</v>
      </c>
      <c r="C398" s="28" t="s">
        <v>354</v>
      </c>
      <c r="D398" s="4" t="s">
        <v>394</v>
      </c>
      <c r="E398" s="12">
        <v>3.01</v>
      </c>
      <c r="F398" s="12">
        <v>3.01</v>
      </c>
      <c r="G398" s="6">
        <f t="shared" si="94"/>
        <v>0</v>
      </c>
      <c r="H398" s="7">
        <f t="shared" si="95"/>
        <v>0</v>
      </c>
      <c r="I398" s="8">
        <v>6.02</v>
      </c>
      <c r="J398" s="9">
        <f t="shared" si="96"/>
        <v>6.02</v>
      </c>
      <c r="K398" s="3">
        <f t="shared" si="97"/>
        <v>0</v>
      </c>
      <c r="L398" s="7">
        <f t="shared" si="98"/>
        <v>0</v>
      </c>
      <c r="M398" t="s">
        <v>150</v>
      </c>
      <c r="O398" s="3">
        <f>E398-'297195 - P0224'!F398</f>
        <v>0</v>
      </c>
      <c r="P398" s="30">
        <f>I398-'297195 - P0224'!J398</f>
        <v>0</v>
      </c>
    </row>
    <row r="399" spans="1:16" x14ac:dyDescent="0.25">
      <c r="A399">
        <v>397</v>
      </c>
      <c r="B399" t="s">
        <v>470</v>
      </c>
      <c r="C399" s="28" t="s">
        <v>354</v>
      </c>
      <c r="D399" s="4" t="s">
        <v>395</v>
      </c>
      <c r="E399" s="12">
        <v>27.08</v>
      </c>
      <c r="F399" s="12">
        <v>27.08</v>
      </c>
      <c r="G399" s="6">
        <f t="shared" si="94"/>
        <v>0</v>
      </c>
      <c r="H399" s="7">
        <f t="shared" si="95"/>
        <v>0</v>
      </c>
      <c r="I399" s="8">
        <v>54.16</v>
      </c>
      <c r="J399" s="9">
        <f t="shared" si="96"/>
        <v>54.16</v>
      </c>
      <c r="K399" s="3">
        <f t="shared" si="97"/>
        <v>0</v>
      </c>
      <c r="L399" s="7">
        <f t="shared" si="98"/>
        <v>0</v>
      </c>
      <c r="M399" t="s">
        <v>150</v>
      </c>
      <c r="O399" s="3">
        <f>E399-'297195 - P0224'!F399</f>
        <v>0</v>
      </c>
      <c r="P399" s="30">
        <f>I399-'297195 - P0224'!J399</f>
        <v>0</v>
      </c>
    </row>
    <row r="400" spans="1:16" x14ac:dyDescent="0.25">
      <c r="A400">
        <v>398</v>
      </c>
      <c r="B400" t="s">
        <v>303</v>
      </c>
      <c r="C400" s="28" t="s">
        <v>354</v>
      </c>
      <c r="D400" s="4" t="s">
        <v>396</v>
      </c>
      <c r="E400" s="12">
        <v>18.07</v>
      </c>
      <c r="F400" s="12">
        <v>18.07</v>
      </c>
      <c r="G400" s="6">
        <f t="shared" si="94"/>
        <v>0</v>
      </c>
      <c r="H400" s="7">
        <f t="shared" si="95"/>
        <v>0</v>
      </c>
      <c r="I400" s="8">
        <v>32.273257621040045</v>
      </c>
      <c r="J400" s="9">
        <f t="shared" si="96"/>
        <v>32.273257621040045</v>
      </c>
      <c r="K400" s="3">
        <f t="shared" si="97"/>
        <v>0</v>
      </c>
      <c r="L400" s="7">
        <f t="shared" si="98"/>
        <v>0</v>
      </c>
      <c r="M400" t="s">
        <v>150</v>
      </c>
      <c r="O400" s="3">
        <f>E400-'297195 - P0224'!F400</f>
        <v>0</v>
      </c>
      <c r="P400" s="30">
        <f>I400-'297195 - P0224'!J400</f>
        <v>0</v>
      </c>
    </row>
    <row r="401" spans="1:16" x14ac:dyDescent="0.25">
      <c r="A401">
        <v>399</v>
      </c>
      <c r="B401" t="s">
        <v>303</v>
      </c>
      <c r="C401" s="28" t="s">
        <v>354</v>
      </c>
      <c r="D401" s="4" t="s">
        <v>397</v>
      </c>
      <c r="E401" s="12">
        <v>11.92</v>
      </c>
      <c r="F401" s="12">
        <v>11.92</v>
      </c>
      <c r="G401" s="6">
        <f t="shared" si="94"/>
        <v>0</v>
      </c>
      <c r="H401" s="7">
        <f t="shared" si="95"/>
        <v>0</v>
      </c>
      <c r="I401" s="8">
        <v>23.863213242453746</v>
      </c>
      <c r="J401" s="9">
        <f t="shared" si="96"/>
        <v>23.863213242453746</v>
      </c>
      <c r="K401" s="3">
        <f t="shared" si="97"/>
        <v>0</v>
      </c>
      <c r="L401" s="7">
        <f t="shared" si="98"/>
        <v>0</v>
      </c>
      <c r="M401" t="s">
        <v>150</v>
      </c>
      <c r="O401" s="3">
        <f>E401-'297195 - P0224'!F401</f>
        <v>0</v>
      </c>
      <c r="P401" s="30">
        <f>I401-'297195 - P0224'!J401</f>
        <v>0</v>
      </c>
    </row>
    <row r="402" spans="1:16" x14ac:dyDescent="0.25">
      <c r="A402">
        <v>400</v>
      </c>
      <c r="B402" t="s">
        <v>303</v>
      </c>
      <c r="C402" s="28" t="s">
        <v>354</v>
      </c>
      <c r="D402" s="4" t="s">
        <v>398</v>
      </c>
      <c r="E402" s="12">
        <v>12.97</v>
      </c>
      <c r="F402" s="12">
        <v>12.97</v>
      </c>
      <c r="G402" s="6">
        <f t="shared" si="94"/>
        <v>0</v>
      </c>
      <c r="H402" s="7">
        <f t="shared" si="95"/>
        <v>0</v>
      </c>
      <c r="I402" s="8">
        <v>25.96322291853178</v>
      </c>
      <c r="J402" s="9">
        <f t="shared" si="96"/>
        <v>25.96322291853178</v>
      </c>
      <c r="K402" s="3">
        <f t="shared" si="97"/>
        <v>0</v>
      </c>
      <c r="L402" s="7">
        <f t="shared" si="98"/>
        <v>0</v>
      </c>
      <c r="M402" t="s">
        <v>150</v>
      </c>
      <c r="O402" s="3">
        <f>E402-'297195 - P0224'!F402</f>
        <v>0</v>
      </c>
      <c r="P402" s="30">
        <f>I402-'297195 - P0224'!J402</f>
        <v>0</v>
      </c>
    </row>
    <row r="403" spans="1:16" x14ac:dyDescent="0.25">
      <c r="A403">
        <v>401</v>
      </c>
      <c r="B403" t="s">
        <v>475</v>
      </c>
      <c r="C403" s="28" t="s">
        <v>354</v>
      </c>
      <c r="D403" s="4" t="s">
        <v>399</v>
      </c>
      <c r="E403" s="12">
        <v>51.3</v>
      </c>
      <c r="F403" s="12">
        <v>51.3</v>
      </c>
      <c r="G403" s="6">
        <f t="shared" si="94"/>
        <v>0</v>
      </c>
      <c r="H403" s="7">
        <f t="shared" si="95"/>
        <v>0</v>
      </c>
      <c r="I403" s="8">
        <v>102.6</v>
      </c>
      <c r="J403" s="9">
        <f t="shared" si="96"/>
        <v>102.6</v>
      </c>
      <c r="K403" s="3">
        <f t="shared" si="97"/>
        <v>0</v>
      </c>
      <c r="L403" s="7">
        <f t="shared" si="98"/>
        <v>0</v>
      </c>
      <c r="M403" t="s">
        <v>150</v>
      </c>
      <c r="O403" s="3">
        <f>E403-'297195 - P0224'!F403</f>
        <v>0</v>
      </c>
      <c r="P403" s="30">
        <f>I403-'297195 - P0224'!J403</f>
        <v>0</v>
      </c>
    </row>
    <row r="404" spans="1:16" x14ac:dyDescent="0.25">
      <c r="A404">
        <v>402</v>
      </c>
      <c r="B404" t="s">
        <v>479</v>
      </c>
      <c r="C404" s="28" t="s">
        <v>354</v>
      </c>
      <c r="D404" s="4" t="s">
        <v>400</v>
      </c>
      <c r="E404" s="12">
        <v>21.37</v>
      </c>
      <c r="F404" s="12">
        <v>21.37</v>
      </c>
      <c r="G404" s="6">
        <f t="shared" si="94"/>
        <v>0</v>
      </c>
      <c r="H404" s="7">
        <f t="shared" si="95"/>
        <v>0</v>
      </c>
      <c r="I404" s="8">
        <v>42.74</v>
      </c>
      <c r="J404" s="9">
        <f t="shared" si="96"/>
        <v>42.74</v>
      </c>
      <c r="K404" s="3">
        <f t="shared" si="97"/>
        <v>0</v>
      </c>
      <c r="L404" s="7">
        <f t="shared" si="98"/>
        <v>0</v>
      </c>
      <c r="M404" t="s">
        <v>150</v>
      </c>
      <c r="O404" s="3">
        <f>E404-'297195 - P0224'!F404</f>
        <v>0</v>
      </c>
      <c r="P404" s="30">
        <f>I404-'297195 - P0224'!J404</f>
        <v>0</v>
      </c>
    </row>
    <row r="405" spans="1:16" x14ac:dyDescent="0.25">
      <c r="A405">
        <v>403</v>
      </c>
      <c r="B405" t="s">
        <v>476</v>
      </c>
      <c r="C405" s="28" t="s">
        <v>354</v>
      </c>
      <c r="D405" s="4" t="s">
        <v>401</v>
      </c>
      <c r="E405" s="12">
        <v>37.51</v>
      </c>
      <c r="F405" s="12">
        <v>37.51</v>
      </c>
      <c r="G405" s="6">
        <f t="shared" si="94"/>
        <v>0</v>
      </c>
      <c r="H405" s="7">
        <f t="shared" si="95"/>
        <v>0</v>
      </c>
      <c r="I405" s="8">
        <v>75.02</v>
      </c>
      <c r="J405" s="9">
        <f t="shared" si="96"/>
        <v>75.02</v>
      </c>
      <c r="K405" s="3">
        <f t="shared" si="97"/>
        <v>0</v>
      </c>
      <c r="L405" s="7">
        <f t="shared" si="98"/>
        <v>0</v>
      </c>
      <c r="M405" t="s">
        <v>150</v>
      </c>
      <c r="O405" s="3">
        <f>E405-'297195 - P0224'!F405</f>
        <v>0</v>
      </c>
      <c r="P405" s="30">
        <f>I405-'297195 - P0224'!J405</f>
        <v>0</v>
      </c>
    </row>
    <row r="406" spans="1:16" x14ac:dyDescent="0.25">
      <c r="A406">
        <v>404</v>
      </c>
      <c r="B406" t="s">
        <v>476</v>
      </c>
      <c r="C406" s="28" t="s">
        <v>354</v>
      </c>
      <c r="D406" s="4" t="s">
        <v>402</v>
      </c>
      <c r="E406" s="12">
        <v>1.79</v>
      </c>
      <c r="F406" s="12">
        <v>1.79</v>
      </c>
      <c r="G406" s="6">
        <f t="shared" si="94"/>
        <v>0</v>
      </c>
      <c r="H406" s="7">
        <f t="shared" si="95"/>
        <v>0</v>
      </c>
      <c r="I406" s="8">
        <v>4</v>
      </c>
      <c r="J406" s="9">
        <f t="shared" si="96"/>
        <v>4</v>
      </c>
      <c r="K406" s="3">
        <f t="shared" si="97"/>
        <v>0</v>
      </c>
      <c r="L406" s="7">
        <f t="shared" si="98"/>
        <v>0</v>
      </c>
      <c r="M406" t="s">
        <v>150</v>
      </c>
      <c r="O406" s="3">
        <f>E406-'297195 - P0224'!F406</f>
        <v>0</v>
      </c>
      <c r="P406" s="30">
        <f>I406-'297195 - P0224'!J406</f>
        <v>0</v>
      </c>
    </row>
    <row r="407" spans="1:16" x14ac:dyDescent="0.25">
      <c r="A407">
        <v>405</v>
      </c>
      <c r="B407" t="s">
        <v>476</v>
      </c>
      <c r="C407" s="28" t="s">
        <v>354</v>
      </c>
      <c r="D407" s="4" t="s">
        <v>403</v>
      </c>
      <c r="E407" s="12">
        <v>2.4700000000000002</v>
      </c>
      <c r="F407" s="12">
        <v>2.4700000000000002</v>
      </c>
      <c r="G407" s="6">
        <f t="shared" si="94"/>
        <v>0</v>
      </c>
      <c r="H407" s="7">
        <f t="shared" si="95"/>
        <v>0</v>
      </c>
      <c r="I407" s="8">
        <v>5</v>
      </c>
      <c r="J407" s="9">
        <f t="shared" si="96"/>
        <v>5</v>
      </c>
      <c r="K407" s="3">
        <f t="shared" si="97"/>
        <v>0</v>
      </c>
      <c r="L407" s="7">
        <f t="shared" si="98"/>
        <v>0</v>
      </c>
      <c r="M407" t="s">
        <v>150</v>
      </c>
      <c r="O407" s="3">
        <f>E407-'297195 - P0224'!F407</f>
        <v>0</v>
      </c>
      <c r="P407" s="30">
        <f>I407-'297195 - P0224'!J407</f>
        <v>0</v>
      </c>
    </row>
    <row r="408" spans="1:16" x14ac:dyDescent="0.25">
      <c r="A408">
        <v>406</v>
      </c>
      <c r="B408" t="s">
        <v>474</v>
      </c>
      <c r="C408" s="28" t="s">
        <v>354</v>
      </c>
      <c r="D408" s="4" t="s">
        <v>404</v>
      </c>
      <c r="E408" s="12">
        <v>6.48</v>
      </c>
      <c r="F408" s="12">
        <v>6.48</v>
      </c>
      <c r="G408" s="6">
        <f t="shared" si="94"/>
        <v>0</v>
      </c>
      <c r="H408" s="7">
        <f t="shared" si="95"/>
        <v>0</v>
      </c>
      <c r="I408" s="8">
        <v>12.96</v>
      </c>
      <c r="J408" s="9">
        <f t="shared" si="96"/>
        <v>12.96</v>
      </c>
      <c r="K408" s="3">
        <f t="shared" si="97"/>
        <v>0</v>
      </c>
      <c r="L408" s="7">
        <f t="shared" si="98"/>
        <v>0</v>
      </c>
      <c r="M408" t="s">
        <v>150</v>
      </c>
      <c r="O408" s="3">
        <f>E408-'297195 - P0224'!F408</f>
        <v>0</v>
      </c>
      <c r="P408" s="30">
        <f>I408-'297195 - P0224'!J408</f>
        <v>0</v>
      </c>
    </row>
    <row r="409" spans="1:16" x14ac:dyDescent="0.25">
      <c r="A409">
        <v>407</v>
      </c>
      <c r="B409" t="s">
        <v>474</v>
      </c>
      <c r="C409" s="28" t="s">
        <v>354</v>
      </c>
      <c r="D409" s="4" t="s">
        <v>405</v>
      </c>
      <c r="E409" s="12">
        <v>10.78</v>
      </c>
      <c r="F409" s="12">
        <v>10.78</v>
      </c>
      <c r="G409" s="6">
        <f t="shared" si="94"/>
        <v>0</v>
      </c>
      <c r="H409" s="7">
        <f t="shared" si="95"/>
        <v>0</v>
      </c>
      <c r="I409" s="8">
        <v>21.56</v>
      </c>
      <c r="J409" s="9">
        <f t="shared" si="96"/>
        <v>21.56</v>
      </c>
      <c r="K409" s="3">
        <f t="shared" si="97"/>
        <v>0</v>
      </c>
      <c r="L409" s="7">
        <f t="shared" si="98"/>
        <v>0</v>
      </c>
      <c r="M409" t="s">
        <v>150</v>
      </c>
      <c r="O409" s="3">
        <f>E409-'297195 - P0224'!F409</f>
        <v>0</v>
      </c>
      <c r="P409" s="30">
        <f>I409-'297195 - P0224'!J409</f>
        <v>0</v>
      </c>
    </row>
    <row r="410" spans="1:16" x14ac:dyDescent="0.25">
      <c r="A410">
        <v>408</v>
      </c>
      <c r="B410" t="s">
        <v>474</v>
      </c>
      <c r="C410" s="28" t="s">
        <v>354</v>
      </c>
      <c r="D410" s="4" t="s">
        <v>406</v>
      </c>
      <c r="E410" s="12">
        <v>13.22</v>
      </c>
      <c r="F410" s="12">
        <v>13.22</v>
      </c>
      <c r="G410" s="6">
        <f t="shared" si="94"/>
        <v>0</v>
      </c>
      <c r="H410" s="7">
        <f t="shared" si="95"/>
        <v>0</v>
      </c>
      <c r="I410" s="8">
        <v>26.44</v>
      </c>
      <c r="J410" s="9">
        <f t="shared" si="96"/>
        <v>26.44</v>
      </c>
      <c r="K410" s="3">
        <f t="shared" si="97"/>
        <v>0</v>
      </c>
      <c r="L410" s="7">
        <f t="shared" si="98"/>
        <v>0</v>
      </c>
      <c r="M410" t="s">
        <v>150</v>
      </c>
      <c r="O410" s="3">
        <f>E410-'297195 - P0224'!F410</f>
        <v>0</v>
      </c>
      <c r="P410" s="30">
        <f>I410-'297195 - P0224'!J410</f>
        <v>0</v>
      </c>
    </row>
    <row r="411" spans="1:16" x14ac:dyDescent="0.25">
      <c r="A411">
        <v>409</v>
      </c>
      <c r="B411" t="s">
        <v>476</v>
      </c>
      <c r="C411" s="28" t="s">
        <v>354</v>
      </c>
      <c r="D411" s="4" t="s">
        <v>407</v>
      </c>
      <c r="E411" s="12">
        <v>14.72</v>
      </c>
      <c r="F411" s="12">
        <v>14.72</v>
      </c>
      <c r="G411" s="6">
        <f t="shared" si="94"/>
        <v>0</v>
      </c>
      <c r="H411" s="7">
        <f t="shared" si="95"/>
        <v>0</v>
      </c>
      <c r="I411" s="8">
        <v>29.44</v>
      </c>
      <c r="J411" s="9">
        <f t="shared" si="96"/>
        <v>29.44</v>
      </c>
      <c r="K411" s="3">
        <f t="shared" si="97"/>
        <v>0</v>
      </c>
      <c r="L411" s="7">
        <f t="shared" si="98"/>
        <v>0</v>
      </c>
      <c r="M411" t="s">
        <v>150</v>
      </c>
      <c r="O411" s="3">
        <f>E411-'297195 - P0224'!F411</f>
        <v>0</v>
      </c>
      <c r="P411" s="30">
        <f>I411-'297195 - P0224'!J411</f>
        <v>0</v>
      </c>
    </row>
    <row r="412" spans="1:16" x14ac:dyDescent="0.25">
      <c r="A412">
        <v>410</v>
      </c>
      <c r="B412" t="s">
        <v>476</v>
      </c>
      <c r="C412" s="28" t="s">
        <v>354</v>
      </c>
      <c r="D412" s="4" t="s">
        <v>408</v>
      </c>
      <c r="E412" s="12">
        <v>3.74</v>
      </c>
      <c r="F412" s="12">
        <v>3.74</v>
      </c>
      <c r="G412" s="6">
        <f t="shared" si="94"/>
        <v>0</v>
      </c>
      <c r="H412" s="7">
        <f t="shared" si="95"/>
        <v>0</v>
      </c>
      <c r="I412" s="8">
        <v>7.48</v>
      </c>
      <c r="J412" s="9">
        <f t="shared" si="96"/>
        <v>7.48</v>
      </c>
      <c r="K412" s="3">
        <f t="shared" si="97"/>
        <v>0</v>
      </c>
      <c r="L412" s="7">
        <f t="shared" si="98"/>
        <v>0</v>
      </c>
      <c r="M412" t="s">
        <v>150</v>
      </c>
      <c r="O412" s="3">
        <f>E412-'297195 - P0224'!F412</f>
        <v>0</v>
      </c>
      <c r="P412" s="30">
        <f>I412-'297195 - P0224'!J412</f>
        <v>0</v>
      </c>
    </row>
    <row r="413" spans="1:16" x14ac:dyDescent="0.25">
      <c r="A413">
        <v>411</v>
      </c>
      <c r="B413" t="s">
        <v>476</v>
      </c>
      <c r="C413" s="28" t="s">
        <v>354</v>
      </c>
      <c r="D413" s="4" t="s">
        <v>409</v>
      </c>
      <c r="E413" s="12">
        <v>5.12</v>
      </c>
      <c r="F413" s="12">
        <v>5.12</v>
      </c>
      <c r="G413" s="6">
        <f t="shared" si="94"/>
        <v>0</v>
      </c>
      <c r="H413" s="7">
        <f t="shared" si="95"/>
        <v>0</v>
      </c>
      <c r="I413" s="8">
        <v>10.24</v>
      </c>
      <c r="J413" s="9">
        <f t="shared" si="96"/>
        <v>10.24</v>
      </c>
      <c r="K413" s="3">
        <f t="shared" si="97"/>
        <v>0</v>
      </c>
      <c r="L413" s="7">
        <f t="shared" si="98"/>
        <v>0</v>
      </c>
      <c r="M413" t="s">
        <v>150</v>
      </c>
      <c r="O413" s="3">
        <f>E413-'297195 - P0224'!F413</f>
        <v>0</v>
      </c>
      <c r="P413" s="30">
        <f>I413-'297195 - P0224'!J413</f>
        <v>0</v>
      </c>
    </row>
    <row r="414" spans="1:16" x14ac:dyDescent="0.25">
      <c r="A414">
        <v>412</v>
      </c>
      <c r="D414" s="2" t="s">
        <v>410</v>
      </c>
      <c r="H414" s="10">
        <f>AVERAGE(H349:H410)</f>
        <v>9.4697015660694702E-4</v>
      </c>
    </row>
    <row r="415" spans="1:16" x14ac:dyDescent="0.25">
      <c r="D415" s="2" t="s">
        <v>411</v>
      </c>
    </row>
    <row r="416" spans="1:16" x14ac:dyDescent="0.25">
      <c r="D416" s="17" t="s">
        <v>412</v>
      </c>
      <c r="E416" s="5">
        <v>560</v>
      </c>
      <c r="F416" s="5">
        <v>543</v>
      </c>
      <c r="G416" s="6">
        <f t="shared" ref="G416:G425" si="99">+F416-E416</f>
        <v>-17</v>
      </c>
      <c r="H416" s="7">
        <f t="shared" ref="H416:H425" si="100">(F416-E416)/ABS(E416)</f>
        <v>-3.0357142857142857E-2</v>
      </c>
      <c r="J416" s="3"/>
      <c r="K416" s="3"/>
      <c r="L416" s="7"/>
    </row>
    <row r="417" spans="1:16" x14ac:dyDescent="0.25">
      <c r="D417" s="17" t="s">
        <v>413</v>
      </c>
      <c r="E417" s="5">
        <v>522</v>
      </c>
      <c r="F417" s="5">
        <v>515</v>
      </c>
      <c r="G417" s="6">
        <f t="shared" si="99"/>
        <v>-7</v>
      </c>
      <c r="H417" s="7">
        <f t="shared" si="100"/>
        <v>-1.3409961685823755E-2</v>
      </c>
      <c r="J417" s="3"/>
      <c r="K417" s="3"/>
      <c r="L417" s="7"/>
    </row>
    <row r="418" spans="1:16" x14ac:dyDescent="0.25">
      <c r="D418" s="17" t="s">
        <v>414</v>
      </c>
      <c r="E418" s="5">
        <v>863</v>
      </c>
      <c r="F418" s="5">
        <v>858</v>
      </c>
      <c r="G418" s="6">
        <f t="shared" si="99"/>
        <v>-5</v>
      </c>
      <c r="H418" s="7">
        <f t="shared" si="100"/>
        <v>-5.7937427578215531E-3</v>
      </c>
      <c r="J418" s="3"/>
      <c r="K418" s="3"/>
      <c r="L418" s="7"/>
    </row>
    <row r="419" spans="1:16" x14ac:dyDescent="0.25">
      <c r="D419" s="4" t="s">
        <v>415</v>
      </c>
      <c r="E419" s="5">
        <v>689</v>
      </c>
      <c r="F419" s="5">
        <v>664</v>
      </c>
      <c r="G419" s="6">
        <f t="shared" si="99"/>
        <v>-25</v>
      </c>
      <c r="H419" s="7">
        <f t="shared" si="100"/>
        <v>-3.6284470246734396E-2</v>
      </c>
      <c r="J419" s="3"/>
      <c r="K419" s="3"/>
      <c r="L419" s="7"/>
    </row>
    <row r="420" spans="1:16" x14ac:dyDescent="0.25">
      <c r="D420" s="4" t="s">
        <v>416</v>
      </c>
      <c r="E420" s="5">
        <v>604</v>
      </c>
      <c r="F420" s="5">
        <v>599</v>
      </c>
      <c r="G420" s="6">
        <f t="shared" si="99"/>
        <v>-5</v>
      </c>
      <c r="H420" s="7">
        <f t="shared" si="100"/>
        <v>-8.2781456953642391E-3</v>
      </c>
      <c r="J420" s="3"/>
      <c r="K420" s="3"/>
      <c r="L420" s="7"/>
    </row>
    <row r="421" spans="1:16" x14ac:dyDescent="0.25">
      <c r="D421" s="4" t="s">
        <v>417</v>
      </c>
      <c r="E421" s="5">
        <v>1495</v>
      </c>
      <c r="F421" s="5">
        <v>1505</v>
      </c>
      <c r="G421" s="6">
        <f t="shared" si="99"/>
        <v>10</v>
      </c>
      <c r="H421" s="7">
        <f t="shared" si="100"/>
        <v>6.688963210702341E-3</v>
      </c>
      <c r="J421" s="3"/>
      <c r="K421" s="3"/>
      <c r="L421" s="7"/>
    </row>
    <row r="422" spans="1:16" x14ac:dyDescent="0.25">
      <c r="D422" s="4" t="s">
        <v>418</v>
      </c>
      <c r="E422" s="5">
        <v>1460</v>
      </c>
      <c r="F422" s="5">
        <v>1475</v>
      </c>
      <c r="G422" s="6">
        <f t="shared" si="99"/>
        <v>15</v>
      </c>
      <c r="H422" s="7">
        <f t="shared" si="100"/>
        <v>1.0273972602739725E-2</v>
      </c>
      <c r="J422" s="3"/>
      <c r="K422" s="3"/>
      <c r="L422" s="7"/>
    </row>
    <row r="423" spans="1:16" x14ac:dyDescent="0.25">
      <c r="D423" s="4" t="s">
        <v>419</v>
      </c>
      <c r="E423" s="5">
        <v>859</v>
      </c>
      <c r="F423" s="5">
        <v>854</v>
      </c>
      <c r="G423" s="6">
        <f t="shared" si="99"/>
        <v>-5</v>
      </c>
      <c r="H423" s="7">
        <f t="shared" si="100"/>
        <v>-5.8207217694994182E-3</v>
      </c>
      <c r="J423" s="3"/>
      <c r="K423" s="3"/>
      <c r="L423" s="7"/>
    </row>
    <row r="424" spans="1:16" x14ac:dyDescent="0.25">
      <c r="D424" s="4" t="s">
        <v>420</v>
      </c>
      <c r="E424" s="5">
        <v>774</v>
      </c>
      <c r="F424" s="5">
        <v>764</v>
      </c>
      <c r="G424" s="6">
        <f t="shared" si="99"/>
        <v>-10</v>
      </c>
      <c r="H424" s="7">
        <f t="shared" si="100"/>
        <v>-1.2919896640826873E-2</v>
      </c>
      <c r="J424" s="3"/>
      <c r="K424" s="3"/>
      <c r="L424" s="7"/>
    </row>
    <row r="425" spans="1:16" x14ac:dyDescent="0.25">
      <c r="D425" s="4" t="s">
        <v>421</v>
      </c>
      <c r="E425" s="5">
        <v>1032</v>
      </c>
      <c r="F425" s="5">
        <v>1027</v>
      </c>
      <c r="G425" s="6">
        <f t="shared" si="99"/>
        <v>-5</v>
      </c>
      <c r="H425" s="7">
        <f t="shared" si="100"/>
        <v>-4.8449612403100775E-3</v>
      </c>
      <c r="J425" s="3"/>
      <c r="K425" s="3"/>
      <c r="L425" s="7"/>
    </row>
    <row r="426" spans="1:16" s="3" customFormat="1" x14ac:dyDescent="0.25">
      <c r="A426"/>
      <c r="B426"/>
      <c r="C426"/>
      <c r="D426" s="2" t="s">
        <v>422</v>
      </c>
      <c r="H426" s="10">
        <f>AVERAGE(H416:H425)</f>
        <v>-1.0074610708008112E-2</v>
      </c>
      <c r="J426"/>
      <c r="K426"/>
      <c r="L426"/>
      <c r="M426"/>
      <c r="N426"/>
      <c r="P426" s="30"/>
    </row>
  </sheetData>
  <autoFilter ref="A1:M426" xr:uid="{00000000-0009-0000-0000-000001000000}"/>
  <pageMargins left="0.7" right="0.7" top="0.75" bottom="0.75" header="0.3" footer="0.3"/>
  <pageSetup orientation="portrait" horizontalDpi="1200" verticalDpi="12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B92D-089E-4DAC-8BB8-C4D71F641BA5}">
  <dimension ref="A1:P426"/>
  <sheetViews>
    <sheetView workbookViewId="0">
      <pane ySplit="2" topLeftCell="A72" activePane="bottomLeft" state="frozen"/>
      <selection pane="bottomLeft" activeCell="D97" sqref="D97"/>
    </sheetView>
  </sheetViews>
  <sheetFormatPr defaultColWidth="9.140625" defaultRowHeight="15" x14ac:dyDescent="0.25"/>
  <cols>
    <col min="1" max="1" width="4" bestFit="1" customWidth="1"/>
    <col min="2" max="2" width="14.85546875" customWidth="1"/>
    <col min="3" max="3" width="9" customWidth="1"/>
    <col min="4" max="4" width="76.7109375" customWidth="1"/>
    <col min="5" max="5" width="28.42578125" style="3" customWidth="1"/>
    <col min="6" max="6" width="29.5703125" style="3" customWidth="1"/>
    <col min="7" max="7" width="8.28515625" style="3" customWidth="1"/>
    <col min="8" max="8" width="7.7109375" style="3" customWidth="1"/>
    <col min="9" max="9" width="28.42578125" style="3" customWidth="1"/>
    <col min="10" max="10" width="29.5703125" customWidth="1"/>
    <col min="16" max="16" width="9.140625" style="30"/>
  </cols>
  <sheetData>
    <row r="1" spans="1:16" x14ac:dyDescent="0.25">
      <c r="E1" s="1" t="s">
        <v>0</v>
      </c>
      <c r="F1" s="1" t="s">
        <v>0</v>
      </c>
      <c r="G1" s="1"/>
      <c r="H1" s="1"/>
      <c r="I1" s="1" t="s">
        <v>1</v>
      </c>
      <c r="J1" s="1" t="s">
        <v>1</v>
      </c>
      <c r="M1" t="s">
        <v>2</v>
      </c>
    </row>
    <row r="2" spans="1:16" x14ac:dyDescent="0.25">
      <c r="B2" t="s">
        <v>3</v>
      </c>
      <c r="C2" t="s">
        <v>4</v>
      </c>
      <c r="D2" t="s">
        <v>5</v>
      </c>
      <c r="E2" s="1" t="s">
        <v>511</v>
      </c>
      <c r="F2" s="1" t="s">
        <v>513</v>
      </c>
      <c r="G2" s="1"/>
      <c r="H2" s="1"/>
      <c r="I2" s="1" t="s">
        <v>511</v>
      </c>
      <c r="J2" s="1" t="s">
        <v>513</v>
      </c>
    </row>
    <row r="3" spans="1:16" x14ac:dyDescent="0.25">
      <c r="A3">
        <v>1</v>
      </c>
      <c r="D3" s="2" t="s">
        <v>6</v>
      </c>
      <c r="M3" t="s">
        <v>7</v>
      </c>
    </row>
    <row r="4" spans="1:16" x14ac:dyDescent="0.25">
      <c r="A4">
        <v>2</v>
      </c>
      <c r="C4" t="s">
        <v>8</v>
      </c>
      <c r="D4" s="4" t="s">
        <v>9</v>
      </c>
      <c r="E4" s="5">
        <v>721</v>
      </c>
      <c r="F4" s="5">
        <v>761</v>
      </c>
      <c r="G4" s="6">
        <f t="shared" ref="G4:G23" si="0">+F4-E4</f>
        <v>40</v>
      </c>
      <c r="H4" s="7">
        <f t="shared" ref="H4:H23" si="1">(F4-E4)/ABS(E4)</f>
        <v>5.5478502080443831E-2</v>
      </c>
      <c r="I4" s="8">
        <v>869.71147161066051</v>
      </c>
      <c r="J4" s="9">
        <f t="shared" ref="J4:J23" si="2">(I4*H4)+I4</f>
        <v>917.96176129779838</v>
      </c>
      <c r="K4" s="3">
        <f t="shared" ref="K4:K23" si="3">J4-I4</f>
        <v>48.250289687137865</v>
      </c>
      <c r="L4" s="7">
        <f t="shared" ref="L4:L23" si="4">(J4-I4)/ABS(I4)</f>
        <v>5.5478502080443796E-2</v>
      </c>
      <c r="M4" t="s">
        <v>7</v>
      </c>
      <c r="O4" s="3">
        <f>E4-'290710 - P1223'!F4</f>
        <v>20</v>
      </c>
      <c r="P4" s="30">
        <f>I4-'290710 - P1223'!J4</f>
        <v>24.125144843568933</v>
      </c>
    </row>
    <row r="5" spans="1:16" x14ac:dyDescent="0.25">
      <c r="A5">
        <v>3</v>
      </c>
      <c r="D5" s="4" t="s">
        <v>10</v>
      </c>
      <c r="E5" s="8">
        <v>721</v>
      </c>
      <c r="F5" s="8">
        <f>F4</f>
        <v>761</v>
      </c>
      <c r="G5" s="6">
        <f t="shared" si="0"/>
        <v>40</v>
      </c>
      <c r="H5" s="7">
        <f t="shared" si="1"/>
        <v>5.5478502080443831E-2</v>
      </c>
      <c r="I5" s="8">
        <v>869.71147161066051</v>
      </c>
      <c r="J5" s="9">
        <f t="shared" si="2"/>
        <v>917.96176129779838</v>
      </c>
      <c r="K5" s="3">
        <f t="shared" si="3"/>
        <v>48.250289687137865</v>
      </c>
      <c r="L5" s="7">
        <f t="shared" si="4"/>
        <v>5.5478502080443796E-2</v>
      </c>
      <c r="M5" t="s">
        <v>7</v>
      </c>
      <c r="O5" s="3">
        <f>E5-'290710 - P1223'!F5</f>
        <v>20</v>
      </c>
      <c r="P5" s="30">
        <f>I5-'290710 - P1223'!J5</f>
        <v>24.125144843568933</v>
      </c>
    </row>
    <row r="6" spans="1:16" x14ac:dyDescent="0.25">
      <c r="A6">
        <v>4</v>
      </c>
      <c r="D6" s="4" t="s">
        <v>11</v>
      </c>
      <c r="E6" s="8">
        <v>721</v>
      </c>
      <c r="F6" s="8">
        <f>F4</f>
        <v>761</v>
      </c>
      <c r="G6" s="6">
        <f t="shared" si="0"/>
        <v>40</v>
      </c>
      <c r="H6" s="7">
        <f t="shared" si="1"/>
        <v>5.5478502080443831E-2</v>
      </c>
      <c r="I6" s="8">
        <v>869.71147161066051</v>
      </c>
      <c r="J6" s="9">
        <f t="shared" si="2"/>
        <v>917.96176129779838</v>
      </c>
      <c r="K6" s="3">
        <f t="shared" si="3"/>
        <v>48.250289687137865</v>
      </c>
      <c r="L6" s="7">
        <f t="shared" si="4"/>
        <v>5.5478502080443796E-2</v>
      </c>
      <c r="M6" t="s">
        <v>7</v>
      </c>
      <c r="O6" s="3">
        <f>E6-'290710 - P1223'!F6</f>
        <v>20</v>
      </c>
      <c r="P6" s="30">
        <f>I6-'290710 - P1223'!J6</f>
        <v>24.125144843568933</v>
      </c>
    </row>
    <row r="7" spans="1:16" x14ac:dyDescent="0.25">
      <c r="A7">
        <v>5</v>
      </c>
      <c r="C7" t="s">
        <v>8</v>
      </c>
      <c r="D7" s="4" t="s">
        <v>12</v>
      </c>
      <c r="E7" s="5">
        <v>666</v>
      </c>
      <c r="F7" s="5">
        <v>711</v>
      </c>
      <c r="G7" s="6">
        <f t="shared" si="0"/>
        <v>45</v>
      </c>
      <c r="H7" s="7">
        <f t="shared" si="1"/>
        <v>6.7567567567567571E-2</v>
      </c>
      <c r="I7" s="8">
        <v>859.70049504950487</v>
      </c>
      <c r="J7" s="9">
        <f t="shared" si="2"/>
        <v>917.78836633663354</v>
      </c>
      <c r="K7" s="3">
        <f t="shared" si="3"/>
        <v>58.087871287128678</v>
      </c>
      <c r="L7" s="7">
        <f t="shared" si="4"/>
        <v>6.756756756756753E-2</v>
      </c>
      <c r="M7" t="s">
        <v>7</v>
      </c>
      <c r="N7" s="27"/>
      <c r="O7" s="3">
        <f>E7-'290710 - P1223'!F7</f>
        <v>60</v>
      </c>
      <c r="P7" s="30">
        <f>I7-'290710 - P1223'!J7</f>
        <v>77.45049504950498</v>
      </c>
    </row>
    <row r="8" spans="1:16" x14ac:dyDescent="0.25">
      <c r="A8">
        <v>6</v>
      </c>
      <c r="D8" s="4" t="s">
        <v>13</v>
      </c>
      <c r="E8" s="8">
        <v>666</v>
      </c>
      <c r="F8" s="8">
        <f>F7</f>
        <v>711</v>
      </c>
      <c r="G8" s="6">
        <f t="shared" si="0"/>
        <v>45</v>
      </c>
      <c r="H8" s="7">
        <f t="shared" si="1"/>
        <v>6.7567567567567571E-2</v>
      </c>
      <c r="I8" s="8">
        <v>859.70049504950487</v>
      </c>
      <c r="J8" s="9">
        <f t="shared" si="2"/>
        <v>917.78836633663354</v>
      </c>
      <c r="K8" s="3">
        <f t="shared" si="3"/>
        <v>58.087871287128678</v>
      </c>
      <c r="L8" s="7">
        <f t="shared" si="4"/>
        <v>6.756756756756753E-2</v>
      </c>
      <c r="M8" t="s">
        <v>7</v>
      </c>
      <c r="N8" s="27"/>
      <c r="O8" s="3">
        <f>E8-'290710 - P1223'!F8</f>
        <v>60</v>
      </c>
      <c r="P8" s="30">
        <f>I8-'290710 - P1223'!J8</f>
        <v>77.45049504950498</v>
      </c>
    </row>
    <row r="9" spans="1:16" x14ac:dyDescent="0.25">
      <c r="A9">
        <v>7</v>
      </c>
      <c r="D9" s="4" t="s">
        <v>14</v>
      </c>
      <c r="E9" s="8">
        <v>666</v>
      </c>
      <c r="F9" s="8">
        <f>F7</f>
        <v>711</v>
      </c>
      <c r="G9" s="6">
        <f t="shared" si="0"/>
        <v>45</v>
      </c>
      <c r="H9" s="7">
        <f t="shared" si="1"/>
        <v>6.7567567567567571E-2</v>
      </c>
      <c r="I9" s="8">
        <v>859.70049504950487</v>
      </c>
      <c r="J9" s="9">
        <f t="shared" si="2"/>
        <v>917.78836633663354</v>
      </c>
      <c r="K9" s="3">
        <f t="shared" si="3"/>
        <v>58.087871287128678</v>
      </c>
      <c r="L9" s="7">
        <f t="shared" si="4"/>
        <v>6.756756756756753E-2</v>
      </c>
      <c r="M9" t="s">
        <v>7</v>
      </c>
      <c r="N9" s="27"/>
      <c r="O9" s="3">
        <f>E9-'290710 - P1223'!F9</f>
        <v>60</v>
      </c>
      <c r="P9" s="30">
        <f>I9-'290710 - P1223'!J9</f>
        <v>77.45049504950498</v>
      </c>
    </row>
    <row r="10" spans="1:16" x14ac:dyDescent="0.25">
      <c r="A10">
        <v>8</v>
      </c>
      <c r="C10" t="s">
        <v>8</v>
      </c>
      <c r="D10" s="4" t="s">
        <v>15</v>
      </c>
      <c r="E10" s="5">
        <v>921</v>
      </c>
      <c r="F10" s="5">
        <v>964</v>
      </c>
      <c r="G10" s="6">
        <f t="shared" si="0"/>
        <v>43</v>
      </c>
      <c r="H10" s="7">
        <f t="shared" si="1"/>
        <v>4.6688382193268187E-2</v>
      </c>
      <c r="I10" s="8">
        <v>1223.1797509474827</v>
      </c>
      <c r="J10" s="9">
        <f t="shared" si="2"/>
        <v>1280.2880346507854</v>
      </c>
      <c r="K10" s="3">
        <f t="shared" si="3"/>
        <v>57.108283703302732</v>
      </c>
      <c r="L10" s="7">
        <f t="shared" si="4"/>
        <v>4.6688382193268242E-2</v>
      </c>
      <c r="M10" t="s">
        <v>7</v>
      </c>
      <c r="N10" s="27"/>
      <c r="O10" s="3">
        <f>E10-'290710 - P1223'!F10</f>
        <v>-39</v>
      </c>
      <c r="P10" s="30">
        <f>I10-'290710 - P1223'!J10</f>
        <v>-51.795885219274624</v>
      </c>
    </row>
    <row r="11" spans="1:16" x14ac:dyDescent="0.25">
      <c r="A11">
        <v>9</v>
      </c>
      <c r="D11" s="4" t="s">
        <v>16</v>
      </c>
      <c r="E11" s="8">
        <v>921</v>
      </c>
      <c r="F11" s="8">
        <f>F10</f>
        <v>964</v>
      </c>
      <c r="G11" s="6">
        <f t="shared" si="0"/>
        <v>43</v>
      </c>
      <c r="H11" s="7">
        <f t="shared" si="1"/>
        <v>4.6688382193268187E-2</v>
      </c>
      <c r="I11" s="8">
        <v>1223.1797509474827</v>
      </c>
      <c r="J11" s="9">
        <f t="shared" si="2"/>
        <v>1280.2880346507854</v>
      </c>
      <c r="K11" s="3">
        <f t="shared" si="3"/>
        <v>57.108283703302732</v>
      </c>
      <c r="L11" s="7">
        <f t="shared" si="4"/>
        <v>4.6688382193268242E-2</v>
      </c>
      <c r="M11" t="s">
        <v>7</v>
      </c>
      <c r="N11" s="27"/>
      <c r="O11" s="3">
        <f>E11-'290710 - P1223'!F11</f>
        <v>-39</v>
      </c>
      <c r="P11" s="30">
        <f>I11-'290710 - P1223'!J11</f>
        <v>-51.795885219274624</v>
      </c>
    </row>
    <row r="12" spans="1:16" x14ac:dyDescent="0.25">
      <c r="A12">
        <v>10</v>
      </c>
      <c r="C12" t="s">
        <v>8</v>
      </c>
      <c r="D12" s="4" t="s">
        <v>17</v>
      </c>
      <c r="E12" s="5">
        <v>819</v>
      </c>
      <c r="F12" s="5">
        <v>862</v>
      </c>
      <c r="G12" s="6">
        <f t="shared" si="0"/>
        <v>43</v>
      </c>
      <c r="H12" s="7">
        <f t="shared" si="1"/>
        <v>5.2503052503052504E-2</v>
      </c>
      <c r="I12" s="8">
        <v>976.94366197183126</v>
      </c>
      <c r="J12" s="9">
        <f t="shared" si="2"/>
        <v>1028.2361863488627</v>
      </c>
      <c r="K12" s="3">
        <f t="shared" si="3"/>
        <v>51.292524377031441</v>
      </c>
      <c r="L12" s="7">
        <f t="shared" si="4"/>
        <v>5.2503052503052511E-2</v>
      </c>
      <c r="M12" t="s">
        <v>7</v>
      </c>
      <c r="N12" s="27"/>
      <c r="O12" s="3">
        <f>E12-'290710 - P1223'!F12</f>
        <v>12</v>
      </c>
      <c r="P12" s="30">
        <f>I12-'290710 - P1223'!J12</f>
        <v>14.314192849404094</v>
      </c>
    </row>
    <row r="13" spans="1:16" x14ac:dyDescent="0.25">
      <c r="A13">
        <v>11</v>
      </c>
      <c r="D13" s="4" t="s">
        <v>18</v>
      </c>
      <c r="E13" s="8">
        <v>819</v>
      </c>
      <c r="F13" s="8">
        <f>F12</f>
        <v>862</v>
      </c>
      <c r="G13" s="6">
        <f t="shared" si="0"/>
        <v>43</v>
      </c>
      <c r="H13" s="7">
        <f t="shared" si="1"/>
        <v>5.2503052503052504E-2</v>
      </c>
      <c r="I13" s="8">
        <v>976.94366197183126</v>
      </c>
      <c r="J13" s="9">
        <f t="shared" si="2"/>
        <v>1028.2361863488627</v>
      </c>
      <c r="K13" s="3">
        <f t="shared" si="3"/>
        <v>51.292524377031441</v>
      </c>
      <c r="L13" s="7">
        <f t="shared" si="4"/>
        <v>5.2503052503052511E-2</v>
      </c>
      <c r="M13" t="s">
        <v>7</v>
      </c>
      <c r="N13" s="27"/>
      <c r="O13" s="3">
        <f>E13-'290710 - P1223'!F13</f>
        <v>12</v>
      </c>
      <c r="P13" s="30">
        <f>I13-'290710 - P1223'!J13</f>
        <v>14.314192849404094</v>
      </c>
    </row>
    <row r="14" spans="1:16" x14ac:dyDescent="0.25">
      <c r="A14">
        <v>12</v>
      </c>
      <c r="D14" s="4" t="s">
        <v>19</v>
      </c>
      <c r="E14" s="5">
        <v>825</v>
      </c>
      <c r="F14" s="5">
        <v>866</v>
      </c>
      <c r="G14" s="6">
        <f t="shared" si="0"/>
        <v>41</v>
      </c>
      <c r="H14" s="7">
        <f t="shared" si="1"/>
        <v>4.9696969696969698E-2</v>
      </c>
      <c r="I14" s="8">
        <v>1060.4768300873068</v>
      </c>
      <c r="J14" s="9">
        <f t="shared" si="2"/>
        <v>1113.1793149764942</v>
      </c>
      <c r="K14" s="3">
        <f t="shared" si="3"/>
        <v>52.702484889187417</v>
      </c>
      <c r="L14" s="7">
        <f t="shared" si="4"/>
        <v>4.9696969696969746E-2</v>
      </c>
      <c r="M14" t="s">
        <v>7</v>
      </c>
      <c r="N14" s="27"/>
      <c r="O14" s="3">
        <f>E14-'290710 - P1223'!F14</f>
        <v>2</v>
      </c>
      <c r="P14" s="30">
        <f>I14-'290710 - P1223'!J14</f>
        <v>2.5708529214236933</v>
      </c>
    </row>
    <row r="15" spans="1:16" x14ac:dyDescent="0.25">
      <c r="A15">
        <v>13</v>
      </c>
      <c r="D15" s="4" t="s">
        <v>20</v>
      </c>
      <c r="E15" s="8">
        <v>825</v>
      </c>
      <c r="F15" s="8">
        <f>F14</f>
        <v>866</v>
      </c>
      <c r="G15" s="6">
        <f t="shared" si="0"/>
        <v>41</v>
      </c>
      <c r="H15" s="7">
        <f t="shared" si="1"/>
        <v>4.9696969696969698E-2</v>
      </c>
      <c r="I15" s="8">
        <v>1060.4768300873068</v>
      </c>
      <c r="J15" s="9">
        <f t="shared" si="2"/>
        <v>1113.1793149764942</v>
      </c>
      <c r="K15" s="3">
        <f t="shared" si="3"/>
        <v>52.702484889187417</v>
      </c>
      <c r="L15" s="7">
        <f t="shared" si="4"/>
        <v>4.9696969696969746E-2</v>
      </c>
      <c r="M15" t="s">
        <v>7</v>
      </c>
      <c r="N15" s="27"/>
      <c r="O15" s="3">
        <f>E15-'290710 - P1223'!F15</f>
        <v>2</v>
      </c>
      <c r="P15" s="30">
        <f>I15-'290710 - P1223'!J15</f>
        <v>2.5708529214236933</v>
      </c>
    </row>
    <row r="16" spans="1:16" x14ac:dyDescent="0.25">
      <c r="A16">
        <v>14</v>
      </c>
      <c r="C16" t="s">
        <v>8</v>
      </c>
      <c r="D16" s="4" t="s">
        <v>21</v>
      </c>
      <c r="E16" s="5">
        <v>903</v>
      </c>
      <c r="F16" s="5">
        <v>878</v>
      </c>
      <c r="G16" s="6">
        <f t="shared" si="0"/>
        <v>-25</v>
      </c>
      <c r="H16" s="7">
        <f t="shared" si="1"/>
        <v>-2.768549280177187E-2</v>
      </c>
      <c r="I16" s="8">
        <v>1271.9677419354839</v>
      </c>
      <c r="J16" s="9">
        <f t="shared" si="2"/>
        <v>1236.752688172043</v>
      </c>
      <c r="K16" s="3">
        <f t="shared" si="3"/>
        <v>-35.215053763440892</v>
      </c>
      <c r="L16" s="7">
        <f t="shared" si="4"/>
        <v>-2.7685492801771894E-2</v>
      </c>
      <c r="M16" t="s">
        <v>7</v>
      </c>
      <c r="N16" s="27"/>
      <c r="O16" s="3">
        <f>E16-'290710 - P1223'!F16</f>
        <v>-88</v>
      </c>
      <c r="P16" s="30">
        <f>I16-'290710 - P1223'!J16</f>
        <v>-123.95698924731187</v>
      </c>
    </row>
    <row r="17" spans="1:16" x14ac:dyDescent="0.25">
      <c r="A17">
        <v>15</v>
      </c>
      <c r="D17" s="4" t="s">
        <v>22</v>
      </c>
      <c r="E17" s="8">
        <v>903</v>
      </c>
      <c r="F17" s="8">
        <f>F16</f>
        <v>878</v>
      </c>
      <c r="G17" s="6">
        <f t="shared" si="0"/>
        <v>-25</v>
      </c>
      <c r="H17" s="7">
        <f t="shared" si="1"/>
        <v>-2.768549280177187E-2</v>
      </c>
      <c r="I17" s="8">
        <v>1271.9677419354839</v>
      </c>
      <c r="J17" s="9">
        <f t="shared" si="2"/>
        <v>1236.752688172043</v>
      </c>
      <c r="K17" s="3">
        <f t="shared" si="3"/>
        <v>-35.215053763440892</v>
      </c>
      <c r="L17" s="7">
        <f t="shared" si="4"/>
        <v>-2.7685492801771894E-2</v>
      </c>
      <c r="M17" t="s">
        <v>7</v>
      </c>
      <c r="N17" s="27"/>
      <c r="O17" s="3">
        <f>E17-'290710 - P1223'!F17</f>
        <v>-88</v>
      </c>
      <c r="P17" s="30">
        <f>I17-'290710 - P1223'!J17</f>
        <v>-123.95698924731187</v>
      </c>
    </row>
    <row r="18" spans="1:16" x14ac:dyDescent="0.25">
      <c r="A18">
        <v>16</v>
      </c>
      <c r="C18" t="s">
        <v>8</v>
      </c>
      <c r="D18" s="4" t="s">
        <v>23</v>
      </c>
      <c r="E18" s="5">
        <v>1032</v>
      </c>
      <c r="F18" s="5">
        <v>1079</v>
      </c>
      <c r="G18" s="6">
        <f t="shared" si="0"/>
        <v>47</v>
      </c>
      <c r="H18" s="7">
        <f t="shared" si="1"/>
        <v>4.5542635658914726E-2</v>
      </c>
      <c r="I18" s="8">
        <v>1434.2405063291135</v>
      </c>
      <c r="J18" s="9">
        <f t="shared" si="2"/>
        <v>1499.5595991561177</v>
      </c>
      <c r="K18" s="3">
        <f t="shared" si="3"/>
        <v>65.31909282700417</v>
      </c>
      <c r="L18" s="7">
        <f t="shared" si="4"/>
        <v>4.5542635658914705E-2</v>
      </c>
      <c r="M18" t="s">
        <v>7</v>
      </c>
      <c r="N18" s="27"/>
      <c r="O18" s="3">
        <f>E18-'290710 - P1223'!F18</f>
        <v>-60</v>
      </c>
      <c r="P18" s="30">
        <f>I18-'290710 - P1223'!J18</f>
        <v>-83.386075949367068</v>
      </c>
    </row>
    <row r="19" spans="1:16" x14ac:dyDescent="0.25">
      <c r="A19">
        <v>17</v>
      </c>
      <c r="D19" s="4" t="s">
        <v>24</v>
      </c>
      <c r="E19" s="8">
        <v>1032</v>
      </c>
      <c r="F19" s="8">
        <f>F18</f>
        <v>1079</v>
      </c>
      <c r="G19" s="6">
        <f t="shared" si="0"/>
        <v>47</v>
      </c>
      <c r="H19" s="7">
        <f t="shared" si="1"/>
        <v>4.5542635658914726E-2</v>
      </c>
      <c r="I19" s="8">
        <v>1434.2405063291135</v>
      </c>
      <c r="J19" s="9">
        <f t="shared" si="2"/>
        <v>1499.5595991561177</v>
      </c>
      <c r="K19" s="3">
        <f t="shared" si="3"/>
        <v>65.31909282700417</v>
      </c>
      <c r="L19" s="7">
        <f t="shared" si="4"/>
        <v>4.5542635658914705E-2</v>
      </c>
      <c r="M19" t="s">
        <v>7</v>
      </c>
      <c r="N19" s="27"/>
      <c r="O19" s="3">
        <f>E19-'290710 - P1223'!F19</f>
        <v>-60</v>
      </c>
      <c r="P19" s="30">
        <f>I19-'290710 - P1223'!J19</f>
        <v>-83.386075949367068</v>
      </c>
    </row>
    <row r="20" spans="1:16" x14ac:dyDescent="0.25">
      <c r="A20">
        <v>18</v>
      </c>
      <c r="C20" t="s">
        <v>8</v>
      </c>
      <c r="D20" s="4" t="s">
        <v>25</v>
      </c>
      <c r="E20" s="5">
        <v>49.68</v>
      </c>
      <c r="F20" s="5">
        <v>51.48</v>
      </c>
      <c r="G20" s="6">
        <f t="shared" si="0"/>
        <v>1.7999999999999972</v>
      </c>
      <c r="H20" s="7">
        <f t="shared" si="1"/>
        <v>3.623188405797096E-2</v>
      </c>
      <c r="I20" s="8">
        <v>2495.0751667298223</v>
      </c>
      <c r="J20" s="9">
        <f t="shared" si="2"/>
        <v>2585.4764408866999</v>
      </c>
      <c r="K20" s="3">
        <f t="shared" si="3"/>
        <v>90.401274156877662</v>
      </c>
      <c r="L20" s="7">
        <f t="shared" si="4"/>
        <v>3.623188405797103E-2</v>
      </c>
      <c r="M20" t="s">
        <v>7</v>
      </c>
      <c r="N20" s="27"/>
      <c r="O20" s="3">
        <f>E20-'290710 - P1223'!F20</f>
        <v>-2.8000000000000043</v>
      </c>
      <c r="P20" s="30">
        <f>I20-'290710 - P1223'!J20</f>
        <v>-140.62420424403217</v>
      </c>
    </row>
    <row r="21" spans="1:16" x14ac:dyDescent="0.25">
      <c r="A21">
        <v>19</v>
      </c>
      <c r="C21" t="s">
        <v>8</v>
      </c>
      <c r="D21" s="4" t="s">
        <v>26</v>
      </c>
      <c r="E21" s="5">
        <v>15.07</v>
      </c>
      <c r="F21" s="5">
        <v>15.07</v>
      </c>
      <c r="G21" s="6">
        <f t="shared" si="0"/>
        <v>0</v>
      </c>
      <c r="H21" s="7">
        <f t="shared" si="1"/>
        <v>0</v>
      </c>
      <c r="I21" s="8">
        <v>34.218057468646201</v>
      </c>
      <c r="J21" s="9">
        <f t="shared" si="2"/>
        <v>34.218057468646201</v>
      </c>
      <c r="K21" s="3">
        <f t="shared" si="3"/>
        <v>0</v>
      </c>
      <c r="L21" s="7">
        <f t="shared" si="4"/>
        <v>0</v>
      </c>
      <c r="M21" t="s">
        <v>7</v>
      </c>
      <c r="O21" s="3">
        <f>E21-'290710 - P1223'!F21</f>
        <v>0</v>
      </c>
      <c r="P21" s="30">
        <f>I21-'290710 - P1223'!J21</f>
        <v>0</v>
      </c>
    </row>
    <row r="22" spans="1:16" x14ac:dyDescent="0.25">
      <c r="A22">
        <v>20</v>
      </c>
      <c r="C22" t="s">
        <v>8</v>
      </c>
      <c r="D22" s="4" t="s">
        <v>27</v>
      </c>
      <c r="E22" s="5">
        <v>1390</v>
      </c>
      <c r="F22" s="5">
        <v>1390</v>
      </c>
      <c r="G22" s="6">
        <f t="shared" si="0"/>
        <v>0</v>
      </c>
      <c r="H22" s="7">
        <f t="shared" si="1"/>
        <v>0</v>
      </c>
      <c r="I22" s="8">
        <v>1984.805491990847</v>
      </c>
      <c r="J22" s="9">
        <f t="shared" si="2"/>
        <v>1984.805491990847</v>
      </c>
      <c r="K22" s="3">
        <f t="shared" si="3"/>
        <v>0</v>
      </c>
      <c r="L22" s="7">
        <f t="shared" si="4"/>
        <v>0</v>
      </c>
      <c r="M22" t="s">
        <v>7</v>
      </c>
      <c r="N22" s="27"/>
      <c r="O22" s="3">
        <f>E22-'290710 - P1223'!F22</f>
        <v>0</v>
      </c>
      <c r="P22" s="30">
        <f>I22-'290710 - P1223'!J22</f>
        <v>0</v>
      </c>
    </row>
    <row r="23" spans="1:16" x14ac:dyDescent="0.25">
      <c r="A23">
        <v>21</v>
      </c>
      <c r="D23" s="4" t="s">
        <v>28</v>
      </c>
      <c r="E23" s="8">
        <v>1390</v>
      </c>
      <c r="F23" s="8">
        <f>F22</f>
        <v>1390</v>
      </c>
      <c r="G23" s="6">
        <f t="shared" si="0"/>
        <v>0</v>
      </c>
      <c r="H23" s="7">
        <f t="shared" si="1"/>
        <v>0</v>
      </c>
      <c r="I23" s="8">
        <v>1984.805491990847</v>
      </c>
      <c r="J23" s="9">
        <f t="shared" si="2"/>
        <v>1984.805491990847</v>
      </c>
      <c r="K23" s="3">
        <f t="shared" si="3"/>
        <v>0</v>
      </c>
      <c r="L23" s="7">
        <f t="shared" si="4"/>
        <v>0</v>
      </c>
      <c r="M23" t="s">
        <v>7</v>
      </c>
      <c r="N23" s="27"/>
      <c r="O23" s="3">
        <f>E23-'290710 - P1223'!F23</f>
        <v>0</v>
      </c>
      <c r="P23" s="30">
        <f>I23-'290710 - P1223'!J23</f>
        <v>0</v>
      </c>
    </row>
    <row r="24" spans="1:16" x14ac:dyDescent="0.25">
      <c r="A24">
        <v>22</v>
      </c>
      <c r="D24" s="2" t="s">
        <v>29</v>
      </c>
      <c r="H24" s="10">
        <f>AVERAGE(H4:H23)</f>
        <v>3.6943059375143576E-2</v>
      </c>
      <c r="L24" s="10">
        <f>AVERAGE(L4:L23)</f>
        <v>3.694305937514359E-2</v>
      </c>
    </row>
    <row r="25" spans="1:16" x14ac:dyDescent="0.25">
      <c r="A25">
        <v>23</v>
      </c>
      <c r="D25" s="2" t="s">
        <v>30</v>
      </c>
      <c r="M25" t="s">
        <v>7</v>
      </c>
    </row>
    <row r="26" spans="1:16" x14ac:dyDescent="0.25">
      <c r="A26">
        <v>24</v>
      </c>
      <c r="D26" s="4" t="s">
        <v>31</v>
      </c>
      <c r="E26" s="5">
        <v>496</v>
      </c>
      <c r="F26" s="5">
        <v>491</v>
      </c>
      <c r="G26" s="6">
        <f t="shared" ref="G26:G31" si="5">+F26-E26</f>
        <v>-5</v>
      </c>
      <c r="H26" s="7">
        <f t="shared" ref="H26:H31" si="6">(F26-E26)/ABS(E26)</f>
        <v>-1.0080645161290322E-2</v>
      </c>
      <c r="I26" s="8">
        <v>824.59999999999991</v>
      </c>
      <c r="J26" s="9">
        <f t="shared" ref="J26:J31" si="7">(I26*H26)+I26</f>
        <v>816.28749999999991</v>
      </c>
      <c r="K26" s="3">
        <f t="shared" ref="K26:K31" si="8">J26-I26</f>
        <v>-8.3125</v>
      </c>
      <c r="L26" s="7">
        <f t="shared" ref="L26:L31" si="9">(J26-I26)/ABS(I26)</f>
        <v>-1.0080645161290324E-2</v>
      </c>
      <c r="M26" t="s">
        <v>7</v>
      </c>
      <c r="O26" s="3">
        <f>E26-'290710 - P1223'!F26</f>
        <v>28</v>
      </c>
      <c r="P26" s="30">
        <f>I26-'290710 - P1223'!J26</f>
        <v>46.549999999999955</v>
      </c>
    </row>
    <row r="27" spans="1:16" x14ac:dyDescent="0.25">
      <c r="A27">
        <v>25</v>
      </c>
      <c r="D27" s="4" t="s">
        <v>32</v>
      </c>
      <c r="E27" s="5">
        <v>546</v>
      </c>
      <c r="F27" s="5">
        <v>556</v>
      </c>
      <c r="G27" s="6">
        <f t="shared" si="5"/>
        <v>10</v>
      </c>
      <c r="H27" s="7">
        <f t="shared" si="6"/>
        <v>1.8315018315018316E-2</v>
      </c>
      <c r="I27" s="8">
        <v>716.26578947368398</v>
      </c>
      <c r="J27" s="9">
        <f>(I27*H27)+I27</f>
        <v>729.38421052631554</v>
      </c>
      <c r="K27" s="3">
        <f t="shared" si="8"/>
        <v>13.118421052631561</v>
      </c>
      <c r="L27" s="7">
        <f t="shared" si="9"/>
        <v>1.8315018315018295E-2</v>
      </c>
      <c r="M27" t="s">
        <v>7</v>
      </c>
      <c r="O27" s="3">
        <f>E27-'290710 - P1223'!F27</f>
        <v>48</v>
      </c>
      <c r="P27" s="30">
        <f>I27-'290710 - P1223'!J27</f>
        <v>62.968421052631584</v>
      </c>
    </row>
    <row r="28" spans="1:16" x14ac:dyDescent="0.25">
      <c r="A28">
        <v>26</v>
      </c>
      <c r="D28" s="4" t="s">
        <v>33</v>
      </c>
      <c r="E28" s="5">
        <v>546</v>
      </c>
      <c r="F28" s="5">
        <v>556</v>
      </c>
      <c r="G28" s="6">
        <f t="shared" si="5"/>
        <v>10</v>
      </c>
      <c r="H28" s="7">
        <f t="shared" si="6"/>
        <v>1.8315018315018316E-2</v>
      </c>
      <c r="I28" s="8">
        <v>650.17105263157896</v>
      </c>
      <c r="J28" s="9">
        <f t="shared" si="7"/>
        <v>662.07894736842104</v>
      </c>
      <c r="K28" s="3">
        <f t="shared" si="8"/>
        <v>11.907894736842081</v>
      </c>
      <c r="L28" s="7">
        <f t="shared" si="9"/>
        <v>1.8315018315018278E-2</v>
      </c>
      <c r="M28" t="s">
        <v>7</v>
      </c>
      <c r="O28" s="3">
        <f>E28-'290710 - P1223'!F28</f>
        <v>48</v>
      </c>
      <c r="P28" s="30">
        <f>I28-'290710 - P1223'!J28</f>
        <v>57.157894736842081</v>
      </c>
    </row>
    <row r="29" spans="1:16" x14ac:dyDescent="0.25">
      <c r="A29">
        <v>27</v>
      </c>
      <c r="D29" s="4" t="s">
        <v>34</v>
      </c>
      <c r="E29" s="5">
        <v>466</v>
      </c>
      <c r="F29" s="5">
        <v>461</v>
      </c>
      <c r="G29" s="6">
        <f t="shared" si="5"/>
        <v>-5</v>
      </c>
      <c r="H29" s="7">
        <f t="shared" si="6"/>
        <v>-1.0729613733905579E-2</v>
      </c>
      <c r="I29" s="8">
        <v>613.95500000000004</v>
      </c>
      <c r="J29" s="9">
        <f t="shared" si="7"/>
        <v>607.36750000000006</v>
      </c>
      <c r="K29" s="3">
        <f t="shared" si="8"/>
        <v>-6.5874999999999773</v>
      </c>
      <c r="L29" s="7">
        <f t="shared" si="9"/>
        <v>-1.0729613733905541E-2</v>
      </c>
      <c r="M29" t="s">
        <v>7</v>
      </c>
      <c r="O29" s="3">
        <f>E29-'290710 - P1223'!F29</f>
        <v>18</v>
      </c>
      <c r="P29" s="30">
        <f>I29-'290710 - P1223'!J29</f>
        <v>23.715000000000032</v>
      </c>
    </row>
    <row r="30" spans="1:16" x14ac:dyDescent="0.25">
      <c r="A30">
        <v>28</v>
      </c>
      <c r="D30" s="4" t="s">
        <v>35</v>
      </c>
      <c r="E30" s="5">
        <v>546</v>
      </c>
      <c r="F30" s="5">
        <v>561</v>
      </c>
      <c r="G30" s="6">
        <f t="shared" si="5"/>
        <v>15</v>
      </c>
      <c r="H30" s="7">
        <f t="shared" si="6"/>
        <v>2.7472527472527472E-2</v>
      </c>
      <c r="I30" s="8">
        <v>690.2264150943397</v>
      </c>
      <c r="J30" s="9">
        <f t="shared" si="7"/>
        <v>709.18867924528308</v>
      </c>
      <c r="K30" s="3">
        <f t="shared" si="8"/>
        <v>18.962264150943383</v>
      </c>
      <c r="L30" s="7">
        <f t="shared" si="9"/>
        <v>2.7472527472527451E-2</v>
      </c>
      <c r="M30" t="s">
        <v>7</v>
      </c>
      <c r="O30" s="3">
        <f>E30-'290710 - P1223'!F30</f>
        <v>33</v>
      </c>
      <c r="P30" s="30">
        <f>I30-'290710 - P1223'!J30</f>
        <v>41.716981132075489</v>
      </c>
    </row>
    <row r="31" spans="1:16" x14ac:dyDescent="0.25">
      <c r="A31">
        <v>29</v>
      </c>
      <c r="D31" s="4" t="s">
        <v>36</v>
      </c>
      <c r="E31" s="5">
        <v>546</v>
      </c>
      <c r="F31" s="5">
        <v>561</v>
      </c>
      <c r="G31" s="6">
        <f t="shared" si="5"/>
        <v>15</v>
      </c>
      <c r="H31" s="7">
        <f t="shared" si="6"/>
        <v>2.7472527472527472E-2</v>
      </c>
      <c r="I31" s="8">
        <v>663.44150943396244</v>
      </c>
      <c r="J31" s="9">
        <f t="shared" si="7"/>
        <v>681.66792452830202</v>
      </c>
      <c r="K31" s="3">
        <f t="shared" si="8"/>
        <v>18.226415094339586</v>
      </c>
      <c r="L31" s="7">
        <f t="shared" si="9"/>
        <v>2.747252747252741E-2</v>
      </c>
      <c r="M31" t="s">
        <v>7</v>
      </c>
      <c r="O31" s="3">
        <f>E31-'290710 - P1223'!F31</f>
        <v>33</v>
      </c>
      <c r="P31" s="30">
        <f>I31-'290710 - P1223'!J31</f>
        <v>40.098113207547158</v>
      </c>
    </row>
    <row r="32" spans="1:16" x14ac:dyDescent="0.25">
      <c r="A32">
        <v>30</v>
      </c>
      <c r="D32" s="2" t="s">
        <v>37</v>
      </c>
      <c r="H32" s="10">
        <f>AVERAGE(H26:H31)</f>
        <v>1.1794138779982611E-2</v>
      </c>
      <c r="L32" s="10">
        <f>AVERAGE(L26:L31)</f>
        <v>1.1794138779982595E-2</v>
      </c>
    </row>
    <row r="33" spans="1:16" x14ac:dyDescent="0.25">
      <c r="A33">
        <v>31</v>
      </c>
      <c r="D33" s="2" t="s">
        <v>38</v>
      </c>
      <c r="M33" t="s">
        <v>7</v>
      </c>
    </row>
    <row r="34" spans="1:16" x14ac:dyDescent="0.25">
      <c r="A34">
        <v>32</v>
      </c>
      <c r="D34" s="4" t="s">
        <v>39</v>
      </c>
      <c r="E34" s="5">
        <v>565</v>
      </c>
      <c r="F34" s="5">
        <v>600</v>
      </c>
      <c r="G34" s="6">
        <f t="shared" ref="G34:G62" si="10">+F34-E34</f>
        <v>35</v>
      </c>
      <c r="H34" s="7">
        <f t="shared" ref="H34:H62" si="11">(F34-E34)/ABS(E34)</f>
        <v>6.1946902654867256E-2</v>
      </c>
      <c r="I34" s="8">
        <v>642.44396551724117</v>
      </c>
      <c r="J34" s="9">
        <f t="shared" ref="J34:J62" si="12">(I34*H34)+I34</f>
        <v>682.24137931034466</v>
      </c>
      <c r="K34" s="3">
        <f t="shared" ref="K34:K62" si="13">J34-I34</f>
        <v>39.797413793103487</v>
      </c>
      <c r="L34" s="7">
        <f t="shared" ref="L34:L62" si="14">(J34-I34)/ABS(I34)</f>
        <v>6.1946902654867339E-2</v>
      </c>
      <c r="M34" t="s">
        <v>7</v>
      </c>
      <c r="O34" s="3">
        <f>E34-'290710 - P1223'!F34</f>
        <v>35</v>
      </c>
      <c r="P34" s="30">
        <f>I34-'290710 - P1223'!J34</f>
        <v>39.79741379310326</v>
      </c>
    </row>
    <row r="35" spans="1:16" x14ac:dyDescent="0.25">
      <c r="A35">
        <v>33</v>
      </c>
      <c r="D35" s="4" t="s">
        <v>40</v>
      </c>
      <c r="E35" s="8">
        <v>565</v>
      </c>
      <c r="F35" s="8">
        <f>F34</f>
        <v>600</v>
      </c>
      <c r="G35" s="6">
        <f t="shared" si="10"/>
        <v>35</v>
      </c>
      <c r="H35" s="7">
        <f t="shared" si="11"/>
        <v>6.1946902654867256E-2</v>
      </c>
      <c r="I35" s="8">
        <v>642.44396551724139</v>
      </c>
      <c r="J35" s="9">
        <f t="shared" si="12"/>
        <v>682.24137931034488</v>
      </c>
      <c r="K35" s="3">
        <f t="shared" si="13"/>
        <v>39.797413793103487</v>
      </c>
      <c r="L35" s="7">
        <f t="shared" si="14"/>
        <v>6.1946902654867318E-2</v>
      </c>
      <c r="M35" t="s">
        <v>7</v>
      </c>
      <c r="O35" s="3">
        <f>E35-'290710 - P1223'!F35</f>
        <v>35</v>
      </c>
      <c r="P35" s="30">
        <f>I35-'290710 - P1223'!J35</f>
        <v>39.797413793103487</v>
      </c>
    </row>
    <row r="36" spans="1:16" x14ac:dyDescent="0.25">
      <c r="A36">
        <v>34</v>
      </c>
      <c r="D36" s="4" t="s">
        <v>41</v>
      </c>
      <c r="E36" s="8">
        <v>565</v>
      </c>
      <c r="F36" s="8">
        <f>F34</f>
        <v>600</v>
      </c>
      <c r="G36" s="6">
        <f t="shared" si="10"/>
        <v>35</v>
      </c>
      <c r="H36" s="7">
        <f t="shared" si="11"/>
        <v>6.1946902654867256E-2</v>
      </c>
      <c r="I36" s="8">
        <v>642.44396551724139</v>
      </c>
      <c r="J36" s="9">
        <f t="shared" si="12"/>
        <v>682.24137931034488</v>
      </c>
      <c r="K36" s="3">
        <f t="shared" si="13"/>
        <v>39.797413793103487</v>
      </c>
      <c r="L36" s="7">
        <f t="shared" si="14"/>
        <v>6.1946902654867318E-2</v>
      </c>
      <c r="M36" t="s">
        <v>7</v>
      </c>
      <c r="O36" s="3">
        <f>E36-'290710 - P1223'!F36</f>
        <v>35</v>
      </c>
      <c r="P36" s="30">
        <f>I36-'290710 - P1223'!J36</f>
        <v>39.797413793103487</v>
      </c>
    </row>
    <row r="37" spans="1:16" x14ac:dyDescent="0.25">
      <c r="A37">
        <v>35</v>
      </c>
      <c r="D37" s="4" t="s">
        <v>42</v>
      </c>
      <c r="E37" s="8">
        <v>565</v>
      </c>
      <c r="F37" s="8">
        <f>F34</f>
        <v>600</v>
      </c>
      <c r="G37" s="6">
        <f t="shared" si="10"/>
        <v>35</v>
      </c>
      <c r="H37" s="7">
        <f t="shared" si="11"/>
        <v>6.1946902654867256E-2</v>
      </c>
      <c r="I37" s="8">
        <v>642.44396551724139</v>
      </c>
      <c r="J37" s="9">
        <f t="shared" si="12"/>
        <v>682.24137931034488</v>
      </c>
      <c r="K37" s="3">
        <f t="shared" si="13"/>
        <v>39.797413793103487</v>
      </c>
      <c r="L37" s="7">
        <f t="shared" si="14"/>
        <v>6.1946902654867318E-2</v>
      </c>
      <c r="M37" t="s">
        <v>7</v>
      </c>
      <c r="O37" s="3">
        <f>E37-'290710 - P1223'!F37</f>
        <v>35</v>
      </c>
      <c r="P37" s="30">
        <f>I37-'290710 - P1223'!J37</f>
        <v>39.797413793103487</v>
      </c>
    </row>
    <row r="38" spans="1:16" x14ac:dyDescent="0.25">
      <c r="A38">
        <v>36</v>
      </c>
      <c r="D38" s="4" t="s">
        <v>43</v>
      </c>
      <c r="E38" s="8">
        <v>565</v>
      </c>
      <c r="F38" s="8">
        <f>F34</f>
        <v>600</v>
      </c>
      <c r="G38" s="6">
        <f t="shared" si="10"/>
        <v>35</v>
      </c>
      <c r="H38" s="7">
        <f t="shared" si="11"/>
        <v>6.1946902654867256E-2</v>
      </c>
      <c r="I38" s="8">
        <v>642.44396551724139</v>
      </c>
      <c r="J38" s="9">
        <f t="shared" si="12"/>
        <v>682.24137931034488</v>
      </c>
      <c r="K38" s="3">
        <f t="shared" si="13"/>
        <v>39.797413793103487</v>
      </c>
      <c r="L38" s="7">
        <f t="shared" si="14"/>
        <v>6.1946902654867318E-2</v>
      </c>
      <c r="M38" t="s">
        <v>7</v>
      </c>
      <c r="O38" s="3">
        <f>E38-'290710 - P1223'!F38</f>
        <v>35</v>
      </c>
      <c r="P38" s="30">
        <f>I38-'290710 - P1223'!J38</f>
        <v>39.797413793103487</v>
      </c>
    </row>
    <row r="39" spans="1:16" x14ac:dyDescent="0.25">
      <c r="A39">
        <v>37</v>
      </c>
      <c r="D39" s="4" t="s">
        <v>44</v>
      </c>
      <c r="E39" s="8">
        <v>565</v>
      </c>
      <c r="F39" s="8">
        <f>F34</f>
        <v>600</v>
      </c>
      <c r="G39" s="6">
        <f t="shared" si="10"/>
        <v>35</v>
      </c>
      <c r="H39" s="7">
        <f t="shared" si="11"/>
        <v>6.1946902654867256E-2</v>
      </c>
      <c r="I39" s="8">
        <v>642.44396551724139</v>
      </c>
      <c r="J39" s="9">
        <f t="shared" si="12"/>
        <v>682.24137931034488</v>
      </c>
      <c r="K39" s="3">
        <f t="shared" si="13"/>
        <v>39.797413793103487</v>
      </c>
      <c r="L39" s="7">
        <f t="shared" si="14"/>
        <v>6.1946902654867318E-2</v>
      </c>
      <c r="M39" t="s">
        <v>7</v>
      </c>
      <c r="O39" s="3">
        <f>E39-'290710 - P1223'!F39</f>
        <v>35</v>
      </c>
      <c r="P39" s="30">
        <f>I39-'290710 - P1223'!J39</f>
        <v>39.797413793103487</v>
      </c>
    </row>
    <row r="40" spans="1:16" x14ac:dyDescent="0.25">
      <c r="A40">
        <v>38</v>
      </c>
      <c r="D40" s="4" t="s">
        <v>45</v>
      </c>
      <c r="E40" s="8">
        <v>565</v>
      </c>
      <c r="F40" s="8">
        <f>F34</f>
        <v>600</v>
      </c>
      <c r="G40" s="6">
        <f t="shared" si="10"/>
        <v>35</v>
      </c>
      <c r="H40" s="7">
        <f t="shared" si="11"/>
        <v>6.1946902654867256E-2</v>
      </c>
      <c r="I40" s="8">
        <v>642.44396551724139</v>
      </c>
      <c r="J40" s="9">
        <f t="shared" si="12"/>
        <v>682.24137931034488</v>
      </c>
      <c r="K40" s="3">
        <f t="shared" si="13"/>
        <v>39.797413793103487</v>
      </c>
      <c r="L40" s="7">
        <f t="shared" si="14"/>
        <v>6.1946902654867318E-2</v>
      </c>
      <c r="M40" t="s">
        <v>7</v>
      </c>
      <c r="O40" s="3">
        <f>E40-'290710 - P1223'!F40</f>
        <v>35</v>
      </c>
      <c r="P40" s="30">
        <f>I40-'290710 - P1223'!J40</f>
        <v>39.797413793103487</v>
      </c>
    </row>
    <row r="41" spans="1:16" x14ac:dyDescent="0.25">
      <c r="A41">
        <v>39</v>
      </c>
      <c r="D41" s="4" t="s">
        <v>46</v>
      </c>
      <c r="E41" s="8">
        <v>565</v>
      </c>
      <c r="F41" s="8">
        <f>F35</f>
        <v>600</v>
      </c>
      <c r="G41" s="6">
        <f t="shared" si="10"/>
        <v>35</v>
      </c>
      <c r="H41" s="7">
        <f t="shared" si="11"/>
        <v>6.1946902654867256E-2</v>
      </c>
      <c r="I41" s="8">
        <v>642.44396551724139</v>
      </c>
      <c r="J41" s="9">
        <f t="shared" si="12"/>
        <v>682.24137931034488</v>
      </c>
      <c r="K41" s="3">
        <f t="shared" si="13"/>
        <v>39.797413793103487</v>
      </c>
      <c r="L41" s="7">
        <f t="shared" si="14"/>
        <v>6.1946902654867318E-2</v>
      </c>
      <c r="M41" t="s">
        <v>7</v>
      </c>
      <c r="O41" s="3">
        <f>E41-'290710 - P1223'!F41</f>
        <v>35</v>
      </c>
      <c r="P41" s="30">
        <f>I41-'290710 - P1223'!J41</f>
        <v>39.797413793103487</v>
      </c>
    </row>
    <row r="42" spans="1:16" x14ac:dyDescent="0.25">
      <c r="A42">
        <v>40</v>
      </c>
      <c r="D42" s="4" t="s">
        <v>47</v>
      </c>
      <c r="E42" s="5">
        <v>565</v>
      </c>
      <c r="F42" s="5">
        <v>575</v>
      </c>
      <c r="G42" s="6">
        <f t="shared" si="10"/>
        <v>10</v>
      </c>
      <c r="H42" s="7">
        <f t="shared" si="11"/>
        <v>1.7699115044247787E-2</v>
      </c>
      <c r="I42" s="8">
        <v>644.31730769230785</v>
      </c>
      <c r="J42" s="9">
        <f t="shared" si="12"/>
        <v>655.72115384615404</v>
      </c>
      <c r="K42" s="3">
        <f t="shared" si="13"/>
        <v>11.403846153846189</v>
      </c>
      <c r="L42" s="7">
        <f t="shared" si="14"/>
        <v>1.7699115044247836E-2</v>
      </c>
      <c r="M42" t="s">
        <v>7</v>
      </c>
      <c r="O42" s="3">
        <f>E42-'290710 - P1223'!F42</f>
        <v>50</v>
      </c>
      <c r="P42" s="30">
        <f>I42-'290710 - P1223'!J42</f>
        <v>57.01923076923083</v>
      </c>
    </row>
    <row r="43" spans="1:16" x14ac:dyDescent="0.25">
      <c r="A43">
        <v>41</v>
      </c>
      <c r="D43" s="4" t="s">
        <v>48</v>
      </c>
      <c r="E43" s="8">
        <v>565</v>
      </c>
      <c r="F43" s="8">
        <f>F42</f>
        <v>575</v>
      </c>
      <c r="G43" s="6">
        <f t="shared" si="10"/>
        <v>10</v>
      </c>
      <c r="H43" s="7">
        <f t="shared" si="11"/>
        <v>1.7699115044247787E-2</v>
      </c>
      <c r="I43" s="8">
        <v>644.31730769230785</v>
      </c>
      <c r="J43" s="9">
        <f t="shared" si="12"/>
        <v>655.72115384615404</v>
      </c>
      <c r="K43" s="3">
        <f t="shared" si="13"/>
        <v>11.403846153846189</v>
      </c>
      <c r="L43" s="7">
        <f t="shared" si="14"/>
        <v>1.7699115044247836E-2</v>
      </c>
      <c r="M43" t="s">
        <v>7</v>
      </c>
      <c r="O43" s="3">
        <f>E43-'290710 - P1223'!F43</f>
        <v>50</v>
      </c>
      <c r="P43" s="30">
        <f>I43-'290710 - P1223'!J43</f>
        <v>57.01923076923083</v>
      </c>
    </row>
    <row r="44" spans="1:16" x14ac:dyDescent="0.25">
      <c r="A44">
        <v>42</v>
      </c>
      <c r="D44" s="4" t="s">
        <v>49</v>
      </c>
      <c r="E44" s="8">
        <v>565</v>
      </c>
      <c r="F44" s="8">
        <f>F42</f>
        <v>575</v>
      </c>
      <c r="G44" s="6">
        <f t="shared" si="10"/>
        <v>10</v>
      </c>
      <c r="H44" s="7">
        <f t="shared" si="11"/>
        <v>1.7699115044247787E-2</v>
      </c>
      <c r="I44" s="8">
        <v>644.31730769230785</v>
      </c>
      <c r="J44" s="9">
        <f t="shared" si="12"/>
        <v>655.72115384615404</v>
      </c>
      <c r="K44" s="3">
        <f t="shared" si="13"/>
        <v>11.403846153846189</v>
      </c>
      <c r="L44" s="7">
        <f t="shared" si="14"/>
        <v>1.7699115044247836E-2</v>
      </c>
      <c r="M44" t="s">
        <v>7</v>
      </c>
      <c r="O44" s="3">
        <f>E44-'290710 - P1223'!F44</f>
        <v>50</v>
      </c>
      <c r="P44" s="30">
        <f>I44-'290710 - P1223'!J44</f>
        <v>57.01923076923083</v>
      </c>
    </row>
    <row r="45" spans="1:16" x14ac:dyDescent="0.25">
      <c r="A45">
        <v>43</v>
      </c>
      <c r="D45" s="4" t="s">
        <v>50</v>
      </c>
      <c r="E45" s="8">
        <v>565</v>
      </c>
      <c r="F45" s="8">
        <f>F42</f>
        <v>575</v>
      </c>
      <c r="G45" s="6">
        <f t="shared" si="10"/>
        <v>10</v>
      </c>
      <c r="H45" s="7">
        <f t="shared" si="11"/>
        <v>1.7699115044247787E-2</v>
      </c>
      <c r="I45" s="8">
        <v>644.31730769230785</v>
      </c>
      <c r="J45" s="9">
        <f t="shared" si="12"/>
        <v>655.72115384615404</v>
      </c>
      <c r="K45" s="3">
        <f t="shared" si="13"/>
        <v>11.403846153846189</v>
      </c>
      <c r="L45" s="7">
        <f t="shared" si="14"/>
        <v>1.7699115044247836E-2</v>
      </c>
      <c r="M45" t="s">
        <v>7</v>
      </c>
      <c r="O45" s="3">
        <f>E45-'290710 - P1223'!F45</f>
        <v>50</v>
      </c>
      <c r="P45" s="30">
        <f>I45-'290710 - P1223'!J45</f>
        <v>57.01923076923083</v>
      </c>
    </row>
    <row r="46" spans="1:16" x14ac:dyDescent="0.25">
      <c r="A46">
        <v>44</v>
      </c>
      <c r="D46" s="4" t="s">
        <v>51</v>
      </c>
      <c r="E46" s="8">
        <v>565</v>
      </c>
      <c r="F46" s="8">
        <f>F42</f>
        <v>575</v>
      </c>
      <c r="G46" s="6">
        <f t="shared" si="10"/>
        <v>10</v>
      </c>
      <c r="H46" s="7">
        <f t="shared" si="11"/>
        <v>1.7699115044247787E-2</v>
      </c>
      <c r="I46" s="8">
        <v>644.31730769230785</v>
      </c>
      <c r="J46" s="9">
        <f t="shared" si="12"/>
        <v>655.72115384615404</v>
      </c>
      <c r="K46" s="3">
        <f t="shared" si="13"/>
        <v>11.403846153846189</v>
      </c>
      <c r="L46" s="7">
        <f t="shared" si="14"/>
        <v>1.7699115044247836E-2</v>
      </c>
      <c r="M46" t="s">
        <v>7</v>
      </c>
      <c r="O46" s="3">
        <f>E46-'290710 - P1223'!F46</f>
        <v>50</v>
      </c>
      <c r="P46" s="30">
        <f>I46-'290710 - P1223'!J46</f>
        <v>57.01923076923083</v>
      </c>
    </row>
    <row r="47" spans="1:16" x14ac:dyDescent="0.25">
      <c r="A47">
        <v>45</v>
      </c>
      <c r="D47" s="4" t="s">
        <v>52</v>
      </c>
      <c r="E47" s="8">
        <v>565</v>
      </c>
      <c r="F47" s="8">
        <f>F42</f>
        <v>575</v>
      </c>
      <c r="G47" s="6">
        <f t="shared" si="10"/>
        <v>10</v>
      </c>
      <c r="H47" s="7">
        <f t="shared" si="11"/>
        <v>1.7699115044247787E-2</v>
      </c>
      <c r="I47" s="8">
        <v>644.31730769230785</v>
      </c>
      <c r="J47" s="9">
        <f t="shared" si="12"/>
        <v>655.72115384615404</v>
      </c>
      <c r="K47" s="3">
        <f t="shared" si="13"/>
        <v>11.403846153846189</v>
      </c>
      <c r="L47" s="7">
        <f t="shared" si="14"/>
        <v>1.7699115044247836E-2</v>
      </c>
      <c r="M47" t="s">
        <v>7</v>
      </c>
      <c r="O47" s="3">
        <f>E47-'290710 - P1223'!F47</f>
        <v>50</v>
      </c>
      <c r="P47" s="30">
        <f>I47-'290710 - P1223'!J47</f>
        <v>57.01923076923083</v>
      </c>
    </row>
    <row r="48" spans="1:16" x14ac:dyDescent="0.25">
      <c r="A48">
        <v>46</v>
      </c>
      <c r="D48" s="4" t="s">
        <v>53</v>
      </c>
      <c r="E48" s="8">
        <v>565</v>
      </c>
      <c r="F48" s="8">
        <f>F42</f>
        <v>575</v>
      </c>
      <c r="G48" s="6">
        <f t="shared" si="10"/>
        <v>10</v>
      </c>
      <c r="H48" s="7">
        <f t="shared" si="11"/>
        <v>1.7699115044247787E-2</v>
      </c>
      <c r="I48" s="8">
        <v>644.31730769230785</v>
      </c>
      <c r="J48" s="9">
        <f t="shared" si="12"/>
        <v>655.72115384615404</v>
      </c>
      <c r="K48" s="3">
        <f t="shared" si="13"/>
        <v>11.403846153846189</v>
      </c>
      <c r="L48" s="7">
        <f t="shared" si="14"/>
        <v>1.7699115044247836E-2</v>
      </c>
      <c r="M48" t="s">
        <v>7</v>
      </c>
      <c r="O48" s="3">
        <f>E48-'290710 - P1223'!F48</f>
        <v>50</v>
      </c>
      <c r="P48" s="30">
        <f>I48-'290710 - P1223'!J48</f>
        <v>57.01923076923083</v>
      </c>
    </row>
    <row r="49" spans="1:16" x14ac:dyDescent="0.25">
      <c r="A49">
        <v>47</v>
      </c>
      <c r="D49" s="4" t="s">
        <v>54</v>
      </c>
      <c r="E49" s="8">
        <v>565</v>
      </c>
      <c r="F49" s="8">
        <f>F43</f>
        <v>575</v>
      </c>
      <c r="G49" s="6">
        <f t="shared" si="10"/>
        <v>10</v>
      </c>
      <c r="H49" s="7">
        <f t="shared" si="11"/>
        <v>1.7699115044247787E-2</v>
      </c>
      <c r="I49" s="8">
        <v>644.31730769230785</v>
      </c>
      <c r="J49" s="9">
        <f t="shared" si="12"/>
        <v>655.72115384615404</v>
      </c>
      <c r="K49" s="3">
        <f t="shared" si="13"/>
        <v>11.403846153846189</v>
      </c>
      <c r="L49" s="7">
        <f t="shared" si="14"/>
        <v>1.7699115044247836E-2</v>
      </c>
      <c r="M49" t="s">
        <v>7</v>
      </c>
      <c r="O49" s="3">
        <f>E49-'290710 - P1223'!F49</f>
        <v>50</v>
      </c>
      <c r="P49" s="30">
        <f>I49-'290710 - P1223'!J49</f>
        <v>57.01923076923083</v>
      </c>
    </row>
    <row r="50" spans="1:16" x14ac:dyDescent="0.25">
      <c r="A50">
        <v>48</v>
      </c>
      <c r="D50" s="4" t="s">
        <v>55</v>
      </c>
      <c r="E50" s="5">
        <v>440</v>
      </c>
      <c r="F50" s="5">
        <v>460</v>
      </c>
      <c r="G50" s="6">
        <f t="shared" si="10"/>
        <v>20</v>
      </c>
      <c r="H50" s="7">
        <f t="shared" si="11"/>
        <v>4.5454545454545456E-2</v>
      </c>
      <c r="I50" s="8">
        <v>544.68501529051991</v>
      </c>
      <c r="J50" s="9">
        <f t="shared" si="12"/>
        <v>569.44342507645263</v>
      </c>
      <c r="K50" s="3">
        <f t="shared" si="13"/>
        <v>24.758409785932713</v>
      </c>
      <c r="L50" s="7">
        <f t="shared" si="14"/>
        <v>4.5454545454545435E-2</v>
      </c>
      <c r="M50" t="s">
        <v>7</v>
      </c>
      <c r="O50" s="3">
        <f>E50-'290710 - P1223'!F50</f>
        <v>-335</v>
      </c>
      <c r="P50" s="30">
        <f>I50-'290710 - P1223'!J50</f>
        <v>-414.70336391437297</v>
      </c>
    </row>
    <row r="51" spans="1:16" x14ac:dyDescent="0.25">
      <c r="A51">
        <v>49</v>
      </c>
      <c r="D51" s="4" t="s">
        <v>56</v>
      </c>
      <c r="E51" s="8">
        <v>440</v>
      </c>
      <c r="F51" s="8">
        <f>F50</f>
        <v>460</v>
      </c>
      <c r="G51" s="6">
        <f t="shared" si="10"/>
        <v>20</v>
      </c>
      <c r="H51" s="7">
        <f t="shared" si="11"/>
        <v>4.5454545454545456E-2</v>
      </c>
      <c r="I51" s="8">
        <v>544.68501529051991</v>
      </c>
      <c r="J51" s="9">
        <f t="shared" si="12"/>
        <v>569.44342507645263</v>
      </c>
      <c r="K51" s="3">
        <f t="shared" si="13"/>
        <v>24.758409785932713</v>
      </c>
      <c r="L51" s="7">
        <f t="shared" si="14"/>
        <v>4.5454545454545435E-2</v>
      </c>
      <c r="M51" t="s">
        <v>7</v>
      </c>
      <c r="O51" s="3">
        <f>E51-'290710 - P1223'!F51</f>
        <v>-335</v>
      </c>
      <c r="P51" s="30">
        <f>I51-'290710 - P1223'!J51</f>
        <v>-414.70336391437297</v>
      </c>
    </row>
    <row r="52" spans="1:16" x14ac:dyDescent="0.25">
      <c r="A52">
        <v>50</v>
      </c>
      <c r="D52" s="4" t="s">
        <v>57</v>
      </c>
      <c r="E52" s="8">
        <v>440</v>
      </c>
      <c r="F52" s="8">
        <f>F50</f>
        <v>460</v>
      </c>
      <c r="G52" s="6">
        <f t="shared" si="10"/>
        <v>20</v>
      </c>
      <c r="H52" s="7">
        <f t="shared" si="11"/>
        <v>4.5454545454545456E-2</v>
      </c>
      <c r="I52" s="8">
        <v>544.68501529051991</v>
      </c>
      <c r="J52" s="9">
        <f t="shared" si="12"/>
        <v>569.44342507645263</v>
      </c>
      <c r="K52" s="3">
        <f t="shared" si="13"/>
        <v>24.758409785932713</v>
      </c>
      <c r="L52" s="7">
        <f t="shared" si="14"/>
        <v>4.5454545454545435E-2</v>
      </c>
      <c r="M52" t="s">
        <v>7</v>
      </c>
      <c r="O52" s="3">
        <f>E52-'290710 - P1223'!F52</f>
        <v>-335</v>
      </c>
      <c r="P52" s="30">
        <f>I52-'290710 - P1223'!J52</f>
        <v>-414.70336391437297</v>
      </c>
    </row>
    <row r="53" spans="1:16" x14ac:dyDescent="0.25">
      <c r="A53">
        <v>51</v>
      </c>
      <c r="D53" s="4" t="s">
        <v>58</v>
      </c>
      <c r="E53" s="8">
        <v>440</v>
      </c>
      <c r="F53" s="8">
        <f>F50</f>
        <v>460</v>
      </c>
      <c r="G53" s="6">
        <f t="shared" si="10"/>
        <v>20</v>
      </c>
      <c r="H53" s="7">
        <f t="shared" si="11"/>
        <v>4.5454545454545456E-2</v>
      </c>
      <c r="I53" s="8">
        <v>544.68501529051991</v>
      </c>
      <c r="J53" s="9">
        <f t="shared" si="12"/>
        <v>569.44342507645263</v>
      </c>
      <c r="K53" s="3">
        <f t="shared" si="13"/>
        <v>24.758409785932713</v>
      </c>
      <c r="L53" s="7">
        <f t="shared" si="14"/>
        <v>4.5454545454545435E-2</v>
      </c>
      <c r="M53" t="s">
        <v>7</v>
      </c>
      <c r="O53" s="3">
        <f>E53-'290710 - P1223'!F53</f>
        <v>-335</v>
      </c>
      <c r="P53" s="30">
        <f>I53-'290710 - P1223'!J53</f>
        <v>-414.70336391437297</v>
      </c>
    </row>
    <row r="54" spans="1:16" x14ac:dyDescent="0.25">
      <c r="A54">
        <v>52</v>
      </c>
      <c r="D54" s="4" t="s">
        <v>59</v>
      </c>
      <c r="E54" s="5">
        <v>443</v>
      </c>
      <c r="F54" s="5">
        <v>453</v>
      </c>
      <c r="G54" s="6">
        <f t="shared" si="10"/>
        <v>10</v>
      </c>
      <c r="H54" s="7">
        <f t="shared" si="11"/>
        <v>2.2573363431151242E-2</v>
      </c>
      <c r="I54" s="8">
        <v>707</v>
      </c>
      <c r="J54" s="9">
        <f t="shared" si="12"/>
        <v>722.95936794582394</v>
      </c>
      <c r="K54" s="3">
        <f t="shared" si="13"/>
        <v>15.959367945823942</v>
      </c>
      <c r="L54" s="7">
        <f t="shared" si="14"/>
        <v>2.2573363431151263E-2</v>
      </c>
      <c r="M54" t="s">
        <v>7</v>
      </c>
      <c r="O54" s="3">
        <f>E54-'290710 - P1223'!F54</f>
        <v>-340</v>
      </c>
      <c r="P54" s="30">
        <f>I54-'290710 - P1223'!J54</f>
        <v>-271.16216216216174</v>
      </c>
    </row>
    <row r="55" spans="1:16" x14ac:dyDescent="0.25">
      <c r="A55">
        <v>53</v>
      </c>
      <c r="D55" s="4" t="s">
        <v>60</v>
      </c>
      <c r="E55" s="8">
        <v>443</v>
      </c>
      <c r="F55" s="8">
        <f>F54</f>
        <v>453</v>
      </c>
      <c r="G55" s="6">
        <f t="shared" si="10"/>
        <v>10</v>
      </c>
      <c r="H55" s="7">
        <f t="shared" si="11"/>
        <v>2.2573363431151242E-2</v>
      </c>
      <c r="I55" s="8">
        <v>707</v>
      </c>
      <c r="J55" s="9">
        <f t="shared" si="12"/>
        <v>722.95936794582394</v>
      </c>
      <c r="K55" s="3">
        <f t="shared" si="13"/>
        <v>15.959367945823942</v>
      </c>
      <c r="L55" s="7">
        <f t="shared" si="14"/>
        <v>2.2573363431151263E-2</v>
      </c>
      <c r="M55" t="s">
        <v>7</v>
      </c>
      <c r="O55" s="3">
        <f>E55-'290710 - P1223'!F55</f>
        <v>-340</v>
      </c>
      <c r="P55" s="30">
        <f>I55-'290710 - P1223'!J55</f>
        <v>-271.16216216216174</v>
      </c>
    </row>
    <row r="56" spans="1:16" x14ac:dyDescent="0.25">
      <c r="A56">
        <v>54</v>
      </c>
      <c r="D56" s="4" t="s">
        <v>61</v>
      </c>
      <c r="E56" s="8">
        <v>443</v>
      </c>
      <c r="F56" s="8">
        <f>F54</f>
        <v>453</v>
      </c>
      <c r="G56" s="6">
        <f t="shared" si="10"/>
        <v>10</v>
      </c>
      <c r="H56" s="7">
        <f t="shared" si="11"/>
        <v>2.2573363431151242E-2</v>
      </c>
      <c r="I56" s="8">
        <v>707</v>
      </c>
      <c r="J56" s="9">
        <f t="shared" si="12"/>
        <v>722.95936794582394</v>
      </c>
      <c r="K56" s="3">
        <f t="shared" si="13"/>
        <v>15.959367945823942</v>
      </c>
      <c r="L56" s="7">
        <f t="shared" si="14"/>
        <v>2.2573363431151263E-2</v>
      </c>
      <c r="M56" t="s">
        <v>7</v>
      </c>
      <c r="O56" s="3">
        <f>E56-'290710 - P1223'!F56</f>
        <v>-340</v>
      </c>
      <c r="P56" s="30">
        <f>I56-'290710 - P1223'!J56</f>
        <v>-271.16216216216174</v>
      </c>
    </row>
    <row r="57" spans="1:16" x14ac:dyDescent="0.25">
      <c r="A57">
        <v>55</v>
      </c>
      <c r="D57" s="4" t="s">
        <v>62</v>
      </c>
      <c r="E57" s="8">
        <v>443</v>
      </c>
      <c r="F57" s="8">
        <f>F54</f>
        <v>453</v>
      </c>
      <c r="G57" s="6">
        <f t="shared" si="10"/>
        <v>10</v>
      </c>
      <c r="H57" s="7">
        <f t="shared" si="11"/>
        <v>2.2573363431151242E-2</v>
      </c>
      <c r="I57" s="8">
        <v>707</v>
      </c>
      <c r="J57" s="9">
        <f t="shared" si="12"/>
        <v>722.95936794582394</v>
      </c>
      <c r="K57" s="3">
        <f t="shared" si="13"/>
        <v>15.959367945823942</v>
      </c>
      <c r="L57" s="7">
        <f t="shared" si="14"/>
        <v>2.2573363431151263E-2</v>
      </c>
      <c r="M57" t="s">
        <v>7</v>
      </c>
      <c r="O57" s="3">
        <f>E57-'290710 - P1223'!F57</f>
        <v>-340</v>
      </c>
      <c r="P57" s="30">
        <f>I57-'290710 - P1223'!J57</f>
        <v>-271.16216216216174</v>
      </c>
    </row>
    <row r="58" spans="1:16" x14ac:dyDescent="0.25">
      <c r="A58">
        <v>56</v>
      </c>
      <c r="D58" s="4" t="s">
        <v>63</v>
      </c>
      <c r="E58" s="8">
        <v>443</v>
      </c>
      <c r="F58" s="8">
        <f>F54</f>
        <v>453</v>
      </c>
      <c r="G58" s="6">
        <f t="shared" si="10"/>
        <v>10</v>
      </c>
      <c r="H58" s="7">
        <f t="shared" si="11"/>
        <v>2.2573363431151242E-2</v>
      </c>
      <c r="I58" s="8">
        <v>707</v>
      </c>
      <c r="J58" s="9">
        <f t="shared" si="12"/>
        <v>722.95936794582394</v>
      </c>
      <c r="K58" s="3">
        <f t="shared" si="13"/>
        <v>15.959367945823942</v>
      </c>
      <c r="L58" s="7">
        <f t="shared" si="14"/>
        <v>2.2573363431151263E-2</v>
      </c>
      <c r="M58" t="s">
        <v>7</v>
      </c>
      <c r="O58" s="3">
        <f>E58-'290710 - P1223'!F58</f>
        <v>-340</v>
      </c>
      <c r="P58" s="30">
        <f>I58-'290710 - P1223'!J58</f>
        <v>-271.16216216216174</v>
      </c>
    </row>
    <row r="59" spans="1:16" x14ac:dyDescent="0.25">
      <c r="A59">
        <v>57</v>
      </c>
      <c r="D59" s="4" t="s">
        <v>64</v>
      </c>
      <c r="E59" s="5">
        <v>538</v>
      </c>
      <c r="F59" s="5">
        <v>548</v>
      </c>
      <c r="G59" s="6">
        <f t="shared" si="10"/>
        <v>10</v>
      </c>
      <c r="H59" s="7">
        <f t="shared" si="11"/>
        <v>1.858736059479554E-2</v>
      </c>
      <c r="I59" s="8">
        <v>773</v>
      </c>
      <c r="J59" s="9">
        <f t="shared" si="12"/>
        <v>787.36802973977694</v>
      </c>
      <c r="K59" s="3">
        <f t="shared" si="13"/>
        <v>14.368029739776944</v>
      </c>
      <c r="L59" s="7">
        <f t="shared" si="14"/>
        <v>1.8587360594795529E-2</v>
      </c>
      <c r="M59" t="s">
        <v>7</v>
      </c>
      <c r="O59" s="3">
        <f>E59-'290710 - P1223'!F59</f>
        <v>-350</v>
      </c>
      <c r="P59" s="30">
        <f>I59-'290710 - P1223'!J59</f>
        <v>-409.48690095846632</v>
      </c>
    </row>
    <row r="60" spans="1:16" x14ac:dyDescent="0.25">
      <c r="A60">
        <v>58</v>
      </c>
      <c r="D60" s="4" t="s">
        <v>65</v>
      </c>
      <c r="E60" s="8">
        <v>538</v>
      </c>
      <c r="F60" s="8">
        <f>F59</f>
        <v>548</v>
      </c>
      <c r="G60" s="6">
        <f t="shared" si="10"/>
        <v>10</v>
      </c>
      <c r="H60" s="7">
        <f t="shared" si="11"/>
        <v>1.858736059479554E-2</v>
      </c>
      <c r="I60" s="8">
        <v>773</v>
      </c>
      <c r="J60" s="9">
        <f t="shared" si="12"/>
        <v>787.36802973977694</v>
      </c>
      <c r="K60" s="3">
        <f t="shared" si="13"/>
        <v>14.368029739776944</v>
      </c>
      <c r="L60" s="7">
        <f t="shared" si="14"/>
        <v>1.8587360594795529E-2</v>
      </c>
      <c r="M60" t="s">
        <v>7</v>
      </c>
      <c r="O60" s="3">
        <f>E60-'290710 - P1223'!F60</f>
        <v>-350</v>
      </c>
      <c r="P60" s="30">
        <f>I60-'290710 - P1223'!J60</f>
        <v>-409.48690095846632</v>
      </c>
    </row>
    <row r="61" spans="1:16" x14ac:dyDescent="0.25">
      <c r="A61">
        <v>59</v>
      </c>
      <c r="D61" s="4" t="s">
        <v>66</v>
      </c>
      <c r="E61" s="8">
        <v>538</v>
      </c>
      <c r="F61" s="8">
        <f>F59</f>
        <v>548</v>
      </c>
      <c r="G61" s="6">
        <f t="shared" si="10"/>
        <v>10</v>
      </c>
      <c r="H61" s="7">
        <f t="shared" si="11"/>
        <v>1.858736059479554E-2</v>
      </c>
      <c r="I61" s="8">
        <v>773</v>
      </c>
      <c r="J61" s="9">
        <f t="shared" si="12"/>
        <v>787.36802973977694</v>
      </c>
      <c r="K61" s="3">
        <f t="shared" si="13"/>
        <v>14.368029739776944</v>
      </c>
      <c r="L61" s="7">
        <f t="shared" si="14"/>
        <v>1.8587360594795529E-2</v>
      </c>
      <c r="M61" t="s">
        <v>7</v>
      </c>
      <c r="O61" s="3">
        <f>E61-'290710 - P1223'!F61</f>
        <v>-350</v>
      </c>
      <c r="P61" s="30">
        <f>I61-'290710 - P1223'!J61</f>
        <v>-409.48690095846632</v>
      </c>
    </row>
    <row r="62" spans="1:16" x14ac:dyDescent="0.25">
      <c r="A62">
        <v>60</v>
      </c>
      <c r="D62" s="4" t="s">
        <v>67</v>
      </c>
      <c r="E62" s="8">
        <v>538</v>
      </c>
      <c r="F62" s="8">
        <f>F59</f>
        <v>548</v>
      </c>
      <c r="G62" s="6">
        <f t="shared" si="10"/>
        <v>10</v>
      </c>
      <c r="H62" s="7">
        <f t="shared" si="11"/>
        <v>1.858736059479554E-2</v>
      </c>
      <c r="I62" s="8">
        <v>773</v>
      </c>
      <c r="J62" s="9">
        <f t="shared" si="12"/>
        <v>787.36802973977694</v>
      </c>
      <c r="K62" s="3">
        <f t="shared" si="13"/>
        <v>14.368029739776944</v>
      </c>
      <c r="L62" s="7">
        <f t="shared" si="14"/>
        <v>1.8587360594795529E-2</v>
      </c>
      <c r="M62" t="s">
        <v>7</v>
      </c>
      <c r="O62" s="3">
        <f>E62-'290710 - P1223'!F62</f>
        <v>-350</v>
      </c>
      <c r="P62" s="30">
        <f>I62-'290710 - P1223'!J62</f>
        <v>-409.48690095846632</v>
      </c>
    </row>
    <row r="63" spans="1:16" x14ac:dyDescent="0.25">
      <c r="A63">
        <v>61</v>
      </c>
      <c r="D63" s="2"/>
      <c r="G63" s="6"/>
      <c r="H63" s="10">
        <f>AVERAGE(H34:H62)</f>
        <v>3.4696640791242774E-2</v>
      </c>
      <c r="J63" s="3"/>
      <c r="K63" s="3"/>
      <c r="L63" s="10">
        <f>AVERAGE(L34:L62)</f>
        <v>3.4696640791242787E-2</v>
      </c>
    </row>
    <row r="64" spans="1:16" x14ac:dyDescent="0.25">
      <c r="A64">
        <v>62</v>
      </c>
      <c r="D64" s="2" t="s">
        <v>68</v>
      </c>
      <c r="G64" s="6"/>
      <c r="H64" s="7"/>
      <c r="J64" s="3"/>
      <c r="K64" s="3"/>
      <c r="L64" s="7"/>
    </row>
    <row r="65" spans="1:16" x14ac:dyDescent="0.25">
      <c r="A65">
        <v>63</v>
      </c>
      <c r="D65" s="4" t="s">
        <v>69</v>
      </c>
      <c r="E65" s="5">
        <v>520</v>
      </c>
      <c r="F65" s="5">
        <v>550</v>
      </c>
      <c r="G65" s="6">
        <f t="shared" ref="G65:G71" si="15">+F65-E65</f>
        <v>30</v>
      </c>
      <c r="H65" s="7">
        <f t="shared" ref="H65:H71" si="16">(F65-E65)/ABS(E65)</f>
        <v>5.7692307692307696E-2</v>
      </c>
      <c r="I65" s="8">
        <v>634.22950819672144</v>
      </c>
      <c r="J65" s="9">
        <f t="shared" ref="J65:J90" si="17">(I65*H65)+I65</f>
        <v>670.81967213114763</v>
      </c>
      <c r="K65" s="3">
        <f t="shared" ref="K65:K71" si="18">J65-I65</f>
        <v>36.590163934426187</v>
      </c>
      <c r="L65" s="7">
        <f t="shared" ref="L65:L71" si="19">(J65-I65)/ABS(I65)</f>
        <v>5.7692307692307612E-2</v>
      </c>
      <c r="M65" t="s">
        <v>7</v>
      </c>
      <c r="O65" s="3">
        <f>E65-'290710 - P1223'!F65</f>
        <v>35</v>
      </c>
      <c r="P65" s="30">
        <f>I65-'290710 - P1223'!J65</f>
        <v>42.688524590163979</v>
      </c>
    </row>
    <row r="66" spans="1:16" x14ac:dyDescent="0.25">
      <c r="A66">
        <v>64</v>
      </c>
      <c r="D66" s="4" t="s">
        <v>70</v>
      </c>
      <c r="E66" s="8">
        <v>520</v>
      </c>
      <c r="F66" s="8">
        <f>F65</f>
        <v>550</v>
      </c>
      <c r="G66" s="6">
        <f t="shared" si="15"/>
        <v>30</v>
      </c>
      <c r="H66" s="7">
        <f t="shared" si="16"/>
        <v>5.7692307692307696E-2</v>
      </c>
      <c r="I66" s="8">
        <v>634.22950819672144</v>
      </c>
      <c r="J66" s="9">
        <f t="shared" si="17"/>
        <v>670.81967213114763</v>
      </c>
      <c r="K66" s="3">
        <f t="shared" si="18"/>
        <v>36.590163934426187</v>
      </c>
      <c r="L66" s="7">
        <f t="shared" si="19"/>
        <v>5.7692307692307612E-2</v>
      </c>
      <c r="M66" t="s">
        <v>7</v>
      </c>
      <c r="O66" s="3">
        <f>E66-'290710 - P1223'!F66</f>
        <v>35</v>
      </c>
      <c r="P66" s="30">
        <f>I66-'290710 - P1223'!J66</f>
        <v>42.688524590163979</v>
      </c>
    </row>
    <row r="67" spans="1:16" x14ac:dyDescent="0.25">
      <c r="A67">
        <v>65</v>
      </c>
      <c r="D67" s="4" t="s">
        <v>71</v>
      </c>
      <c r="E67" s="8">
        <v>520</v>
      </c>
      <c r="F67" s="8">
        <f>F65</f>
        <v>550</v>
      </c>
      <c r="G67" s="6">
        <f t="shared" si="15"/>
        <v>30</v>
      </c>
      <c r="H67" s="7">
        <f t="shared" si="16"/>
        <v>5.7692307692307696E-2</v>
      </c>
      <c r="I67" s="8">
        <v>634.22950819672144</v>
      </c>
      <c r="J67" s="9">
        <f t="shared" si="17"/>
        <v>670.81967213114763</v>
      </c>
      <c r="K67" s="3">
        <f t="shared" si="18"/>
        <v>36.590163934426187</v>
      </c>
      <c r="L67" s="7">
        <f t="shared" si="19"/>
        <v>5.7692307692307612E-2</v>
      </c>
      <c r="M67" t="s">
        <v>7</v>
      </c>
      <c r="O67" s="3">
        <f>E67-'290710 - P1223'!F67</f>
        <v>35</v>
      </c>
      <c r="P67" s="30">
        <f>I67-'290710 - P1223'!J67</f>
        <v>42.688524590163979</v>
      </c>
    </row>
    <row r="68" spans="1:16" x14ac:dyDescent="0.25">
      <c r="A68">
        <v>66</v>
      </c>
      <c r="D68" s="4" t="s">
        <v>72</v>
      </c>
      <c r="E68" s="8">
        <v>520</v>
      </c>
      <c r="F68" s="8">
        <f>F65</f>
        <v>550</v>
      </c>
      <c r="G68" s="6">
        <f t="shared" si="15"/>
        <v>30</v>
      </c>
      <c r="H68" s="7">
        <f t="shared" si="16"/>
        <v>5.7692307692307696E-2</v>
      </c>
      <c r="I68" s="8">
        <v>634.22950819672144</v>
      </c>
      <c r="J68" s="9">
        <f t="shared" si="17"/>
        <v>670.81967213114763</v>
      </c>
      <c r="K68" s="3">
        <f t="shared" si="18"/>
        <v>36.590163934426187</v>
      </c>
      <c r="L68" s="7">
        <f t="shared" si="19"/>
        <v>5.7692307692307612E-2</v>
      </c>
      <c r="M68" t="s">
        <v>7</v>
      </c>
      <c r="O68" s="3">
        <f>E68-'290710 - P1223'!F68</f>
        <v>35</v>
      </c>
      <c r="P68" s="30">
        <f>I68-'290710 - P1223'!J68</f>
        <v>42.688524590163979</v>
      </c>
    </row>
    <row r="69" spans="1:16" x14ac:dyDescent="0.25">
      <c r="A69">
        <v>67</v>
      </c>
      <c r="D69" s="4" t="s">
        <v>73</v>
      </c>
      <c r="E69" s="8">
        <v>520</v>
      </c>
      <c r="F69" s="8">
        <f>F65</f>
        <v>550</v>
      </c>
      <c r="G69" s="6">
        <f t="shared" si="15"/>
        <v>30</v>
      </c>
      <c r="H69" s="7">
        <f t="shared" si="16"/>
        <v>5.7692307692307696E-2</v>
      </c>
      <c r="I69" s="8">
        <v>634.22950819672144</v>
      </c>
      <c r="J69" s="9">
        <f t="shared" si="17"/>
        <v>670.81967213114763</v>
      </c>
      <c r="K69" s="3">
        <f t="shared" si="18"/>
        <v>36.590163934426187</v>
      </c>
      <c r="L69" s="7">
        <f t="shared" si="19"/>
        <v>5.7692307692307612E-2</v>
      </c>
      <c r="M69" t="s">
        <v>7</v>
      </c>
      <c r="O69" s="3">
        <f>E69-'290710 - P1223'!F69</f>
        <v>35</v>
      </c>
      <c r="P69" s="30">
        <f>I69-'290710 - P1223'!J69</f>
        <v>42.688524590163979</v>
      </c>
    </row>
    <row r="70" spans="1:16" x14ac:dyDescent="0.25">
      <c r="A70">
        <v>68</v>
      </c>
      <c r="D70" s="4" t="s">
        <v>74</v>
      </c>
      <c r="E70" s="8">
        <v>520</v>
      </c>
      <c r="F70" s="8">
        <f>F65</f>
        <v>550</v>
      </c>
      <c r="G70" s="6">
        <f t="shared" si="15"/>
        <v>30</v>
      </c>
      <c r="H70" s="7">
        <f t="shared" si="16"/>
        <v>5.7692307692307696E-2</v>
      </c>
      <c r="I70" s="8">
        <v>634.22950819672144</v>
      </c>
      <c r="J70" s="9">
        <f t="shared" si="17"/>
        <v>670.81967213114763</v>
      </c>
      <c r="K70" s="3">
        <f t="shared" si="18"/>
        <v>36.590163934426187</v>
      </c>
      <c r="L70" s="7">
        <f t="shared" si="19"/>
        <v>5.7692307692307612E-2</v>
      </c>
      <c r="M70" t="s">
        <v>7</v>
      </c>
      <c r="O70" s="3">
        <f>E70-'290710 - P1223'!F70</f>
        <v>35</v>
      </c>
      <c r="P70" s="30">
        <f>I70-'290710 - P1223'!J70</f>
        <v>42.688524590163979</v>
      </c>
    </row>
    <row r="71" spans="1:16" x14ac:dyDescent="0.25">
      <c r="A71">
        <v>69</v>
      </c>
      <c r="D71" s="4" t="s">
        <v>75</v>
      </c>
      <c r="E71" s="8">
        <v>520</v>
      </c>
      <c r="F71" s="8">
        <f>F67</f>
        <v>550</v>
      </c>
      <c r="G71" s="6">
        <f t="shared" si="15"/>
        <v>30</v>
      </c>
      <c r="H71" s="7">
        <f t="shared" si="16"/>
        <v>5.7692307692307696E-2</v>
      </c>
      <c r="I71" s="8">
        <v>634.22950819672144</v>
      </c>
      <c r="J71" s="9">
        <f t="shared" si="17"/>
        <v>670.81967213114763</v>
      </c>
      <c r="K71" s="3">
        <f t="shared" si="18"/>
        <v>36.590163934426187</v>
      </c>
      <c r="L71" s="7">
        <f t="shared" si="19"/>
        <v>5.7692307692307612E-2</v>
      </c>
      <c r="M71" t="s">
        <v>7</v>
      </c>
      <c r="O71" s="3">
        <f>E71-'290710 - P1223'!F71</f>
        <v>35</v>
      </c>
      <c r="P71" s="30">
        <f>I71-'290710 - P1223'!J71</f>
        <v>42.688524590163979</v>
      </c>
    </row>
    <row r="72" spans="1:16" x14ac:dyDescent="0.25">
      <c r="A72">
        <v>70</v>
      </c>
      <c r="D72" s="4" t="s">
        <v>76</v>
      </c>
      <c r="E72" s="5">
        <v>463</v>
      </c>
      <c r="F72" s="5">
        <v>608</v>
      </c>
      <c r="G72" s="6">
        <f>+F72-E72</f>
        <v>145</v>
      </c>
      <c r="H72" s="7">
        <f>(F72-E72)/ABS(E72)</f>
        <v>0.31317494600431967</v>
      </c>
      <c r="I72" s="8">
        <v>649.41926541926534</v>
      </c>
      <c r="J72" s="9">
        <f t="shared" si="17"/>
        <v>852.80110880110874</v>
      </c>
      <c r="K72" s="3">
        <f>J72-I72</f>
        <v>203.3818433818434</v>
      </c>
      <c r="L72" s="7">
        <f>(J72-I72)/ABS(I72)</f>
        <v>0.31317494600431972</v>
      </c>
      <c r="M72" t="s">
        <v>7</v>
      </c>
      <c r="O72" s="3">
        <f>E72-'290710 - P1223'!F72</f>
        <v>-250</v>
      </c>
      <c r="P72" s="30">
        <f>I72-'290710 - P1223'!J72</f>
        <v>-350.65835065835063</v>
      </c>
    </row>
    <row r="73" spans="1:16" x14ac:dyDescent="0.25">
      <c r="A73">
        <v>71</v>
      </c>
      <c r="D73" s="4" t="s">
        <v>77</v>
      </c>
      <c r="E73" s="8">
        <v>463</v>
      </c>
      <c r="F73" s="8">
        <f>F72</f>
        <v>608</v>
      </c>
      <c r="G73" s="6">
        <f>+F73-E73</f>
        <v>145</v>
      </c>
      <c r="H73" s="7">
        <f>(F73-E73)/ABS(E73)</f>
        <v>0.31317494600431967</v>
      </c>
      <c r="I73" s="8">
        <v>649.41926541926534</v>
      </c>
      <c r="J73" s="9">
        <f t="shared" si="17"/>
        <v>852.80110880110874</v>
      </c>
      <c r="K73" s="3">
        <f>J73-I73</f>
        <v>203.3818433818434</v>
      </c>
      <c r="L73" s="7">
        <f>(J73-I73)/ABS(I73)</f>
        <v>0.31317494600431972</v>
      </c>
      <c r="M73" t="s">
        <v>7</v>
      </c>
      <c r="O73" s="3">
        <f>E73-'290710 - P1223'!F73</f>
        <v>-250</v>
      </c>
      <c r="P73" s="30">
        <f>I73-'290710 - P1223'!J73</f>
        <v>-350.65835065835063</v>
      </c>
    </row>
    <row r="74" spans="1:16" x14ac:dyDescent="0.25">
      <c r="A74">
        <v>72</v>
      </c>
      <c r="D74" s="4" t="s">
        <v>78</v>
      </c>
      <c r="E74" s="8">
        <v>463</v>
      </c>
      <c r="F74" s="8">
        <f>F72</f>
        <v>608</v>
      </c>
      <c r="G74" s="6">
        <f>+F74-E74</f>
        <v>145</v>
      </c>
      <c r="H74" s="7">
        <f>(F74-E74)/ABS(E74)</f>
        <v>0.31317494600431967</v>
      </c>
      <c r="I74" s="8">
        <v>649.41926541926534</v>
      </c>
      <c r="J74" s="9">
        <f t="shared" si="17"/>
        <v>852.80110880110874</v>
      </c>
      <c r="K74" s="3">
        <f>J74-I74</f>
        <v>203.3818433818434</v>
      </c>
      <c r="L74" s="7">
        <f>(J74-I74)/ABS(I74)</f>
        <v>0.31317494600431972</v>
      </c>
      <c r="M74" t="s">
        <v>7</v>
      </c>
      <c r="O74" s="3">
        <f>E74-'290710 - P1223'!F74</f>
        <v>-250</v>
      </c>
      <c r="P74" s="30">
        <f>I74-'290710 - P1223'!J74</f>
        <v>-350.65835065835063</v>
      </c>
    </row>
    <row r="75" spans="1:16" x14ac:dyDescent="0.25">
      <c r="A75">
        <v>73</v>
      </c>
      <c r="D75" s="4" t="s">
        <v>79</v>
      </c>
      <c r="E75" s="8">
        <v>463</v>
      </c>
      <c r="F75" s="8">
        <f>F72</f>
        <v>608</v>
      </c>
      <c r="G75" s="6">
        <f>+F75-E75</f>
        <v>145</v>
      </c>
      <c r="H75" s="7">
        <f>(F75-E75)/ABS(E75)</f>
        <v>0.31317494600431967</v>
      </c>
      <c r="I75" s="8">
        <v>649.41926541926534</v>
      </c>
      <c r="J75" s="9">
        <f t="shared" si="17"/>
        <v>852.80110880110874</v>
      </c>
      <c r="K75" s="3">
        <f>J75-I75</f>
        <v>203.3818433818434</v>
      </c>
      <c r="L75" s="7">
        <f>(J75-I75)/ABS(I75)</f>
        <v>0.31317494600431972</v>
      </c>
      <c r="M75" t="s">
        <v>7</v>
      </c>
      <c r="O75" s="3">
        <f>E75-'290710 - P1223'!F75</f>
        <v>-250</v>
      </c>
      <c r="P75" s="30">
        <f>I75-'290710 - P1223'!J75</f>
        <v>-350.65835065835063</v>
      </c>
    </row>
    <row r="76" spans="1:16" x14ac:dyDescent="0.25">
      <c r="A76">
        <v>74</v>
      </c>
      <c r="D76" s="4" t="s">
        <v>80</v>
      </c>
      <c r="E76" s="8">
        <v>463</v>
      </c>
      <c r="F76" s="8">
        <f>F72</f>
        <v>608</v>
      </c>
      <c r="G76" s="6">
        <f>+F76-E76</f>
        <v>145</v>
      </c>
      <c r="H76" s="7">
        <f>(F76-E76)/ABS(E76)</f>
        <v>0.31317494600431967</v>
      </c>
      <c r="I76" s="8">
        <v>649.41926541926534</v>
      </c>
      <c r="J76" s="9">
        <f t="shared" si="17"/>
        <v>852.80110880110874</v>
      </c>
      <c r="K76" s="3">
        <f>J76-I76</f>
        <v>203.3818433818434</v>
      </c>
      <c r="L76" s="7">
        <f>(J76-I76)/ABS(I76)</f>
        <v>0.31317494600431972</v>
      </c>
      <c r="M76" t="s">
        <v>7</v>
      </c>
      <c r="O76" s="3">
        <f>E76-'290710 - P1223'!F76</f>
        <v>-250</v>
      </c>
      <c r="P76" s="30">
        <f>I76-'290710 - P1223'!J76</f>
        <v>-350.65835065835063</v>
      </c>
    </row>
    <row r="77" spans="1:16" x14ac:dyDescent="0.25">
      <c r="A77">
        <v>75</v>
      </c>
      <c r="D77" s="4" t="s">
        <v>81</v>
      </c>
      <c r="E77" s="8">
        <v>463</v>
      </c>
      <c r="F77" s="8">
        <f t="shared" ref="F77" si="20">F74</f>
        <v>608</v>
      </c>
      <c r="G77" s="6">
        <f t="shared" ref="G77" si="21">+F77-E77</f>
        <v>145</v>
      </c>
      <c r="H77" s="7">
        <f t="shared" ref="H77" si="22">(F77-E77)/ABS(E77)</f>
        <v>0.31317494600431967</v>
      </c>
      <c r="I77" s="8">
        <v>649.41926541926534</v>
      </c>
      <c r="J77" s="9">
        <f t="shared" si="17"/>
        <v>852.80110880110874</v>
      </c>
      <c r="K77" s="3">
        <f t="shared" ref="K77" si="23">J77-I77</f>
        <v>203.3818433818434</v>
      </c>
      <c r="L77" s="7">
        <f t="shared" ref="L77" si="24">(J77-I77)/ABS(I77)</f>
        <v>0.31317494600431972</v>
      </c>
      <c r="M77" t="s">
        <v>7</v>
      </c>
      <c r="O77" s="3">
        <f>E77-'290710 - P1223'!F77</f>
        <v>-250</v>
      </c>
      <c r="P77" s="30">
        <f>I77-'290710 - P1223'!J77</f>
        <v>-350.65835065835063</v>
      </c>
    </row>
    <row r="78" spans="1:16" x14ac:dyDescent="0.25">
      <c r="A78">
        <v>76</v>
      </c>
      <c r="D78" s="4" t="s">
        <v>82</v>
      </c>
      <c r="E78" s="5">
        <v>558</v>
      </c>
      <c r="F78" s="5">
        <v>708</v>
      </c>
      <c r="G78" s="6">
        <f>+F78-E78</f>
        <v>150</v>
      </c>
      <c r="H78" s="7">
        <f>(F78-E78)/ABS(E78)</f>
        <v>0.26881720430107525</v>
      </c>
      <c r="I78" s="8">
        <v>706.41047120418853</v>
      </c>
      <c r="J78" s="9">
        <f t="shared" si="17"/>
        <v>896.30575916230373</v>
      </c>
      <c r="K78" s="3">
        <f>J78-I78</f>
        <v>189.8952879581152</v>
      </c>
      <c r="L78" s="7">
        <f>(J78-I78)/ABS(I78)</f>
        <v>0.26881720430107531</v>
      </c>
      <c r="M78" t="s">
        <v>7</v>
      </c>
      <c r="O78" s="3">
        <f>E78-'290710 - P1223'!F78</f>
        <v>-245</v>
      </c>
      <c r="P78" s="30">
        <f>I78-'290710 - P1223'!J78</f>
        <v>-310.16230366492152</v>
      </c>
    </row>
    <row r="79" spans="1:16" x14ac:dyDescent="0.25">
      <c r="A79">
        <v>77</v>
      </c>
      <c r="D79" s="4" t="s">
        <v>83</v>
      </c>
      <c r="E79" s="8">
        <v>558</v>
      </c>
      <c r="F79" s="8">
        <f>F78</f>
        <v>708</v>
      </c>
      <c r="G79" s="6">
        <f>+F79-E79</f>
        <v>150</v>
      </c>
      <c r="H79" s="7">
        <f>(F79-E79)/ABS(E79)</f>
        <v>0.26881720430107525</v>
      </c>
      <c r="I79" s="8">
        <v>706.41047120418853</v>
      </c>
      <c r="J79" s="9">
        <f t="shared" si="17"/>
        <v>896.30575916230373</v>
      </c>
      <c r="K79" s="3">
        <f>J79-I79</f>
        <v>189.8952879581152</v>
      </c>
      <c r="L79" s="7">
        <f>(J79-I79)/ABS(I79)</f>
        <v>0.26881720430107531</v>
      </c>
      <c r="M79" t="s">
        <v>7</v>
      </c>
      <c r="O79" s="3">
        <f>E79-'290710 - P1223'!F79</f>
        <v>-245</v>
      </c>
      <c r="P79" s="30">
        <f>I79-'290710 - P1223'!J79</f>
        <v>-310.16230366492152</v>
      </c>
    </row>
    <row r="80" spans="1:16" x14ac:dyDescent="0.25">
      <c r="A80">
        <v>78</v>
      </c>
      <c r="D80" s="4" t="s">
        <v>84</v>
      </c>
      <c r="E80" s="8">
        <v>558</v>
      </c>
      <c r="F80" s="8">
        <f>F78</f>
        <v>708</v>
      </c>
      <c r="G80" s="6">
        <f>+F80-E80</f>
        <v>150</v>
      </c>
      <c r="H80" s="7">
        <f>(F80-E80)/ABS(E80)</f>
        <v>0.26881720430107525</v>
      </c>
      <c r="I80" s="8">
        <v>706.41047120418853</v>
      </c>
      <c r="J80" s="9">
        <f t="shared" si="17"/>
        <v>896.30575916230373</v>
      </c>
      <c r="K80" s="3">
        <f>J80-I80</f>
        <v>189.8952879581152</v>
      </c>
      <c r="L80" s="7">
        <f>(J80-I80)/ABS(I80)</f>
        <v>0.26881720430107531</v>
      </c>
      <c r="M80" t="s">
        <v>7</v>
      </c>
      <c r="O80" s="3">
        <f>E80-'290710 - P1223'!F80</f>
        <v>-245</v>
      </c>
      <c r="P80" s="30">
        <f>I80-'290710 - P1223'!J80</f>
        <v>-310.16230366492152</v>
      </c>
    </row>
    <row r="81" spans="1:16" x14ac:dyDescent="0.25">
      <c r="A81">
        <v>79</v>
      </c>
      <c r="D81" s="4" t="s">
        <v>85</v>
      </c>
      <c r="E81" s="8">
        <v>558</v>
      </c>
      <c r="F81" s="8">
        <f>F78</f>
        <v>708</v>
      </c>
      <c r="G81" s="6">
        <f>+F81-E81</f>
        <v>150</v>
      </c>
      <c r="H81" s="7">
        <f>(F81-E81)/ABS(E81)</f>
        <v>0.26881720430107525</v>
      </c>
      <c r="I81" s="8">
        <v>706.41047120418853</v>
      </c>
      <c r="J81" s="9">
        <f t="shared" si="17"/>
        <v>896.30575916230373</v>
      </c>
      <c r="K81" s="3">
        <f>J81-I81</f>
        <v>189.8952879581152</v>
      </c>
      <c r="L81" s="7">
        <f>(J81-I81)/ABS(I81)</f>
        <v>0.26881720430107531</v>
      </c>
      <c r="M81" t="s">
        <v>7</v>
      </c>
      <c r="O81" s="3">
        <f>E81-'290710 - P1223'!F81</f>
        <v>-245</v>
      </c>
      <c r="P81" s="30">
        <f>I81-'290710 - P1223'!J81</f>
        <v>-310.16230366492152</v>
      </c>
    </row>
    <row r="82" spans="1:16" x14ac:dyDescent="0.25">
      <c r="A82">
        <v>80</v>
      </c>
      <c r="D82" s="4" t="s">
        <v>86</v>
      </c>
      <c r="E82" s="8">
        <v>558</v>
      </c>
      <c r="F82" s="8">
        <f>F78</f>
        <v>708</v>
      </c>
      <c r="G82" s="6">
        <f>+F82-E82</f>
        <v>150</v>
      </c>
      <c r="H82" s="7">
        <f>(F82-E82)/ABS(E82)</f>
        <v>0.26881720430107525</v>
      </c>
      <c r="I82" s="8">
        <v>706.41047120418853</v>
      </c>
      <c r="J82" s="9">
        <f t="shared" si="17"/>
        <v>896.30575916230373</v>
      </c>
      <c r="K82" s="3">
        <f>J82-I82</f>
        <v>189.8952879581152</v>
      </c>
      <c r="L82" s="7">
        <f>(J82-I82)/ABS(I82)</f>
        <v>0.26881720430107531</v>
      </c>
      <c r="M82" t="s">
        <v>7</v>
      </c>
      <c r="O82" s="3">
        <f>E82-'290710 - P1223'!F82</f>
        <v>-245</v>
      </c>
      <c r="P82" s="30">
        <f>I82-'290710 - P1223'!J82</f>
        <v>-310.16230366492152</v>
      </c>
    </row>
    <row r="83" spans="1:16" x14ac:dyDescent="0.25">
      <c r="A83">
        <v>81</v>
      </c>
      <c r="D83" s="4" t="s">
        <v>87</v>
      </c>
      <c r="E83" s="8">
        <v>558</v>
      </c>
      <c r="F83" s="8">
        <f>F80</f>
        <v>708</v>
      </c>
      <c r="G83" s="6">
        <f t="shared" ref="G83" si="25">+F83-E83</f>
        <v>150</v>
      </c>
      <c r="H83" s="7">
        <f t="shared" ref="H83" si="26">(F83-E83)/ABS(E83)</f>
        <v>0.26881720430107525</v>
      </c>
      <c r="I83" s="8">
        <v>706.41047120418853</v>
      </c>
      <c r="J83" s="9">
        <f t="shared" si="17"/>
        <v>896.30575916230373</v>
      </c>
      <c r="K83" s="3">
        <f t="shared" ref="K83" si="27">J83-I83</f>
        <v>189.8952879581152</v>
      </c>
      <c r="L83" s="7">
        <f t="shared" ref="L83" si="28">(J83-I83)/ABS(I83)</f>
        <v>0.26881720430107531</v>
      </c>
      <c r="M83" t="s">
        <v>7</v>
      </c>
      <c r="O83" s="3">
        <f>E83-'290710 - P1223'!F83</f>
        <v>-245</v>
      </c>
      <c r="P83" s="30">
        <f>I83-'290710 - P1223'!J83</f>
        <v>-310.16230366492152</v>
      </c>
    </row>
    <row r="84" spans="1:16" x14ac:dyDescent="0.25">
      <c r="A84">
        <v>82</v>
      </c>
      <c r="D84" s="4" t="s">
        <v>493</v>
      </c>
      <c r="E84" s="5">
        <v>603</v>
      </c>
      <c r="F84" s="5">
        <v>718</v>
      </c>
      <c r="G84" s="6">
        <f>+F84-E84</f>
        <v>115</v>
      </c>
      <c r="H84" s="7">
        <f>(F84-E84)/ABS(E84)</f>
        <v>0.19071310116086235</v>
      </c>
      <c r="I84" s="8">
        <v>772.4298479841375</v>
      </c>
      <c r="J84" s="9">
        <f t="shared" si="17"/>
        <v>919.74233972240586</v>
      </c>
      <c r="K84" s="3">
        <f>J84-I84</f>
        <v>147.31249173826836</v>
      </c>
      <c r="L84" s="7">
        <f>(J84-I84)/ABS(I84)</f>
        <v>0.19071310116086237</v>
      </c>
      <c r="M84" t="s">
        <v>7</v>
      </c>
      <c r="O84" s="3">
        <f>E84-'290710 - P1223'!F84</f>
        <v>-295</v>
      </c>
      <c r="P84" s="30">
        <f>I84-'290710 - P1223'!J84</f>
        <v>-377.88856576338389</v>
      </c>
    </row>
    <row r="85" spans="1:16" x14ac:dyDescent="0.25">
      <c r="A85">
        <v>83</v>
      </c>
      <c r="D85" s="4" t="s">
        <v>88</v>
      </c>
      <c r="E85" s="8">
        <v>603</v>
      </c>
      <c r="F85" s="8">
        <f>F84</f>
        <v>718</v>
      </c>
      <c r="G85" s="6">
        <f>+F85-E85</f>
        <v>115</v>
      </c>
      <c r="H85" s="7">
        <f>(F85-E85)/ABS(E85)</f>
        <v>0.19071310116086235</v>
      </c>
      <c r="I85" s="8">
        <v>772.4298479841375</v>
      </c>
      <c r="J85" s="9">
        <f t="shared" si="17"/>
        <v>919.74233972240586</v>
      </c>
      <c r="K85" s="3">
        <f>J85-I85</f>
        <v>147.31249173826836</v>
      </c>
      <c r="L85" s="7">
        <f>(J85-I85)/ABS(I85)</f>
        <v>0.19071310116086237</v>
      </c>
      <c r="M85" t="s">
        <v>7</v>
      </c>
      <c r="O85" s="3">
        <f>E85-'290710 - P1223'!F85</f>
        <v>-295</v>
      </c>
      <c r="P85" s="30">
        <f>I85-'290710 - P1223'!J85</f>
        <v>-377.88856576338389</v>
      </c>
    </row>
    <row r="86" spans="1:16" x14ac:dyDescent="0.25">
      <c r="A86">
        <v>84</v>
      </c>
      <c r="D86" s="4" t="s">
        <v>89</v>
      </c>
      <c r="E86" s="8">
        <v>603</v>
      </c>
      <c r="F86" s="8">
        <f>F84</f>
        <v>718</v>
      </c>
      <c r="G86" s="6">
        <f>+F86-E86</f>
        <v>115</v>
      </c>
      <c r="H86" s="7">
        <f>(F86-E86)/ABS(E86)</f>
        <v>0.19071310116086235</v>
      </c>
      <c r="I86" s="8">
        <v>772.4298479841375</v>
      </c>
      <c r="J86" s="9">
        <f t="shared" si="17"/>
        <v>919.74233972240586</v>
      </c>
      <c r="K86" s="3">
        <f>J86-I86</f>
        <v>147.31249173826836</v>
      </c>
      <c r="L86" s="7">
        <f>(J86-I86)/ABS(I86)</f>
        <v>0.19071310116086237</v>
      </c>
      <c r="M86" t="s">
        <v>7</v>
      </c>
      <c r="O86" s="3">
        <f>E86-'290710 - P1223'!F86</f>
        <v>-295</v>
      </c>
      <c r="P86" s="30">
        <f>I86-'290710 - P1223'!J86</f>
        <v>-377.88856576338389</v>
      </c>
    </row>
    <row r="87" spans="1:16" x14ac:dyDescent="0.25">
      <c r="A87">
        <v>85</v>
      </c>
      <c r="D87" s="4" t="s">
        <v>90</v>
      </c>
      <c r="E87" s="8">
        <v>603</v>
      </c>
      <c r="F87" s="8">
        <f>F84</f>
        <v>718</v>
      </c>
      <c r="G87" s="6">
        <f>+F87-E87</f>
        <v>115</v>
      </c>
      <c r="H87" s="7">
        <f>(F87-E87)/ABS(E87)</f>
        <v>0.19071310116086235</v>
      </c>
      <c r="I87" s="8">
        <v>772.4298479841375</v>
      </c>
      <c r="J87" s="9">
        <f t="shared" si="17"/>
        <v>919.74233972240586</v>
      </c>
      <c r="K87" s="3">
        <f>J87-I87</f>
        <v>147.31249173826836</v>
      </c>
      <c r="L87" s="7">
        <f>(J87-I87)/ABS(I87)</f>
        <v>0.19071310116086237</v>
      </c>
      <c r="M87" t="s">
        <v>7</v>
      </c>
      <c r="O87" s="3">
        <f>E87-'290710 - P1223'!F87</f>
        <v>-295</v>
      </c>
      <c r="P87" s="30">
        <f>I87-'290710 - P1223'!J87</f>
        <v>-377.88856576338389</v>
      </c>
    </row>
    <row r="88" spans="1:16" x14ac:dyDescent="0.25">
      <c r="A88">
        <v>86</v>
      </c>
      <c r="D88" s="4" t="s">
        <v>91</v>
      </c>
      <c r="E88" s="8">
        <v>603</v>
      </c>
      <c r="F88" s="8">
        <f>F84</f>
        <v>718</v>
      </c>
      <c r="G88" s="6">
        <f>+F88-E88</f>
        <v>115</v>
      </c>
      <c r="H88" s="7">
        <f>(F88-E88)/ABS(E88)</f>
        <v>0.19071310116086235</v>
      </c>
      <c r="I88" s="8">
        <v>772.4298479841375</v>
      </c>
      <c r="J88" s="9">
        <f t="shared" si="17"/>
        <v>919.74233972240586</v>
      </c>
      <c r="K88" s="3">
        <f>J88-I88</f>
        <v>147.31249173826836</v>
      </c>
      <c r="L88" s="7">
        <f>(J88-I88)/ABS(I88)</f>
        <v>0.19071310116086237</v>
      </c>
      <c r="M88" t="s">
        <v>7</v>
      </c>
      <c r="O88" s="3">
        <f>E88-'290710 - P1223'!F88</f>
        <v>-295</v>
      </c>
      <c r="P88" s="30">
        <f>I88-'290710 - P1223'!J88</f>
        <v>-377.88856576338389</v>
      </c>
    </row>
    <row r="89" spans="1:16" x14ac:dyDescent="0.25">
      <c r="A89">
        <v>87</v>
      </c>
      <c r="D89" s="4" t="s">
        <v>92</v>
      </c>
      <c r="E89" s="8">
        <v>603</v>
      </c>
      <c r="F89" s="8">
        <f t="shared" ref="F89" si="29">F86</f>
        <v>718</v>
      </c>
      <c r="G89" s="6">
        <f t="shared" ref="G89:G90" si="30">+F89-E89</f>
        <v>115</v>
      </c>
      <c r="H89" s="7">
        <f t="shared" ref="H89:H90" si="31">(F89-E89)/ABS(E89)</f>
        <v>0.19071310116086235</v>
      </c>
      <c r="I89" s="8">
        <v>772.4298479841375</v>
      </c>
      <c r="J89" s="9">
        <f t="shared" si="17"/>
        <v>919.74233972240586</v>
      </c>
      <c r="K89" s="3">
        <f t="shared" ref="K89:K90" si="32">J89-I89</f>
        <v>147.31249173826836</v>
      </c>
      <c r="L89" s="7">
        <f t="shared" ref="L89:L90" si="33">(J89-I89)/ABS(I89)</f>
        <v>0.19071310116086237</v>
      </c>
      <c r="M89" t="s">
        <v>7</v>
      </c>
      <c r="O89" s="3">
        <f>E89-'290710 - P1223'!F89</f>
        <v>-295</v>
      </c>
      <c r="P89" s="30">
        <f>I89-'290710 - P1223'!J89</f>
        <v>-377.88856576338389</v>
      </c>
    </row>
    <row r="90" spans="1:16" x14ac:dyDescent="0.25">
      <c r="A90">
        <v>88</v>
      </c>
      <c r="C90" t="s">
        <v>8</v>
      </c>
      <c r="D90" s="4" t="s">
        <v>93</v>
      </c>
      <c r="E90" s="5">
        <v>12.05</v>
      </c>
      <c r="F90" s="5">
        <v>12.05</v>
      </c>
      <c r="G90" s="6">
        <f t="shared" si="30"/>
        <v>0</v>
      </c>
      <c r="H90" s="7">
        <f t="shared" si="31"/>
        <v>0</v>
      </c>
      <c r="I90" s="8">
        <v>2419.672449508028</v>
      </c>
      <c r="J90" s="9">
        <f t="shared" si="17"/>
        <v>2419.672449508028</v>
      </c>
      <c r="K90" s="3">
        <f t="shared" si="32"/>
        <v>0</v>
      </c>
      <c r="L90" s="7">
        <f t="shared" si="33"/>
        <v>0</v>
      </c>
      <c r="M90" t="s">
        <v>7</v>
      </c>
      <c r="O90" s="3">
        <f>E90-'290710 - P1223'!F90</f>
        <v>-3.3333333333303017E-3</v>
      </c>
      <c r="P90" s="30">
        <f>I90-'290710 - P1223'!J90</f>
        <v>-0.66934230968354314</v>
      </c>
    </row>
    <row r="91" spans="1:16" x14ac:dyDescent="0.25">
      <c r="A91">
        <v>89</v>
      </c>
      <c r="D91" s="2" t="s">
        <v>94</v>
      </c>
      <c r="H91" s="10">
        <f>AVERAGE(H65:H90)</f>
        <v>0.19384914087091143</v>
      </c>
      <c r="I91"/>
      <c r="L91" s="10">
        <f>AVERAGE(L65:L89)</f>
        <v>0.20160310650574798</v>
      </c>
    </row>
    <row r="92" spans="1:16" x14ac:dyDescent="0.25">
      <c r="A92">
        <v>90</v>
      </c>
      <c r="D92" s="2" t="s">
        <v>95</v>
      </c>
      <c r="I92"/>
      <c r="M92" t="s">
        <v>7</v>
      </c>
      <c r="O92" s="3">
        <f>E92-'290710 - P1223'!F92</f>
        <v>0</v>
      </c>
      <c r="P92" s="30">
        <f>I92-'290710 - P1223'!J92</f>
        <v>0</v>
      </c>
    </row>
    <row r="93" spans="1:16" x14ac:dyDescent="0.25">
      <c r="A93">
        <v>91</v>
      </c>
      <c r="D93" s="4" t="s">
        <v>96</v>
      </c>
      <c r="E93" s="5">
        <v>486</v>
      </c>
      <c r="F93" s="5">
        <v>486</v>
      </c>
      <c r="G93" s="6">
        <f t="shared" ref="G93:G101" si="34">+F93-E93</f>
        <v>0</v>
      </c>
      <c r="H93" s="7">
        <f t="shared" ref="H93:H101" si="35">(F93-E93)/ABS(E93)</f>
        <v>0</v>
      </c>
      <c r="I93" s="8">
        <v>551.1620111731844</v>
      </c>
      <c r="J93" s="9">
        <f t="shared" ref="J93:J101" si="36">(I93*H93)+I93</f>
        <v>551.1620111731844</v>
      </c>
      <c r="K93" s="3">
        <f t="shared" ref="K93:K101" si="37">J93-I93</f>
        <v>0</v>
      </c>
      <c r="L93" s="7">
        <f t="shared" ref="L93:L101" si="38">(J93-I93)/ABS(I93)</f>
        <v>0</v>
      </c>
      <c r="M93" t="s">
        <v>7</v>
      </c>
      <c r="O93" s="3">
        <f>E93-'290710 - P1223'!F93</f>
        <v>45</v>
      </c>
      <c r="P93" s="30">
        <f>I93-'290710 - P1223'!J93</f>
        <v>51.033519553072665</v>
      </c>
    </row>
    <row r="94" spans="1:16" x14ac:dyDescent="0.25">
      <c r="A94">
        <v>92</v>
      </c>
      <c r="D94" s="4" t="s">
        <v>97</v>
      </c>
      <c r="E94" s="5">
        <v>506</v>
      </c>
      <c r="F94" s="5">
        <v>506</v>
      </c>
      <c r="G94" s="6">
        <f t="shared" si="34"/>
        <v>0</v>
      </c>
      <c r="H94" s="7">
        <f t="shared" si="35"/>
        <v>0</v>
      </c>
      <c r="I94" s="8">
        <v>582.31882280809327</v>
      </c>
      <c r="J94" s="9">
        <f t="shared" si="36"/>
        <v>582.31882280809327</v>
      </c>
      <c r="K94" s="3">
        <f t="shared" si="37"/>
        <v>0</v>
      </c>
      <c r="L94" s="7">
        <f t="shared" si="38"/>
        <v>0</v>
      </c>
      <c r="M94" t="s">
        <v>7</v>
      </c>
      <c r="O94" s="3">
        <f>E94-'290710 - P1223'!F94</f>
        <v>45</v>
      </c>
      <c r="P94" s="30">
        <f>I94-'290710 - P1223'!J94</f>
        <v>51.787247087676292</v>
      </c>
    </row>
    <row r="95" spans="1:16" x14ac:dyDescent="0.25">
      <c r="A95">
        <v>93</v>
      </c>
      <c r="D95" s="4" t="s">
        <v>98</v>
      </c>
      <c r="E95" s="5">
        <v>506</v>
      </c>
      <c r="F95" s="5">
        <v>506</v>
      </c>
      <c r="G95" s="6">
        <f t="shared" si="34"/>
        <v>0</v>
      </c>
      <c r="H95" s="7">
        <f t="shared" si="35"/>
        <v>0</v>
      </c>
      <c r="I95" s="8">
        <v>578.90619251992621</v>
      </c>
      <c r="J95" s="9">
        <f t="shared" si="36"/>
        <v>578.90619251992621</v>
      </c>
      <c r="K95" s="3">
        <f t="shared" si="37"/>
        <v>0</v>
      </c>
      <c r="L95" s="7">
        <f t="shared" si="38"/>
        <v>0</v>
      </c>
      <c r="M95" t="s">
        <v>7</v>
      </c>
      <c r="O95" s="3">
        <f>E95-'290710 - P1223'!F95</f>
        <v>45</v>
      </c>
      <c r="P95" s="30">
        <f>I95-'290710 - P1223'!J95</f>
        <v>51.483752299202934</v>
      </c>
    </row>
    <row r="96" spans="1:16" x14ac:dyDescent="0.25">
      <c r="A96">
        <v>94</v>
      </c>
      <c r="D96" s="4" t="s">
        <v>99</v>
      </c>
      <c r="E96" s="5">
        <v>511</v>
      </c>
      <c r="F96" s="5">
        <v>511</v>
      </c>
      <c r="G96" s="6">
        <f t="shared" si="34"/>
        <v>0</v>
      </c>
      <c r="H96" s="7">
        <f t="shared" si="35"/>
        <v>0</v>
      </c>
      <c r="I96" s="8">
        <v>634.97763490241107</v>
      </c>
      <c r="J96" s="9">
        <f t="shared" si="36"/>
        <v>634.97763490241107</v>
      </c>
      <c r="K96" s="3">
        <f t="shared" si="37"/>
        <v>0</v>
      </c>
      <c r="L96" s="7">
        <f t="shared" si="38"/>
        <v>0</v>
      </c>
      <c r="M96" t="s">
        <v>7</v>
      </c>
      <c r="O96" s="3">
        <f>E96-'290710 - P1223'!F96</f>
        <v>45</v>
      </c>
      <c r="P96" s="30">
        <f>I96-'290710 - P1223'!J96</f>
        <v>55.917795637198651</v>
      </c>
    </row>
    <row r="97" spans="1:16" x14ac:dyDescent="0.25">
      <c r="A97">
        <v>95</v>
      </c>
      <c r="D97" s="23" t="s">
        <v>100</v>
      </c>
      <c r="E97" s="5">
        <v>708</v>
      </c>
      <c r="F97" s="5">
        <v>708</v>
      </c>
      <c r="G97" s="6">
        <f t="shared" si="34"/>
        <v>0</v>
      </c>
      <c r="H97" s="7">
        <f t="shared" si="35"/>
        <v>0</v>
      </c>
      <c r="I97" s="8">
        <v>832.81458966565344</v>
      </c>
      <c r="J97" s="9">
        <f t="shared" si="36"/>
        <v>832.81458966565344</v>
      </c>
      <c r="K97" s="3">
        <f t="shared" si="37"/>
        <v>0</v>
      </c>
      <c r="L97" s="7">
        <f>(J97-I97)/ABS(I97)</f>
        <v>0</v>
      </c>
      <c r="M97" t="s">
        <v>7</v>
      </c>
      <c r="O97" s="3">
        <f>E97-'290710 - P1223'!F97</f>
        <v>50</v>
      </c>
      <c r="P97" s="30">
        <f>I97-'290710 - P1223'!J97</f>
        <v>58.814589665653443</v>
      </c>
    </row>
    <row r="98" spans="1:16" x14ac:dyDescent="0.25">
      <c r="A98">
        <v>96</v>
      </c>
      <c r="C98" t="s">
        <v>8</v>
      </c>
      <c r="D98" s="29" t="s">
        <v>101</v>
      </c>
      <c r="E98" s="5">
        <v>985</v>
      </c>
      <c r="F98" s="5">
        <v>985</v>
      </c>
      <c r="G98" s="6">
        <f t="shared" si="34"/>
        <v>0</v>
      </c>
      <c r="H98" s="7">
        <f t="shared" si="35"/>
        <v>0</v>
      </c>
      <c r="I98" s="8">
        <v>1059</v>
      </c>
      <c r="J98" s="25">
        <v>1060</v>
      </c>
      <c r="K98" s="3">
        <f t="shared" si="37"/>
        <v>1</v>
      </c>
      <c r="L98" s="7">
        <f t="shared" si="38"/>
        <v>9.4428706326723328E-4</v>
      </c>
      <c r="M98" t="s">
        <v>7</v>
      </c>
      <c r="O98" s="3">
        <f>E98-'290710 - P1223'!F98</f>
        <v>15</v>
      </c>
      <c r="P98" s="30">
        <f>I98-'290710 - P1223'!J98</f>
        <v>24.869674185463509</v>
      </c>
    </row>
    <row r="99" spans="1:16" x14ac:dyDescent="0.25">
      <c r="A99">
        <v>97</v>
      </c>
      <c r="C99" t="s">
        <v>8</v>
      </c>
      <c r="D99" s="29" t="s">
        <v>102</v>
      </c>
      <c r="E99" s="5">
        <v>1174</v>
      </c>
      <c r="F99" s="5">
        <v>1174</v>
      </c>
      <c r="G99" s="6">
        <f t="shared" si="34"/>
        <v>0</v>
      </c>
      <c r="H99" s="7">
        <f t="shared" si="35"/>
        <v>0</v>
      </c>
      <c r="I99" s="8">
        <v>1542.0679171513732</v>
      </c>
      <c r="J99" s="9">
        <f t="shared" si="36"/>
        <v>1542.0679171513732</v>
      </c>
      <c r="K99" s="3">
        <f t="shared" si="37"/>
        <v>0</v>
      </c>
      <c r="L99" s="7">
        <f t="shared" si="38"/>
        <v>0</v>
      </c>
      <c r="M99" t="s">
        <v>7</v>
      </c>
      <c r="O99" s="3">
        <f>E99-'290710 - P1223'!F99</f>
        <v>25</v>
      </c>
      <c r="P99" s="30">
        <f>I99-'290710 - P1223'!J99</f>
        <v>32.837902835421119</v>
      </c>
    </row>
    <row r="100" spans="1:16" x14ac:dyDescent="0.25">
      <c r="A100">
        <v>98</v>
      </c>
      <c r="D100" s="4" t="s">
        <v>103</v>
      </c>
      <c r="E100" s="5">
        <v>16.64</v>
      </c>
      <c r="F100" s="5">
        <v>16.64</v>
      </c>
      <c r="G100" s="6">
        <f t="shared" si="34"/>
        <v>0</v>
      </c>
      <c r="H100" s="7">
        <f t="shared" si="35"/>
        <v>0</v>
      </c>
      <c r="I100" s="8">
        <v>42.900000000000006</v>
      </c>
      <c r="J100" s="25">
        <v>44.55</v>
      </c>
      <c r="K100" s="3">
        <f t="shared" si="37"/>
        <v>1.6499999999999915</v>
      </c>
      <c r="L100" s="7">
        <f t="shared" si="38"/>
        <v>3.8461538461538256E-2</v>
      </c>
      <c r="M100" t="s">
        <v>7</v>
      </c>
      <c r="O100" s="3">
        <f>E100-'290710 - P1223'!F100</f>
        <v>0</v>
      </c>
      <c r="P100" s="30">
        <f>I100-'290710 - P1223'!J100</f>
        <v>0</v>
      </c>
    </row>
    <row r="101" spans="1:16" x14ac:dyDescent="0.25">
      <c r="A101">
        <v>99</v>
      </c>
      <c r="C101" t="s">
        <v>8</v>
      </c>
      <c r="D101" s="4" t="s">
        <v>104</v>
      </c>
      <c r="E101" s="5">
        <v>1711</v>
      </c>
      <c r="F101" s="5">
        <v>1711</v>
      </c>
      <c r="G101" s="6">
        <f t="shared" si="34"/>
        <v>0</v>
      </c>
      <c r="H101" s="7">
        <f t="shared" si="35"/>
        <v>0</v>
      </c>
      <c r="I101" s="8">
        <v>2828.8046908315569</v>
      </c>
      <c r="J101" s="9">
        <f t="shared" si="36"/>
        <v>2828.8046908315569</v>
      </c>
      <c r="K101" s="3">
        <f t="shared" si="37"/>
        <v>0</v>
      </c>
      <c r="L101" s="7">
        <f t="shared" si="38"/>
        <v>0</v>
      </c>
      <c r="M101" t="s">
        <v>7</v>
      </c>
      <c r="O101" s="3">
        <f>E101-'290710 - P1223'!F101</f>
        <v>45</v>
      </c>
      <c r="P101" s="30">
        <f>I101-'290710 - P1223'!J101</f>
        <v>74.39872068230261</v>
      </c>
    </row>
    <row r="102" spans="1:16" x14ac:dyDescent="0.25">
      <c r="A102">
        <v>100</v>
      </c>
      <c r="D102" s="2" t="s">
        <v>105</v>
      </c>
      <c r="H102" s="10">
        <f>AVERAGE(H93:H101)</f>
        <v>0</v>
      </c>
      <c r="I102"/>
      <c r="L102" s="10">
        <f>AVERAGE(L93:L101)</f>
        <v>4.3784250583117209E-3</v>
      </c>
    </row>
    <row r="103" spans="1:16" x14ac:dyDescent="0.25">
      <c r="A103">
        <v>101</v>
      </c>
      <c r="D103" s="2" t="s">
        <v>106</v>
      </c>
      <c r="G103" s="6"/>
      <c r="H103" s="7"/>
      <c r="I103"/>
      <c r="M103" t="s">
        <v>106</v>
      </c>
    </row>
    <row r="104" spans="1:16" x14ac:dyDescent="0.25">
      <c r="A104">
        <v>102</v>
      </c>
      <c r="C104" t="s">
        <v>8</v>
      </c>
      <c r="D104" s="4" t="s">
        <v>107</v>
      </c>
      <c r="E104" s="5">
        <v>46.11</v>
      </c>
      <c r="F104" s="5">
        <v>46.11</v>
      </c>
      <c r="G104" s="6">
        <f t="shared" ref="G104:G115" si="39">+F104-E104</f>
        <v>0</v>
      </c>
      <c r="H104" s="7">
        <f t="shared" ref="H104:H115" si="40">(F104-E104)/ABS(E104)</f>
        <v>0</v>
      </c>
      <c r="I104" s="8">
        <v>85.406538115384606</v>
      </c>
      <c r="J104" s="9">
        <f t="shared" ref="J104:J115" si="41">(I104*H104)+I104</f>
        <v>85.406538115384606</v>
      </c>
      <c r="K104" s="3">
        <f t="shared" ref="K104:K115" si="42">J104-I104</f>
        <v>0</v>
      </c>
      <c r="L104" s="7">
        <f t="shared" ref="L104:L115" si="43">(J104-I104)/ABS(I104)</f>
        <v>0</v>
      </c>
      <c r="M104" t="s">
        <v>106</v>
      </c>
      <c r="O104" s="3">
        <f>E104-'290710 - P1223'!F104</f>
        <v>0</v>
      </c>
      <c r="P104" s="30">
        <f>I104-'290710 - P1223'!J104</f>
        <v>0</v>
      </c>
    </row>
    <row r="105" spans="1:16" x14ac:dyDescent="0.25">
      <c r="A105">
        <v>103</v>
      </c>
      <c r="C105" t="s">
        <v>8</v>
      </c>
      <c r="D105" s="4" t="s">
        <v>108</v>
      </c>
      <c r="E105" s="5">
        <v>51.96</v>
      </c>
      <c r="F105" s="5">
        <v>51.96</v>
      </c>
      <c r="G105" s="6">
        <f t="shared" si="39"/>
        <v>0</v>
      </c>
      <c r="H105" s="7">
        <f t="shared" si="40"/>
        <v>0</v>
      </c>
      <c r="I105" s="8">
        <v>80.176901208617949</v>
      </c>
      <c r="J105" s="9">
        <f t="shared" si="41"/>
        <v>80.176901208617949</v>
      </c>
      <c r="K105" s="3">
        <f>J105-I105</f>
        <v>0</v>
      </c>
      <c r="L105" s="7">
        <f>(J105-I105)/ABS(I105)</f>
        <v>0</v>
      </c>
      <c r="M105" t="s">
        <v>106</v>
      </c>
      <c r="O105" s="3">
        <f>E105-'290710 - P1223'!F105</f>
        <v>0</v>
      </c>
      <c r="P105" s="30">
        <f>I105-'290710 - P1223'!J105</f>
        <v>0</v>
      </c>
    </row>
    <row r="106" spans="1:16" x14ac:dyDescent="0.25">
      <c r="A106">
        <v>104</v>
      </c>
      <c r="C106" t="s">
        <v>8</v>
      </c>
      <c r="D106" s="4" t="s">
        <v>109</v>
      </c>
      <c r="E106" s="12">
        <v>3.19</v>
      </c>
      <c r="F106" s="12">
        <v>3.19</v>
      </c>
      <c r="G106" s="6">
        <f t="shared" si="39"/>
        <v>0</v>
      </c>
      <c r="H106" s="7">
        <f t="shared" si="40"/>
        <v>0</v>
      </c>
      <c r="I106" s="8">
        <v>3.8745328209552197</v>
      </c>
      <c r="J106" s="9">
        <f t="shared" si="41"/>
        <v>3.8745328209552197</v>
      </c>
      <c r="K106" s="3">
        <f t="shared" si="42"/>
        <v>0</v>
      </c>
      <c r="L106" s="7">
        <f t="shared" si="43"/>
        <v>0</v>
      </c>
      <c r="M106" t="s">
        <v>106</v>
      </c>
      <c r="O106" s="3">
        <f>E106-'290710 - P1223'!F106</f>
        <v>0</v>
      </c>
      <c r="P106" s="30">
        <f>I106-'290710 - P1223'!J106</f>
        <v>0</v>
      </c>
    </row>
    <row r="107" spans="1:16" x14ac:dyDescent="0.25">
      <c r="A107">
        <v>105</v>
      </c>
      <c r="C107" t="s">
        <v>8</v>
      </c>
      <c r="D107" s="4" t="s">
        <v>110</v>
      </c>
      <c r="E107" s="12">
        <v>3.48</v>
      </c>
      <c r="F107" s="12">
        <v>3.48</v>
      </c>
      <c r="G107" s="6">
        <f t="shared" si="39"/>
        <v>0</v>
      </c>
      <c r="H107" s="7">
        <f t="shared" si="40"/>
        <v>0</v>
      </c>
      <c r="I107" s="8">
        <v>4.0655928193903108</v>
      </c>
      <c r="J107" s="9">
        <f t="shared" si="41"/>
        <v>4.0655928193903108</v>
      </c>
      <c r="K107" s="3">
        <f t="shared" si="42"/>
        <v>0</v>
      </c>
      <c r="L107" s="7">
        <f t="shared" si="43"/>
        <v>0</v>
      </c>
      <c r="M107" t="s">
        <v>106</v>
      </c>
      <c r="O107" s="3">
        <f>E107-'290710 - P1223'!F107</f>
        <v>0</v>
      </c>
      <c r="P107" s="30">
        <f>I107-'290710 - P1223'!J107</f>
        <v>0</v>
      </c>
    </row>
    <row r="108" spans="1:16" x14ac:dyDescent="0.25">
      <c r="A108">
        <v>106</v>
      </c>
      <c r="C108" t="s">
        <v>8</v>
      </c>
      <c r="D108" s="4" t="s">
        <v>111</v>
      </c>
      <c r="E108" s="12">
        <v>7.89</v>
      </c>
      <c r="F108" s="12">
        <v>7.89</v>
      </c>
      <c r="G108" s="6">
        <f t="shared" si="39"/>
        <v>0</v>
      </c>
      <c r="H108" s="7">
        <f t="shared" si="40"/>
        <v>0</v>
      </c>
      <c r="I108" s="8">
        <v>8.9203191080353719</v>
      </c>
      <c r="J108" s="9">
        <f t="shared" si="41"/>
        <v>8.9203191080353719</v>
      </c>
      <c r="K108" s="3">
        <f t="shared" si="42"/>
        <v>0</v>
      </c>
      <c r="L108" s="7">
        <f t="shared" si="43"/>
        <v>0</v>
      </c>
      <c r="M108" t="s">
        <v>106</v>
      </c>
      <c r="O108" s="3">
        <f>E108-'290710 - P1223'!F108</f>
        <v>0</v>
      </c>
      <c r="P108" s="30">
        <f>I108-'290710 - P1223'!J108</f>
        <v>0</v>
      </c>
    </row>
    <row r="109" spans="1:16" x14ac:dyDescent="0.25">
      <c r="A109">
        <v>107</v>
      </c>
      <c r="C109" t="s">
        <v>8</v>
      </c>
      <c r="D109" s="4" t="s">
        <v>112</v>
      </c>
      <c r="E109" s="12">
        <v>9.34</v>
      </c>
      <c r="F109" s="12">
        <v>9.34</v>
      </c>
      <c r="G109" s="6">
        <f t="shared" si="39"/>
        <v>0</v>
      </c>
      <c r="H109" s="7">
        <f t="shared" si="40"/>
        <v>0</v>
      </c>
      <c r="I109" s="8">
        <v>10.432893234927514</v>
      </c>
      <c r="J109" s="9">
        <f t="shared" si="41"/>
        <v>10.432893234927514</v>
      </c>
      <c r="K109" s="3">
        <f t="shared" si="42"/>
        <v>0</v>
      </c>
      <c r="L109" s="7">
        <f t="shared" si="43"/>
        <v>0</v>
      </c>
      <c r="M109" t="s">
        <v>106</v>
      </c>
      <c r="O109" s="3">
        <f>E109-'290710 - P1223'!F109</f>
        <v>0</v>
      </c>
      <c r="P109" s="30">
        <f>I109-'290710 - P1223'!J109</f>
        <v>0</v>
      </c>
    </row>
    <row r="110" spans="1:16" x14ac:dyDescent="0.25">
      <c r="A110">
        <v>108</v>
      </c>
      <c r="C110" t="s">
        <v>8</v>
      </c>
      <c r="D110" s="4" t="s">
        <v>113</v>
      </c>
      <c r="E110" s="12">
        <v>3.79</v>
      </c>
      <c r="F110" s="12">
        <v>3.79</v>
      </c>
      <c r="G110" s="6">
        <f t="shared" si="39"/>
        <v>0</v>
      </c>
      <c r="H110" s="7">
        <f t="shared" si="40"/>
        <v>0</v>
      </c>
      <c r="I110" s="8">
        <v>5.2944973572314407</v>
      </c>
      <c r="J110" s="9">
        <f t="shared" si="41"/>
        <v>5.2944973572314407</v>
      </c>
      <c r="K110" s="3">
        <f>J110-I110</f>
        <v>0</v>
      </c>
      <c r="L110" s="7">
        <f>(J110-I110)/ABS(I110)</f>
        <v>0</v>
      </c>
      <c r="M110" t="s">
        <v>106</v>
      </c>
      <c r="O110" s="3">
        <f>E110-'290710 - P1223'!F110</f>
        <v>0</v>
      </c>
      <c r="P110" s="30">
        <f>I110-'290710 - P1223'!J110</f>
        <v>0</v>
      </c>
    </row>
    <row r="111" spans="1:16" x14ac:dyDescent="0.25">
      <c r="A111">
        <v>109</v>
      </c>
      <c r="C111" t="s">
        <v>8</v>
      </c>
      <c r="D111" s="4" t="s">
        <v>114</v>
      </c>
      <c r="E111" s="12">
        <v>4.95</v>
      </c>
      <c r="F111" s="12">
        <v>4.95</v>
      </c>
      <c r="G111" s="6">
        <f t="shared" si="39"/>
        <v>0</v>
      </c>
      <c r="H111" s="7">
        <f t="shared" si="40"/>
        <v>0</v>
      </c>
      <c r="I111" s="8">
        <v>6.6523403553892901</v>
      </c>
      <c r="J111" s="9">
        <f t="shared" si="41"/>
        <v>6.6523403553892901</v>
      </c>
      <c r="K111" s="3">
        <f t="shared" si="42"/>
        <v>0</v>
      </c>
      <c r="L111" s="7">
        <f t="shared" si="43"/>
        <v>0</v>
      </c>
      <c r="M111" t="s">
        <v>106</v>
      </c>
      <c r="O111" s="3">
        <f>E111-'290710 - P1223'!F111</f>
        <v>0</v>
      </c>
      <c r="P111" s="30">
        <f>I111-'290710 - P1223'!J111</f>
        <v>0</v>
      </c>
    </row>
    <row r="112" spans="1:16" x14ac:dyDescent="0.25">
      <c r="A112">
        <v>110</v>
      </c>
      <c r="C112" t="s">
        <v>8</v>
      </c>
      <c r="D112" s="4" t="s">
        <v>115</v>
      </c>
      <c r="E112" s="12">
        <v>6.16</v>
      </c>
      <c r="F112" s="12">
        <v>6.16</v>
      </c>
      <c r="G112" s="6">
        <f t="shared" si="39"/>
        <v>0</v>
      </c>
      <c r="H112" s="7">
        <f t="shared" si="40"/>
        <v>0</v>
      </c>
      <c r="I112" s="8">
        <v>7.8767696532032376</v>
      </c>
      <c r="J112" s="9">
        <f t="shared" si="41"/>
        <v>7.8767696532032376</v>
      </c>
      <c r="K112" s="3">
        <f t="shared" si="42"/>
        <v>0</v>
      </c>
      <c r="L112" s="7">
        <f t="shared" si="43"/>
        <v>0</v>
      </c>
      <c r="M112" t="s">
        <v>106</v>
      </c>
      <c r="O112" s="3">
        <f>E112-'290710 - P1223'!F112</f>
        <v>0</v>
      </c>
      <c r="P112" s="30">
        <f>I112-'290710 - P1223'!J112</f>
        <v>0</v>
      </c>
    </row>
    <row r="113" spans="1:16" x14ac:dyDescent="0.25">
      <c r="A113">
        <v>111</v>
      </c>
      <c r="C113" t="s">
        <v>8</v>
      </c>
      <c r="D113" s="4" t="s">
        <v>116</v>
      </c>
      <c r="E113" s="12">
        <v>7.33</v>
      </c>
      <c r="F113" s="12">
        <v>7.33</v>
      </c>
      <c r="G113" s="6">
        <f t="shared" si="39"/>
        <v>0</v>
      </c>
      <c r="H113" s="7">
        <f t="shared" si="40"/>
        <v>0</v>
      </c>
      <c r="I113" s="8">
        <v>9.6975016766020872</v>
      </c>
      <c r="J113" s="9">
        <f t="shared" si="41"/>
        <v>9.6975016766020872</v>
      </c>
      <c r="K113" s="3">
        <f t="shared" si="42"/>
        <v>0</v>
      </c>
      <c r="L113" s="7">
        <f t="shared" si="43"/>
        <v>0</v>
      </c>
      <c r="M113" t="s">
        <v>106</v>
      </c>
      <c r="O113" s="3">
        <f>E113-'290710 - P1223'!F113</f>
        <v>0</v>
      </c>
      <c r="P113" s="30">
        <f>I113-'290710 - P1223'!J113</f>
        <v>0</v>
      </c>
    </row>
    <row r="114" spans="1:16" x14ac:dyDescent="0.25">
      <c r="A114">
        <v>112</v>
      </c>
      <c r="C114" t="s">
        <v>8</v>
      </c>
      <c r="D114" s="4" t="s">
        <v>117</v>
      </c>
      <c r="E114" s="12">
        <v>8.39</v>
      </c>
      <c r="F114" s="12">
        <v>8.39</v>
      </c>
      <c r="G114" s="6">
        <f t="shared" si="39"/>
        <v>0</v>
      </c>
      <c r="H114" s="7">
        <f t="shared" si="40"/>
        <v>0</v>
      </c>
      <c r="I114" s="8">
        <v>9.9493819659061415</v>
      </c>
      <c r="J114" s="9">
        <f t="shared" si="41"/>
        <v>9.9493819659061415</v>
      </c>
      <c r="K114" s="3">
        <f t="shared" si="42"/>
        <v>0</v>
      </c>
      <c r="L114" s="7">
        <f t="shared" si="43"/>
        <v>0</v>
      </c>
      <c r="M114" t="s">
        <v>106</v>
      </c>
      <c r="O114" s="3">
        <f>E114-'290710 - P1223'!F114</f>
        <v>0</v>
      </c>
      <c r="P114" s="30">
        <f>I114-'290710 - P1223'!J114</f>
        <v>0</v>
      </c>
    </row>
    <row r="115" spans="1:16" x14ac:dyDescent="0.25">
      <c r="A115">
        <v>113</v>
      </c>
      <c r="C115" t="s">
        <v>8</v>
      </c>
      <c r="D115" s="4" t="s">
        <v>118</v>
      </c>
      <c r="E115" s="12">
        <v>9.39</v>
      </c>
      <c r="F115" s="12">
        <v>9.39</v>
      </c>
      <c r="G115" s="6">
        <f t="shared" si="39"/>
        <v>0</v>
      </c>
      <c r="H115" s="7">
        <f t="shared" si="40"/>
        <v>0</v>
      </c>
      <c r="I115" s="8">
        <v>11.783981312354875</v>
      </c>
      <c r="J115" s="9">
        <f t="shared" si="41"/>
        <v>11.783981312354875</v>
      </c>
      <c r="K115" s="3">
        <f t="shared" si="42"/>
        <v>0</v>
      </c>
      <c r="L115" s="7">
        <f t="shared" si="43"/>
        <v>0</v>
      </c>
      <c r="M115" t="s">
        <v>106</v>
      </c>
      <c r="O115" s="3">
        <f>E115-'290710 - P1223'!F115</f>
        <v>0</v>
      </c>
      <c r="P115" s="30">
        <f>I115-'290710 - P1223'!J115</f>
        <v>0</v>
      </c>
    </row>
    <row r="116" spans="1:16" x14ac:dyDescent="0.25">
      <c r="A116">
        <v>114</v>
      </c>
      <c r="D116" s="2" t="s">
        <v>119</v>
      </c>
      <c r="H116" s="10">
        <f>AVERAGE(H104:H115)</f>
        <v>0</v>
      </c>
      <c r="I116"/>
      <c r="L116" s="10">
        <f>AVERAGE(L104:L115)</f>
        <v>0</v>
      </c>
    </row>
    <row r="117" spans="1:16" x14ac:dyDescent="0.25">
      <c r="A117">
        <v>115</v>
      </c>
      <c r="D117" s="2" t="s">
        <v>120</v>
      </c>
      <c r="I117"/>
      <c r="M117" t="s">
        <v>121</v>
      </c>
    </row>
    <row r="118" spans="1:16" x14ac:dyDescent="0.25">
      <c r="A118">
        <v>116</v>
      </c>
      <c r="C118" t="s">
        <v>8</v>
      </c>
      <c r="D118" s="4" t="s">
        <v>456</v>
      </c>
      <c r="E118" s="12">
        <v>6</v>
      </c>
      <c r="F118" s="11">
        <v>6.3</v>
      </c>
      <c r="G118" s="13">
        <f t="shared" ref="G118:G153" si="44">+F118-E118</f>
        <v>0.29999999999999982</v>
      </c>
      <c r="H118" s="7">
        <f t="shared" ref="H118:H155" si="45">(F118-E118)/ABS(E118)</f>
        <v>4.9999999999999968E-2</v>
      </c>
      <c r="I118" s="8">
        <v>7.83</v>
      </c>
      <c r="J118" s="9">
        <f t="shared" ref="J118:J155" si="46">(I118*H118)+I118</f>
        <v>8.2214999999999989</v>
      </c>
      <c r="K118" s="3">
        <f t="shared" ref="K118:K155" si="47">J118-I118</f>
        <v>0.39149999999999885</v>
      </c>
      <c r="L118" s="7">
        <f t="shared" ref="L118:L155" si="48">(J118-I118)/ABS(I118)</f>
        <v>4.999999999999985E-2</v>
      </c>
      <c r="M118" t="s">
        <v>121</v>
      </c>
      <c r="O118" s="3">
        <f>E118-'290710 - P1223'!F118</f>
        <v>0</v>
      </c>
      <c r="P118" s="30">
        <f>I118-'290710 - P1223'!J118</f>
        <v>0</v>
      </c>
    </row>
    <row r="119" spans="1:16" x14ac:dyDescent="0.25">
      <c r="A119">
        <v>117</v>
      </c>
      <c r="C119" t="s">
        <v>8</v>
      </c>
      <c r="D119" s="4" t="s">
        <v>457</v>
      </c>
      <c r="E119" s="12">
        <v>6.6</v>
      </c>
      <c r="F119" s="11">
        <v>6.93</v>
      </c>
      <c r="G119" s="13">
        <f t="shared" si="44"/>
        <v>0.33000000000000007</v>
      </c>
      <c r="H119" s="7">
        <f t="shared" si="45"/>
        <v>5.0000000000000017E-2</v>
      </c>
      <c r="I119" s="8">
        <v>8.89</v>
      </c>
      <c r="J119" s="9">
        <f t="shared" si="46"/>
        <v>9.3345000000000002</v>
      </c>
      <c r="K119" s="3">
        <f t="shared" si="47"/>
        <v>0.44449999999999967</v>
      </c>
      <c r="L119" s="7">
        <f t="shared" si="48"/>
        <v>4.9999999999999961E-2</v>
      </c>
      <c r="M119" t="s">
        <v>121</v>
      </c>
      <c r="O119" s="3">
        <f>E119-'290710 - P1223'!F119</f>
        <v>0</v>
      </c>
      <c r="P119" s="30">
        <f>I119-'290710 - P1223'!J119</f>
        <v>0</v>
      </c>
    </row>
    <row r="120" spans="1:16" x14ac:dyDescent="0.25">
      <c r="A120">
        <v>118</v>
      </c>
      <c r="C120" t="s">
        <v>8</v>
      </c>
      <c r="D120" s="4" t="s">
        <v>458</v>
      </c>
      <c r="E120" s="12">
        <v>7.6</v>
      </c>
      <c r="F120" s="11">
        <v>7.98</v>
      </c>
      <c r="G120" s="13">
        <f t="shared" si="44"/>
        <v>0.38000000000000078</v>
      </c>
      <c r="H120" s="7">
        <f t="shared" si="45"/>
        <v>5.0000000000000107E-2</v>
      </c>
      <c r="I120" s="8">
        <v>10.25</v>
      </c>
      <c r="J120" s="9">
        <f t="shared" si="46"/>
        <v>10.762500000000001</v>
      </c>
      <c r="K120" s="3">
        <f t="shared" si="47"/>
        <v>0.51250000000000107</v>
      </c>
      <c r="L120" s="7">
        <f t="shared" si="48"/>
        <v>5.0000000000000107E-2</v>
      </c>
      <c r="M120" t="s">
        <v>121</v>
      </c>
      <c r="O120" s="3">
        <f>E120-'290710 - P1223'!F120</f>
        <v>0</v>
      </c>
      <c r="P120" s="30">
        <f>I120-'290710 - P1223'!J120</f>
        <v>0</v>
      </c>
    </row>
    <row r="121" spans="1:16" x14ac:dyDescent="0.25">
      <c r="A121">
        <v>119</v>
      </c>
      <c r="C121" t="s">
        <v>8</v>
      </c>
      <c r="D121" s="4" t="s">
        <v>460</v>
      </c>
      <c r="E121" s="12">
        <v>9.6</v>
      </c>
      <c r="F121" s="11">
        <v>10.08</v>
      </c>
      <c r="G121" s="6">
        <f t="shared" si="44"/>
        <v>0.48000000000000043</v>
      </c>
      <c r="H121" s="7">
        <f t="shared" si="45"/>
        <v>5.0000000000000044E-2</v>
      </c>
      <c r="I121" s="8">
        <v>13.87</v>
      </c>
      <c r="J121" s="9">
        <f t="shared" si="46"/>
        <v>14.563499999999999</v>
      </c>
      <c r="K121" s="3">
        <f t="shared" si="47"/>
        <v>0.69350000000000023</v>
      </c>
      <c r="L121" s="7">
        <f t="shared" si="48"/>
        <v>5.0000000000000017E-2</v>
      </c>
      <c r="M121" t="s">
        <v>121</v>
      </c>
      <c r="O121" s="3">
        <f>E121-'290710 - P1223'!F121</f>
        <v>0</v>
      </c>
      <c r="P121" s="30">
        <f>I121-'290710 - P1223'!J121</f>
        <v>0</v>
      </c>
    </row>
    <row r="122" spans="1:16" x14ac:dyDescent="0.25">
      <c r="A122">
        <v>120</v>
      </c>
      <c r="C122" t="s">
        <v>8</v>
      </c>
      <c r="D122" s="4" t="s">
        <v>459</v>
      </c>
      <c r="E122" s="14">
        <v>25.6</v>
      </c>
      <c r="F122" s="33">
        <v>26.88</v>
      </c>
      <c r="G122" s="6">
        <f t="shared" si="44"/>
        <v>1.2799999999999976</v>
      </c>
      <c r="H122" s="7">
        <f t="shared" si="45"/>
        <v>4.9999999999999906E-2</v>
      </c>
      <c r="I122" s="8">
        <v>38.07</v>
      </c>
      <c r="J122" s="9">
        <f t="shared" si="46"/>
        <v>39.973499999999994</v>
      </c>
      <c r="K122" s="3">
        <f t="shared" si="47"/>
        <v>1.903499999999994</v>
      </c>
      <c r="L122" s="7">
        <f t="shared" si="48"/>
        <v>4.9999999999999843E-2</v>
      </c>
      <c r="M122" t="s">
        <v>121</v>
      </c>
      <c r="O122" s="3">
        <f>E122-'290710 - P1223'!F122</f>
        <v>0</v>
      </c>
      <c r="P122" s="30">
        <f>I122-'290710 - P1223'!J122</f>
        <v>0</v>
      </c>
    </row>
    <row r="123" spans="1:16" x14ac:dyDescent="0.25">
      <c r="A123">
        <v>121</v>
      </c>
      <c r="C123" t="s">
        <v>8</v>
      </c>
      <c r="D123" s="4" t="s">
        <v>122</v>
      </c>
      <c r="E123" s="12">
        <v>6.02</v>
      </c>
      <c r="F123" s="11">
        <v>6.25</v>
      </c>
      <c r="G123" s="6">
        <f t="shared" si="44"/>
        <v>0.23000000000000043</v>
      </c>
      <c r="H123" s="7">
        <f t="shared" si="45"/>
        <v>3.820598006644526E-2</v>
      </c>
      <c r="I123" s="8">
        <v>7.8894782608695655</v>
      </c>
      <c r="J123" s="9">
        <f t="shared" si="46"/>
        <v>8.1909035100390017</v>
      </c>
      <c r="K123" s="3">
        <f t="shared" si="47"/>
        <v>0.30142524916943625</v>
      </c>
      <c r="L123" s="7">
        <f t="shared" si="48"/>
        <v>3.8205980066445315E-2</v>
      </c>
      <c r="M123" t="s">
        <v>121</v>
      </c>
      <c r="O123" s="3">
        <f>E123-'290710 - P1223'!F123</f>
        <v>-0.10000000000000053</v>
      </c>
      <c r="P123" s="30">
        <f>I123-'290710 - P1223'!J123</f>
        <v>0</v>
      </c>
    </row>
    <row r="124" spans="1:16" x14ac:dyDescent="0.25">
      <c r="A124">
        <v>122</v>
      </c>
      <c r="C124" t="s">
        <v>8</v>
      </c>
      <c r="D124" s="4" t="s">
        <v>123</v>
      </c>
      <c r="E124" s="12">
        <v>8.31</v>
      </c>
      <c r="F124" s="11">
        <v>8.6300000000000008</v>
      </c>
      <c r="G124" s="13">
        <f t="shared" si="44"/>
        <v>0.32000000000000028</v>
      </c>
      <c r="H124" s="7">
        <f t="shared" si="45"/>
        <v>3.8507821901323736E-2</v>
      </c>
      <c r="I124" s="8">
        <v>10.06</v>
      </c>
      <c r="J124" s="9">
        <f t="shared" si="46"/>
        <v>10.447388688327317</v>
      </c>
      <c r="K124" s="3">
        <f t="shared" si="47"/>
        <v>0.38738868832731654</v>
      </c>
      <c r="L124" s="7">
        <f t="shared" si="48"/>
        <v>3.8507821901323708E-2</v>
      </c>
      <c r="M124" t="s">
        <v>121</v>
      </c>
      <c r="O124" s="3">
        <f>E124-'290710 - P1223'!F124</f>
        <v>-0.13999999999999879</v>
      </c>
      <c r="P124" s="30">
        <f>I124-'290710 - P1223'!J124</f>
        <v>0</v>
      </c>
    </row>
    <row r="125" spans="1:16" x14ac:dyDescent="0.25">
      <c r="A125">
        <v>123</v>
      </c>
      <c r="C125" t="s">
        <v>8</v>
      </c>
      <c r="D125" s="4" t="s">
        <v>124</v>
      </c>
      <c r="E125" s="12">
        <v>9.4499999999999993</v>
      </c>
      <c r="F125" s="11">
        <v>9.82</v>
      </c>
      <c r="G125" s="13">
        <f t="shared" si="44"/>
        <v>0.37000000000000099</v>
      </c>
      <c r="H125" s="7">
        <f t="shared" si="45"/>
        <v>3.915343915343926E-2</v>
      </c>
      <c r="I125" s="8">
        <v>12.32</v>
      </c>
      <c r="J125" s="9">
        <f t="shared" si="46"/>
        <v>12.802370370370372</v>
      </c>
      <c r="K125" s="3">
        <f t="shared" si="47"/>
        <v>0.48237037037037211</v>
      </c>
      <c r="L125" s="7">
        <f t="shared" si="48"/>
        <v>3.9153439153439294E-2</v>
      </c>
      <c r="M125" t="s">
        <v>121</v>
      </c>
      <c r="O125" s="3">
        <f>E125-'290710 - P1223'!F125</f>
        <v>-0.16000000000000014</v>
      </c>
      <c r="P125" s="30">
        <f>I125-'290710 - P1223'!J125</f>
        <v>0</v>
      </c>
    </row>
    <row r="126" spans="1:16" x14ac:dyDescent="0.25">
      <c r="A126">
        <v>124</v>
      </c>
      <c r="C126" t="s">
        <v>8</v>
      </c>
      <c r="D126" s="4" t="s">
        <v>125</v>
      </c>
      <c r="E126" s="12">
        <v>10.6</v>
      </c>
      <c r="F126" s="11">
        <v>11.01</v>
      </c>
      <c r="G126" s="13">
        <f t="shared" si="44"/>
        <v>0.41000000000000014</v>
      </c>
      <c r="H126" s="7">
        <f t="shared" si="45"/>
        <v>3.867924528301888E-2</v>
      </c>
      <c r="I126" s="8">
        <v>14.19</v>
      </c>
      <c r="J126" s="9">
        <f t="shared" si="46"/>
        <v>14.738858490566038</v>
      </c>
      <c r="K126" s="3">
        <f t="shared" si="47"/>
        <v>0.54885849056603853</v>
      </c>
      <c r="L126" s="7">
        <f t="shared" si="48"/>
        <v>3.8679245283018922E-2</v>
      </c>
      <c r="M126" t="s">
        <v>121</v>
      </c>
      <c r="O126" s="3">
        <f>E126-'290710 - P1223'!F126</f>
        <v>-0.17999999999999972</v>
      </c>
      <c r="P126" s="30">
        <f>I126-'290710 - P1223'!J126</f>
        <v>0</v>
      </c>
    </row>
    <row r="127" spans="1:16" x14ac:dyDescent="0.25">
      <c r="A127">
        <v>125</v>
      </c>
      <c r="C127" t="s">
        <v>8</v>
      </c>
      <c r="D127" s="4" t="s">
        <v>126</v>
      </c>
      <c r="E127" s="12">
        <v>11.68</v>
      </c>
      <c r="F127" s="11">
        <v>12.13</v>
      </c>
      <c r="G127" s="6">
        <f t="shared" si="44"/>
        <v>0.45000000000000107</v>
      </c>
      <c r="H127" s="7">
        <f t="shared" si="45"/>
        <v>3.8527397260274064E-2</v>
      </c>
      <c r="I127" s="8">
        <v>15.38</v>
      </c>
      <c r="J127" s="9">
        <f t="shared" si="46"/>
        <v>15.972551369863016</v>
      </c>
      <c r="K127" s="3">
        <f t="shared" si="47"/>
        <v>0.59255136986301515</v>
      </c>
      <c r="L127" s="7">
        <f t="shared" si="48"/>
        <v>3.8527397260274064E-2</v>
      </c>
      <c r="M127" t="s">
        <v>121</v>
      </c>
      <c r="O127" s="3">
        <f>E127-'290710 - P1223'!F127</f>
        <v>0.40000000000000036</v>
      </c>
      <c r="P127" s="30">
        <f>I127-'290710 - P1223'!J127</f>
        <v>0</v>
      </c>
    </row>
    <row r="128" spans="1:16" x14ac:dyDescent="0.25">
      <c r="A128">
        <v>126</v>
      </c>
      <c r="C128" t="s">
        <v>8</v>
      </c>
      <c r="D128" s="4" t="s">
        <v>127</v>
      </c>
      <c r="E128" s="12">
        <v>15.57</v>
      </c>
      <c r="F128" s="11">
        <v>16.18</v>
      </c>
      <c r="G128" s="6">
        <f t="shared" si="44"/>
        <v>0.60999999999999943</v>
      </c>
      <c r="H128" s="7">
        <f t="shared" si="45"/>
        <v>3.9177906229929317E-2</v>
      </c>
      <c r="I128" s="8">
        <v>21.143359497645207</v>
      </c>
      <c r="J128" s="9">
        <f t="shared" si="46"/>
        <v>21.971712053429638</v>
      </c>
      <c r="K128" s="3">
        <f t="shared" si="47"/>
        <v>0.82835255578443068</v>
      </c>
      <c r="L128" s="7">
        <f t="shared" si="48"/>
        <v>3.917790622992938E-2</v>
      </c>
      <c r="M128" t="s">
        <v>121</v>
      </c>
      <c r="O128" s="3">
        <f>E128-'290710 - P1223'!F128</f>
        <v>0.53000000000000114</v>
      </c>
      <c r="P128" s="30">
        <f>I128-'290710 - P1223'!J128</f>
        <v>0</v>
      </c>
    </row>
    <row r="129" spans="1:16" x14ac:dyDescent="0.25">
      <c r="A129">
        <v>127</v>
      </c>
      <c r="C129" t="s">
        <v>8</v>
      </c>
      <c r="D129" s="4" t="s">
        <v>128</v>
      </c>
      <c r="E129" s="12">
        <v>6.94</v>
      </c>
      <c r="F129" s="11">
        <v>7.18</v>
      </c>
      <c r="G129" s="6">
        <f t="shared" si="44"/>
        <v>0.23999999999999932</v>
      </c>
      <c r="H129" s="7">
        <f t="shared" si="45"/>
        <v>3.4582132564841397E-2</v>
      </c>
      <c r="I129" s="8">
        <v>9.557599999999999</v>
      </c>
      <c r="J129" s="9">
        <f t="shared" si="46"/>
        <v>9.8881221902017273</v>
      </c>
      <c r="K129" s="3">
        <f t="shared" si="47"/>
        <v>0.33052219020172835</v>
      </c>
      <c r="L129" s="7">
        <f t="shared" si="48"/>
        <v>3.4582132564841425E-2</v>
      </c>
      <c r="M129" t="s">
        <v>121</v>
      </c>
      <c r="O129" s="3">
        <f>E129-'290710 - P1223'!F129</f>
        <v>-0.99519999999999964</v>
      </c>
      <c r="P129" s="30">
        <f>I129-'290710 - P1223'!J129</f>
        <v>0</v>
      </c>
    </row>
    <row r="130" spans="1:16" x14ac:dyDescent="0.25">
      <c r="A130">
        <v>128</v>
      </c>
      <c r="C130" t="s">
        <v>8</v>
      </c>
      <c r="D130" s="22" t="s">
        <v>504</v>
      </c>
      <c r="E130" s="12">
        <v>6.94</v>
      </c>
      <c r="F130" s="11">
        <v>7.18</v>
      </c>
      <c r="G130" s="6">
        <f t="shared" si="44"/>
        <v>0.23999999999999932</v>
      </c>
      <c r="H130" s="7">
        <f t="shared" si="45"/>
        <v>3.4582132564841397E-2</v>
      </c>
      <c r="I130" s="8">
        <v>9.557599999999999</v>
      </c>
      <c r="J130" s="9">
        <f t="shared" si="46"/>
        <v>9.8881221902017273</v>
      </c>
      <c r="K130" s="3">
        <f t="shared" si="47"/>
        <v>0.33052219020172835</v>
      </c>
      <c r="L130" s="7">
        <f t="shared" si="48"/>
        <v>3.4582132564841425E-2</v>
      </c>
      <c r="M130" t="s">
        <v>121</v>
      </c>
      <c r="O130" s="3">
        <f>E130-'290710 - P1223'!F130</f>
        <v>-1.4699999999999998</v>
      </c>
      <c r="P130" s="30">
        <f>I130-'290710 - P1223'!J130</f>
        <v>0</v>
      </c>
    </row>
    <row r="131" spans="1:16" x14ac:dyDescent="0.25">
      <c r="A131">
        <v>129</v>
      </c>
      <c r="C131" t="s">
        <v>8</v>
      </c>
      <c r="D131" s="4" t="s">
        <v>129</v>
      </c>
      <c r="E131" s="12">
        <v>30.56</v>
      </c>
      <c r="F131" s="11">
        <f>E131*4%+E131</f>
        <v>31.782399999999999</v>
      </c>
      <c r="G131" s="6">
        <f t="shared" si="44"/>
        <v>1.2224000000000004</v>
      </c>
      <c r="H131" s="7">
        <f t="shared" si="45"/>
        <v>4.0000000000000015E-2</v>
      </c>
      <c r="I131" s="8">
        <v>41.15</v>
      </c>
      <c r="J131" s="9">
        <f t="shared" si="46"/>
        <v>42.795999999999999</v>
      </c>
      <c r="K131" s="3">
        <f t="shared" si="47"/>
        <v>1.6460000000000008</v>
      </c>
      <c r="L131" s="7">
        <f t="shared" si="48"/>
        <v>4.0000000000000022E-2</v>
      </c>
      <c r="M131" t="s">
        <v>121</v>
      </c>
      <c r="O131" s="3">
        <f>E131-'290710 - P1223'!F131</f>
        <v>0</v>
      </c>
      <c r="P131" s="30">
        <f>I131-'290710 - P1223'!J131</f>
        <v>0</v>
      </c>
    </row>
    <row r="132" spans="1:16" x14ac:dyDescent="0.25">
      <c r="A132">
        <v>130</v>
      </c>
      <c r="C132" t="s">
        <v>8</v>
      </c>
      <c r="D132" s="4" t="s">
        <v>130</v>
      </c>
      <c r="E132" s="14">
        <v>36.67</v>
      </c>
      <c r="F132" s="33">
        <v>38.08</v>
      </c>
      <c r="G132" s="6">
        <f t="shared" si="44"/>
        <v>1.4099999999999966</v>
      </c>
      <c r="H132" s="7">
        <f t="shared" si="45"/>
        <v>3.8451049904554037E-2</v>
      </c>
      <c r="I132" s="8">
        <v>49.29</v>
      </c>
      <c r="J132" s="9">
        <f t="shared" si="46"/>
        <v>51.185252249795468</v>
      </c>
      <c r="K132" s="3">
        <f t="shared" si="47"/>
        <v>1.8952522497954689</v>
      </c>
      <c r="L132" s="7">
        <f t="shared" si="48"/>
        <v>3.8451049904554044E-2</v>
      </c>
      <c r="M132" t="s">
        <v>121</v>
      </c>
      <c r="O132" s="3">
        <f>E132-'290710 - P1223'!F132</f>
        <v>-0.28999999999999915</v>
      </c>
      <c r="P132" s="30">
        <f>I132-'290710 - P1223'!J132</f>
        <v>0</v>
      </c>
    </row>
    <row r="133" spans="1:16" x14ac:dyDescent="0.25">
      <c r="A133">
        <v>131</v>
      </c>
      <c r="C133" t="s">
        <v>8</v>
      </c>
      <c r="D133" s="4" t="s">
        <v>131</v>
      </c>
      <c r="E133" s="14">
        <v>36.67</v>
      </c>
      <c r="F133" s="33">
        <v>38.08</v>
      </c>
      <c r="G133" s="6">
        <f t="shared" si="44"/>
        <v>1.4099999999999966</v>
      </c>
      <c r="H133" s="7">
        <f t="shared" si="45"/>
        <v>3.8451049904554037E-2</v>
      </c>
      <c r="I133" s="8">
        <v>55.411200000000001</v>
      </c>
      <c r="J133" s="9">
        <f t="shared" si="46"/>
        <v>57.541818816471228</v>
      </c>
      <c r="K133" s="3">
        <f t="shared" si="47"/>
        <v>2.1306188164712268</v>
      </c>
      <c r="L133" s="7">
        <f t="shared" si="48"/>
        <v>3.8451049904554072E-2</v>
      </c>
      <c r="M133" t="s">
        <v>121</v>
      </c>
      <c r="O133" s="3">
        <f>E133-'290710 - P1223'!F133</f>
        <v>-3.8099999999999952</v>
      </c>
      <c r="P133" s="30">
        <f>I133-'290710 - P1223'!J133</f>
        <v>0</v>
      </c>
    </row>
    <row r="134" spans="1:16" x14ac:dyDescent="0.25">
      <c r="A134">
        <v>132</v>
      </c>
      <c r="C134" t="s">
        <v>8</v>
      </c>
      <c r="D134" s="4" t="s">
        <v>132</v>
      </c>
      <c r="E134" s="12">
        <v>14.67</v>
      </c>
      <c r="F134" s="11">
        <f>E134*8%+E134</f>
        <v>15.8436</v>
      </c>
      <c r="G134" s="6">
        <f t="shared" si="44"/>
        <v>1.1736000000000004</v>
      </c>
      <c r="H134" s="7">
        <f t="shared" si="45"/>
        <v>8.0000000000000029E-2</v>
      </c>
      <c r="I134" s="8">
        <v>20.8</v>
      </c>
      <c r="J134" s="9">
        <f t="shared" si="46"/>
        <v>22.464000000000002</v>
      </c>
      <c r="K134" s="3">
        <f t="shared" si="47"/>
        <v>1.6640000000000015</v>
      </c>
      <c r="L134" s="7">
        <f t="shared" si="48"/>
        <v>8.0000000000000071E-2</v>
      </c>
      <c r="M134" t="s">
        <v>121</v>
      </c>
      <c r="O134" s="3">
        <f>E134-'290710 - P1223'!F134</f>
        <v>0</v>
      </c>
      <c r="P134" s="30">
        <f>I134-'290710 - P1223'!J134</f>
        <v>0</v>
      </c>
    </row>
    <row r="135" spans="1:16" x14ac:dyDescent="0.25">
      <c r="A135">
        <v>133</v>
      </c>
      <c r="C135" t="s">
        <v>8</v>
      </c>
      <c r="D135" s="4" t="s">
        <v>133</v>
      </c>
      <c r="E135" s="12">
        <v>33.79</v>
      </c>
      <c r="F135" s="11">
        <f t="shared" ref="F135:F149" si="49">E135*8%+E135</f>
        <v>36.493200000000002</v>
      </c>
      <c r="G135" s="6">
        <f t="shared" si="44"/>
        <v>2.7032000000000025</v>
      </c>
      <c r="H135" s="7">
        <f t="shared" si="45"/>
        <v>8.0000000000000071E-2</v>
      </c>
      <c r="I135" s="8">
        <v>42.11</v>
      </c>
      <c r="J135" s="9">
        <f t="shared" si="46"/>
        <v>45.4788</v>
      </c>
      <c r="K135" s="3">
        <f t="shared" si="47"/>
        <v>3.3688000000000002</v>
      </c>
      <c r="L135" s="7">
        <f t="shared" si="48"/>
        <v>0.08</v>
      </c>
      <c r="M135" t="s">
        <v>121</v>
      </c>
      <c r="O135" s="3">
        <f>E135-'290710 - P1223'!F135</f>
        <v>0</v>
      </c>
      <c r="P135" s="30">
        <f>I135-'290710 - P1223'!J135</f>
        <v>0</v>
      </c>
    </row>
    <row r="136" spans="1:16" x14ac:dyDescent="0.25">
      <c r="A136">
        <v>134</v>
      </c>
      <c r="C136" t="s">
        <v>8</v>
      </c>
      <c r="D136" s="4" t="s">
        <v>134</v>
      </c>
      <c r="E136" s="12">
        <v>50.14</v>
      </c>
      <c r="F136" s="11">
        <f t="shared" si="49"/>
        <v>54.151200000000003</v>
      </c>
      <c r="G136" s="6">
        <f t="shared" si="44"/>
        <v>4.0112000000000023</v>
      </c>
      <c r="H136" s="7">
        <f t="shared" si="45"/>
        <v>8.0000000000000043E-2</v>
      </c>
      <c r="I136" s="8">
        <v>85.382382198952882</v>
      </c>
      <c r="J136" s="9">
        <f t="shared" si="46"/>
        <v>92.212972774869115</v>
      </c>
      <c r="K136" s="3">
        <f t="shared" si="47"/>
        <v>6.8305905759162329</v>
      </c>
      <c r="L136" s="7">
        <f t="shared" si="48"/>
        <v>8.0000000000000029E-2</v>
      </c>
      <c r="M136" t="s">
        <v>121</v>
      </c>
      <c r="O136" s="3">
        <f>E136-'290710 - P1223'!F136</f>
        <v>0</v>
      </c>
      <c r="P136" s="30">
        <f>I136-'290710 - P1223'!J136</f>
        <v>0</v>
      </c>
    </row>
    <row r="137" spans="1:16" x14ac:dyDescent="0.25">
      <c r="A137">
        <v>135</v>
      </c>
      <c r="C137" t="s">
        <v>8</v>
      </c>
      <c r="D137" s="4" t="s">
        <v>135</v>
      </c>
      <c r="E137" s="12">
        <v>5.61</v>
      </c>
      <c r="F137" s="11">
        <f t="shared" si="49"/>
        <v>6.0588000000000006</v>
      </c>
      <c r="G137" s="6">
        <f t="shared" si="44"/>
        <v>0.44880000000000031</v>
      </c>
      <c r="H137" s="7">
        <f t="shared" si="45"/>
        <v>8.0000000000000057E-2</v>
      </c>
      <c r="I137" s="8">
        <v>8.7200000000000006</v>
      </c>
      <c r="J137" s="9">
        <f t="shared" si="46"/>
        <v>9.417600000000002</v>
      </c>
      <c r="K137" s="3">
        <f t="shared" si="47"/>
        <v>0.69760000000000133</v>
      </c>
      <c r="L137" s="7">
        <f t="shared" si="48"/>
        <v>8.000000000000014E-2</v>
      </c>
      <c r="M137" t="s">
        <v>121</v>
      </c>
      <c r="O137" s="3">
        <f>E137-'290710 - P1223'!F137</f>
        <v>0</v>
      </c>
      <c r="P137" s="30">
        <f>I137-'290710 - P1223'!J137</f>
        <v>0</v>
      </c>
    </row>
    <row r="138" spans="1:16" x14ac:dyDescent="0.25">
      <c r="A138">
        <v>136</v>
      </c>
      <c r="C138" t="s">
        <v>8</v>
      </c>
      <c r="D138" s="4" t="s">
        <v>136</v>
      </c>
      <c r="E138" s="12">
        <v>9.91</v>
      </c>
      <c r="F138" s="11">
        <f t="shared" si="49"/>
        <v>10.7028</v>
      </c>
      <c r="G138" s="6">
        <f t="shared" si="44"/>
        <v>0.79279999999999973</v>
      </c>
      <c r="H138" s="7">
        <f t="shared" si="45"/>
        <v>7.9999999999999974E-2</v>
      </c>
      <c r="I138" s="8">
        <v>13.88</v>
      </c>
      <c r="J138" s="9">
        <f t="shared" si="46"/>
        <v>14.990400000000001</v>
      </c>
      <c r="K138" s="3">
        <f t="shared" si="47"/>
        <v>1.1104000000000003</v>
      </c>
      <c r="L138" s="7">
        <f t="shared" si="48"/>
        <v>8.0000000000000016E-2</v>
      </c>
      <c r="M138" t="s">
        <v>121</v>
      </c>
      <c r="O138" s="3">
        <f>E138-'290710 - P1223'!F138</f>
        <v>0</v>
      </c>
      <c r="P138" s="30">
        <f>I138-'290710 - P1223'!J138</f>
        <v>0</v>
      </c>
    </row>
    <row r="139" spans="1:16" x14ac:dyDescent="0.25">
      <c r="A139">
        <v>137</v>
      </c>
      <c r="C139" t="s">
        <v>8</v>
      </c>
      <c r="D139" s="4" t="s">
        <v>137</v>
      </c>
      <c r="E139" s="12">
        <v>14.86</v>
      </c>
      <c r="F139" s="11">
        <f t="shared" si="49"/>
        <v>16.0488</v>
      </c>
      <c r="G139" s="6">
        <f t="shared" si="44"/>
        <v>1.1888000000000005</v>
      </c>
      <c r="H139" s="7">
        <f t="shared" si="45"/>
        <v>8.0000000000000043E-2</v>
      </c>
      <c r="I139" s="8">
        <v>20.82</v>
      </c>
      <c r="J139" s="9">
        <f t="shared" si="46"/>
        <v>22.485600000000002</v>
      </c>
      <c r="K139" s="3">
        <f t="shared" si="47"/>
        <v>1.6656000000000013</v>
      </c>
      <c r="L139" s="7">
        <f t="shared" si="48"/>
        <v>8.0000000000000057E-2</v>
      </c>
      <c r="M139" t="s">
        <v>121</v>
      </c>
      <c r="O139" s="3">
        <f>E139-'290710 - P1223'!F139</f>
        <v>0</v>
      </c>
      <c r="P139" s="30">
        <f>I139-'290710 - P1223'!J139</f>
        <v>0</v>
      </c>
    </row>
    <row r="140" spans="1:16" x14ac:dyDescent="0.25">
      <c r="A140">
        <v>138</v>
      </c>
      <c r="C140" t="s">
        <v>8</v>
      </c>
      <c r="D140" s="4" t="s">
        <v>138</v>
      </c>
      <c r="E140" s="12">
        <v>19.82</v>
      </c>
      <c r="F140" s="11">
        <f t="shared" si="49"/>
        <v>21.4056</v>
      </c>
      <c r="G140" s="6">
        <f t="shared" si="44"/>
        <v>1.5855999999999995</v>
      </c>
      <c r="H140" s="7">
        <f t="shared" si="45"/>
        <v>7.9999999999999974E-2</v>
      </c>
      <c r="I140" s="8">
        <v>29.22</v>
      </c>
      <c r="J140" s="9">
        <f t="shared" si="46"/>
        <v>31.557599999999997</v>
      </c>
      <c r="K140" s="3">
        <f t="shared" si="47"/>
        <v>2.3375999999999983</v>
      </c>
      <c r="L140" s="7">
        <f t="shared" si="48"/>
        <v>7.9999999999999946E-2</v>
      </c>
      <c r="M140" t="s">
        <v>121</v>
      </c>
      <c r="O140" s="3">
        <f>E140-'290710 - P1223'!F140</f>
        <v>0</v>
      </c>
      <c r="P140" s="30">
        <f>I140-'290710 - P1223'!J140</f>
        <v>0</v>
      </c>
    </row>
    <row r="141" spans="1:16" x14ac:dyDescent="0.25">
      <c r="A141">
        <v>139</v>
      </c>
      <c r="C141" t="s">
        <v>8</v>
      </c>
      <c r="D141" s="4" t="s">
        <v>139</v>
      </c>
      <c r="E141" s="12">
        <v>26.87</v>
      </c>
      <c r="F141" s="11">
        <f t="shared" si="49"/>
        <v>29.019600000000001</v>
      </c>
      <c r="G141" s="6">
        <f>+F141-E141</f>
        <v>2.1495999999999995</v>
      </c>
      <c r="H141" s="7">
        <f t="shared" si="45"/>
        <v>7.9999999999999974E-2</v>
      </c>
      <c r="I141" s="8">
        <v>41.82</v>
      </c>
      <c r="J141" s="9">
        <f t="shared" si="46"/>
        <v>45.165599999999998</v>
      </c>
      <c r="K141" s="3">
        <f t="shared" si="47"/>
        <v>3.3455999999999975</v>
      </c>
      <c r="L141" s="7">
        <f t="shared" si="48"/>
        <v>7.9999999999999932E-2</v>
      </c>
      <c r="M141" t="s">
        <v>121</v>
      </c>
      <c r="O141" s="3">
        <f>E141-'290710 - P1223'!F141</f>
        <v>0</v>
      </c>
      <c r="P141" s="30">
        <f>I141-'290710 - P1223'!J141</f>
        <v>0</v>
      </c>
    </row>
    <row r="142" spans="1:16" x14ac:dyDescent="0.25">
      <c r="A142">
        <v>140</v>
      </c>
      <c r="C142" t="s">
        <v>8</v>
      </c>
      <c r="D142" s="4" t="s">
        <v>140</v>
      </c>
      <c r="E142" s="12">
        <v>32.24</v>
      </c>
      <c r="F142" s="11">
        <f t="shared" si="49"/>
        <v>34.819200000000002</v>
      </c>
      <c r="G142" s="6">
        <f t="shared" si="44"/>
        <v>2.5792000000000002</v>
      </c>
      <c r="H142" s="7">
        <f t="shared" si="45"/>
        <v>0.08</v>
      </c>
      <c r="I142" s="8">
        <v>50.19</v>
      </c>
      <c r="J142" s="9">
        <f t="shared" si="46"/>
        <v>54.205199999999998</v>
      </c>
      <c r="K142" s="3">
        <f t="shared" si="47"/>
        <v>4.0152000000000001</v>
      </c>
      <c r="L142" s="7">
        <f t="shared" si="48"/>
        <v>0.08</v>
      </c>
      <c r="M142" t="s">
        <v>121</v>
      </c>
      <c r="O142" s="3">
        <f>E142-'290710 - P1223'!F142</f>
        <v>0</v>
      </c>
      <c r="P142" s="30">
        <f>I142-'290710 - P1223'!J142</f>
        <v>0</v>
      </c>
    </row>
    <row r="143" spans="1:16" x14ac:dyDescent="0.25">
      <c r="A143">
        <v>141</v>
      </c>
      <c r="C143" t="s">
        <v>8</v>
      </c>
      <c r="D143" s="4" t="s">
        <v>141</v>
      </c>
      <c r="E143" s="12">
        <v>7.21</v>
      </c>
      <c r="F143" s="11">
        <f t="shared" si="49"/>
        <v>7.7867999999999995</v>
      </c>
      <c r="G143" s="6">
        <f t="shared" si="44"/>
        <v>0.57679999999999954</v>
      </c>
      <c r="H143" s="7">
        <f t="shared" si="45"/>
        <v>7.9999999999999932E-2</v>
      </c>
      <c r="I143" s="8">
        <v>10.28</v>
      </c>
      <c r="J143" s="9">
        <f t="shared" si="46"/>
        <v>11.102399999999999</v>
      </c>
      <c r="K143" s="3">
        <f t="shared" si="47"/>
        <v>0.82240000000000002</v>
      </c>
      <c r="L143" s="7">
        <f t="shared" si="48"/>
        <v>0.08</v>
      </c>
      <c r="M143" t="s">
        <v>121</v>
      </c>
      <c r="O143" s="3">
        <f>E143-'290710 - P1223'!F143</f>
        <v>0</v>
      </c>
      <c r="P143" s="30">
        <f>I143-'290710 - P1223'!J143</f>
        <v>0</v>
      </c>
    </row>
    <row r="144" spans="1:16" x14ac:dyDescent="0.25">
      <c r="A144">
        <v>142</v>
      </c>
      <c r="C144" t="s">
        <v>8</v>
      </c>
      <c r="D144" s="4" t="s">
        <v>142</v>
      </c>
      <c r="E144" s="12">
        <v>11.16</v>
      </c>
      <c r="F144" s="11">
        <f t="shared" si="49"/>
        <v>12.0528</v>
      </c>
      <c r="G144" s="6">
        <f t="shared" si="44"/>
        <v>0.89279999999999937</v>
      </c>
      <c r="H144" s="7">
        <f t="shared" si="45"/>
        <v>7.9999999999999946E-2</v>
      </c>
      <c r="I144" s="8">
        <v>15.63</v>
      </c>
      <c r="J144" s="9">
        <f t="shared" si="46"/>
        <v>16.880400000000002</v>
      </c>
      <c r="K144" s="3">
        <f t="shared" si="47"/>
        <v>1.2504000000000008</v>
      </c>
      <c r="L144" s="7">
        <f t="shared" si="48"/>
        <v>8.0000000000000043E-2</v>
      </c>
      <c r="M144" t="s">
        <v>121</v>
      </c>
      <c r="O144" s="3">
        <f>E144-'290710 - P1223'!F144</f>
        <v>0</v>
      </c>
      <c r="P144" s="30">
        <f>I144-'290710 - P1223'!J144</f>
        <v>0</v>
      </c>
    </row>
    <row r="145" spans="1:16" x14ac:dyDescent="0.25">
      <c r="A145">
        <v>143</v>
      </c>
      <c r="C145" t="s">
        <v>8</v>
      </c>
      <c r="D145" s="4" t="s">
        <v>143</v>
      </c>
      <c r="E145" s="12">
        <v>16.739999999999998</v>
      </c>
      <c r="F145" s="11">
        <f t="shared" si="49"/>
        <v>18.0792</v>
      </c>
      <c r="G145" s="6">
        <f t="shared" si="44"/>
        <v>1.3392000000000017</v>
      </c>
      <c r="H145" s="7">
        <f t="shared" si="45"/>
        <v>8.0000000000000113E-2</v>
      </c>
      <c r="I145" s="8">
        <v>23.44</v>
      </c>
      <c r="J145" s="9">
        <f t="shared" si="46"/>
        <v>25.315200000000004</v>
      </c>
      <c r="K145" s="3">
        <f t="shared" si="47"/>
        <v>1.8752000000000031</v>
      </c>
      <c r="L145" s="7">
        <f t="shared" si="48"/>
        <v>8.0000000000000127E-2</v>
      </c>
      <c r="M145" t="s">
        <v>121</v>
      </c>
      <c r="O145" s="3">
        <f>E145-'290710 - P1223'!F145</f>
        <v>0</v>
      </c>
      <c r="P145" s="30">
        <f>I145-'290710 - P1223'!J145</f>
        <v>0</v>
      </c>
    </row>
    <row r="146" spans="1:16" x14ac:dyDescent="0.25">
      <c r="A146">
        <v>144</v>
      </c>
      <c r="C146" t="s">
        <v>8</v>
      </c>
      <c r="D146" s="4" t="s">
        <v>144</v>
      </c>
      <c r="E146" s="12">
        <v>22.31</v>
      </c>
      <c r="F146" s="11">
        <f t="shared" si="49"/>
        <v>24.094799999999999</v>
      </c>
      <c r="G146" s="6">
        <f t="shared" si="44"/>
        <v>1.7848000000000006</v>
      </c>
      <c r="H146" s="7">
        <f t="shared" si="45"/>
        <v>8.0000000000000029E-2</v>
      </c>
      <c r="I146" s="8">
        <v>32.9</v>
      </c>
      <c r="J146" s="9">
        <f t="shared" si="46"/>
        <v>35.531999999999996</v>
      </c>
      <c r="K146" s="3">
        <f t="shared" si="47"/>
        <v>2.6319999999999979</v>
      </c>
      <c r="L146" s="7">
        <f t="shared" si="48"/>
        <v>7.9999999999999946E-2</v>
      </c>
      <c r="M146" t="s">
        <v>121</v>
      </c>
      <c r="O146" s="3">
        <f>E146-'290710 - P1223'!F146</f>
        <v>0</v>
      </c>
      <c r="P146" s="30">
        <f>I146-'290710 - P1223'!J146</f>
        <v>0</v>
      </c>
    </row>
    <row r="147" spans="1:16" x14ac:dyDescent="0.25">
      <c r="A147">
        <v>145</v>
      </c>
      <c r="C147" t="s">
        <v>8</v>
      </c>
      <c r="D147" s="4" t="s">
        <v>145</v>
      </c>
      <c r="E147" s="12">
        <v>31.21</v>
      </c>
      <c r="F147" s="11">
        <f t="shared" si="49"/>
        <v>33.706800000000001</v>
      </c>
      <c r="G147" s="6">
        <f t="shared" si="44"/>
        <v>2.4968000000000004</v>
      </c>
      <c r="H147" s="7">
        <f t="shared" si="45"/>
        <v>8.0000000000000016E-2</v>
      </c>
      <c r="I147" s="8">
        <v>48.55</v>
      </c>
      <c r="J147" s="9">
        <f t="shared" si="46"/>
        <v>52.433999999999997</v>
      </c>
      <c r="K147" s="3">
        <f t="shared" si="47"/>
        <v>3.8840000000000003</v>
      </c>
      <c r="L147" s="7">
        <f t="shared" si="48"/>
        <v>8.0000000000000016E-2</v>
      </c>
      <c r="M147" t="s">
        <v>121</v>
      </c>
      <c r="O147" s="3">
        <f>E147-'290710 - P1223'!F147</f>
        <v>0</v>
      </c>
      <c r="P147" s="30">
        <f>I147-'290710 - P1223'!J147</f>
        <v>0</v>
      </c>
    </row>
    <row r="148" spans="1:16" x14ac:dyDescent="0.25">
      <c r="A148">
        <v>146</v>
      </c>
      <c r="C148" t="s">
        <v>8</v>
      </c>
      <c r="D148" s="4" t="s">
        <v>146</v>
      </c>
      <c r="E148" s="12">
        <v>37.46</v>
      </c>
      <c r="F148" s="11">
        <f t="shared" si="49"/>
        <v>40.456800000000001</v>
      </c>
      <c r="G148" s="6">
        <f t="shared" si="44"/>
        <v>2.9968000000000004</v>
      </c>
      <c r="H148" s="7">
        <f t="shared" si="45"/>
        <v>0.08</v>
      </c>
      <c r="I148" s="8">
        <v>58.25</v>
      </c>
      <c r="J148" s="9">
        <f t="shared" si="46"/>
        <v>62.91</v>
      </c>
      <c r="K148" s="3">
        <f t="shared" si="47"/>
        <v>4.6599999999999966</v>
      </c>
      <c r="L148" s="7">
        <f t="shared" si="48"/>
        <v>7.9999999999999946E-2</v>
      </c>
      <c r="M148" t="s">
        <v>121</v>
      </c>
      <c r="O148" s="3">
        <f>E148-'290710 - P1223'!F148</f>
        <v>0</v>
      </c>
      <c r="P148" s="30">
        <f>I148-'290710 - P1223'!J148</f>
        <v>0</v>
      </c>
    </row>
    <row r="149" spans="1:16" x14ac:dyDescent="0.25">
      <c r="A149">
        <v>147</v>
      </c>
      <c r="C149" t="s">
        <v>8</v>
      </c>
      <c r="D149" s="4" t="s">
        <v>147</v>
      </c>
      <c r="E149" s="12">
        <v>6.49</v>
      </c>
      <c r="F149" s="11">
        <f t="shared" si="49"/>
        <v>7.0091999999999999</v>
      </c>
      <c r="G149" s="6">
        <f t="shared" si="44"/>
        <v>0.51919999999999966</v>
      </c>
      <c r="H149" s="7">
        <f t="shared" si="45"/>
        <v>7.9999999999999946E-2</v>
      </c>
      <c r="I149" s="8">
        <v>10.62137397260274</v>
      </c>
      <c r="J149" s="9">
        <f t="shared" si="46"/>
        <v>11.471083890410959</v>
      </c>
      <c r="K149" s="3">
        <f t="shared" si="47"/>
        <v>0.84970991780821947</v>
      </c>
      <c r="L149" s="7">
        <f t="shared" si="48"/>
        <v>8.0000000000000029E-2</v>
      </c>
      <c r="M149" t="s">
        <v>121</v>
      </c>
      <c r="O149" s="3">
        <f>E149-'290710 - P1223'!F149</f>
        <v>0</v>
      </c>
      <c r="P149" s="30">
        <f>I149-'290710 - P1223'!J149</f>
        <v>0</v>
      </c>
    </row>
    <row r="150" spans="1:16" x14ac:dyDescent="0.25">
      <c r="A150">
        <v>148</v>
      </c>
      <c r="C150" t="s">
        <v>8</v>
      </c>
      <c r="D150" s="4" t="s">
        <v>448</v>
      </c>
      <c r="E150" s="12">
        <v>6.97</v>
      </c>
      <c r="F150" s="12">
        <v>6.97</v>
      </c>
      <c r="G150" s="6">
        <f t="shared" si="44"/>
        <v>0</v>
      </c>
      <c r="H150" s="7">
        <f t="shared" si="45"/>
        <v>0</v>
      </c>
      <c r="I150" s="8">
        <v>8.7200000000000006</v>
      </c>
      <c r="J150" s="9">
        <f t="shared" si="46"/>
        <v>8.7200000000000006</v>
      </c>
      <c r="K150" s="3">
        <f t="shared" si="47"/>
        <v>0</v>
      </c>
      <c r="L150" s="7">
        <f t="shared" si="48"/>
        <v>0</v>
      </c>
      <c r="M150" t="s">
        <v>121</v>
      </c>
      <c r="O150" s="3">
        <f>E150-'290710 - P1223'!F150</f>
        <v>0</v>
      </c>
      <c r="P150" s="30">
        <f>I150-'290710 - P1223'!J150</f>
        <v>0</v>
      </c>
    </row>
    <row r="151" spans="1:16" x14ac:dyDescent="0.25">
      <c r="A151">
        <v>149</v>
      </c>
      <c r="C151" t="s">
        <v>8</v>
      </c>
      <c r="D151" s="4" t="s">
        <v>449</v>
      </c>
      <c r="E151" s="12">
        <v>8.33</v>
      </c>
      <c r="F151" s="12">
        <v>8.33</v>
      </c>
      <c r="G151" s="6">
        <f t="shared" si="44"/>
        <v>0</v>
      </c>
      <c r="H151" s="7">
        <f t="shared" si="45"/>
        <v>0</v>
      </c>
      <c r="I151" s="8">
        <v>10.42</v>
      </c>
      <c r="J151" s="9">
        <f t="shared" si="46"/>
        <v>10.42</v>
      </c>
      <c r="K151" s="3">
        <f t="shared" si="47"/>
        <v>0</v>
      </c>
      <c r="L151" s="7">
        <f t="shared" si="48"/>
        <v>0</v>
      </c>
      <c r="M151" t="s">
        <v>121</v>
      </c>
      <c r="O151" s="3">
        <f>E151-'290710 - P1223'!F151</f>
        <v>0</v>
      </c>
      <c r="P151" s="30">
        <f>I151-'290710 - P1223'!J151</f>
        <v>0</v>
      </c>
    </row>
    <row r="152" spans="1:16" x14ac:dyDescent="0.25">
      <c r="A152">
        <v>150</v>
      </c>
      <c r="C152" t="s">
        <v>8</v>
      </c>
      <c r="D152" s="4" t="s">
        <v>450</v>
      </c>
      <c r="E152" s="12">
        <v>12.49</v>
      </c>
      <c r="F152" s="12">
        <v>12.49</v>
      </c>
      <c r="G152" s="6">
        <f t="shared" si="44"/>
        <v>0</v>
      </c>
      <c r="H152" s="7">
        <f t="shared" si="45"/>
        <v>0</v>
      </c>
      <c r="I152" s="8">
        <v>15.62</v>
      </c>
      <c r="J152" s="9">
        <f t="shared" si="46"/>
        <v>15.62</v>
      </c>
      <c r="K152" s="3">
        <f t="shared" si="47"/>
        <v>0</v>
      </c>
      <c r="L152" s="7">
        <f t="shared" si="48"/>
        <v>0</v>
      </c>
      <c r="M152" t="s">
        <v>121</v>
      </c>
      <c r="O152" s="3">
        <f>E152-'290710 - P1223'!F152</f>
        <v>0</v>
      </c>
      <c r="P152" s="30">
        <f>I152-'290710 - P1223'!J152</f>
        <v>0</v>
      </c>
    </row>
    <row r="153" spans="1:16" x14ac:dyDescent="0.25">
      <c r="A153">
        <v>151</v>
      </c>
      <c r="C153" t="s">
        <v>8</v>
      </c>
      <c r="D153" s="4" t="s">
        <v>451</v>
      </c>
      <c r="E153" s="12">
        <v>16.27</v>
      </c>
      <c r="F153" s="12">
        <v>16.27</v>
      </c>
      <c r="G153" s="6">
        <f t="shared" si="44"/>
        <v>0</v>
      </c>
      <c r="H153" s="7">
        <f t="shared" si="45"/>
        <v>0</v>
      </c>
      <c r="I153" s="8">
        <v>21.41</v>
      </c>
      <c r="J153" s="9">
        <f t="shared" si="46"/>
        <v>21.41</v>
      </c>
      <c r="K153" s="3">
        <f t="shared" si="47"/>
        <v>0</v>
      </c>
      <c r="L153" s="7">
        <f t="shared" si="48"/>
        <v>0</v>
      </c>
      <c r="M153" t="s">
        <v>121</v>
      </c>
      <c r="O153" s="3">
        <f>E153-'290710 - P1223'!F153</f>
        <v>0</v>
      </c>
      <c r="P153" s="30">
        <f>I153-'290710 - P1223'!J153</f>
        <v>0</v>
      </c>
    </row>
    <row r="154" spans="1:16" x14ac:dyDescent="0.25">
      <c r="A154">
        <v>152</v>
      </c>
      <c r="C154" t="s">
        <v>8</v>
      </c>
      <c r="D154" s="4" t="s">
        <v>452</v>
      </c>
      <c r="E154" s="12">
        <v>20.329999999999998</v>
      </c>
      <c r="F154" s="12">
        <v>20.329999999999998</v>
      </c>
      <c r="G154" s="6">
        <f>+F154-E154</f>
        <v>0</v>
      </c>
      <c r="H154" s="7">
        <f t="shared" si="45"/>
        <v>0</v>
      </c>
      <c r="I154" s="8">
        <v>28.24</v>
      </c>
      <c r="J154" s="9">
        <f t="shared" si="46"/>
        <v>28.24</v>
      </c>
      <c r="K154" s="3">
        <f t="shared" si="47"/>
        <v>0</v>
      </c>
      <c r="L154" s="7">
        <f t="shared" si="48"/>
        <v>0</v>
      </c>
      <c r="M154" t="s">
        <v>121</v>
      </c>
      <c r="O154" s="3">
        <f>E154-'290710 - P1223'!F154</f>
        <v>0</v>
      </c>
      <c r="P154" s="30">
        <f>I154-'290710 - P1223'!J154</f>
        <v>0</v>
      </c>
    </row>
    <row r="155" spans="1:16" x14ac:dyDescent="0.25">
      <c r="A155">
        <v>153</v>
      </c>
      <c r="C155" t="s">
        <v>8</v>
      </c>
      <c r="D155" s="4" t="s">
        <v>453</v>
      </c>
      <c r="E155" s="12">
        <v>24.4</v>
      </c>
      <c r="F155" s="12">
        <v>24.4</v>
      </c>
      <c r="G155" s="6">
        <f t="shared" ref="G155" si="50">+F155-E155</f>
        <v>0</v>
      </c>
      <c r="H155" s="7">
        <f t="shared" si="45"/>
        <v>0</v>
      </c>
      <c r="I155" s="8">
        <v>33.89</v>
      </c>
      <c r="J155" s="9">
        <f t="shared" si="46"/>
        <v>33.89</v>
      </c>
      <c r="K155" s="3">
        <f t="shared" si="47"/>
        <v>0</v>
      </c>
      <c r="L155" s="7">
        <f t="shared" si="48"/>
        <v>0</v>
      </c>
      <c r="M155" t="s">
        <v>121</v>
      </c>
      <c r="O155" s="3">
        <f>E155-'290710 - P1223'!F155</f>
        <v>0</v>
      </c>
      <c r="P155" s="30">
        <f>I155-'290710 - P1223'!J155</f>
        <v>0</v>
      </c>
    </row>
    <row r="156" spans="1:16" x14ac:dyDescent="0.25">
      <c r="A156">
        <v>154</v>
      </c>
      <c r="D156" s="2" t="s">
        <v>148</v>
      </c>
      <c r="F156" s="15"/>
      <c r="H156" s="10">
        <f>AVERAGE(H123:H149)</f>
        <v>6.2900672401230429E-2</v>
      </c>
      <c r="I156"/>
    </row>
    <row r="157" spans="1:16" x14ac:dyDescent="0.25">
      <c r="A157">
        <v>155</v>
      </c>
      <c r="D157" s="2" t="s">
        <v>149</v>
      </c>
      <c r="I157"/>
      <c r="M157" t="s">
        <v>150</v>
      </c>
    </row>
    <row r="158" spans="1:16" x14ac:dyDescent="0.25">
      <c r="A158">
        <v>156</v>
      </c>
      <c r="C158" t="s">
        <v>8</v>
      </c>
      <c r="D158" s="4" t="s">
        <v>151</v>
      </c>
      <c r="E158" s="12">
        <v>37.49</v>
      </c>
      <c r="F158" s="12">
        <v>37.49</v>
      </c>
      <c r="G158" s="6">
        <f t="shared" ref="G158:G164" si="51">+F158-E158</f>
        <v>0</v>
      </c>
      <c r="H158" s="7">
        <f t="shared" ref="H158:H164" si="52">(F158-E158)/ABS(E158)</f>
        <v>0</v>
      </c>
      <c r="I158" s="12">
        <v>40.250769230769222</v>
      </c>
      <c r="J158" s="12">
        <f t="shared" ref="J158:J164" si="53">(I158*H158)+I158</f>
        <v>40.250769230769222</v>
      </c>
      <c r="K158" s="3">
        <f t="shared" ref="K158:K164" si="54">J158-I158</f>
        <v>0</v>
      </c>
      <c r="L158" s="7">
        <f t="shared" ref="L158:L164" si="55">(J158-I158)/ABS(I158)</f>
        <v>0</v>
      </c>
      <c r="M158" t="s">
        <v>150</v>
      </c>
      <c r="O158" s="3">
        <f>E158-'290710 - P1223'!F158</f>
        <v>0</v>
      </c>
      <c r="P158" s="30">
        <f>I158-'290710 - P1223'!J158</f>
        <v>0</v>
      </c>
    </row>
    <row r="159" spans="1:16" x14ac:dyDescent="0.25">
      <c r="A159">
        <v>157</v>
      </c>
      <c r="C159" t="s">
        <v>8</v>
      </c>
      <c r="D159" s="4" t="s">
        <v>152</v>
      </c>
      <c r="E159" s="12">
        <v>6.1</v>
      </c>
      <c r="F159" s="12">
        <v>6.1</v>
      </c>
      <c r="G159" s="6">
        <f t="shared" si="51"/>
        <v>0</v>
      </c>
      <c r="H159" s="7">
        <f t="shared" si="52"/>
        <v>0</v>
      </c>
      <c r="I159" s="12">
        <v>13.248680851063828</v>
      </c>
      <c r="J159" s="12">
        <f t="shared" si="53"/>
        <v>13.248680851063828</v>
      </c>
      <c r="K159" s="3">
        <f t="shared" si="54"/>
        <v>0</v>
      </c>
      <c r="L159" s="7">
        <f t="shared" si="55"/>
        <v>0</v>
      </c>
      <c r="M159" t="s">
        <v>150</v>
      </c>
      <c r="O159" s="3">
        <f>E159-'290710 - P1223'!F159</f>
        <v>0</v>
      </c>
      <c r="P159" s="30">
        <f>I159-'290710 - P1223'!J159</f>
        <v>0</v>
      </c>
    </row>
    <row r="160" spans="1:16" x14ac:dyDescent="0.25">
      <c r="A160">
        <v>158</v>
      </c>
      <c r="C160" t="s">
        <v>8</v>
      </c>
      <c r="D160" s="4" t="s">
        <v>153</v>
      </c>
      <c r="E160" s="12">
        <v>11.16</v>
      </c>
      <c r="F160" s="12">
        <v>11.16</v>
      </c>
      <c r="G160" s="6">
        <f t="shared" si="51"/>
        <v>0</v>
      </c>
      <c r="H160" s="7">
        <f t="shared" si="52"/>
        <v>0</v>
      </c>
      <c r="I160" s="12">
        <v>22.971018518518513</v>
      </c>
      <c r="J160" s="12">
        <f t="shared" si="53"/>
        <v>22.971018518518513</v>
      </c>
      <c r="K160" s="3">
        <f t="shared" si="54"/>
        <v>0</v>
      </c>
      <c r="L160" s="7">
        <f t="shared" si="55"/>
        <v>0</v>
      </c>
      <c r="M160" t="s">
        <v>150</v>
      </c>
      <c r="O160" s="3">
        <f>E160-'290710 - P1223'!F160</f>
        <v>0</v>
      </c>
      <c r="P160" s="30">
        <f>I160-'290710 - P1223'!J160</f>
        <v>0</v>
      </c>
    </row>
    <row r="161" spans="1:16" x14ac:dyDescent="0.25">
      <c r="A161">
        <v>159</v>
      </c>
      <c r="D161" s="4" t="s">
        <v>154</v>
      </c>
      <c r="E161" s="12">
        <v>6.8040000000000003</v>
      </c>
      <c r="F161" s="12">
        <v>6.8040000000000003</v>
      </c>
      <c r="G161" s="6">
        <f t="shared" si="51"/>
        <v>0</v>
      </c>
      <c r="H161" s="7">
        <f t="shared" si="52"/>
        <v>0</v>
      </c>
      <c r="I161" s="12">
        <v>22.285410234150319</v>
      </c>
      <c r="J161" s="12">
        <f t="shared" si="53"/>
        <v>22.285410234150319</v>
      </c>
      <c r="K161" s="3">
        <f t="shared" si="54"/>
        <v>0</v>
      </c>
      <c r="L161" s="7">
        <f t="shared" si="55"/>
        <v>0</v>
      </c>
      <c r="M161" t="s">
        <v>150</v>
      </c>
      <c r="O161" s="3">
        <f>E161-'290710 - P1223'!F161</f>
        <v>0</v>
      </c>
      <c r="P161" s="30">
        <f>I161-'290710 - P1223'!J161</f>
        <v>0</v>
      </c>
    </row>
    <row r="162" spans="1:16" x14ac:dyDescent="0.25">
      <c r="A162">
        <v>160</v>
      </c>
      <c r="C162" t="s">
        <v>8</v>
      </c>
      <c r="D162" s="4" t="s">
        <v>155</v>
      </c>
      <c r="E162" s="12">
        <v>18.05</v>
      </c>
      <c r="F162" s="12">
        <v>18.05</v>
      </c>
      <c r="G162" s="6">
        <f t="shared" si="51"/>
        <v>0</v>
      </c>
      <c r="H162" s="7">
        <f t="shared" si="52"/>
        <v>0</v>
      </c>
      <c r="I162" s="12">
        <v>28.933702479338844</v>
      </c>
      <c r="J162" s="12">
        <f t="shared" si="53"/>
        <v>28.933702479338844</v>
      </c>
      <c r="K162" s="3">
        <f t="shared" si="54"/>
        <v>0</v>
      </c>
      <c r="L162" s="7">
        <f t="shared" si="55"/>
        <v>0</v>
      </c>
      <c r="M162" t="s">
        <v>150</v>
      </c>
      <c r="O162" s="3">
        <f>E162-'290710 - P1223'!F162</f>
        <v>0</v>
      </c>
      <c r="P162" s="30">
        <f>I162-'290710 - P1223'!J162</f>
        <v>0</v>
      </c>
    </row>
    <row r="163" spans="1:16" x14ac:dyDescent="0.25">
      <c r="A163">
        <v>161</v>
      </c>
      <c r="D163" s="4" t="s">
        <v>156</v>
      </c>
      <c r="E163" s="12">
        <v>0.4</v>
      </c>
      <c r="F163" s="12">
        <v>0.4</v>
      </c>
      <c r="G163" s="6">
        <f t="shared" si="51"/>
        <v>0</v>
      </c>
      <c r="H163" s="7">
        <f t="shared" si="52"/>
        <v>0</v>
      </c>
      <c r="I163" s="12">
        <v>1.1076923076923078</v>
      </c>
      <c r="J163" s="12">
        <f t="shared" si="53"/>
        <v>1.1076923076923078</v>
      </c>
      <c r="K163" s="3">
        <f t="shared" si="54"/>
        <v>0</v>
      </c>
      <c r="L163" s="7">
        <f t="shared" si="55"/>
        <v>0</v>
      </c>
      <c r="M163" t="s">
        <v>150</v>
      </c>
      <c r="O163" s="3">
        <f>E163-'290710 - P1223'!F163</f>
        <v>0</v>
      </c>
      <c r="P163" s="30">
        <f>I163-'290710 - P1223'!J163</f>
        <v>0</v>
      </c>
    </row>
    <row r="164" spans="1:16" x14ac:dyDescent="0.25">
      <c r="A164">
        <v>162</v>
      </c>
      <c r="C164" t="s">
        <v>8</v>
      </c>
      <c r="D164" s="4" t="s">
        <v>157</v>
      </c>
      <c r="E164" s="12">
        <v>5.99</v>
      </c>
      <c r="F164" s="12">
        <v>5.99</v>
      </c>
      <c r="G164" s="6">
        <f t="shared" si="51"/>
        <v>0</v>
      </c>
      <c r="H164" s="7">
        <f t="shared" si="52"/>
        <v>0</v>
      </c>
      <c r="I164" s="12">
        <v>10.65</v>
      </c>
      <c r="J164" s="12">
        <f t="shared" si="53"/>
        <v>10.65</v>
      </c>
      <c r="K164" s="3">
        <f t="shared" si="54"/>
        <v>0</v>
      </c>
      <c r="L164" s="7">
        <f t="shared" si="55"/>
        <v>0</v>
      </c>
      <c r="M164" t="s">
        <v>150</v>
      </c>
      <c r="O164" s="3">
        <f>E164-'290710 - P1223'!F164</f>
        <v>0</v>
      </c>
      <c r="P164" s="30">
        <f>I164-'290710 - P1223'!J164</f>
        <v>0</v>
      </c>
    </row>
    <row r="165" spans="1:16" x14ac:dyDescent="0.25">
      <c r="A165">
        <v>163</v>
      </c>
      <c r="D165" s="2" t="s">
        <v>158</v>
      </c>
      <c r="H165" s="10">
        <f>AVERAGE(H158:H163)</f>
        <v>0</v>
      </c>
      <c r="I165"/>
    </row>
    <row r="166" spans="1:16" x14ac:dyDescent="0.25">
      <c r="A166">
        <v>164</v>
      </c>
      <c r="D166" s="2" t="s">
        <v>159</v>
      </c>
      <c r="I166"/>
    </row>
    <row r="167" spans="1:16" x14ac:dyDescent="0.25">
      <c r="A167">
        <v>165</v>
      </c>
      <c r="C167" t="s">
        <v>8</v>
      </c>
      <c r="D167" s="4" t="s">
        <v>160</v>
      </c>
      <c r="E167" s="5">
        <v>3.34</v>
      </c>
      <c r="F167" s="5">
        <v>3.34</v>
      </c>
      <c r="G167" s="6">
        <f t="shared" ref="G167:G191" si="56">+F167-E167</f>
        <v>0</v>
      </c>
      <c r="H167" s="7">
        <f t="shared" ref="H167:H191" si="57">(F167-E167)/ABS(E167)</f>
        <v>0</v>
      </c>
      <c r="I167" s="8">
        <v>6.1290657389972267</v>
      </c>
      <c r="J167" s="9">
        <f t="shared" ref="J167:J191" si="58">(I167*H167)+I167</f>
        <v>6.1290657389972267</v>
      </c>
      <c r="K167" s="3">
        <f t="shared" ref="K167:K191" si="59">J167-I167</f>
        <v>0</v>
      </c>
      <c r="L167" s="7">
        <f t="shared" ref="L167:L191" si="60">(J167-I167)/ABS(I167)</f>
        <v>0</v>
      </c>
      <c r="M167" t="s">
        <v>150</v>
      </c>
      <c r="O167" s="3">
        <f>E167-'290710 - P1223'!F167</f>
        <v>0</v>
      </c>
      <c r="P167" s="30">
        <f>I167-'290710 - P1223'!J167</f>
        <v>0</v>
      </c>
    </row>
    <row r="168" spans="1:16" x14ac:dyDescent="0.25">
      <c r="A168">
        <v>166</v>
      </c>
      <c r="C168" t="s">
        <v>8</v>
      </c>
      <c r="D168" s="4" t="s">
        <v>161</v>
      </c>
      <c r="E168" s="5">
        <v>4.17</v>
      </c>
      <c r="F168" s="5">
        <v>4.17</v>
      </c>
      <c r="G168" s="6">
        <f t="shared" si="56"/>
        <v>0</v>
      </c>
      <c r="H168" s="7">
        <f t="shared" si="57"/>
        <v>0</v>
      </c>
      <c r="I168" s="8">
        <v>8.8595399379795996</v>
      </c>
      <c r="J168" s="9">
        <f t="shared" si="58"/>
        <v>8.8595399379795996</v>
      </c>
      <c r="K168" s="3">
        <f t="shared" si="59"/>
        <v>0</v>
      </c>
      <c r="L168" s="7">
        <f t="shared" si="60"/>
        <v>0</v>
      </c>
      <c r="M168" t="s">
        <v>150</v>
      </c>
      <c r="O168" s="3">
        <f>E168-'290710 - P1223'!F168</f>
        <v>0</v>
      </c>
      <c r="P168" s="30">
        <f>I168-'290710 - P1223'!J168</f>
        <v>0</v>
      </c>
    </row>
    <row r="169" spans="1:16" x14ac:dyDescent="0.25">
      <c r="A169">
        <v>167</v>
      </c>
      <c r="C169" t="s">
        <v>8</v>
      </c>
      <c r="D169" s="4" t="s">
        <v>162</v>
      </c>
      <c r="E169" s="5">
        <v>4.6500000000000004</v>
      </c>
      <c r="F169" s="5">
        <v>4.6500000000000004</v>
      </c>
      <c r="G169" s="6">
        <f t="shared" si="56"/>
        <v>0</v>
      </c>
      <c r="H169" s="7">
        <f t="shared" si="57"/>
        <v>0</v>
      </c>
      <c r="I169" s="8">
        <v>6.5993171022995547</v>
      </c>
      <c r="J169" s="9">
        <f t="shared" si="58"/>
        <v>6.5993171022995547</v>
      </c>
      <c r="K169" s="3">
        <f t="shared" si="59"/>
        <v>0</v>
      </c>
      <c r="L169" s="7">
        <f t="shared" si="60"/>
        <v>0</v>
      </c>
      <c r="M169" t="s">
        <v>150</v>
      </c>
      <c r="O169" s="3">
        <f>E169-'290710 - P1223'!F169</f>
        <v>0</v>
      </c>
      <c r="P169" s="30">
        <f>I169-'290710 - P1223'!J169</f>
        <v>0</v>
      </c>
    </row>
    <row r="170" spans="1:16" x14ac:dyDescent="0.25">
      <c r="A170">
        <v>168</v>
      </c>
      <c r="C170" t="s">
        <v>8</v>
      </c>
      <c r="D170" s="4" t="s">
        <v>163</v>
      </c>
      <c r="E170" s="5">
        <v>15.35</v>
      </c>
      <c r="F170" s="5">
        <v>15.35</v>
      </c>
      <c r="G170" s="6">
        <f t="shared" si="56"/>
        <v>0</v>
      </c>
      <c r="H170" s="7">
        <f t="shared" si="57"/>
        <v>0</v>
      </c>
      <c r="I170" s="8">
        <v>22.942750812259177</v>
      </c>
      <c r="J170" s="9">
        <f t="shared" si="58"/>
        <v>22.942750812259177</v>
      </c>
      <c r="K170" s="3">
        <f t="shared" si="59"/>
        <v>0</v>
      </c>
      <c r="L170" s="7">
        <f t="shared" si="60"/>
        <v>0</v>
      </c>
      <c r="M170" t="s">
        <v>150</v>
      </c>
      <c r="O170" s="3">
        <f>E170-'290710 - P1223'!F170</f>
        <v>0</v>
      </c>
      <c r="P170" s="30">
        <f>I170-'290710 - P1223'!J170</f>
        <v>0</v>
      </c>
    </row>
    <row r="171" spans="1:16" x14ac:dyDescent="0.25">
      <c r="A171">
        <v>169</v>
      </c>
      <c r="C171" t="s">
        <v>8</v>
      </c>
      <c r="D171" s="4" t="s">
        <v>164</v>
      </c>
      <c r="E171" s="5">
        <v>1700</v>
      </c>
      <c r="F171" s="5">
        <v>1700</v>
      </c>
      <c r="G171" s="6">
        <f t="shared" si="56"/>
        <v>0</v>
      </c>
      <c r="H171" s="7">
        <f t="shared" si="57"/>
        <v>0</v>
      </c>
      <c r="I171" s="8">
        <v>45.101581324280765</v>
      </c>
      <c r="J171" s="9">
        <f t="shared" si="58"/>
        <v>45.101581324280765</v>
      </c>
      <c r="K171" s="3">
        <f t="shared" si="59"/>
        <v>0</v>
      </c>
      <c r="L171" s="7">
        <f t="shared" si="60"/>
        <v>0</v>
      </c>
      <c r="M171" t="s">
        <v>150</v>
      </c>
      <c r="O171" s="3">
        <f>E171-'290710 - P1223'!F171</f>
        <v>0</v>
      </c>
      <c r="P171" s="30">
        <f>I171-'290710 - P1223'!J171</f>
        <v>0</v>
      </c>
    </row>
    <row r="172" spans="1:16" x14ac:dyDescent="0.25">
      <c r="A172">
        <v>170</v>
      </c>
      <c r="C172" t="s">
        <v>8</v>
      </c>
      <c r="D172" s="4" t="s">
        <v>165</v>
      </c>
      <c r="E172" s="5">
        <v>1560</v>
      </c>
      <c r="F172" s="5">
        <v>1560</v>
      </c>
      <c r="G172" s="6">
        <f t="shared" si="56"/>
        <v>0</v>
      </c>
      <c r="H172" s="7">
        <f t="shared" si="57"/>
        <v>0</v>
      </c>
      <c r="I172" s="8">
        <v>2467.1012006861065</v>
      </c>
      <c r="J172" s="9">
        <f t="shared" si="58"/>
        <v>2467.1012006861065</v>
      </c>
      <c r="K172" s="3">
        <f t="shared" si="59"/>
        <v>0</v>
      </c>
      <c r="L172" s="7">
        <f t="shared" si="60"/>
        <v>0</v>
      </c>
      <c r="M172" t="s">
        <v>150</v>
      </c>
      <c r="O172" s="3">
        <f>E172-'290710 - P1223'!F172</f>
        <v>0</v>
      </c>
      <c r="P172" s="30">
        <f>I172-'290710 - P1223'!J172</f>
        <v>0</v>
      </c>
    </row>
    <row r="173" spans="1:16" x14ac:dyDescent="0.25">
      <c r="A173">
        <v>171</v>
      </c>
      <c r="C173" t="s">
        <v>8</v>
      </c>
      <c r="D173" s="4" t="s">
        <v>166</v>
      </c>
      <c r="E173" s="5">
        <v>18.420000000000002</v>
      </c>
      <c r="F173" s="5">
        <v>18.45</v>
      </c>
      <c r="G173" s="6">
        <f t="shared" si="56"/>
        <v>2.9999999999997584E-2</v>
      </c>
      <c r="H173" s="7">
        <f t="shared" si="57"/>
        <v>1.6286644951138752E-3</v>
      </c>
      <c r="I173" s="8">
        <v>32.593520987016632</v>
      </c>
      <c r="J173" s="9">
        <f t="shared" si="58"/>
        <v>32.646604897418932</v>
      </c>
      <c r="K173" s="3">
        <f t="shared" si="59"/>
        <v>5.3083910402300205E-2</v>
      </c>
      <c r="L173" s="7">
        <f t="shared" si="60"/>
        <v>1.6286644951137913E-3</v>
      </c>
      <c r="M173" t="s">
        <v>150</v>
      </c>
      <c r="O173" s="3">
        <f>E173-'290710 - P1223'!F173</f>
        <v>-2.9999999999997584E-2</v>
      </c>
      <c r="P173" s="30">
        <f>I173-'290710 - P1223'!J173</f>
        <v>-5.3083910402300205E-2</v>
      </c>
    </row>
    <row r="174" spans="1:16" x14ac:dyDescent="0.25">
      <c r="A174">
        <v>172</v>
      </c>
      <c r="C174" t="s">
        <v>8</v>
      </c>
      <c r="D174" s="4" t="s">
        <v>167</v>
      </c>
      <c r="E174" s="11">
        <v>4.0199999999999996</v>
      </c>
      <c r="F174" s="11">
        <v>4.0199999999999996</v>
      </c>
      <c r="G174" s="6">
        <f t="shared" si="56"/>
        <v>0</v>
      </c>
      <c r="H174" s="7">
        <f t="shared" si="57"/>
        <v>0</v>
      </c>
      <c r="I174" s="8">
        <v>15.098612891135524</v>
      </c>
      <c r="J174" s="9">
        <f t="shared" si="58"/>
        <v>15.098612891135524</v>
      </c>
      <c r="K174" s="3">
        <f t="shared" si="59"/>
        <v>0</v>
      </c>
      <c r="L174" s="7">
        <f t="shared" si="60"/>
        <v>0</v>
      </c>
      <c r="M174" t="s">
        <v>150</v>
      </c>
      <c r="O174" s="3">
        <f>E174-'290710 - P1223'!F174</f>
        <v>0</v>
      </c>
      <c r="P174" s="30">
        <f>I174-'290710 - P1223'!J174</f>
        <v>0</v>
      </c>
    </row>
    <row r="175" spans="1:16" x14ac:dyDescent="0.25">
      <c r="A175">
        <v>173</v>
      </c>
      <c r="C175" t="s">
        <v>8</v>
      </c>
      <c r="D175" s="4" t="s">
        <v>168</v>
      </c>
      <c r="E175" s="11">
        <v>0.59</v>
      </c>
      <c r="F175" s="11">
        <v>0.59</v>
      </c>
      <c r="G175" s="6">
        <f t="shared" si="56"/>
        <v>0</v>
      </c>
      <c r="H175" s="7">
        <f t="shared" si="57"/>
        <v>0</v>
      </c>
      <c r="I175" s="8">
        <v>2.1049549224666428</v>
      </c>
      <c r="J175" s="9">
        <f t="shared" si="58"/>
        <v>2.1049549224666428</v>
      </c>
      <c r="K175" s="3">
        <f t="shared" si="59"/>
        <v>0</v>
      </c>
      <c r="L175" s="7">
        <f t="shared" si="60"/>
        <v>0</v>
      </c>
      <c r="M175" t="s">
        <v>150</v>
      </c>
      <c r="O175" s="3">
        <f>E175-'290710 - P1223'!F175</f>
        <v>0</v>
      </c>
      <c r="P175" s="30">
        <f>I175-'290710 - P1223'!J175</f>
        <v>0</v>
      </c>
    </row>
    <row r="176" spans="1:16" x14ac:dyDescent="0.25">
      <c r="A176">
        <v>174</v>
      </c>
      <c r="C176" t="s">
        <v>8</v>
      </c>
      <c r="D176" s="4" t="s">
        <v>169</v>
      </c>
      <c r="E176" s="11">
        <v>0.63</v>
      </c>
      <c r="F176" s="11">
        <v>0.63</v>
      </c>
      <c r="G176" s="6">
        <f t="shared" si="56"/>
        <v>0</v>
      </c>
      <c r="H176" s="7">
        <f t="shared" si="57"/>
        <v>0</v>
      </c>
      <c r="I176" s="8">
        <v>1.9152</v>
      </c>
      <c r="J176" s="9">
        <f t="shared" si="58"/>
        <v>1.9152</v>
      </c>
      <c r="K176" s="3">
        <f t="shared" si="59"/>
        <v>0</v>
      </c>
      <c r="L176" s="7">
        <f t="shared" si="60"/>
        <v>0</v>
      </c>
      <c r="M176" t="s">
        <v>150</v>
      </c>
      <c r="O176" s="3">
        <f>E176-'290710 - P1223'!F176</f>
        <v>0</v>
      </c>
      <c r="P176" s="30">
        <f>I176-'290710 - P1223'!J176</f>
        <v>0</v>
      </c>
    </row>
    <row r="177" spans="1:16" x14ac:dyDescent="0.25">
      <c r="A177">
        <v>175</v>
      </c>
      <c r="C177" t="s">
        <v>8</v>
      </c>
      <c r="D177" s="4" t="s">
        <v>461</v>
      </c>
      <c r="E177" s="11">
        <v>29</v>
      </c>
      <c r="F177" s="11">
        <v>29</v>
      </c>
      <c r="G177" s="6">
        <f t="shared" si="56"/>
        <v>0</v>
      </c>
      <c r="H177" s="7">
        <f t="shared" si="57"/>
        <v>0</v>
      </c>
      <c r="I177" s="8">
        <v>45.490196078431374</v>
      </c>
      <c r="J177" s="9">
        <f t="shared" si="58"/>
        <v>45.490196078431374</v>
      </c>
      <c r="K177" s="3">
        <f t="shared" si="59"/>
        <v>0</v>
      </c>
      <c r="L177" s="7">
        <f t="shared" si="60"/>
        <v>0</v>
      </c>
      <c r="M177" t="s">
        <v>150</v>
      </c>
      <c r="O177" s="3">
        <f>E177-'290710 - P1223'!F177</f>
        <v>3.5</v>
      </c>
      <c r="P177" s="30">
        <f>I177-'290710 - P1223'!J177</f>
        <v>5.4901960784313744</v>
      </c>
    </row>
    <row r="178" spans="1:16" x14ac:dyDescent="0.25">
      <c r="A178">
        <v>176</v>
      </c>
      <c r="C178" t="s">
        <v>8</v>
      </c>
      <c r="D178" s="4" t="s">
        <v>170</v>
      </c>
      <c r="E178" s="11">
        <v>35.4</v>
      </c>
      <c r="F178" s="11">
        <v>35.4</v>
      </c>
      <c r="G178" s="6">
        <f t="shared" si="56"/>
        <v>0</v>
      </c>
      <c r="H178" s="7">
        <f t="shared" si="57"/>
        <v>0</v>
      </c>
      <c r="I178" s="8">
        <v>21.717791411042946</v>
      </c>
      <c r="J178" s="9">
        <f t="shared" si="58"/>
        <v>21.717791411042946</v>
      </c>
      <c r="K178" s="3">
        <f t="shared" si="59"/>
        <v>0</v>
      </c>
      <c r="L178" s="7">
        <f t="shared" si="60"/>
        <v>0</v>
      </c>
      <c r="M178" t="s">
        <v>150</v>
      </c>
      <c r="O178" s="3">
        <f>E178-'290710 - P1223'!F178</f>
        <v>0</v>
      </c>
      <c r="P178" s="30">
        <f>I178-'290710 - P1223'!J178</f>
        <v>0</v>
      </c>
    </row>
    <row r="179" spans="1:16" x14ac:dyDescent="0.25">
      <c r="A179">
        <v>177</v>
      </c>
      <c r="C179" t="s">
        <v>8</v>
      </c>
      <c r="D179" s="4" t="s">
        <v>171</v>
      </c>
      <c r="E179" s="11">
        <v>29.3</v>
      </c>
      <c r="F179" s="11">
        <v>29.3</v>
      </c>
      <c r="G179" s="6">
        <f t="shared" si="56"/>
        <v>0</v>
      </c>
      <c r="H179" s="7">
        <f t="shared" si="57"/>
        <v>0</v>
      </c>
      <c r="I179" s="8">
        <v>20</v>
      </c>
      <c r="J179" s="9">
        <f t="shared" si="58"/>
        <v>20</v>
      </c>
      <c r="K179" s="3">
        <f t="shared" si="59"/>
        <v>0</v>
      </c>
      <c r="L179" s="7">
        <f t="shared" si="60"/>
        <v>0</v>
      </c>
      <c r="M179" t="s">
        <v>150</v>
      </c>
      <c r="O179" s="3">
        <f>E179-'290710 - P1223'!F179</f>
        <v>0</v>
      </c>
      <c r="P179" s="30">
        <f>I179-'290710 - P1223'!J179</f>
        <v>0</v>
      </c>
    </row>
    <row r="180" spans="1:16" x14ac:dyDescent="0.25">
      <c r="A180">
        <v>178</v>
      </c>
      <c r="C180" t="s">
        <v>8</v>
      </c>
      <c r="D180" s="4" t="s">
        <v>172</v>
      </c>
      <c r="E180" s="11">
        <v>24.2</v>
      </c>
      <c r="F180" s="11">
        <v>24.2</v>
      </c>
      <c r="G180" s="6">
        <f t="shared" si="56"/>
        <v>0</v>
      </c>
      <c r="H180" s="7">
        <f t="shared" si="57"/>
        <v>0</v>
      </c>
      <c r="I180" s="8">
        <v>20</v>
      </c>
      <c r="J180" s="9">
        <f t="shared" si="58"/>
        <v>20</v>
      </c>
      <c r="K180" s="3">
        <f t="shared" si="59"/>
        <v>0</v>
      </c>
      <c r="L180" s="7">
        <f t="shared" si="60"/>
        <v>0</v>
      </c>
      <c r="M180" t="s">
        <v>150</v>
      </c>
      <c r="O180" s="3">
        <f>E180-'290710 - P1223'!F180</f>
        <v>0</v>
      </c>
      <c r="P180" s="30">
        <f>I180-'290710 - P1223'!J180</f>
        <v>0</v>
      </c>
    </row>
    <row r="181" spans="1:16" x14ac:dyDescent="0.25">
      <c r="A181">
        <v>179</v>
      </c>
      <c r="C181" t="s">
        <v>8</v>
      </c>
      <c r="D181" s="4" t="s">
        <v>173</v>
      </c>
      <c r="E181" s="12">
        <v>116</v>
      </c>
      <c r="F181" s="12">
        <v>116</v>
      </c>
      <c r="G181" s="6">
        <f t="shared" si="56"/>
        <v>0</v>
      </c>
      <c r="H181" s="7">
        <f t="shared" si="57"/>
        <v>0</v>
      </c>
      <c r="I181" s="8">
        <v>153.29999999999998</v>
      </c>
      <c r="J181" s="9">
        <f t="shared" si="58"/>
        <v>153.29999999999998</v>
      </c>
      <c r="K181" s="3">
        <f t="shared" si="59"/>
        <v>0</v>
      </c>
      <c r="L181" s="7">
        <f t="shared" si="60"/>
        <v>0</v>
      </c>
      <c r="M181" t="s">
        <v>121</v>
      </c>
      <c r="O181" s="3">
        <f>E181-'290710 - P1223'!F181</f>
        <v>0</v>
      </c>
      <c r="P181" s="30">
        <f>I181-'290710 - P1223'!J181</f>
        <v>0</v>
      </c>
    </row>
    <row r="182" spans="1:16" x14ac:dyDescent="0.25">
      <c r="A182">
        <v>180</v>
      </c>
      <c r="C182" t="s">
        <v>8</v>
      </c>
      <c r="D182" s="4" t="s">
        <v>174</v>
      </c>
      <c r="E182" s="12">
        <v>9.98</v>
      </c>
      <c r="F182" s="12">
        <v>9.98</v>
      </c>
      <c r="G182" s="6">
        <f t="shared" si="56"/>
        <v>0</v>
      </c>
      <c r="H182" s="7">
        <f t="shared" si="57"/>
        <v>0</v>
      </c>
      <c r="I182" s="8">
        <v>13.625326315789476</v>
      </c>
      <c r="J182" s="9">
        <f t="shared" si="58"/>
        <v>13.625326315789476</v>
      </c>
      <c r="K182" s="3">
        <f t="shared" si="59"/>
        <v>0</v>
      </c>
      <c r="L182" s="7">
        <f t="shared" si="60"/>
        <v>0</v>
      </c>
      <c r="M182" t="s">
        <v>121</v>
      </c>
      <c r="O182" s="3">
        <f>E182-'290710 - P1223'!F182</f>
        <v>0</v>
      </c>
      <c r="P182" s="30">
        <f>I182-'290710 - P1223'!J182</f>
        <v>0</v>
      </c>
    </row>
    <row r="183" spans="1:16" x14ac:dyDescent="0.25">
      <c r="A183">
        <v>181</v>
      </c>
      <c r="C183" t="s">
        <v>8</v>
      </c>
      <c r="D183" s="4" t="s">
        <v>175</v>
      </c>
      <c r="E183" s="12">
        <v>190.995</v>
      </c>
      <c r="F183" s="12">
        <v>190.995</v>
      </c>
      <c r="G183" s="6">
        <f t="shared" si="56"/>
        <v>0</v>
      </c>
      <c r="H183" s="7">
        <f t="shared" si="57"/>
        <v>0</v>
      </c>
      <c r="I183" s="8">
        <v>251</v>
      </c>
      <c r="J183" s="9">
        <f t="shared" si="58"/>
        <v>251</v>
      </c>
      <c r="K183" s="3">
        <f t="shared" si="59"/>
        <v>0</v>
      </c>
      <c r="L183" s="7">
        <f t="shared" si="60"/>
        <v>0</v>
      </c>
      <c r="M183" t="s">
        <v>121</v>
      </c>
      <c r="O183" s="3">
        <f>E183-'290710 - P1223'!F183</f>
        <v>0</v>
      </c>
      <c r="P183" s="30">
        <f>I183-'290710 - P1223'!J183</f>
        <v>0</v>
      </c>
    </row>
    <row r="184" spans="1:16" x14ac:dyDescent="0.25">
      <c r="A184">
        <v>182</v>
      </c>
      <c r="C184" t="s">
        <v>8</v>
      </c>
      <c r="D184" s="4" t="s">
        <v>176</v>
      </c>
      <c r="E184" s="12">
        <v>14.01</v>
      </c>
      <c r="F184" s="12">
        <v>14.01</v>
      </c>
      <c r="G184" s="6">
        <f t="shared" si="56"/>
        <v>0</v>
      </c>
      <c r="H184" s="7">
        <f t="shared" si="57"/>
        <v>0</v>
      </c>
      <c r="I184" s="8">
        <v>19.616308543063266</v>
      </c>
      <c r="J184" s="9">
        <f t="shared" si="58"/>
        <v>19.616308543063266</v>
      </c>
      <c r="K184" s="3">
        <f t="shared" si="59"/>
        <v>0</v>
      </c>
      <c r="L184" s="7">
        <f t="shared" si="60"/>
        <v>0</v>
      </c>
      <c r="M184" t="s">
        <v>121</v>
      </c>
      <c r="O184" s="3">
        <f>E184-'290710 - P1223'!F184</f>
        <v>0</v>
      </c>
      <c r="P184" s="30">
        <f>I184-'290710 - P1223'!J184</f>
        <v>0</v>
      </c>
    </row>
    <row r="185" spans="1:16" x14ac:dyDescent="0.25">
      <c r="A185">
        <v>183</v>
      </c>
      <c r="C185" t="s">
        <v>8</v>
      </c>
      <c r="D185" s="4" t="s">
        <v>177</v>
      </c>
      <c r="E185" s="12">
        <v>33.25</v>
      </c>
      <c r="F185" s="12">
        <v>33.25</v>
      </c>
      <c r="G185" s="6">
        <f t="shared" si="56"/>
        <v>0</v>
      </c>
      <c r="H185" s="7">
        <f t="shared" si="57"/>
        <v>0</v>
      </c>
      <c r="I185" s="8">
        <v>49.869393819571762</v>
      </c>
      <c r="J185" s="9">
        <f t="shared" si="58"/>
        <v>49.869393819571762</v>
      </c>
      <c r="K185" s="3">
        <f t="shared" si="59"/>
        <v>0</v>
      </c>
      <c r="L185" s="7">
        <f t="shared" si="60"/>
        <v>0</v>
      </c>
      <c r="M185" t="s">
        <v>121</v>
      </c>
      <c r="O185" s="3">
        <f>E185-'290710 - P1223'!F185</f>
        <v>0</v>
      </c>
      <c r="P185" s="30">
        <f>I185-'290710 - P1223'!J185</f>
        <v>0</v>
      </c>
    </row>
    <row r="186" spans="1:16" x14ac:dyDescent="0.25">
      <c r="A186">
        <v>184</v>
      </c>
      <c r="C186" t="s">
        <v>8</v>
      </c>
      <c r="D186" s="4" t="s">
        <v>178</v>
      </c>
      <c r="E186" s="12">
        <v>44.04</v>
      </c>
      <c r="F186" s="12">
        <v>44.04</v>
      </c>
      <c r="G186" s="6">
        <f t="shared" si="56"/>
        <v>0</v>
      </c>
      <c r="H186" s="7">
        <f t="shared" si="57"/>
        <v>0</v>
      </c>
      <c r="I186" s="8">
        <v>61.644476622337386</v>
      </c>
      <c r="J186" s="9">
        <f t="shared" si="58"/>
        <v>61.644476622337386</v>
      </c>
      <c r="K186" s="3">
        <f t="shared" si="59"/>
        <v>0</v>
      </c>
      <c r="L186" s="7">
        <f t="shared" si="60"/>
        <v>0</v>
      </c>
      <c r="M186" t="s">
        <v>121</v>
      </c>
      <c r="O186" s="3">
        <f>E186-'290710 - P1223'!F186</f>
        <v>0</v>
      </c>
      <c r="P186" s="30">
        <f>I186-'290710 - P1223'!J186</f>
        <v>0</v>
      </c>
    </row>
    <row r="187" spans="1:16" x14ac:dyDescent="0.25">
      <c r="A187">
        <v>185</v>
      </c>
      <c r="C187" t="s">
        <v>8</v>
      </c>
      <c r="D187" s="4" t="s">
        <v>179</v>
      </c>
      <c r="E187" s="12">
        <v>144.85</v>
      </c>
      <c r="F187" s="12">
        <v>144.85</v>
      </c>
      <c r="G187" s="6">
        <f t="shared" si="56"/>
        <v>0</v>
      </c>
      <c r="H187" s="7">
        <f t="shared" si="57"/>
        <v>0</v>
      </c>
      <c r="I187" s="8">
        <v>241.42</v>
      </c>
      <c r="J187" s="9">
        <f t="shared" si="58"/>
        <v>241.42</v>
      </c>
      <c r="K187" s="3">
        <f t="shared" si="59"/>
        <v>0</v>
      </c>
      <c r="L187" s="7">
        <f t="shared" si="60"/>
        <v>0</v>
      </c>
      <c r="M187" t="s">
        <v>121</v>
      </c>
      <c r="O187" s="3">
        <f>E187-'290710 - P1223'!F187</f>
        <v>0</v>
      </c>
      <c r="P187" s="30">
        <f>I187-'290710 - P1223'!J187</f>
        <v>0</v>
      </c>
    </row>
    <row r="188" spans="1:16" x14ac:dyDescent="0.25">
      <c r="A188">
        <v>186</v>
      </c>
      <c r="C188" t="s">
        <v>8</v>
      </c>
      <c r="D188" s="4" t="s">
        <v>180</v>
      </c>
      <c r="E188" s="11">
        <v>21.42</v>
      </c>
      <c r="F188" s="11">
        <v>21.42</v>
      </c>
      <c r="G188" s="6">
        <f t="shared" si="56"/>
        <v>0</v>
      </c>
      <c r="H188" s="7">
        <f t="shared" si="57"/>
        <v>0</v>
      </c>
      <c r="I188" s="8">
        <v>36.651079812206568</v>
      </c>
      <c r="J188" s="9">
        <f t="shared" si="58"/>
        <v>36.651079812206568</v>
      </c>
      <c r="K188" s="3">
        <f t="shared" si="59"/>
        <v>0</v>
      </c>
      <c r="L188" s="7">
        <f t="shared" si="60"/>
        <v>0</v>
      </c>
      <c r="M188" t="s">
        <v>150</v>
      </c>
      <c r="O188" s="3">
        <f>E188-'290710 - P1223'!F188</f>
        <v>0</v>
      </c>
      <c r="P188" s="30">
        <f>I188-'290710 - P1223'!J188</f>
        <v>0</v>
      </c>
    </row>
    <row r="189" spans="1:16" x14ac:dyDescent="0.25">
      <c r="A189">
        <v>187</v>
      </c>
      <c r="C189" t="s">
        <v>8</v>
      </c>
      <c r="D189" s="4" t="s">
        <v>181</v>
      </c>
      <c r="E189" s="11">
        <v>32.67</v>
      </c>
      <c r="F189" s="11">
        <v>32.67</v>
      </c>
      <c r="G189" s="6">
        <f t="shared" si="56"/>
        <v>0</v>
      </c>
      <c r="H189" s="7">
        <f t="shared" si="57"/>
        <v>0</v>
      </c>
      <c r="I189" s="8">
        <v>45.558072000000003</v>
      </c>
      <c r="J189" s="9">
        <f t="shared" si="58"/>
        <v>45.558072000000003</v>
      </c>
      <c r="K189" s="3">
        <f t="shared" si="59"/>
        <v>0</v>
      </c>
      <c r="L189" s="7">
        <f t="shared" si="60"/>
        <v>0</v>
      </c>
      <c r="M189" t="s">
        <v>150</v>
      </c>
      <c r="O189" s="3">
        <f>E189-'290710 - P1223'!F189</f>
        <v>0</v>
      </c>
      <c r="P189" s="30">
        <f>I189-'290710 - P1223'!J189</f>
        <v>0</v>
      </c>
    </row>
    <row r="190" spans="1:16" x14ac:dyDescent="0.25">
      <c r="A190">
        <v>188</v>
      </c>
      <c r="C190" t="s">
        <v>8</v>
      </c>
      <c r="D190" s="4" t="s">
        <v>182</v>
      </c>
      <c r="E190" s="11">
        <v>43</v>
      </c>
      <c r="F190" s="11">
        <v>43</v>
      </c>
      <c r="G190" s="13">
        <f t="shared" si="56"/>
        <v>0</v>
      </c>
      <c r="H190" s="7">
        <f t="shared" si="57"/>
        <v>0</v>
      </c>
      <c r="I190" s="8">
        <v>91.806916426512956</v>
      </c>
      <c r="J190" s="9">
        <f t="shared" si="58"/>
        <v>91.806916426512956</v>
      </c>
      <c r="K190" s="3">
        <f t="shared" si="59"/>
        <v>0</v>
      </c>
      <c r="L190" s="7">
        <f t="shared" si="60"/>
        <v>0</v>
      </c>
      <c r="M190" t="s">
        <v>150</v>
      </c>
      <c r="O190" s="3">
        <f>E190-'290710 - P1223'!F190</f>
        <v>0</v>
      </c>
      <c r="P190" s="30">
        <f>I190-'290710 - P1223'!J190</f>
        <v>0</v>
      </c>
    </row>
    <row r="191" spans="1:16" x14ac:dyDescent="0.25">
      <c r="A191">
        <v>189</v>
      </c>
      <c r="C191" t="s">
        <v>8</v>
      </c>
      <c r="D191" s="4" t="s">
        <v>183</v>
      </c>
      <c r="E191" s="11">
        <v>4.24</v>
      </c>
      <c r="F191" s="11">
        <v>4.24</v>
      </c>
      <c r="G191" s="6">
        <f t="shared" si="56"/>
        <v>0</v>
      </c>
      <c r="H191" s="7">
        <f t="shared" si="57"/>
        <v>0</v>
      </c>
      <c r="I191" s="8">
        <v>7.5095819935691317</v>
      </c>
      <c r="J191" s="9">
        <f t="shared" si="58"/>
        <v>7.5095819935691317</v>
      </c>
      <c r="K191" s="3">
        <f t="shared" si="59"/>
        <v>0</v>
      </c>
      <c r="L191" s="7">
        <f t="shared" si="60"/>
        <v>0</v>
      </c>
      <c r="M191" t="s">
        <v>150</v>
      </c>
      <c r="O191" s="3">
        <f>E191-'290710 - P1223'!F191</f>
        <v>0</v>
      </c>
      <c r="P191" s="30">
        <f>I191-'290710 - P1223'!J191</f>
        <v>0</v>
      </c>
    </row>
    <row r="192" spans="1:16" x14ac:dyDescent="0.25">
      <c r="A192">
        <v>190</v>
      </c>
      <c r="D192" s="2" t="s">
        <v>184</v>
      </c>
      <c r="H192" s="10">
        <f>AVERAGE(H167:H191)</f>
        <v>6.5146579804555011E-5</v>
      </c>
      <c r="I192"/>
    </row>
    <row r="193" spans="1:16" x14ac:dyDescent="0.25">
      <c r="A193">
        <v>191</v>
      </c>
      <c r="D193" s="2" t="s">
        <v>185</v>
      </c>
      <c r="I193"/>
    </row>
    <row r="194" spans="1:16" x14ac:dyDescent="0.25">
      <c r="A194">
        <v>192</v>
      </c>
      <c r="C194" t="s">
        <v>8</v>
      </c>
      <c r="D194" s="4" t="s">
        <v>186</v>
      </c>
      <c r="E194" s="12">
        <v>1.79</v>
      </c>
      <c r="F194" s="12">
        <v>1.79</v>
      </c>
      <c r="G194" s="6">
        <f t="shared" ref="G194:G241" si="61">+F194-E194</f>
        <v>0</v>
      </c>
      <c r="H194" s="7">
        <f t="shared" ref="H194:H241" si="62">(F194-E194)/ABS(E194)</f>
        <v>0</v>
      </c>
      <c r="I194" s="8">
        <v>2.3437962240000001</v>
      </c>
      <c r="J194" s="9">
        <f t="shared" ref="J194:J241" si="63">(I194*H194)+I194</f>
        <v>2.3437962240000001</v>
      </c>
      <c r="K194" s="3">
        <f t="shared" ref="K194:K241" si="64">J194-I194</f>
        <v>0</v>
      </c>
      <c r="L194" s="7">
        <f t="shared" ref="L194:L241" si="65">(J194-I194)/ABS(I194)</f>
        <v>0</v>
      </c>
      <c r="M194" t="s">
        <v>187</v>
      </c>
      <c r="O194" s="3">
        <f>E194-'290710 - P1223'!F194</f>
        <v>0</v>
      </c>
      <c r="P194" s="30">
        <f>I194-'290710 - P1223'!J194</f>
        <v>0</v>
      </c>
    </row>
    <row r="195" spans="1:16" x14ac:dyDescent="0.25">
      <c r="A195">
        <v>193</v>
      </c>
      <c r="C195" t="s">
        <v>8</v>
      </c>
      <c r="D195" s="4" t="s">
        <v>188</v>
      </c>
      <c r="E195" s="12">
        <v>0.46</v>
      </c>
      <c r="F195" s="12">
        <v>0.46</v>
      </c>
      <c r="G195" s="6">
        <f t="shared" si="61"/>
        <v>0</v>
      </c>
      <c r="H195" s="7">
        <f t="shared" si="62"/>
        <v>0</v>
      </c>
      <c r="I195" s="8">
        <v>0.70471188480000002</v>
      </c>
      <c r="J195" s="9">
        <f t="shared" si="63"/>
        <v>0.70471188480000002</v>
      </c>
      <c r="K195" s="3">
        <f t="shared" si="64"/>
        <v>0</v>
      </c>
      <c r="L195" s="7">
        <f t="shared" si="65"/>
        <v>0</v>
      </c>
      <c r="M195" t="s">
        <v>187</v>
      </c>
      <c r="O195" s="3">
        <f>E195-'290710 - P1223'!F195</f>
        <v>0</v>
      </c>
      <c r="P195" s="30">
        <f>I195-'290710 - P1223'!J195</f>
        <v>0</v>
      </c>
    </row>
    <row r="196" spans="1:16" x14ac:dyDescent="0.25">
      <c r="A196">
        <v>194</v>
      </c>
      <c r="C196" t="s">
        <v>8</v>
      </c>
      <c r="D196" s="4" t="s">
        <v>462</v>
      </c>
      <c r="E196" s="12">
        <v>0.6</v>
      </c>
      <c r="F196" s="12">
        <v>0.6</v>
      </c>
      <c r="G196" s="6">
        <f t="shared" si="61"/>
        <v>0</v>
      </c>
      <c r="H196" s="7">
        <f t="shared" si="62"/>
        <v>0</v>
      </c>
      <c r="I196" s="8">
        <v>1.04</v>
      </c>
      <c r="J196" s="9">
        <f t="shared" si="63"/>
        <v>1.04</v>
      </c>
      <c r="K196" s="3">
        <f t="shared" si="64"/>
        <v>0</v>
      </c>
      <c r="L196" s="7">
        <f t="shared" si="65"/>
        <v>0</v>
      </c>
      <c r="M196" t="s">
        <v>187</v>
      </c>
      <c r="O196" s="3">
        <f>E196-'290710 - P1223'!F196</f>
        <v>0</v>
      </c>
      <c r="P196" s="30">
        <f>I196-'290710 - P1223'!J196</f>
        <v>0</v>
      </c>
    </row>
    <row r="197" spans="1:16" x14ac:dyDescent="0.25">
      <c r="A197">
        <v>195</v>
      </c>
      <c r="C197" t="s">
        <v>8</v>
      </c>
      <c r="D197" s="4" t="s">
        <v>189</v>
      </c>
      <c r="E197" s="12">
        <v>17.88</v>
      </c>
      <c r="F197" s="12">
        <v>17.88</v>
      </c>
      <c r="G197" s="6">
        <f t="shared" si="61"/>
        <v>0</v>
      </c>
      <c r="H197" s="7">
        <f t="shared" si="62"/>
        <v>0</v>
      </c>
      <c r="I197" s="8">
        <v>35.219578060799989</v>
      </c>
      <c r="J197" s="9">
        <f t="shared" si="63"/>
        <v>35.219578060799989</v>
      </c>
      <c r="K197" s="3">
        <f t="shared" si="64"/>
        <v>0</v>
      </c>
      <c r="L197" s="7">
        <f t="shared" si="65"/>
        <v>0</v>
      </c>
      <c r="M197" t="s">
        <v>187</v>
      </c>
      <c r="O197" s="3">
        <f>E197-'290710 - P1223'!F197</f>
        <v>0</v>
      </c>
      <c r="P197" s="30">
        <f>I197-'290710 - P1223'!J197</f>
        <v>0</v>
      </c>
    </row>
    <row r="198" spans="1:16" x14ac:dyDescent="0.25">
      <c r="A198">
        <v>196</v>
      </c>
      <c r="C198" t="s">
        <v>8</v>
      </c>
      <c r="D198" s="4" t="s">
        <v>190</v>
      </c>
      <c r="E198" s="12">
        <v>36.299999999999997</v>
      </c>
      <c r="F198" s="12">
        <v>36.299999999999997</v>
      </c>
      <c r="G198" s="6">
        <f t="shared" si="61"/>
        <v>0</v>
      </c>
      <c r="H198" s="7">
        <f t="shared" si="62"/>
        <v>0</v>
      </c>
      <c r="I198" s="8">
        <v>82.49</v>
      </c>
      <c r="J198" s="9">
        <f t="shared" si="63"/>
        <v>82.49</v>
      </c>
      <c r="K198" s="3">
        <f t="shared" si="64"/>
        <v>0</v>
      </c>
      <c r="L198" s="7">
        <f t="shared" si="65"/>
        <v>0</v>
      </c>
      <c r="M198" t="s">
        <v>187</v>
      </c>
      <c r="O198" s="3">
        <f>E198-'290710 - P1223'!F198</f>
        <v>0</v>
      </c>
      <c r="P198" s="30">
        <f>I198-'290710 - P1223'!J198</f>
        <v>0</v>
      </c>
    </row>
    <row r="199" spans="1:16" x14ac:dyDescent="0.25">
      <c r="A199">
        <v>197</v>
      </c>
      <c r="C199" t="s">
        <v>8</v>
      </c>
      <c r="D199" s="4" t="s">
        <v>487</v>
      </c>
      <c r="E199" s="12">
        <v>5.18</v>
      </c>
      <c r="F199" s="12">
        <v>5.18</v>
      </c>
      <c r="G199" s="6">
        <f t="shared" si="61"/>
        <v>0</v>
      </c>
      <c r="H199" s="7">
        <f t="shared" si="62"/>
        <v>0</v>
      </c>
      <c r="I199" s="8">
        <v>7.13</v>
      </c>
      <c r="J199" s="9">
        <f t="shared" si="63"/>
        <v>7.13</v>
      </c>
      <c r="K199" s="3">
        <f t="shared" si="64"/>
        <v>0</v>
      </c>
      <c r="L199" s="7">
        <f t="shared" si="65"/>
        <v>0</v>
      </c>
      <c r="M199" t="s">
        <v>187</v>
      </c>
      <c r="O199" s="3">
        <f>E199-'290710 - P1223'!F199</f>
        <v>0</v>
      </c>
      <c r="P199" s="30">
        <f>I199-'290710 - P1223'!J199</f>
        <v>0</v>
      </c>
    </row>
    <row r="200" spans="1:16" x14ac:dyDescent="0.25">
      <c r="A200">
        <v>198</v>
      </c>
      <c r="C200" t="s">
        <v>8</v>
      </c>
      <c r="D200" s="4" t="s">
        <v>191</v>
      </c>
      <c r="E200" s="12">
        <v>8.2200000000000006</v>
      </c>
      <c r="F200" s="12">
        <v>8.2200000000000006</v>
      </c>
      <c r="G200" s="6">
        <f t="shared" si="61"/>
        <v>0</v>
      </c>
      <c r="H200" s="7">
        <f t="shared" si="62"/>
        <v>0</v>
      </c>
      <c r="I200" s="8">
        <v>18.68</v>
      </c>
      <c r="J200" s="9">
        <f t="shared" si="63"/>
        <v>18.68</v>
      </c>
      <c r="K200" s="3">
        <f t="shared" si="64"/>
        <v>0</v>
      </c>
      <c r="L200" s="7">
        <f t="shared" si="65"/>
        <v>0</v>
      </c>
      <c r="M200" t="s">
        <v>187</v>
      </c>
      <c r="O200" s="3">
        <f>E200-'290710 - P1223'!F200</f>
        <v>0</v>
      </c>
      <c r="P200" s="30">
        <f>I200-'290710 - P1223'!J200</f>
        <v>0</v>
      </c>
    </row>
    <row r="201" spans="1:16" x14ac:dyDescent="0.25">
      <c r="A201">
        <v>199</v>
      </c>
      <c r="C201" t="s">
        <v>8</v>
      </c>
      <c r="D201" s="4" t="s">
        <v>192</v>
      </c>
      <c r="E201" s="12">
        <v>137.77000000000001</v>
      </c>
      <c r="F201" s="12">
        <v>137.77000000000001</v>
      </c>
      <c r="G201" s="6">
        <f t="shared" si="61"/>
        <v>0</v>
      </c>
      <c r="H201" s="7">
        <f t="shared" si="62"/>
        <v>0</v>
      </c>
      <c r="I201" s="8">
        <v>207.19</v>
      </c>
      <c r="J201" s="9">
        <f t="shared" si="63"/>
        <v>207.19</v>
      </c>
      <c r="K201" s="3">
        <f t="shared" si="64"/>
        <v>0</v>
      </c>
      <c r="L201" s="7">
        <f t="shared" si="65"/>
        <v>0</v>
      </c>
      <c r="M201" t="s">
        <v>187</v>
      </c>
      <c r="O201" s="3">
        <f>E201-'290710 - P1223'!F201</f>
        <v>0</v>
      </c>
      <c r="P201" s="30">
        <f>I201-'290710 - P1223'!J201</f>
        <v>0</v>
      </c>
    </row>
    <row r="202" spans="1:16" x14ac:dyDescent="0.25">
      <c r="A202">
        <v>200</v>
      </c>
      <c r="C202" t="s">
        <v>8</v>
      </c>
      <c r="D202" s="4" t="s">
        <v>193</v>
      </c>
      <c r="E202" s="12">
        <v>123.36</v>
      </c>
      <c r="F202" s="12">
        <v>123.36</v>
      </c>
      <c r="G202" s="6">
        <f t="shared" si="61"/>
        <v>0</v>
      </c>
      <c r="H202" s="7">
        <f t="shared" si="62"/>
        <v>0</v>
      </c>
      <c r="I202" s="8">
        <v>168.12183306239999</v>
      </c>
      <c r="J202" s="9">
        <f t="shared" si="63"/>
        <v>168.12183306239999</v>
      </c>
      <c r="K202" s="3">
        <f t="shared" si="64"/>
        <v>0</v>
      </c>
      <c r="L202" s="7">
        <f t="shared" si="65"/>
        <v>0</v>
      </c>
      <c r="M202" t="s">
        <v>187</v>
      </c>
      <c r="O202" s="3">
        <f>E202-'290710 - P1223'!F202</f>
        <v>0</v>
      </c>
      <c r="P202" s="30">
        <f>I202-'290710 - P1223'!J202</f>
        <v>0</v>
      </c>
    </row>
    <row r="203" spans="1:16" x14ac:dyDescent="0.25">
      <c r="A203">
        <v>201</v>
      </c>
      <c r="C203" t="s">
        <v>8</v>
      </c>
      <c r="D203" s="4" t="s">
        <v>194</v>
      </c>
      <c r="E203" s="12">
        <v>36.909999999999997</v>
      </c>
      <c r="F203" s="12">
        <v>36.909999999999997</v>
      </c>
      <c r="G203" s="6">
        <f t="shared" si="61"/>
        <v>0</v>
      </c>
      <c r="H203" s="7">
        <f t="shared" si="62"/>
        <v>0</v>
      </c>
      <c r="I203" s="8">
        <v>77.662452940799994</v>
      </c>
      <c r="J203" s="9">
        <f t="shared" si="63"/>
        <v>77.662452940799994</v>
      </c>
      <c r="K203" s="3">
        <f t="shared" si="64"/>
        <v>0</v>
      </c>
      <c r="L203" s="7">
        <f t="shared" si="65"/>
        <v>0</v>
      </c>
      <c r="M203" t="s">
        <v>187</v>
      </c>
      <c r="O203" s="3">
        <f>E203-'290710 - P1223'!F203</f>
        <v>0</v>
      </c>
      <c r="P203" s="30">
        <f>I203-'290710 - P1223'!J203</f>
        <v>0</v>
      </c>
    </row>
    <row r="204" spans="1:16" x14ac:dyDescent="0.25">
      <c r="A204">
        <v>202</v>
      </c>
      <c r="C204" t="s">
        <v>8</v>
      </c>
      <c r="D204" s="4" t="s">
        <v>195</v>
      </c>
      <c r="E204" s="12">
        <v>25.49</v>
      </c>
      <c r="F204" s="12">
        <v>25.49</v>
      </c>
      <c r="G204" s="6">
        <f>+F204-E204</f>
        <v>0</v>
      </c>
      <c r="H204" s="7">
        <f>(F204-E204)/ABS(E204)</f>
        <v>0</v>
      </c>
      <c r="I204" s="8">
        <v>39.21</v>
      </c>
      <c r="J204" s="9">
        <f>(I204*H204)+I204</f>
        <v>39.21</v>
      </c>
      <c r="K204" s="3">
        <f>J204-I204</f>
        <v>0</v>
      </c>
      <c r="L204" s="7">
        <f>(J204-I204)/ABS(I204)</f>
        <v>0</v>
      </c>
      <c r="M204" t="s">
        <v>187</v>
      </c>
      <c r="O204" s="3">
        <f>E204-'290710 - P1223'!F204</f>
        <v>0</v>
      </c>
      <c r="P204" s="30">
        <f>I204-'290710 - P1223'!J204</f>
        <v>0</v>
      </c>
    </row>
    <row r="205" spans="1:16" x14ac:dyDescent="0.25">
      <c r="A205">
        <v>203</v>
      </c>
      <c r="C205" t="s">
        <v>8</v>
      </c>
      <c r="D205" s="4" t="s">
        <v>196</v>
      </c>
      <c r="E205" s="12">
        <v>5.72</v>
      </c>
      <c r="F205" s="12">
        <v>5.72</v>
      </c>
      <c r="G205" s="6">
        <f t="shared" si="61"/>
        <v>0</v>
      </c>
      <c r="H205" s="7">
        <f t="shared" si="62"/>
        <v>0</v>
      </c>
      <c r="I205" s="8">
        <v>8.6487367680000027</v>
      </c>
      <c r="J205" s="9">
        <f t="shared" si="63"/>
        <v>8.6487367680000027</v>
      </c>
      <c r="K205" s="3">
        <f t="shared" si="64"/>
        <v>0</v>
      </c>
      <c r="L205" s="7">
        <f t="shared" si="65"/>
        <v>0</v>
      </c>
      <c r="M205" t="s">
        <v>187</v>
      </c>
      <c r="O205" s="3">
        <f>E205-'290710 - P1223'!F205</f>
        <v>0</v>
      </c>
      <c r="P205" s="30">
        <f>I205-'290710 - P1223'!J205</f>
        <v>0</v>
      </c>
    </row>
    <row r="206" spans="1:16" x14ac:dyDescent="0.25">
      <c r="A206">
        <v>204</v>
      </c>
      <c r="C206" t="s">
        <v>8</v>
      </c>
      <c r="D206" s="4" t="s">
        <v>197</v>
      </c>
      <c r="E206" s="12">
        <v>21.44</v>
      </c>
      <c r="F206" s="12">
        <v>21.44</v>
      </c>
      <c r="G206" s="6">
        <f t="shared" si="61"/>
        <v>0</v>
      </c>
      <c r="H206" s="7">
        <f t="shared" si="62"/>
        <v>0</v>
      </c>
      <c r="I206" s="8">
        <v>57.90134784</v>
      </c>
      <c r="J206" s="9">
        <f t="shared" si="63"/>
        <v>57.90134784</v>
      </c>
      <c r="K206" s="3">
        <f t="shared" si="64"/>
        <v>0</v>
      </c>
      <c r="L206" s="7">
        <f t="shared" si="65"/>
        <v>0</v>
      </c>
      <c r="M206" t="s">
        <v>187</v>
      </c>
      <c r="O206" s="3">
        <f>E206-'290710 - P1223'!F206</f>
        <v>0</v>
      </c>
      <c r="P206" s="30">
        <f>I206-'290710 - P1223'!J206</f>
        <v>0</v>
      </c>
    </row>
    <row r="207" spans="1:16" x14ac:dyDescent="0.25">
      <c r="A207">
        <v>205</v>
      </c>
      <c r="C207" t="s">
        <v>8</v>
      </c>
      <c r="D207" s="4" t="s">
        <v>198</v>
      </c>
      <c r="E207" s="12">
        <v>8.5399999999999991</v>
      </c>
      <c r="F207" s="12">
        <v>8.5399999999999991</v>
      </c>
      <c r="G207" s="6">
        <f t="shared" si="61"/>
        <v>0</v>
      </c>
      <c r="H207" s="7">
        <f t="shared" si="62"/>
        <v>0</v>
      </c>
      <c r="I207" s="8">
        <v>17.61</v>
      </c>
      <c r="J207" s="9">
        <f t="shared" si="63"/>
        <v>17.61</v>
      </c>
      <c r="K207" s="3">
        <f t="shared" si="64"/>
        <v>0</v>
      </c>
      <c r="L207" s="7">
        <f t="shared" si="65"/>
        <v>0</v>
      </c>
      <c r="M207" t="s">
        <v>187</v>
      </c>
      <c r="O207" s="3">
        <f>E207-'290710 - P1223'!F207</f>
        <v>0</v>
      </c>
      <c r="P207" s="30">
        <f>I207-'290710 - P1223'!J207</f>
        <v>0</v>
      </c>
    </row>
    <row r="208" spans="1:16" x14ac:dyDescent="0.25">
      <c r="A208">
        <v>206</v>
      </c>
      <c r="C208" t="s">
        <v>8</v>
      </c>
      <c r="D208" s="4" t="s">
        <v>199</v>
      </c>
      <c r="E208" s="12">
        <v>2.2400000000000002</v>
      </c>
      <c r="F208" s="12">
        <v>2.2400000000000002</v>
      </c>
      <c r="G208" s="6">
        <f t="shared" si="61"/>
        <v>0</v>
      </c>
      <c r="H208" s="7">
        <f t="shared" si="62"/>
        <v>0</v>
      </c>
      <c r="I208" s="8">
        <v>3.2169142539130431</v>
      </c>
      <c r="J208" s="9">
        <f t="shared" si="63"/>
        <v>3.2169142539130431</v>
      </c>
      <c r="K208" s="3">
        <f t="shared" si="64"/>
        <v>0</v>
      </c>
      <c r="L208" s="7">
        <f t="shared" si="65"/>
        <v>0</v>
      </c>
      <c r="M208" t="s">
        <v>187</v>
      </c>
      <c r="O208" s="3">
        <f>E208-'290710 - P1223'!F208</f>
        <v>0</v>
      </c>
      <c r="P208" s="30">
        <f>I208-'290710 - P1223'!J208</f>
        <v>0</v>
      </c>
    </row>
    <row r="209" spans="1:16" x14ac:dyDescent="0.25">
      <c r="A209">
        <v>207</v>
      </c>
      <c r="C209" t="s">
        <v>8</v>
      </c>
      <c r="D209" s="4" t="s">
        <v>200</v>
      </c>
      <c r="E209" s="12">
        <v>12.54</v>
      </c>
      <c r="F209" s="12">
        <v>12.54</v>
      </c>
      <c r="G209" s="6">
        <f t="shared" si="61"/>
        <v>0</v>
      </c>
      <c r="H209" s="7">
        <f t="shared" si="62"/>
        <v>0</v>
      </c>
      <c r="I209" s="8">
        <v>18.163175635862068</v>
      </c>
      <c r="J209" s="9">
        <f t="shared" si="63"/>
        <v>18.163175635862068</v>
      </c>
      <c r="K209" s="3">
        <f t="shared" si="64"/>
        <v>0</v>
      </c>
      <c r="L209" s="7">
        <f t="shared" si="65"/>
        <v>0</v>
      </c>
      <c r="M209" t="s">
        <v>187</v>
      </c>
      <c r="O209" s="3">
        <f>E209-'290710 - P1223'!F209</f>
        <v>0</v>
      </c>
      <c r="P209" s="30">
        <f>I209-'290710 - P1223'!J209</f>
        <v>0</v>
      </c>
    </row>
    <row r="210" spans="1:16" x14ac:dyDescent="0.25">
      <c r="A210">
        <v>208</v>
      </c>
      <c r="C210" t="s">
        <v>8</v>
      </c>
      <c r="D210" s="4" t="s">
        <v>201</v>
      </c>
      <c r="E210" s="12">
        <v>13.2</v>
      </c>
      <c r="F210" s="12">
        <v>13.2</v>
      </c>
      <c r="G210" s="6">
        <f t="shared" si="61"/>
        <v>0</v>
      </c>
      <c r="H210" s="7">
        <f t="shared" si="62"/>
        <v>0</v>
      </c>
      <c r="I210" s="8">
        <v>33.770000000000003</v>
      </c>
      <c r="J210" s="9">
        <f t="shared" si="63"/>
        <v>33.770000000000003</v>
      </c>
      <c r="K210" s="3">
        <f t="shared" si="64"/>
        <v>0</v>
      </c>
      <c r="L210" s="7">
        <f t="shared" si="65"/>
        <v>0</v>
      </c>
      <c r="M210" t="s">
        <v>187</v>
      </c>
      <c r="O210" s="3">
        <f>E210-'290710 - P1223'!F210</f>
        <v>0</v>
      </c>
      <c r="P210" s="30">
        <f>I210-'290710 - P1223'!J210</f>
        <v>0</v>
      </c>
    </row>
    <row r="211" spans="1:16" x14ac:dyDescent="0.25">
      <c r="A211">
        <v>209</v>
      </c>
      <c r="C211" t="s">
        <v>8</v>
      </c>
      <c r="D211" s="4" t="s">
        <v>202</v>
      </c>
      <c r="E211" s="12">
        <v>20.100000000000001</v>
      </c>
      <c r="F211" s="12">
        <v>20.100000000000001</v>
      </c>
      <c r="G211" s="6">
        <f t="shared" si="61"/>
        <v>0</v>
      </c>
      <c r="H211" s="7">
        <f t="shared" si="62"/>
        <v>0</v>
      </c>
      <c r="I211" s="8">
        <v>54.326307840000005</v>
      </c>
      <c r="J211" s="9">
        <f t="shared" si="63"/>
        <v>54.326307840000005</v>
      </c>
      <c r="K211" s="3">
        <f t="shared" si="64"/>
        <v>0</v>
      </c>
      <c r="L211" s="7">
        <f t="shared" si="65"/>
        <v>0</v>
      </c>
      <c r="M211" t="s">
        <v>187</v>
      </c>
      <c r="O211" s="3">
        <f>E211-'290710 - P1223'!F211</f>
        <v>0</v>
      </c>
      <c r="P211" s="30">
        <f>I211-'290710 - P1223'!J211</f>
        <v>0</v>
      </c>
    </row>
    <row r="212" spans="1:16" x14ac:dyDescent="0.25">
      <c r="A212">
        <v>210</v>
      </c>
      <c r="C212" t="s">
        <v>8</v>
      </c>
      <c r="D212" s="4" t="s">
        <v>203</v>
      </c>
      <c r="E212" s="12">
        <v>38.64</v>
      </c>
      <c r="F212" s="12">
        <v>38.64</v>
      </c>
      <c r="G212" s="6">
        <f t="shared" si="61"/>
        <v>0</v>
      </c>
      <c r="H212" s="7">
        <f t="shared" si="62"/>
        <v>0</v>
      </c>
      <c r="I212" s="8">
        <v>85.68</v>
      </c>
      <c r="J212" s="9">
        <f t="shared" si="63"/>
        <v>85.68</v>
      </c>
      <c r="K212" s="3">
        <f t="shared" si="64"/>
        <v>0</v>
      </c>
      <c r="L212" s="7">
        <f t="shared" si="65"/>
        <v>0</v>
      </c>
      <c r="M212" t="s">
        <v>187</v>
      </c>
      <c r="O212" s="3">
        <f>E212-'290710 - P1223'!F212</f>
        <v>0</v>
      </c>
      <c r="P212" s="30">
        <f>I212-'290710 - P1223'!J212</f>
        <v>0</v>
      </c>
    </row>
    <row r="213" spans="1:16" x14ac:dyDescent="0.25">
      <c r="A213">
        <v>211</v>
      </c>
      <c r="C213" t="s">
        <v>8</v>
      </c>
      <c r="D213" s="4" t="s">
        <v>204</v>
      </c>
      <c r="E213" s="12">
        <v>17.16</v>
      </c>
      <c r="F213" s="12">
        <v>17.16</v>
      </c>
      <c r="G213" s="6">
        <f t="shared" si="61"/>
        <v>0</v>
      </c>
      <c r="H213" s="7">
        <f t="shared" si="62"/>
        <v>0</v>
      </c>
      <c r="I213" s="8">
        <v>26.391854075214955</v>
      </c>
      <c r="J213" s="9">
        <f t="shared" si="63"/>
        <v>26.391854075214955</v>
      </c>
      <c r="K213" s="3">
        <f t="shared" si="64"/>
        <v>0</v>
      </c>
      <c r="L213" s="7">
        <f t="shared" si="65"/>
        <v>0</v>
      </c>
      <c r="M213" t="s">
        <v>187</v>
      </c>
      <c r="O213" s="3">
        <f>E213-'290710 - P1223'!F213</f>
        <v>0</v>
      </c>
      <c r="P213" s="30">
        <f>I213-'290710 - P1223'!J213</f>
        <v>0</v>
      </c>
    </row>
    <row r="214" spans="1:16" x14ac:dyDescent="0.25">
      <c r="A214">
        <v>212</v>
      </c>
      <c r="C214" t="s">
        <v>8</v>
      </c>
      <c r="D214" s="4" t="s">
        <v>205</v>
      </c>
      <c r="E214" s="12">
        <v>30.07</v>
      </c>
      <c r="F214" s="12">
        <v>30.07</v>
      </c>
      <c r="G214" s="6">
        <f t="shared" si="61"/>
        <v>0</v>
      </c>
      <c r="H214" s="7">
        <f t="shared" si="62"/>
        <v>0</v>
      </c>
      <c r="I214" s="8">
        <v>35.416393485128204</v>
      </c>
      <c r="J214" s="9">
        <f t="shared" si="63"/>
        <v>35.416393485128204</v>
      </c>
      <c r="K214" s="3">
        <f t="shared" si="64"/>
        <v>0</v>
      </c>
      <c r="L214" s="7">
        <f t="shared" si="65"/>
        <v>0</v>
      </c>
      <c r="M214" t="s">
        <v>187</v>
      </c>
      <c r="O214" s="3">
        <f>E214-'290710 - P1223'!F214</f>
        <v>0</v>
      </c>
      <c r="P214" s="30">
        <f>I214-'290710 - P1223'!J214</f>
        <v>0</v>
      </c>
    </row>
    <row r="215" spans="1:16" x14ac:dyDescent="0.25">
      <c r="A215">
        <v>213</v>
      </c>
      <c r="C215" t="s">
        <v>8</v>
      </c>
      <c r="D215" s="4" t="s">
        <v>206</v>
      </c>
      <c r="E215" s="12">
        <v>30.42</v>
      </c>
      <c r="F215" s="12">
        <v>30.42</v>
      </c>
      <c r="G215" s="6">
        <f t="shared" si="61"/>
        <v>0</v>
      </c>
      <c r="H215" s="7">
        <f t="shared" si="62"/>
        <v>0</v>
      </c>
      <c r="I215" s="8">
        <v>42.49</v>
      </c>
      <c r="J215" s="9">
        <f t="shared" si="63"/>
        <v>42.49</v>
      </c>
      <c r="K215" s="3">
        <f t="shared" si="64"/>
        <v>0</v>
      </c>
      <c r="L215" s="7">
        <f t="shared" si="65"/>
        <v>0</v>
      </c>
      <c r="M215" t="s">
        <v>187</v>
      </c>
      <c r="O215" s="3">
        <f>E215-'290710 - P1223'!F215</f>
        <v>0</v>
      </c>
      <c r="P215" s="30">
        <f>I215-'290710 - P1223'!J215</f>
        <v>0</v>
      </c>
    </row>
    <row r="216" spans="1:16" x14ac:dyDescent="0.25">
      <c r="A216">
        <v>214</v>
      </c>
      <c r="C216" t="s">
        <v>8</v>
      </c>
      <c r="D216" s="4" t="s">
        <v>207</v>
      </c>
      <c r="E216" s="12">
        <v>2.4</v>
      </c>
      <c r="F216" s="12">
        <v>2.4</v>
      </c>
      <c r="G216" s="6">
        <f t="shared" si="61"/>
        <v>0</v>
      </c>
      <c r="H216" s="7">
        <f t="shared" si="62"/>
        <v>0</v>
      </c>
      <c r="I216" s="8">
        <v>4.84</v>
      </c>
      <c r="J216" s="9">
        <f t="shared" si="63"/>
        <v>4.84</v>
      </c>
      <c r="K216" s="3">
        <f t="shared" si="64"/>
        <v>0</v>
      </c>
      <c r="L216" s="7">
        <f t="shared" si="65"/>
        <v>0</v>
      </c>
      <c r="M216" t="s">
        <v>187</v>
      </c>
      <c r="O216" s="3">
        <f>E216-'290710 - P1223'!F216</f>
        <v>0</v>
      </c>
      <c r="P216" s="30">
        <f>I216-'290710 - P1223'!J216</f>
        <v>0</v>
      </c>
    </row>
    <row r="217" spans="1:16" x14ac:dyDescent="0.25">
      <c r="A217">
        <v>215</v>
      </c>
      <c r="C217" t="s">
        <v>8</v>
      </c>
      <c r="D217" s="4" t="s">
        <v>208</v>
      </c>
      <c r="E217" s="12">
        <v>3.66</v>
      </c>
      <c r="F217" s="12">
        <v>3.66</v>
      </c>
      <c r="G217" s="6">
        <f t="shared" si="61"/>
        <v>0</v>
      </c>
      <c r="H217" s="7">
        <f t="shared" si="62"/>
        <v>0</v>
      </c>
      <c r="I217" s="8">
        <v>5.4831979136563875</v>
      </c>
      <c r="J217" s="9">
        <f t="shared" si="63"/>
        <v>5.4831979136563875</v>
      </c>
      <c r="K217" s="3">
        <f t="shared" si="64"/>
        <v>0</v>
      </c>
      <c r="L217" s="7">
        <f t="shared" si="65"/>
        <v>0</v>
      </c>
      <c r="M217" t="s">
        <v>187</v>
      </c>
      <c r="O217" s="3">
        <f>E217-'290710 - P1223'!F217</f>
        <v>0</v>
      </c>
      <c r="P217" s="30">
        <f>I217-'290710 - P1223'!J217</f>
        <v>0</v>
      </c>
    </row>
    <row r="218" spans="1:16" x14ac:dyDescent="0.25">
      <c r="A218">
        <v>216</v>
      </c>
      <c r="C218" t="s">
        <v>8</v>
      </c>
      <c r="D218" s="4" t="s">
        <v>209</v>
      </c>
      <c r="E218" s="12">
        <v>3.26</v>
      </c>
      <c r="F218" s="12">
        <v>3.26</v>
      </c>
      <c r="G218" s="13">
        <f t="shared" si="61"/>
        <v>0</v>
      </c>
      <c r="H218" s="7">
        <f t="shared" si="62"/>
        <v>0</v>
      </c>
      <c r="I218" s="8">
        <v>5.48</v>
      </c>
      <c r="J218" s="9">
        <f t="shared" si="63"/>
        <v>5.48</v>
      </c>
      <c r="K218" s="3">
        <f t="shared" si="64"/>
        <v>0</v>
      </c>
      <c r="L218" s="7">
        <f t="shared" si="65"/>
        <v>0</v>
      </c>
      <c r="M218" t="s">
        <v>187</v>
      </c>
      <c r="O218" s="3">
        <f>E218-'290710 - P1223'!F218</f>
        <v>0</v>
      </c>
      <c r="P218" s="30">
        <f>I218-'290710 - P1223'!J218</f>
        <v>0</v>
      </c>
    </row>
    <row r="219" spans="1:16" x14ac:dyDescent="0.25">
      <c r="A219">
        <v>217</v>
      </c>
      <c r="C219" t="s">
        <v>8</v>
      </c>
      <c r="D219" s="4" t="s">
        <v>210</v>
      </c>
      <c r="E219" s="12">
        <v>4.46</v>
      </c>
      <c r="F219" s="12">
        <v>4.46</v>
      </c>
      <c r="G219" s="6">
        <f t="shared" si="61"/>
        <v>0</v>
      </c>
      <c r="H219" s="7">
        <f t="shared" si="62"/>
        <v>0</v>
      </c>
      <c r="I219" s="8">
        <v>6.8717173187003597</v>
      </c>
      <c r="J219" s="9">
        <f t="shared" si="63"/>
        <v>6.8717173187003597</v>
      </c>
      <c r="K219" s="3">
        <f t="shared" si="64"/>
        <v>0</v>
      </c>
      <c r="L219" s="7">
        <f t="shared" si="65"/>
        <v>0</v>
      </c>
      <c r="M219" t="s">
        <v>187</v>
      </c>
      <c r="O219" s="3">
        <f>E219-'290710 - P1223'!F219</f>
        <v>0</v>
      </c>
      <c r="P219" s="30">
        <f>I219-'290710 - P1223'!J219</f>
        <v>0</v>
      </c>
    </row>
    <row r="220" spans="1:16" x14ac:dyDescent="0.25">
      <c r="A220">
        <v>218</v>
      </c>
      <c r="C220" t="s">
        <v>8</v>
      </c>
      <c r="D220" s="4" t="s">
        <v>211</v>
      </c>
      <c r="E220" s="12">
        <v>1.78</v>
      </c>
      <c r="F220" s="12">
        <v>1.78</v>
      </c>
      <c r="G220" s="6">
        <f t="shared" si="61"/>
        <v>0</v>
      </c>
      <c r="H220" s="7">
        <f t="shared" si="62"/>
        <v>0</v>
      </c>
      <c r="I220" s="8">
        <v>3.6982813789090896</v>
      </c>
      <c r="J220" s="9">
        <f t="shared" si="63"/>
        <v>3.6982813789090896</v>
      </c>
      <c r="K220" s="3">
        <f t="shared" si="64"/>
        <v>0</v>
      </c>
      <c r="L220" s="7">
        <f t="shared" si="65"/>
        <v>0</v>
      </c>
      <c r="M220" t="s">
        <v>187</v>
      </c>
      <c r="O220" s="3">
        <f>E220-'290710 - P1223'!F220</f>
        <v>0</v>
      </c>
      <c r="P220" s="30">
        <f>I220-'290710 - P1223'!J220</f>
        <v>0</v>
      </c>
    </row>
    <row r="221" spans="1:16" x14ac:dyDescent="0.25">
      <c r="A221">
        <v>219</v>
      </c>
      <c r="C221" t="s">
        <v>8</v>
      </c>
      <c r="D221" s="4" t="s">
        <v>212</v>
      </c>
      <c r="E221" s="12">
        <v>2.66</v>
      </c>
      <c r="F221" s="12">
        <v>2.66</v>
      </c>
      <c r="G221" s="6">
        <f t="shared" si="61"/>
        <v>0</v>
      </c>
      <c r="H221" s="7">
        <f t="shared" si="62"/>
        <v>0</v>
      </c>
      <c r="I221" s="8">
        <v>4.4491697803636372</v>
      </c>
      <c r="J221" s="9">
        <f t="shared" si="63"/>
        <v>4.4491697803636372</v>
      </c>
      <c r="K221" s="3">
        <f t="shared" si="64"/>
        <v>0</v>
      </c>
      <c r="L221" s="7">
        <f t="shared" si="65"/>
        <v>0</v>
      </c>
      <c r="M221" t="s">
        <v>187</v>
      </c>
      <c r="O221" s="3">
        <f>E221-'290710 - P1223'!F221</f>
        <v>0</v>
      </c>
      <c r="P221" s="30">
        <f>I221-'290710 - P1223'!J221</f>
        <v>0</v>
      </c>
    </row>
    <row r="222" spans="1:16" x14ac:dyDescent="0.25">
      <c r="A222">
        <v>220</v>
      </c>
      <c r="C222" t="s">
        <v>8</v>
      </c>
      <c r="D222" s="4" t="s">
        <v>213</v>
      </c>
      <c r="E222" s="12">
        <v>2.85</v>
      </c>
      <c r="F222" s="12">
        <v>2.85</v>
      </c>
      <c r="G222" s="6">
        <f t="shared" si="61"/>
        <v>0</v>
      </c>
      <c r="H222" s="7">
        <f t="shared" si="62"/>
        <v>0</v>
      </c>
      <c r="I222" s="8">
        <v>7.25</v>
      </c>
      <c r="J222" s="9">
        <f t="shared" si="63"/>
        <v>7.25</v>
      </c>
      <c r="K222" s="3">
        <f t="shared" si="64"/>
        <v>0</v>
      </c>
      <c r="L222" s="7">
        <f t="shared" si="65"/>
        <v>0</v>
      </c>
      <c r="M222" t="s">
        <v>187</v>
      </c>
      <c r="O222" s="3">
        <f>E222-'290710 - P1223'!F222</f>
        <v>0</v>
      </c>
      <c r="P222" s="30">
        <f>I222-'290710 - P1223'!J222</f>
        <v>0</v>
      </c>
    </row>
    <row r="223" spans="1:16" x14ac:dyDescent="0.25">
      <c r="A223">
        <v>221</v>
      </c>
      <c r="C223" t="s">
        <v>8</v>
      </c>
      <c r="D223" s="4" t="s">
        <v>465</v>
      </c>
      <c r="E223" s="12">
        <v>2.5099999999999998</v>
      </c>
      <c r="F223" s="12">
        <v>2.5099999999999998</v>
      </c>
      <c r="G223" s="6">
        <f t="shared" si="61"/>
        <v>0</v>
      </c>
      <c r="H223" s="7">
        <f t="shared" si="62"/>
        <v>0</v>
      </c>
      <c r="I223" s="8">
        <v>4.32</v>
      </c>
      <c r="J223" s="9">
        <f t="shared" si="63"/>
        <v>4.32</v>
      </c>
      <c r="K223" s="3">
        <f t="shared" si="64"/>
        <v>0</v>
      </c>
      <c r="L223" s="7">
        <f t="shared" si="65"/>
        <v>0</v>
      </c>
      <c r="M223" t="s">
        <v>187</v>
      </c>
      <c r="O223" s="3">
        <f>E223-'290710 - P1223'!F223</f>
        <v>0</v>
      </c>
      <c r="P223" s="30">
        <f>I223-'290710 - P1223'!J223</f>
        <v>0</v>
      </c>
    </row>
    <row r="224" spans="1:16" x14ac:dyDescent="0.25">
      <c r="A224">
        <v>222</v>
      </c>
      <c r="C224" t="s">
        <v>8</v>
      </c>
      <c r="D224" s="4" t="s">
        <v>214</v>
      </c>
      <c r="E224" s="12">
        <v>2.69</v>
      </c>
      <c r="F224" s="12">
        <v>2.69</v>
      </c>
      <c r="G224" s="6">
        <f t="shared" si="61"/>
        <v>0</v>
      </c>
      <c r="H224" s="7">
        <f t="shared" si="62"/>
        <v>0</v>
      </c>
      <c r="I224" s="8">
        <v>4.49</v>
      </c>
      <c r="J224" s="9">
        <f t="shared" si="63"/>
        <v>4.49</v>
      </c>
      <c r="K224" s="3">
        <f t="shared" si="64"/>
        <v>0</v>
      </c>
      <c r="L224" s="7">
        <f t="shared" si="65"/>
        <v>0</v>
      </c>
      <c r="M224" t="s">
        <v>187</v>
      </c>
      <c r="O224" s="3">
        <f>E224-'290710 - P1223'!F224</f>
        <v>0</v>
      </c>
      <c r="P224" s="30">
        <f>I224-'290710 - P1223'!J224</f>
        <v>0</v>
      </c>
    </row>
    <row r="225" spans="1:16" x14ac:dyDescent="0.25">
      <c r="A225">
        <v>223</v>
      </c>
      <c r="C225" t="s">
        <v>8</v>
      </c>
      <c r="D225" s="4" t="s">
        <v>215</v>
      </c>
      <c r="E225" s="12">
        <v>0.45</v>
      </c>
      <c r="F225" s="12">
        <v>0.45</v>
      </c>
      <c r="G225" s="6">
        <f t="shared" si="61"/>
        <v>0</v>
      </c>
      <c r="H225" s="7">
        <f t="shared" si="62"/>
        <v>0</v>
      </c>
      <c r="I225" s="8">
        <v>0.70471188480000002</v>
      </c>
      <c r="J225" s="9">
        <f t="shared" si="63"/>
        <v>0.70471188480000002</v>
      </c>
      <c r="K225" s="3">
        <f t="shared" si="64"/>
        <v>0</v>
      </c>
      <c r="L225" s="7">
        <f t="shared" si="65"/>
        <v>0</v>
      </c>
      <c r="M225" t="s">
        <v>187</v>
      </c>
      <c r="O225" s="3">
        <f>E225-'290710 - P1223'!F225</f>
        <v>0</v>
      </c>
      <c r="P225" s="30">
        <f>I225-'290710 - P1223'!J225</f>
        <v>0</v>
      </c>
    </row>
    <row r="226" spans="1:16" x14ac:dyDescent="0.25">
      <c r="A226">
        <v>224</v>
      </c>
      <c r="C226" t="s">
        <v>8</v>
      </c>
      <c r="D226" s="4" t="s">
        <v>216</v>
      </c>
      <c r="E226" s="12">
        <v>1.1000000000000001</v>
      </c>
      <c r="F226" s="12">
        <v>1.1000000000000001</v>
      </c>
      <c r="G226" s="6">
        <f t="shared" si="61"/>
        <v>0</v>
      </c>
      <c r="H226" s="7">
        <f t="shared" si="62"/>
        <v>0</v>
      </c>
      <c r="I226" s="8">
        <v>1.23</v>
      </c>
      <c r="J226" s="9">
        <f t="shared" si="63"/>
        <v>1.23</v>
      </c>
      <c r="K226" s="3">
        <f t="shared" si="64"/>
        <v>0</v>
      </c>
      <c r="L226" s="7">
        <f t="shared" si="65"/>
        <v>0</v>
      </c>
      <c r="M226" t="s">
        <v>187</v>
      </c>
      <c r="O226" s="3">
        <f>E226-'290710 - P1223'!F226</f>
        <v>0</v>
      </c>
      <c r="P226" s="30">
        <f>I226-'290710 - P1223'!J226</f>
        <v>0</v>
      </c>
    </row>
    <row r="227" spans="1:16" x14ac:dyDescent="0.25">
      <c r="A227">
        <v>225</v>
      </c>
      <c r="C227" t="s">
        <v>8</v>
      </c>
      <c r="D227" s="4" t="s">
        <v>217</v>
      </c>
      <c r="E227" s="12">
        <v>1.1000000000000001</v>
      </c>
      <c r="F227" s="12">
        <v>1.1000000000000001</v>
      </c>
      <c r="G227" s="6">
        <f t="shared" si="61"/>
        <v>0</v>
      </c>
      <c r="H227" s="7">
        <f t="shared" si="62"/>
        <v>0</v>
      </c>
      <c r="I227" s="8">
        <v>1.8621752470588233</v>
      </c>
      <c r="J227" s="9">
        <f t="shared" si="63"/>
        <v>1.8621752470588233</v>
      </c>
      <c r="K227" s="3">
        <f t="shared" si="64"/>
        <v>0</v>
      </c>
      <c r="L227" s="7">
        <f t="shared" si="65"/>
        <v>0</v>
      </c>
      <c r="M227" t="s">
        <v>187</v>
      </c>
      <c r="O227" s="3">
        <f>E227-'290710 - P1223'!F227</f>
        <v>0</v>
      </c>
      <c r="P227" s="30">
        <f>I227-'290710 - P1223'!J227</f>
        <v>0</v>
      </c>
    </row>
    <row r="228" spans="1:16" x14ac:dyDescent="0.25">
      <c r="A228">
        <v>226</v>
      </c>
      <c r="C228" t="s">
        <v>8</v>
      </c>
      <c r="D228" s="4" t="s">
        <v>218</v>
      </c>
      <c r="E228" s="12">
        <v>1.28</v>
      </c>
      <c r="F228" s="12">
        <v>1.28</v>
      </c>
      <c r="G228" s="6">
        <f t="shared" si="61"/>
        <v>0</v>
      </c>
      <c r="H228" s="7">
        <f t="shared" si="62"/>
        <v>0</v>
      </c>
      <c r="I228" s="8">
        <v>2.3682151048101265</v>
      </c>
      <c r="J228" s="9">
        <f t="shared" si="63"/>
        <v>2.3682151048101265</v>
      </c>
      <c r="K228" s="3">
        <f t="shared" si="64"/>
        <v>0</v>
      </c>
      <c r="L228" s="7">
        <f t="shared" si="65"/>
        <v>0</v>
      </c>
      <c r="M228" t="s">
        <v>187</v>
      </c>
      <c r="O228" s="3">
        <f>E228-'290710 - P1223'!F228</f>
        <v>0</v>
      </c>
      <c r="P228" s="30">
        <f>I228-'290710 - P1223'!J228</f>
        <v>0</v>
      </c>
    </row>
    <row r="229" spans="1:16" x14ac:dyDescent="0.25">
      <c r="A229">
        <v>227</v>
      </c>
      <c r="C229" t="s">
        <v>8</v>
      </c>
      <c r="D229" s="4" t="s">
        <v>219</v>
      </c>
      <c r="E229" s="12">
        <v>2.64</v>
      </c>
      <c r="F229" s="12">
        <v>2.64</v>
      </c>
      <c r="G229" s="6">
        <f t="shared" si="61"/>
        <v>0</v>
      </c>
      <c r="H229" s="7">
        <f t="shared" si="62"/>
        <v>0</v>
      </c>
      <c r="I229" s="8">
        <v>5.58</v>
      </c>
      <c r="J229" s="9">
        <f t="shared" si="63"/>
        <v>5.58</v>
      </c>
      <c r="K229" s="3">
        <f t="shared" si="64"/>
        <v>0</v>
      </c>
      <c r="L229" s="7">
        <f t="shared" si="65"/>
        <v>0</v>
      </c>
      <c r="M229" t="s">
        <v>187</v>
      </c>
      <c r="O229" s="3">
        <f>E229-'290710 - P1223'!F229</f>
        <v>0</v>
      </c>
      <c r="P229" s="30">
        <f>I229-'290710 - P1223'!J229</f>
        <v>0</v>
      </c>
    </row>
    <row r="230" spans="1:16" x14ac:dyDescent="0.25">
      <c r="A230">
        <v>228</v>
      </c>
      <c r="C230" t="s">
        <v>8</v>
      </c>
      <c r="D230" s="4" t="s">
        <v>220</v>
      </c>
      <c r="E230" s="12">
        <v>0.09</v>
      </c>
      <c r="F230" s="12">
        <v>0.09</v>
      </c>
      <c r="G230" s="6">
        <f t="shared" si="61"/>
        <v>0</v>
      </c>
      <c r="H230" s="7">
        <f t="shared" si="62"/>
        <v>0</v>
      </c>
      <c r="I230" s="8">
        <v>0.19219415040000001</v>
      </c>
      <c r="J230" s="9">
        <f t="shared" si="63"/>
        <v>0.19219415040000001</v>
      </c>
      <c r="K230" s="3">
        <f t="shared" si="64"/>
        <v>0</v>
      </c>
      <c r="L230" s="7">
        <f t="shared" si="65"/>
        <v>0</v>
      </c>
      <c r="M230" t="s">
        <v>187</v>
      </c>
      <c r="O230" s="3">
        <f>E230-'290710 - P1223'!F230</f>
        <v>0</v>
      </c>
      <c r="P230" s="30">
        <f>I230-'290710 - P1223'!J230</f>
        <v>0</v>
      </c>
    </row>
    <row r="231" spans="1:16" x14ac:dyDescent="0.25">
      <c r="A231">
        <v>229</v>
      </c>
      <c r="C231" t="s">
        <v>8</v>
      </c>
      <c r="D231" s="4" t="s">
        <v>221</v>
      </c>
      <c r="E231" s="12">
        <v>1.01</v>
      </c>
      <c r="F231" s="12">
        <v>1.01</v>
      </c>
      <c r="G231" s="6">
        <f t="shared" si="61"/>
        <v>0</v>
      </c>
      <c r="H231" s="7">
        <f t="shared" si="62"/>
        <v>0</v>
      </c>
      <c r="I231" s="8">
        <v>1.6874188799999998</v>
      </c>
      <c r="J231" s="9">
        <f t="shared" si="63"/>
        <v>1.6874188799999998</v>
      </c>
      <c r="K231" s="3">
        <f t="shared" si="64"/>
        <v>0</v>
      </c>
      <c r="L231" s="7">
        <f t="shared" si="65"/>
        <v>0</v>
      </c>
      <c r="M231" t="s">
        <v>187</v>
      </c>
      <c r="O231" s="3">
        <f>E231-'290710 - P1223'!F231</f>
        <v>0</v>
      </c>
      <c r="P231" s="30">
        <f>I231-'290710 - P1223'!J231</f>
        <v>0</v>
      </c>
    </row>
    <row r="232" spans="1:16" x14ac:dyDescent="0.25">
      <c r="A232">
        <v>230</v>
      </c>
      <c r="C232" t="s">
        <v>8</v>
      </c>
      <c r="D232" s="4" t="s">
        <v>222</v>
      </c>
      <c r="E232" s="12">
        <v>0.06</v>
      </c>
      <c r="F232" s="12">
        <v>0.06</v>
      </c>
      <c r="G232" s="6">
        <f t="shared" si="61"/>
        <v>0</v>
      </c>
      <c r="H232" s="7">
        <f t="shared" si="62"/>
        <v>0</v>
      </c>
      <c r="I232" s="8">
        <v>2.29</v>
      </c>
      <c r="J232" s="9">
        <f t="shared" si="63"/>
        <v>2.29</v>
      </c>
      <c r="K232" s="3">
        <f t="shared" si="64"/>
        <v>0</v>
      </c>
      <c r="L232" s="7">
        <f t="shared" si="65"/>
        <v>0</v>
      </c>
      <c r="M232" t="s">
        <v>187</v>
      </c>
      <c r="O232" s="3">
        <f>E232-'290710 - P1223'!F232</f>
        <v>0</v>
      </c>
      <c r="P232" s="30">
        <f>I232-'290710 - P1223'!J232</f>
        <v>0</v>
      </c>
    </row>
    <row r="233" spans="1:16" x14ac:dyDescent="0.25">
      <c r="A233">
        <v>231</v>
      </c>
      <c r="C233" t="s">
        <v>8</v>
      </c>
      <c r="D233" s="4" t="s">
        <v>223</v>
      </c>
      <c r="E233" s="12">
        <v>4.1399999999999997</v>
      </c>
      <c r="F233" s="12">
        <v>4.1399999999999997</v>
      </c>
      <c r="G233" s="6">
        <f t="shared" si="61"/>
        <v>0</v>
      </c>
      <c r="H233" s="7">
        <f t="shared" si="62"/>
        <v>0</v>
      </c>
      <c r="I233" s="8">
        <v>6.49</v>
      </c>
      <c r="J233" s="9">
        <f t="shared" si="63"/>
        <v>6.49</v>
      </c>
      <c r="K233" s="3">
        <f t="shared" si="64"/>
        <v>0</v>
      </c>
      <c r="L233" s="7">
        <f t="shared" si="65"/>
        <v>0</v>
      </c>
      <c r="M233" t="s">
        <v>187</v>
      </c>
      <c r="O233" s="3">
        <f>E233-'290710 - P1223'!F233</f>
        <v>0</v>
      </c>
      <c r="P233" s="30">
        <f>I233-'290710 - P1223'!J233</f>
        <v>0</v>
      </c>
    </row>
    <row r="234" spans="1:16" x14ac:dyDescent="0.25">
      <c r="A234">
        <v>232</v>
      </c>
      <c r="C234" t="s">
        <v>8</v>
      </c>
      <c r="D234" s="4" t="s">
        <v>224</v>
      </c>
      <c r="E234" s="12">
        <v>24.6</v>
      </c>
      <c r="F234" s="12">
        <v>24.6</v>
      </c>
      <c r="G234" s="6">
        <f t="shared" si="61"/>
        <v>0</v>
      </c>
      <c r="H234" s="7">
        <f t="shared" si="62"/>
        <v>0</v>
      </c>
      <c r="I234" s="8">
        <v>37.85520480000001</v>
      </c>
      <c r="J234" s="9">
        <f t="shared" si="63"/>
        <v>37.85520480000001</v>
      </c>
      <c r="K234" s="3">
        <f t="shared" si="64"/>
        <v>0</v>
      </c>
      <c r="L234" s="7">
        <f t="shared" si="65"/>
        <v>0</v>
      </c>
      <c r="M234" t="s">
        <v>187</v>
      </c>
      <c r="O234" s="3">
        <f>E234-'290710 - P1223'!F234</f>
        <v>0</v>
      </c>
      <c r="P234" s="30">
        <f>I234-'290710 - P1223'!J234</f>
        <v>0</v>
      </c>
    </row>
    <row r="235" spans="1:16" x14ac:dyDescent="0.25">
      <c r="A235">
        <v>233</v>
      </c>
      <c r="C235" t="s">
        <v>8</v>
      </c>
      <c r="D235" s="4" t="s">
        <v>225</v>
      </c>
      <c r="E235" s="12">
        <v>8.41</v>
      </c>
      <c r="F235" s="12">
        <v>8.41</v>
      </c>
      <c r="G235" s="6">
        <f t="shared" si="61"/>
        <v>0</v>
      </c>
      <c r="H235" s="7">
        <f t="shared" si="62"/>
        <v>0</v>
      </c>
      <c r="I235" s="8">
        <v>17.605379996335873</v>
      </c>
      <c r="J235" s="9">
        <f t="shared" si="63"/>
        <v>17.605379996335873</v>
      </c>
      <c r="K235" s="3">
        <f t="shared" si="64"/>
        <v>0</v>
      </c>
      <c r="L235" s="7">
        <f t="shared" si="65"/>
        <v>0</v>
      </c>
      <c r="M235" t="s">
        <v>187</v>
      </c>
      <c r="O235" s="3">
        <f>E235-'290710 - P1223'!F235</f>
        <v>0</v>
      </c>
      <c r="P235" s="30">
        <f>I235-'290710 - P1223'!J235</f>
        <v>0</v>
      </c>
    </row>
    <row r="236" spans="1:16" x14ac:dyDescent="0.25">
      <c r="A236">
        <v>234</v>
      </c>
      <c r="C236" t="s">
        <v>8</v>
      </c>
      <c r="D236" s="4" t="s">
        <v>226</v>
      </c>
      <c r="E236" s="12">
        <v>19.87</v>
      </c>
      <c r="F236" s="12">
        <v>19.87</v>
      </c>
      <c r="G236" s="6">
        <f t="shared" si="61"/>
        <v>0</v>
      </c>
      <c r="H236" s="7">
        <f t="shared" si="62"/>
        <v>0</v>
      </c>
      <c r="I236" s="8">
        <v>37.722017205436892</v>
      </c>
      <c r="J236" s="9">
        <f t="shared" si="63"/>
        <v>37.722017205436892</v>
      </c>
      <c r="K236" s="3">
        <f t="shared" si="64"/>
        <v>0</v>
      </c>
      <c r="L236" s="7">
        <f t="shared" si="65"/>
        <v>0</v>
      </c>
      <c r="M236" t="s">
        <v>187</v>
      </c>
      <c r="O236" s="3">
        <f>E236-'290710 - P1223'!F236</f>
        <v>0</v>
      </c>
      <c r="P236" s="30">
        <f>I236-'290710 - P1223'!J236</f>
        <v>0</v>
      </c>
    </row>
    <row r="237" spans="1:16" x14ac:dyDescent="0.25">
      <c r="A237">
        <v>235</v>
      </c>
      <c r="C237" t="s">
        <v>8</v>
      </c>
      <c r="D237" s="4" t="s">
        <v>227</v>
      </c>
      <c r="E237" s="12">
        <v>19.89</v>
      </c>
      <c r="F237" s="12">
        <v>19.89</v>
      </c>
      <c r="G237" s="6">
        <f t="shared" si="61"/>
        <v>0</v>
      </c>
      <c r="H237" s="7">
        <f t="shared" si="62"/>
        <v>0</v>
      </c>
      <c r="I237" s="8">
        <v>39.222494967342996</v>
      </c>
      <c r="J237" s="9">
        <f t="shared" si="63"/>
        <v>39.222494967342996</v>
      </c>
      <c r="K237" s="3">
        <f t="shared" si="64"/>
        <v>0</v>
      </c>
      <c r="L237" s="7">
        <f t="shared" si="65"/>
        <v>0</v>
      </c>
      <c r="M237" t="s">
        <v>187</v>
      </c>
      <c r="O237" s="3">
        <f>E237-'290710 - P1223'!F237</f>
        <v>0</v>
      </c>
      <c r="P237" s="30">
        <f>I237-'290710 - P1223'!J237</f>
        <v>0</v>
      </c>
    </row>
    <row r="238" spans="1:16" x14ac:dyDescent="0.25">
      <c r="A238">
        <v>236</v>
      </c>
      <c r="C238" t="s">
        <v>8</v>
      </c>
      <c r="D238" s="4" t="s">
        <v>228</v>
      </c>
      <c r="E238" s="12">
        <v>4.71</v>
      </c>
      <c r="F238" s="12">
        <v>4.71</v>
      </c>
      <c r="G238" s="6">
        <f t="shared" si="61"/>
        <v>0</v>
      </c>
      <c r="H238" s="7">
        <f t="shared" si="62"/>
        <v>0</v>
      </c>
      <c r="I238" s="8">
        <v>11.98</v>
      </c>
      <c r="J238" s="9">
        <f t="shared" si="63"/>
        <v>11.98</v>
      </c>
      <c r="K238" s="3">
        <f t="shared" si="64"/>
        <v>0</v>
      </c>
      <c r="L238" s="7">
        <f t="shared" si="65"/>
        <v>0</v>
      </c>
      <c r="M238" t="s">
        <v>187</v>
      </c>
      <c r="O238" s="3">
        <f>E238-'290710 - P1223'!F238</f>
        <v>0</v>
      </c>
      <c r="P238" s="30">
        <f>I238-'290710 - P1223'!J238</f>
        <v>0</v>
      </c>
    </row>
    <row r="239" spans="1:16" x14ac:dyDescent="0.25">
      <c r="A239">
        <v>237</v>
      </c>
      <c r="C239" t="s">
        <v>8</v>
      </c>
      <c r="D239" s="4" t="s">
        <v>229</v>
      </c>
      <c r="E239" s="12">
        <v>51.79</v>
      </c>
      <c r="F239" s="12">
        <v>51.79</v>
      </c>
      <c r="G239" s="6">
        <f t="shared" si="61"/>
        <v>0</v>
      </c>
      <c r="H239" s="7">
        <f t="shared" si="62"/>
        <v>0</v>
      </c>
      <c r="I239" s="8">
        <v>79.680000000000007</v>
      </c>
      <c r="J239" s="9">
        <f t="shared" si="63"/>
        <v>79.680000000000007</v>
      </c>
      <c r="K239" s="3">
        <f t="shared" si="64"/>
        <v>0</v>
      </c>
      <c r="L239" s="7">
        <f t="shared" si="65"/>
        <v>0</v>
      </c>
      <c r="M239" t="s">
        <v>187</v>
      </c>
      <c r="O239" s="3">
        <f>E239-'290710 - P1223'!F239</f>
        <v>0</v>
      </c>
      <c r="P239" s="30">
        <f>I239-'290710 - P1223'!J239</f>
        <v>0</v>
      </c>
    </row>
    <row r="240" spans="1:16" x14ac:dyDescent="0.25">
      <c r="A240">
        <v>238</v>
      </c>
      <c r="C240" t="s">
        <v>8</v>
      </c>
      <c r="D240" s="4" t="s">
        <v>230</v>
      </c>
      <c r="E240" s="12">
        <v>9.76</v>
      </c>
      <c r="F240" s="12">
        <v>9.76</v>
      </c>
      <c r="G240" s="6">
        <f t="shared" si="61"/>
        <v>0</v>
      </c>
      <c r="H240" s="7">
        <f t="shared" si="62"/>
        <v>0</v>
      </c>
      <c r="I240" s="8">
        <v>19.82</v>
      </c>
      <c r="J240" s="9">
        <f t="shared" si="63"/>
        <v>19.82</v>
      </c>
      <c r="K240" s="3">
        <f t="shared" si="64"/>
        <v>0</v>
      </c>
      <c r="L240" s="7">
        <f t="shared" si="65"/>
        <v>0</v>
      </c>
      <c r="M240" t="s">
        <v>187</v>
      </c>
      <c r="O240" s="3">
        <f>E240-'290710 - P1223'!F240</f>
        <v>0</v>
      </c>
      <c r="P240" s="30">
        <f>I240-'290710 - P1223'!J240</f>
        <v>0</v>
      </c>
    </row>
    <row r="241" spans="1:16" x14ac:dyDescent="0.25">
      <c r="A241">
        <v>239</v>
      </c>
      <c r="C241" t="s">
        <v>8</v>
      </c>
      <c r="D241" s="4" t="s">
        <v>231</v>
      </c>
      <c r="E241" s="12">
        <v>2.87</v>
      </c>
      <c r="F241" s="12">
        <v>2.87</v>
      </c>
      <c r="G241" s="6">
        <f t="shared" si="61"/>
        <v>0</v>
      </c>
      <c r="H241" s="7">
        <f t="shared" si="62"/>
        <v>0</v>
      </c>
      <c r="I241" s="8">
        <v>5.82</v>
      </c>
      <c r="J241" s="9">
        <f t="shared" si="63"/>
        <v>5.82</v>
      </c>
      <c r="K241" s="3">
        <f t="shared" si="64"/>
        <v>0</v>
      </c>
      <c r="L241" s="7">
        <f t="shared" si="65"/>
        <v>0</v>
      </c>
      <c r="M241" t="s">
        <v>187</v>
      </c>
      <c r="O241" s="3">
        <f>E241-'290710 - P1223'!F241</f>
        <v>0</v>
      </c>
      <c r="P241" s="30">
        <f>I241-'290710 - P1223'!J241</f>
        <v>0</v>
      </c>
    </row>
    <row r="242" spans="1:16" x14ac:dyDescent="0.25">
      <c r="A242">
        <v>240</v>
      </c>
      <c r="D242" s="2" t="s">
        <v>232</v>
      </c>
      <c r="H242" s="10">
        <f>AVERAGE(H194:H237)</f>
        <v>0</v>
      </c>
      <c r="I242"/>
    </row>
    <row r="243" spans="1:16" x14ac:dyDescent="0.25">
      <c r="A243">
        <v>241</v>
      </c>
      <c r="D243" s="2" t="s">
        <v>233</v>
      </c>
      <c r="I243"/>
      <c r="M243" t="s">
        <v>234</v>
      </c>
      <c r="O243" s="3">
        <f>E243-'290710 - P1223'!F243</f>
        <v>0</v>
      </c>
      <c r="P243" s="30">
        <f>I243-'290710 - P1223'!J243</f>
        <v>0</v>
      </c>
    </row>
    <row r="244" spans="1:16" x14ac:dyDescent="0.25">
      <c r="A244">
        <v>242</v>
      </c>
      <c r="C244" t="s">
        <v>8</v>
      </c>
      <c r="D244" s="4" t="s">
        <v>235</v>
      </c>
      <c r="E244" s="12">
        <v>19.32</v>
      </c>
      <c r="F244" s="12">
        <v>19.32</v>
      </c>
      <c r="G244" s="6">
        <f t="shared" ref="G244:G248" si="66">+F244-E244</f>
        <v>0</v>
      </c>
      <c r="H244" s="7">
        <f t="shared" ref="H244:H248" si="67">(F244-E244)/ABS(E244)</f>
        <v>0</v>
      </c>
      <c r="I244" s="8">
        <v>43.363738242210459</v>
      </c>
      <c r="J244" s="9">
        <f t="shared" ref="J244:J248" si="68">(I244*H244)+I244</f>
        <v>43.363738242210459</v>
      </c>
      <c r="K244" s="3">
        <f t="shared" ref="K244:K248" si="69">J244-I244</f>
        <v>0</v>
      </c>
      <c r="L244" s="7">
        <f t="shared" ref="L244:L248" si="70">(J244-I244)/ABS(I244)</f>
        <v>0</v>
      </c>
      <c r="M244" t="s">
        <v>234</v>
      </c>
      <c r="O244" s="3">
        <f>E244-'290710 - P1223'!F244</f>
        <v>0</v>
      </c>
      <c r="P244" s="30">
        <f>I244-'290710 - P1223'!J244</f>
        <v>0</v>
      </c>
    </row>
    <row r="245" spans="1:16" x14ac:dyDescent="0.25">
      <c r="A245">
        <v>243</v>
      </c>
      <c r="C245" t="s">
        <v>8</v>
      </c>
      <c r="D245" s="4" t="s">
        <v>236</v>
      </c>
      <c r="E245" s="12">
        <v>25.76</v>
      </c>
      <c r="F245" s="12">
        <v>25.76</v>
      </c>
      <c r="G245" s="6">
        <f t="shared" si="66"/>
        <v>0</v>
      </c>
      <c r="H245" s="7">
        <f t="shared" si="67"/>
        <v>0</v>
      </c>
      <c r="I245" s="8">
        <v>54.72</v>
      </c>
      <c r="J245" s="9">
        <f t="shared" si="68"/>
        <v>54.72</v>
      </c>
      <c r="K245" s="3">
        <f t="shared" si="69"/>
        <v>0</v>
      </c>
      <c r="L245" s="7">
        <f t="shared" si="70"/>
        <v>0</v>
      </c>
      <c r="M245" t="s">
        <v>234</v>
      </c>
      <c r="O245" s="3">
        <f>E245-'290710 - P1223'!F245</f>
        <v>0</v>
      </c>
      <c r="P245" s="30">
        <f>I245-'290710 - P1223'!J245</f>
        <v>0</v>
      </c>
    </row>
    <row r="246" spans="1:16" x14ac:dyDescent="0.25">
      <c r="A246">
        <v>244</v>
      </c>
      <c r="C246" t="s">
        <v>8</v>
      </c>
      <c r="D246" s="4" t="s">
        <v>237</v>
      </c>
      <c r="E246" s="12">
        <v>26.28</v>
      </c>
      <c r="F246" s="12">
        <v>26.28</v>
      </c>
      <c r="G246" s="6">
        <f t="shared" si="66"/>
        <v>0</v>
      </c>
      <c r="H246" s="7">
        <f t="shared" si="67"/>
        <v>0</v>
      </c>
      <c r="I246" s="8">
        <v>41.047300934300516</v>
      </c>
      <c r="J246" s="9">
        <f t="shared" si="68"/>
        <v>41.047300934300516</v>
      </c>
      <c r="K246" s="3">
        <f t="shared" si="69"/>
        <v>0</v>
      </c>
      <c r="L246" s="7">
        <f t="shared" si="70"/>
        <v>0</v>
      </c>
      <c r="M246" t="s">
        <v>234</v>
      </c>
      <c r="O246" s="3">
        <f>E246-'290710 - P1223'!F246</f>
        <v>0</v>
      </c>
      <c r="P246" s="30">
        <f>I246-'290710 - P1223'!J246</f>
        <v>0</v>
      </c>
    </row>
    <row r="247" spans="1:16" x14ac:dyDescent="0.25">
      <c r="A247">
        <v>245</v>
      </c>
      <c r="C247" t="s">
        <v>8</v>
      </c>
      <c r="D247" s="4" t="s">
        <v>238</v>
      </c>
      <c r="E247" s="12">
        <v>35.04</v>
      </c>
      <c r="F247" s="12">
        <v>35.04</v>
      </c>
      <c r="G247" s="6">
        <f t="shared" si="66"/>
        <v>0</v>
      </c>
      <c r="H247" s="7">
        <f t="shared" si="67"/>
        <v>0</v>
      </c>
      <c r="I247" s="8">
        <v>54.724364707150258</v>
      </c>
      <c r="J247" s="9">
        <f t="shared" si="68"/>
        <v>54.724364707150258</v>
      </c>
      <c r="K247" s="3">
        <f t="shared" si="69"/>
        <v>0</v>
      </c>
      <c r="L247" s="7">
        <f t="shared" si="70"/>
        <v>0</v>
      </c>
      <c r="M247" t="s">
        <v>234</v>
      </c>
      <c r="O247" s="3">
        <f>E247-'290710 - P1223'!F247</f>
        <v>0</v>
      </c>
      <c r="P247" s="30">
        <f>I247-'290710 - P1223'!J247</f>
        <v>0</v>
      </c>
    </row>
    <row r="248" spans="1:16" x14ac:dyDescent="0.25">
      <c r="A248">
        <v>246</v>
      </c>
      <c r="C248" t="s">
        <v>8</v>
      </c>
      <c r="D248" s="4" t="s">
        <v>239</v>
      </c>
      <c r="E248" s="12">
        <v>43.8</v>
      </c>
      <c r="F248" s="12">
        <v>43.8</v>
      </c>
      <c r="G248" s="6">
        <f t="shared" si="66"/>
        <v>0</v>
      </c>
      <c r="H248" s="7">
        <f t="shared" si="67"/>
        <v>0</v>
      </c>
      <c r="I248" s="8">
        <v>68.401428479999993</v>
      </c>
      <c r="J248" s="9">
        <f t="shared" si="68"/>
        <v>68.401428479999993</v>
      </c>
      <c r="K248" s="3">
        <f t="shared" si="69"/>
        <v>0</v>
      </c>
      <c r="L248" s="7">
        <f t="shared" si="70"/>
        <v>0</v>
      </c>
      <c r="M248" t="s">
        <v>234</v>
      </c>
      <c r="O248" s="3">
        <f>E248-'290710 - P1223'!F248</f>
        <v>0</v>
      </c>
      <c r="P248" s="30">
        <f>I248-'290710 - P1223'!J248</f>
        <v>0</v>
      </c>
    </row>
    <row r="249" spans="1:16" x14ac:dyDescent="0.25">
      <c r="A249">
        <v>247</v>
      </c>
      <c r="D249" s="2" t="s">
        <v>240</v>
      </c>
      <c r="H249" s="10">
        <f>AVERAGE(H244:H248)</f>
        <v>0</v>
      </c>
      <c r="I249"/>
    </row>
    <row r="250" spans="1:16" x14ac:dyDescent="0.25">
      <c r="A250">
        <v>248</v>
      </c>
      <c r="D250" s="2" t="s">
        <v>241</v>
      </c>
      <c r="I250"/>
    </row>
    <row r="251" spans="1:16" x14ac:dyDescent="0.25">
      <c r="A251">
        <v>249</v>
      </c>
      <c r="C251" t="s">
        <v>8</v>
      </c>
      <c r="D251" s="4" t="s">
        <v>242</v>
      </c>
      <c r="E251" s="12">
        <v>8.2200000000000006</v>
      </c>
      <c r="F251" s="11">
        <v>8.2200000000000006</v>
      </c>
      <c r="G251" s="6">
        <f t="shared" ref="G251:G295" si="71">+F251-E251</f>
        <v>0</v>
      </c>
      <c r="H251" s="7">
        <f t="shared" ref="H251:H295" si="72">(F251-E251)/ABS(E251)</f>
        <v>0</v>
      </c>
      <c r="I251" s="8">
        <v>28.54202272220985</v>
      </c>
      <c r="J251" s="9">
        <f t="shared" ref="J251:J295" si="73">(I251*H251)+I251</f>
        <v>28.54202272220985</v>
      </c>
      <c r="K251" s="3">
        <f t="shared" ref="K251:K295" si="74">J251-I251</f>
        <v>0</v>
      </c>
      <c r="L251" s="7">
        <f t="shared" ref="L251:L295" si="75">(J251-I251)/ABS(I251)</f>
        <v>0</v>
      </c>
      <c r="M251" t="s">
        <v>150</v>
      </c>
      <c r="O251" s="3">
        <f>E251-'290710 - P1223'!F251</f>
        <v>0</v>
      </c>
      <c r="P251" s="30">
        <f>I251-'290710 - P1223'!J251</f>
        <v>0</v>
      </c>
    </row>
    <row r="252" spans="1:16" x14ac:dyDescent="0.25">
      <c r="A252">
        <v>250</v>
      </c>
      <c r="C252" t="s">
        <v>8</v>
      </c>
      <c r="D252" s="4" t="s">
        <v>243</v>
      </c>
      <c r="E252" s="12">
        <v>7.68</v>
      </c>
      <c r="F252" s="11">
        <v>7.68</v>
      </c>
      <c r="G252" s="6">
        <f t="shared" si="71"/>
        <v>0</v>
      </c>
      <c r="H252" s="7">
        <f t="shared" si="72"/>
        <v>0</v>
      </c>
      <c r="I252" s="8">
        <v>16.421831032972253</v>
      </c>
      <c r="J252" s="9">
        <f t="shared" si="73"/>
        <v>16.421831032972253</v>
      </c>
      <c r="K252" s="3">
        <f t="shared" si="74"/>
        <v>0</v>
      </c>
      <c r="L252" s="7">
        <f t="shared" si="75"/>
        <v>0</v>
      </c>
      <c r="M252" t="s">
        <v>150</v>
      </c>
      <c r="O252" s="3">
        <f>E252-'290710 - P1223'!F252</f>
        <v>0</v>
      </c>
      <c r="P252" s="30">
        <f>I252-'290710 - P1223'!J252</f>
        <v>0</v>
      </c>
    </row>
    <row r="253" spans="1:16" x14ac:dyDescent="0.25">
      <c r="A253">
        <v>251</v>
      </c>
      <c r="C253" t="s">
        <v>8</v>
      </c>
      <c r="D253" s="4" t="s">
        <v>244</v>
      </c>
      <c r="E253" s="12">
        <v>54.2</v>
      </c>
      <c r="F253" s="12">
        <v>54.2</v>
      </c>
      <c r="G253" s="6">
        <f t="shared" si="71"/>
        <v>0</v>
      </c>
      <c r="H253" s="7">
        <f t="shared" si="72"/>
        <v>0</v>
      </c>
      <c r="I253" s="8">
        <v>77.863720000000001</v>
      </c>
      <c r="J253" s="9">
        <f t="shared" si="73"/>
        <v>77.863720000000001</v>
      </c>
      <c r="K253" s="3">
        <f t="shared" si="74"/>
        <v>0</v>
      </c>
      <c r="L253" s="7">
        <f t="shared" si="75"/>
        <v>0</v>
      </c>
      <c r="M253" t="s">
        <v>150</v>
      </c>
      <c r="O253" s="3">
        <f>E253-'290710 - P1223'!F253</f>
        <v>0</v>
      </c>
      <c r="P253" s="30">
        <f>I253-'290710 - P1223'!J253</f>
        <v>0</v>
      </c>
    </row>
    <row r="254" spans="1:16" x14ac:dyDescent="0.25">
      <c r="A254">
        <v>252</v>
      </c>
      <c r="C254" t="s">
        <v>8</v>
      </c>
      <c r="D254" s="4" t="s">
        <v>245</v>
      </c>
      <c r="E254" s="12">
        <v>3.52</v>
      </c>
      <c r="F254" s="12">
        <v>3.75</v>
      </c>
      <c r="G254" s="6">
        <f t="shared" si="71"/>
        <v>0.22999999999999998</v>
      </c>
      <c r="H254" s="7">
        <f t="shared" si="72"/>
        <v>6.5340909090909088E-2</v>
      </c>
      <c r="I254" s="8">
        <v>7.3066666666666666</v>
      </c>
      <c r="J254" s="9">
        <f t="shared" si="73"/>
        <v>7.7840909090909092</v>
      </c>
      <c r="K254" s="3">
        <f t="shared" si="74"/>
        <v>0.47742424242424253</v>
      </c>
      <c r="L254" s="7">
        <f t="shared" si="75"/>
        <v>6.5340909090909102E-2</v>
      </c>
      <c r="M254" t="s">
        <v>150</v>
      </c>
      <c r="O254" s="3">
        <f>E254-'290710 - P1223'!F254</f>
        <v>0</v>
      </c>
      <c r="P254" s="30">
        <f>I254-'290710 - P1223'!J254</f>
        <v>0</v>
      </c>
    </row>
    <row r="255" spans="1:16" x14ac:dyDescent="0.25">
      <c r="A255">
        <v>253</v>
      </c>
      <c r="C255" t="s">
        <v>8</v>
      </c>
      <c r="D255" s="4" t="s">
        <v>246</v>
      </c>
      <c r="E255" s="12">
        <v>7.34</v>
      </c>
      <c r="F255" s="11">
        <v>7.34</v>
      </c>
      <c r="G255" s="6">
        <f t="shared" si="71"/>
        <v>0</v>
      </c>
      <c r="H255" s="7">
        <f t="shared" si="72"/>
        <v>0</v>
      </c>
      <c r="I255" s="8">
        <v>27.961904761904762</v>
      </c>
      <c r="J255" s="9">
        <f t="shared" si="73"/>
        <v>27.961904761904762</v>
      </c>
      <c r="K255" s="3">
        <f t="shared" si="74"/>
        <v>0</v>
      </c>
      <c r="L255" s="7">
        <f t="shared" si="75"/>
        <v>0</v>
      </c>
      <c r="M255" t="s">
        <v>150</v>
      </c>
      <c r="O255" s="3">
        <f>E255-'290710 - P1223'!F255</f>
        <v>0</v>
      </c>
      <c r="P255" s="30">
        <f>I255-'290710 - P1223'!J255</f>
        <v>0</v>
      </c>
    </row>
    <row r="256" spans="1:16" x14ac:dyDescent="0.25">
      <c r="A256">
        <v>254</v>
      </c>
      <c r="C256" t="s">
        <v>8</v>
      </c>
      <c r="D256" s="4" t="s">
        <v>247</v>
      </c>
      <c r="E256" s="12">
        <v>13.75</v>
      </c>
      <c r="F256" s="12">
        <v>13.75</v>
      </c>
      <c r="G256" s="6">
        <f t="shared" si="71"/>
        <v>0</v>
      </c>
      <c r="H256" s="7">
        <f t="shared" si="72"/>
        <v>0</v>
      </c>
      <c r="I256" s="8">
        <v>17.348837209302324</v>
      </c>
      <c r="J256" s="9">
        <f t="shared" si="73"/>
        <v>17.348837209302324</v>
      </c>
      <c r="K256" s="3">
        <f t="shared" si="74"/>
        <v>0</v>
      </c>
      <c r="L256" s="7">
        <f t="shared" si="75"/>
        <v>0</v>
      </c>
      <c r="M256" t="s">
        <v>150</v>
      </c>
      <c r="O256" s="3">
        <f>E256-'290710 - P1223'!F256</f>
        <v>0</v>
      </c>
      <c r="P256" s="30">
        <f>I256-'290710 - P1223'!J256</f>
        <v>0</v>
      </c>
    </row>
    <row r="257" spans="1:16" x14ac:dyDescent="0.25">
      <c r="A257">
        <v>255</v>
      </c>
      <c r="C257" t="s">
        <v>8</v>
      </c>
      <c r="D257" s="4" t="s">
        <v>248</v>
      </c>
      <c r="E257" s="12">
        <v>10.25</v>
      </c>
      <c r="F257" s="12">
        <v>10.25</v>
      </c>
      <c r="G257" s="6">
        <f t="shared" si="71"/>
        <v>0</v>
      </c>
      <c r="H257" s="7">
        <f t="shared" si="72"/>
        <v>0</v>
      </c>
      <c r="I257" s="8">
        <v>13.461538461538462</v>
      </c>
      <c r="J257" s="9">
        <f t="shared" si="73"/>
        <v>13.461538461538462</v>
      </c>
      <c r="K257" s="3">
        <f t="shared" si="74"/>
        <v>0</v>
      </c>
      <c r="L257" s="7">
        <f t="shared" si="75"/>
        <v>0</v>
      </c>
      <c r="M257" t="s">
        <v>150</v>
      </c>
      <c r="O257" s="3">
        <f>E257-'290710 - P1223'!F257</f>
        <v>0</v>
      </c>
      <c r="P257" s="30">
        <f>I257-'290710 - P1223'!J257</f>
        <v>0</v>
      </c>
    </row>
    <row r="258" spans="1:16" x14ac:dyDescent="0.25">
      <c r="A258">
        <v>256</v>
      </c>
      <c r="C258" t="s">
        <v>8</v>
      </c>
      <c r="D258" s="4" t="s">
        <v>249</v>
      </c>
      <c r="E258" s="12">
        <v>5.75</v>
      </c>
      <c r="F258" s="12">
        <v>5.75</v>
      </c>
      <c r="G258" s="6">
        <f t="shared" si="71"/>
        <v>0</v>
      </c>
      <c r="H258" s="7">
        <f t="shared" si="72"/>
        <v>0</v>
      </c>
      <c r="I258" s="8">
        <v>15.717408000000002</v>
      </c>
      <c r="J258" s="9">
        <f t="shared" si="73"/>
        <v>15.717408000000002</v>
      </c>
      <c r="K258" s="3">
        <f t="shared" si="74"/>
        <v>0</v>
      </c>
      <c r="L258" s="7">
        <f t="shared" si="75"/>
        <v>0</v>
      </c>
      <c r="M258" t="s">
        <v>187</v>
      </c>
      <c r="O258" s="3">
        <f>E258-'290710 - P1223'!F258</f>
        <v>0</v>
      </c>
      <c r="P258" s="30">
        <f>I258-'290710 - P1223'!J258</f>
        <v>0</v>
      </c>
    </row>
    <row r="259" spans="1:16" x14ac:dyDescent="0.25">
      <c r="A259">
        <v>257</v>
      </c>
      <c r="C259" t="s">
        <v>8</v>
      </c>
      <c r="D259" s="4" t="s">
        <v>250</v>
      </c>
      <c r="E259" s="12">
        <v>18.22</v>
      </c>
      <c r="F259" s="5">
        <v>18.22</v>
      </c>
      <c r="G259" s="6">
        <f t="shared" si="71"/>
        <v>0</v>
      </c>
      <c r="H259" s="7">
        <f t="shared" si="72"/>
        <v>0</v>
      </c>
      <c r="I259" s="8">
        <v>36.44</v>
      </c>
      <c r="J259" s="9">
        <f t="shared" si="73"/>
        <v>36.44</v>
      </c>
      <c r="K259" s="3">
        <f t="shared" si="74"/>
        <v>0</v>
      </c>
      <c r="L259" s="7">
        <f t="shared" si="75"/>
        <v>0</v>
      </c>
      <c r="M259" t="s">
        <v>150</v>
      </c>
      <c r="O259" s="3">
        <f>E259-'290710 - P1223'!F259</f>
        <v>0</v>
      </c>
      <c r="P259" s="30">
        <f>I259-'290710 - P1223'!J259</f>
        <v>0</v>
      </c>
    </row>
    <row r="260" spans="1:16" x14ac:dyDescent="0.25">
      <c r="A260">
        <v>258</v>
      </c>
      <c r="C260" t="s">
        <v>8</v>
      </c>
      <c r="D260" s="4" t="s">
        <v>251</v>
      </c>
      <c r="E260" s="12">
        <v>2.21</v>
      </c>
      <c r="F260" s="5">
        <v>2.21</v>
      </c>
      <c r="G260" s="6">
        <f t="shared" si="71"/>
        <v>0</v>
      </c>
      <c r="H260" s="7">
        <f t="shared" si="72"/>
        <v>0</v>
      </c>
      <c r="I260" s="8">
        <v>4.5939072847682123</v>
      </c>
      <c r="J260" s="9">
        <f t="shared" si="73"/>
        <v>4.5939072847682123</v>
      </c>
      <c r="K260" s="3">
        <f t="shared" si="74"/>
        <v>0</v>
      </c>
      <c r="L260" s="7">
        <f t="shared" si="75"/>
        <v>0</v>
      </c>
      <c r="M260" t="s">
        <v>150</v>
      </c>
      <c r="O260" s="3">
        <f>E260-'290710 - P1223'!F260</f>
        <v>0</v>
      </c>
      <c r="P260" s="30">
        <f>I260-'290710 - P1223'!J260</f>
        <v>0</v>
      </c>
    </row>
    <row r="261" spans="1:16" x14ac:dyDescent="0.25">
      <c r="A261">
        <v>259</v>
      </c>
      <c r="C261" t="s">
        <v>8</v>
      </c>
      <c r="D261" s="4" t="s">
        <v>252</v>
      </c>
      <c r="E261" s="12">
        <v>3.3</v>
      </c>
      <c r="F261" s="5">
        <v>3.3</v>
      </c>
      <c r="G261" s="6">
        <f t="shared" si="71"/>
        <v>0</v>
      </c>
      <c r="H261" s="7">
        <f t="shared" si="72"/>
        <v>0</v>
      </c>
      <c r="I261" s="8">
        <v>7.177170731707319</v>
      </c>
      <c r="J261" s="9">
        <f t="shared" si="73"/>
        <v>7.177170731707319</v>
      </c>
      <c r="K261" s="3">
        <f t="shared" si="74"/>
        <v>0</v>
      </c>
      <c r="L261" s="7">
        <f t="shared" si="75"/>
        <v>0</v>
      </c>
      <c r="M261" t="s">
        <v>150</v>
      </c>
      <c r="O261" s="3">
        <f>E261-'290710 - P1223'!F261</f>
        <v>0</v>
      </c>
      <c r="P261" s="30">
        <f>I261-'290710 - P1223'!J261</f>
        <v>0</v>
      </c>
    </row>
    <row r="262" spans="1:16" x14ac:dyDescent="0.25">
      <c r="A262">
        <v>260</v>
      </c>
      <c r="C262" t="s">
        <v>8</v>
      </c>
      <c r="D262" s="4" t="s">
        <v>253</v>
      </c>
      <c r="E262" s="12">
        <v>123.23</v>
      </c>
      <c r="F262" s="12">
        <v>123.23</v>
      </c>
      <c r="G262" s="6">
        <f t="shared" si="71"/>
        <v>0</v>
      </c>
      <c r="H262" s="7">
        <f t="shared" si="72"/>
        <v>0</v>
      </c>
      <c r="I262" s="8">
        <v>262.95999999999998</v>
      </c>
      <c r="J262" s="9">
        <f t="shared" si="73"/>
        <v>262.95999999999998</v>
      </c>
      <c r="K262" s="3">
        <f t="shared" si="74"/>
        <v>0</v>
      </c>
      <c r="L262" s="7">
        <f t="shared" si="75"/>
        <v>0</v>
      </c>
      <c r="M262" t="s">
        <v>150</v>
      </c>
      <c r="O262" s="3">
        <f>E262-'290710 - P1223'!F262</f>
        <v>0</v>
      </c>
      <c r="P262" s="30">
        <f>I262-'290710 - P1223'!J262</f>
        <v>0</v>
      </c>
    </row>
    <row r="263" spans="1:16" x14ac:dyDescent="0.25">
      <c r="A263">
        <v>261</v>
      </c>
      <c r="C263" t="s">
        <v>8</v>
      </c>
      <c r="D263" s="4" t="s">
        <v>254</v>
      </c>
      <c r="E263" s="12">
        <v>121.84</v>
      </c>
      <c r="F263" s="12">
        <v>121.84</v>
      </c>
      <c r="G263" s="6">
        <f t="shared" si="71"/>
        <v>0</v>
      </c>
      <c r="H263" s="7">
        <f t="shared" si="72"/>
        <v>0</v>
      </c>
      <c r="I263" s="8">
        <v>219.99</v>
      </c>
      <c r="J263" s="9">
        <f t="shared" si="73"/>
        <v>219.99</v>
      </c>
      <c r="K263" s="3">
        <f t="shared" si="74"/>
        <v>0</v>
      </c>
      <c r="L263" s="7">
        <f t="shared" si="75"/>
        <v>0</v>
      </c>
      <c r="M263" t="s">
        <v>150</v>
      </c>
      <c r="O263" s="3">
        <f>E263-'290710 - P1223'!F263</f>
        <v>0</v>
      </c>
      <c r="P263" s="30">
        <f>I263-'290710 - P1223'!J263</f>
        <v>0</v>
      </c>
    </row>
    <row r="264" spans="1:16" x14ac:dyDescent="0.25">
      <c r="A264">
        <v>262</v>
      </c>
      <c r="C264" t="s">
        <v>8</v>
      </c>
      <c r="D264" s="4" t="s">
        <v>255</v>
      </c>
      <c r="E264" s="5">
        <v>10.8</v>
      </c>
      <c r="F264" s="5">
        <v>10.8</v>
      </c>
      <c r="G264" s="6">
        <f t="shared" si="71"/>
        <v>0</v>
      </c>
      <c r="H264" s="7">
        <f t="shared" si="72"/>
        <v>0</v>
      </c>
      <c r="I264" s="8">
        <v>23.043154761904759</v>
      </c>
      <c r="J264" s="9">
        <f t="shared" si="73"/>
        <v>23.043154761904759</v>
      </c>
      <c r="K264" s="3">
        <f t="shared" si="74"/>
        <v>0</v>
      </c>
      <c r="L264" s="7">
        <f t="shared" si="75"/>
        <v>0</v>
      </c>
      <c r="M264" s="7" t="s">
        <v>150</v>
      </c>
      <c r="O264" s="3">
        <f>E264-'290710 - P1223'!F264</f>
        <v>0</v>
      </c>
      <c r="P264" s="30">
        <f>I264-'290710 - P1223'!J264</f>
        <v>0</v>
      </c>
    </row>
    <row r="265" spans="1:16" x14ac:dyDescent="0.25">
      <c r="A265">
        <v>263</v>
      </c>
      <c r="C265" t="s">
        <v>8</v>
      </c>
      <c r="D265" s="4" t="s">
        <v>256</v>
      </c>
      <c r="E265" s="5">
        <v>12.96</v>
      </c>
      <c r="F265" s="5">
        <v>12.96</v>
      </c>
      <c r="G265" s="6">
        <f t="shared" si="71"/>
        <v>0</v>
      </c>
      <c r="H265" s="7">
        <f t="shared" si="72"/>
        <v>0</v>
      </c>
      <c r="I265" s="8">
        <v>30.49</v>
      </c>
      <c r="J265" s="9">
        <f t="shared" si="73"/>
        <v>30.49</v>
      </c>
      <c r="K265" s="3">
        <f t="shared" si="74"/>
        <v>0</v>
      </c>
      <c r="L265" s="7">
        <f t="shared" si="75"/>
        <v>0</v>
      </c>
      <c r="M265" s="7" t="s">
        <v>150</v>
      </c>
      <c r="O265" s="3">
        <f>E265-'290710 - P1223'!F265</f>
        <v>0</v>
      </c>
      <c r="P265" s="30">
        <f>I265-'290710 - P1223'!J265</f>
        <v>0</v>
      </c>
    </row>
    <row r="266" spans="1:16" x14ac:dyDescent="0.25">
      <c r="A266">
        <v>264</v>
      </c>
      <c r="C266" t="s">
        <v>8</v>
      </c>
      <c r="D266" s="4" t="s">
        <v>257</v>
      </c>
      <c r="E266" s="5">
        <v>10.8</v>
      </c>
      <c r="F266" s="5">
        <v>10.8</v>
      </c>
      <c r="G266" s="6">
        <f t="shared" si="71"/>
        <v>0</v>
      </c>
      <c r="H266" s="7">
        <f t="shared" si="72"/>
        <v>0</v>
      </c>
      <c r="I266" s="8">
        <v>23.043154761904759</v>
      </c>
      <c r="J266" s="9">
        <f t="shared" si="73"/>
        <v>23.043154761904759</v>
      </c>
      <c r="K266" s="3">
        <f t="shared" si="74"/>
        <v>0</v>
      </c>
      <c r="L266" s="7">
        <f t="shared" si="75"/>
        <v>0</v>
      </c>
      <c r="M266" t="s">
        <v>150</v>
      </c>
      <c r="O266" s="3">
        <f>E266-'290710 - P1223'!F266</f>
        <v>0</v>
      </c>
      <c r="P266" s="30">
        <f>I266-'290710 - P1223'!J266</f>
        <v>0</v>
      </c>
    </row>
    <row r="267" spans="1:16" x14ac:dyDescent="0.25">
      <c r="A267">
        <v>265</v>
      </c>
      <c r="C267" t="s">
        <v>8</v>
      </c>
      <c r="D267" s="4" t="s">
        <v>258</v>
      </c>
      <c r="E267" s="5">
        <v>3.44</v>
      </c>
      <c r="F267" s="5">
        <v>3.44</v>
      </c>
      <c r="G267" s="6">
        <f t="shared" si="71"/>
        <v>0</v>
      </c>
      <c r="H267" s="7">
        <f t="shared" si="72"/>
        <v>0</v>
      </c>
      <c r="I267" s="8">
        <v>6.5289583333333336</v>
      </c>
      <c r="J267" s="9">
        <f t="shared" si="73"/>
        <v>6.5289583333333336</v>
      </c>
      <c r="K267" s="3">
        <f t="shared" si="74"/>
        <v>0</v>
      </c>
      <c r="L267" s="7">
        <f t="shared" si="75"/>
        <v>0</v>
      </c>
      <c r="M267" t="s">
        <v>150</v>
      </c>
      <c r="O267" s="3">
        <f>E267-'290710 - P1223'!F267</f>
        <v>0</v>
      </c>
      <c r="P267" s="30">
        <f>I267-'290710 - P1223'!J267</f>
        <v>0</v>
      </c>
    </row>
    <row r="268" spans="1:16" x14ac:dyDescent="0.25">
      <c r="A268">
        <v>266</v>
      </c>
      <c r="C268" t="s">
        <v>8</v>
      </c>
      <c r="D268" s="4" t="s">
        <v>259</v>
      </c>
      <c r="E268" s="5">
        <v>2.64</v>
      </c>
      <c r="F268" s="5">
        <v>2.64</v>
      </c>
      <c r="G268" s="6">
        <f t="shared" si="71"/>
        <v>0</v>
      </c>
      <c r="H268" s="7">
        <f t="shared" si="72"/>
        <v>0</v>
      </c>
      <c r="I268" s="8">
        <v>5.9648076923076916</v>
      </c>
      <c r="J268" s="9">
        <f t="shared" si="73"/>
        <v>5.9648076923076916</v>
      </c>
      <c r="K268" s="3">
        <f t="shared" si="74"/>
        <v>0</v>
      </c>
      <c r="L268" s="7">
        <f t="shared" si="75"/>
        <v>0</v>
      </c>
      <c r="M268" t="s">
        <v>150</v>
      </c>
      <c r="O268" s="3">
        <f>E268-'290710 - P1223'!F268</f>
        <v>0</v>
      </c>
      <c r="P268" s="30">
        <f>I268-'290710 - P1223'!J268</f>
        <v>0</v>
      </c>
    </row>
    <row r="269" spans="1:16" x14ac:dyDescent="0.25">
      <c r="A269">
        <v>267</v>
      </c>
      <c r="C269" t="s">
        <v>8</v>
      </c>
      <c r="D269" s="4" t="s">
        <v>260</v>
      </c>
      <c r="E269" s="5">
        <v>2.64</v>
      </c>
      <c r="F269" s="5">
        <v>2.64</v>
      </c>
      <c r="G269" s="6">
        <f t="shared" si="71"/>
        <v>0</v>
      </c>
      <c r="H269" s="7">
        <f t="shared" si="72"/>
        <v>0</v>
      </c>
      <c r="I269" s="8">
        <v>4.9814285714285704</v>
      </c>
      <c r="J269" s="9">
        <f t="shared" si="73"/>
        <v>4.9814285714285704</v>
      </c>
      <c r="K269" s="3">
        <f t="shared" si="74"/>
        <v>0</v>
      </c>
      <c r="L269" s="7">
        <f t="shared" si="75"/>
        <v>0</v>
      </c>
      <c r="M269" t="s">
        <v>150</v>
      </c>
      <c r="O269" s="3">
        <f>E269-'290710 - P1223'!F269</f>
        <v>0</v>
      </c>
      <c r="P269" s="30">
        <f>I269-'290710 - P1223'!J269</f>
        <v>0</v>
      </c>
    </row>
    <row r="270" spans="1:16" x14ac:dyDescent="0.25">
      <c r="A270">
        <v>268</v>
      </c>
      <c r="C270" t="s">
        <v>8</v>
      </c>
      <c r="D270" s="4" t="s">
        <v>261</v>
      </c>
      <c r="E270" s="5">
        <v>3.6</v>
      </c>
      <c r="F270" s="5">
        <v>3.6</v>
      </c>
      <c r="G270" s="6">
        <f t="shared" si="71"/>
        <v>0</v>
      </c>
      <c r="H270" s="7">
        <f t="shared" si="72"/>
        <v>0</v>
      </c>
      <c r="I270" s="8">
        <v>6.3735069444444443</v>
      </c>
      <c r="J270" s="9">
        <f t="shared" si="73"/>
        <v>6.3735069444444443</v>
      </c>
      <c r="K270" s="3">
        <f t="shared" si="74"/>
        <v>0</v>
      </c>
      <c r="L270" s="7">
        <f t="shared" si="75"/>
        <v>0</v>
      </c>
      <c r="M270" t="s">
        <v>150</v>
      </c>
      <c r="O270" s="3">
        <f>E270-'290710 - P1223'!F270</f>
        <v>0</v>
      </c>
      <c r="P270" s="30">
        <f>I270-'290710 - P1223'!J270</f>
        <v>0</v>
      </c>
    </row>
    <row r="271" spans="1:16" x14ac:dyDescent="0.25">
      <c r="A271">
        <v>269</v>
      </c>
      <c r="C271" t="s">
        <v>8</v>
      </c>
      <c r="D271" s="4" t="s">
        <v>262</v>
      </c>
      <c r="E271" s="5">
        <v>3.2</v>
      </c>
      <c r="F271" s="5">
        <v>3.2</v>
      </c>
      <c r="G271" s="6">
        <f t="shared" si="71"/>
        <v>0</v>
      </c>
      <c r="H271" s="7">
        <f t="shared" si="72"/>
        <v>0</v>
      </c>
      <c r="I271" s="8">
        <v>9.5772187500000001</v>
      </c>
      <c r="J271" s="9">
        <f t="shared" si="73"/>
        <v>9.5772187500000001</v>
      </c>
      <c r="K271" s="3">
        <f t="shared" si="74"/>
        <v>0</v>
      </c>
      <c r="L271" s="7">
        <f t="shared" si="75"/>
        <v>0</v>
      </c>
      <c r="M271" t="s">
        <v>150</v>
      </c>
      <c r="O271" s="3">
        <f>E271-'290710 - P1223'!F271</f>
        <v>0</v>
      </c>
      <c r="P271" s="30">
        <f>I271-'290710 - P1223'!J271</f>
        <v>0</v>
      </c>
    </row>
    <row r="272" spans="1:16" x14ac:dyDescent="0.25">
      <c r="A272">
        <v>270</v>
      </c>
      <c r="C272" t="s">
        <v>8</v>
      </c>
      <c r="D272" s="4" t="s">
        <v>263</v>
      </c>
      <c r="E272" s="5">
        <v>3.2</v>
      </c>
      <c r="F272" s="5">
        <v>3.2</v>
      </c>
      <c r="G272" s="6">
        <f t="shared" si="71"/>
        <v>0</v>
      </c>
      <c r="H272" s="7">
        <f t="shared" si="72"/>
        <v>0</v>
      </c>
      <c r="I272" s="8">
        <v>6.3735069444444443</v>
      </c>
      <c r="J272" s="9">
        <f t="shared" si="73"/>
        <v>6.3735069444444443</v>
      </c>
      <c r="K272" s="3">
        <f t="shared" si="74"/>
        <v>0</v>
      </c>
      <c r="L272" s="7">
        <f t="shared" si="75"/>
        <v>0</v>
      </c>
      <c r="M272" t="s">
        <v>150</v>
      </c>
      <c r="O272" s="3">
        <f>E272-'290710 - P1223'!F272</f>
        <v>0</v>
      </c>
      <c r="P272" s="30">
        <f>I272-'290710 - P1223'!J272</f>
        <v>0</v>
      </c>
    </row>
    <row r="273" spans="1:16" x14ac:dyDescent="0.25">
      <c r="A273">
        <v>271</v>
      </c>
      <c r="C273" t="s">
        <v>8</v>
      </c>
      <c r="D273" s="4" t="s">
        <v>264</v>
      </c>
      <c r="E273" s="12">
        <v>34.130000000000003</v>
      </c>
      <c r="F273" s="11">
        <v>34.130000000000003</v>
      </c>
      <c r="G273" s="6">
        <f t="shared" si="71"/>
        <v>0</v>
      </c>
      <c r="H273" s="7">
        <f t="shared" si="72"/>
        <v>0</v>
      </c>
      <c r="I273" s="8">
        <v>83.99904491032467</v>
      </c>
      <c r="J273" s="9">
        <f t="shared" si="73"/>
        <v>83.99904491032467</v>
      </c>
      <c r="K273" s="3">
        <f t="shared" si="74"/>
        <v>0</v>
      </c>
      <c r="L273" s="7">
        <f t="shared" si="75"/>
        <v>0</v>
      </c>
      <c r="M273" t="s">
        <v>150</v>
      </c>
      <c r="O273" s="3">
        <f>E273-'290710 - P1223'!F273</f>
        <v>0</v>
      </c>
      <c r="P273" s="30">
        <f>I273-'290710 - P1223'!J273</f>
        <v>0</v>
      </c>
    </row>
    <row r="274" spans="1:16" x14ac:dyDescent="0.25">
      <c r="A274">
        <v>272</v>
      </c>
      <c r="C274" t="s">
        <v>8</v>
      </c>
      <c r="D274" s="4" t="s">
        <v>265</v>
      </c>
      <c r="E274" s="12">
        <v>40.14</v>
      </c>
      <c r="F274" s="11">
        <v>40.14</v>
      </c>
      <c r="G274" s="6">
        <f t="shared" si="71"/>
        <v>0</v>
      </c>
      <c r="H274" s="7">
        <f t="shared" si="72"/>
        <v>0</v>
      </c>
      <c r="I274" s="8">
        <v>100.73811614890289</v>
      </c>
      <c r="J274" s="9">
        <f t="shared" si="73"/>
        <v>100.73811614890289</v>
      </c>
      <c r="K274" s="3">
        <f t="shared" si="74"/>
        <v>0</v>
      </c>
      <c r="L274" s="7">
        <f t="shared" si="75"/>
        <v>0</v>
      </c>
      <c r="M274" t="s">
        <v>150</v>
      </c>
      <c r="O274" s="3">
        <f>E274-'290710 - P1223'!F274</f>
        <v>0</v>
      </c>
      <c r="P274" s="30">
        <f>I274-'290710 - P1223'!J274</f>
        <v>0</v>
      </c>
    </row>
    <row r="275" spans="1:16" x14ac:dyDescent="0.25">
      <c r="A275">
        <v>273</v>
      </c>
      <c r="C275" t="s">
        <v>8</v>
      </c>
      <c r="D275" s="4" t="s">
        <v>266</v>
      </c>
      <c r="E275" s="12">
        <v>0.71</v>
      </c>
      <c r="F275" s="11">
        <v>0.71</v>
      </c>
      <c r="G275" s="6">
        <f t="shared" si="71"/>
        <v>0</v>
      </c>
      <c r="H275" s="7">
        <f t="shared" si="72"/>
        <v>0</v>
      </c>
      <c r="I275" s="8">
        <v>1.3974603174603173</v>
      </c>
      <c r="J275" s="9">
        <f t="shared" si="73"/>
        <v>1.3974603174603173</v>
      </c>
      <c r="K275" s="3">
        <f t="shared" si="74"/>
        <v>0</v>
      </c>
      <c r="L275" s="7">
        <f t="shared" si="75"/>
        <v>0</v>
      </c>
      <c r="M275" t="s">
        <v>150</v>
      </c>
      <c r="O275" s="3">
        <f>E275-'290710 - P1223'!F275</f>
        <v>0</v>
      </c>
      <c r="P275" s="30">
        <f>I275-'290710 - P1223'!J275</f>
        <v>0</v>
      </c>
    </row>
    <row r="276" spans="1:16" x14ac:dyDescent="0.25">
      <c r="A276">
        <v>274</v>
      </c>
      <c r="C276" t="s">
        <v>8</v>
      </c>
      <c r="D276" s="4" t="s">
        <v>267</v>
      </c>
      <c r="E276" s="12">
        <v>15.02</v>
      </c>
      <c r="F276" s="11">
        <v>15.02</v>
      </c>
      <c r="G276" s="6">
        <f t="shared" si="71"/>
        <v>0</v>
      </c>
      <c r="H276" s="7">
        <f t="shared" si="72"/>
        <v>0</v>
      </c>
      <c r="I276" s="8">
        <v>39.554925957158105</v>
      </c>
      <c r="J276" s="9">
        <f t="shared" si="73"/>
        <v>39.554925957158105</v>
      </c>
      <c r="K276" s="3">
        <f t="shared" si="74"/>
        <v>0</v>
      </c>
      <c r="L276" s="7">
        <f t="shared" si="75"/>
        <v>0</v>
      </c>
      <c r="M276" t="s">
        <v>150</v>
      </c>
      <c r="O276" s="3">
        <f>E276-'290710 - P1223'!F276</f>
        <v>0</v>
      </c>
      <c r="P276" s="30">
        <f>I276-'290710 - P1223'!J276</f>
        <v>0</v>
      </c>
    </row>
    <row r="277" spans="1:16" x14ac:dyDescent="0.25">
      <c r="A277">
        <v>275</v>
      </c>
      <c r="C277" t="s">
        <v>8</v>
      </c>
      <c r="D277" s="4" t="s">
        <v>268</v>
      </c>
      <c r="E277" s="12">
        <v>12.5</v>
      </c>
      <c r="F277" s="11">
        <v>12.5</v>
      </c>
      <c r="G277" s="6">
        <f t="shared" si="71"/>
        <v>0</v>
      </c>
      <c r="H277" s="7">
        <f t="shared" si="72"/>
        <v>0</v>
      </c>
      <c r="I277" s="8">
        <v>21.214819136522753</v>
      </c>
      <c r="J277" s="9">
        <f t="shared" si="73"/>
        <v>21.214819136522753</v>
      </c>
      <c r="K277" s="3">
        <f t="shared" si="74"/>
        <v>0</v>
      </c>
      <c r="L277" s="7">
        <f t="shared" si="75"/>
        <v>0</v>
      </c>
      <c r="M277" t="s">
        <v>187</v>
      </c>
      <c r="O277" s="3">
        <f>E277-'290710 - P1223'!F277</f>
        <v>0</v>
      </c>
      <c r="P277" s="30">
        <f>I277-'290710 - P1223'!J277</f>
        <v>0</v>
      </c>
    </row>
    <row r="278" spans="1:16" x14ac:dyDescent="0.25">
      <c r="A278">
        <v>276</v>
      </c>
      <c r="C278" t="s">
        <v>8</v>
      </c>
      <c r="D278" s="4" t="s">
        <v>269</v>
      </c>
      <c r="E278" s="12">
        <v>12</v>
      </c>
      <c r="F278" s="12">
        <v>12</v>
      </c>
      <c r="G278" s="6">
        <f>+F278-E278</f>
        <v>0</v>
      </c>
      <c r="H278" s="7">
        <f>(F278-E278)/ABS(E278)</f>
        <v>0</v>
      </c>
      <c r="I278" s="8">
        <v>18.47</v>
      </c>
      <c r="J278" s="9">
        <f>(I278*H278)+I278</f>
        <v>18.47</v>
      </c>
      <c r="K278" s="3">
        <f>J278-I278</f>
        <v>0</v>
      </c>
      <c r="L278" s="7">
        <f>(J278-I278)/ABS(I278)</f>
        <v>0</v>
      </c>
      <c r="M278" t="s">
        <v>187</v>
      </c>
      <c r="O278" s="3">
        <f>E278-'290710 - P1223'!F278</f>
        <v>0</v>
      </c>
      <c r="P278" s="30">
        <f>I278-'290710 - P1223'!J278</f>
        <v>0</v>
      </c>
    </row>
    <row r="279" spans="1:16" x14ac:dyDescent="0.25">
      <c r="A279">
        <v>277</v>
      </c>
      <c r="C279" t="s">
        <v>8</v>
      </c>
      <c r="D279" s="4" t="s">
        <v>270</v>
      </c>
      <c r="E279" s="12">
        <v>8.9499999999999993</v>
      </c>
      <c r="F279" s="11">
        <v>8.9499999999999993</v>
      </c>
      <c r="G279" s="6">
        <f t="shared" si="71"/>
        <v>0</v>
      </c>
      <c r="H279" s="7">
        <f t="shared" si="72"/>
        <v>0</v>
      </c>
      <c r="I279" s="8">
        <v>29.456687862360731</v>
      </c>
      <c r="J279" s="9">
        <f t="shared" si="73"/>
        <v>29.456687862360731</v>
      </c>
      <c r="K279" s="3">
        <f t="shared" si="74"/>
        <v>0</v>
      </c>
      <c r="L279" s="7">
        <f t="shared" si="75"/>
        <v>0</v>
      </c>
      <c r="M279" t="s">
        <v>187</v>
      </c>
      <c r="O279" s="3">
        <f>E279-'290710 - P1223'!F279</f>
        <v>0</v>
      </c>
      <c r="P279" s="30">
        <f>I279-'290710 - P1223'!J279</f>
        <v>0</v>
      </c>
    </row>
    <row r="280" spans="1:16" x14ac:dyDescent="0.25">
      <c r="A280">
        <v>278</v>
      </c>
      <c r="C280" t="s">
        <v>8</v>
      </c>
      <c r="D280" s="4" t="s">
        <v>271</v>
      </c>
      <c r="E280" s="16">
        <v>46.13</v>
      </c>
      <c r="F280" s="12">
        <v>46.13</v>
      </c>
      <c r="G280" s="6">
        <f t="shared" si="71"/>
        <v>0</v>
      </c>
      <c r="H280" s="7">
        <f t="shared" si="72"/>
        <v>0</v>
      </c>
      <c r="I280" s="8">
        <v>71.680000000000007</v>
      </c>
      <c r="J280" s="9">
        <f t="shared" si="73"/>
        <v>71.680000000000007</v>
      </c>
      <c r="K280" s="3">
        <f t="shared" si="74"/>
        <v>0</v>
      </c>
      <c r="L280" s="7">
        <f t="shared" si="75"/>
        <v>0</v>
      </c>
      <c r="M280" t="s">
        <v>187</v>
      </c>
      <c r="O280" s="3">
        <f>E280-'290710 - P1223'!F280</f>
        <v>0</v>
      </c>
      <c r="P280" s="30">
        <f>I280-'290710 - P1223'!J280</f>
        <v>0</v>
      </c>
    </row>
    <row r="281" spans="1:16" x14ac:dyDescent="0.25">
      <c r="A281">
        <v>279</v>
      </c>
      <c r="C281" t="s">
        <v>8</v>
      </c>
      <c r="D281" s="4" t="s">
        <v>272</v>
      </c>
      <c r="E281" s="5">
        <v>5.85</v>
      </c>
      <c r="F281" s="5">
        <v>5.85</v>
      </c>
      <c r="G281" s="6">
        <f t="shared" si="71"/>
        <v>0</v>
      </c>
      <c r="H281" s="7">
        <f t="shared" si="72"/>
        <v>0</v>
      </c>
      <c r="I281" s="8">
        <v>6.9</v>
      </c>
      <c r="J281" s="9">
        <f t="shared" si="73"/>
        <v>6.9</v>
      </c>
      <c r="K281" s="3">
        <f t="shared" si="74"/>
        <v>0</v>
      </c>
      <c r="L281" s="7">
        <f t="shared" si="75"/>
        <v>0</v>
      </c>
      <c r="M281" t="s">
        <v>150</v>
      </c>
      <c r="O281" s="3">
        <f>E281-'290710 - P1223'!F281</f>
        <v>0</v>
      </c>
      <c r="P281" s="30">
        <f>I281-'290710 - P1223'!J281</f>
        <v>0</v>
      </c>
    </row>
    <row r="282" spans="1:16" x14ac:dyDescent="0.25">
      <c r="A282">
        <v>280</v>
      </c>
      <c r="C282" t="s">
        <v>8</v>
      </c>
      <c r="D282" s="4" t="s">
        <v>273</v>
      </c>
      <c r="E282" s="5">
        <v>6.93</v>
      </c>
      <c r="F282" s="5">
        <v>6.93</v>
      </c>
      <c r="G282" s="6">
        <f t="shared" si="71"/>
        <v>0</v>
      </c>
      <c r="H282" s="7">
        <f t="shared" si="72"/>
        <v>0</v>
      </c>
      <c r="I282" s="8">
        <v>13.99</v>
      </c>
      <c r="J282" s="9">
        <f t="shared" si="73"/>
        <v>13.99</v>
      </c>
      <c r="K282" s="3">
        <f t="shared" si="74"/>
        <v>0</v>
      </c>
      <c r="L282" s="7">
        <f t="shared" si="75"/>
        <v>0</v>
      </c>
      <c r="M282" t="s">
        <v>150</v>
      </c>
      <c r="O282" s="3">
        <f>E282-'290710 - P1223'!F282</f>
        <v>0</v>
      </c>
      <c r="P282" s="30">
        <f>I282-'290710 - P1223'!J282</f>
        <v>0</v>
      </c>
    </row>
    <row r="283" spans="1:16" x14ac:dyDescent="0.25">
      <c r="A283">
        <v>281</v>
      </c>
      <c r="C283" t="s">
        <v>8</v>
      </c>
      <c r="D283" s="4" t="s">
        <v>274</v>
      </c>
      <c r="E283" s="5">
        <v>6.93</v>
      </c>
      <c r="F283" s="5">
        <v>6.93</v>
      </c>
      <c r="G283" s="6">
        <f t="shared" si="71"/>
        <v>0</v>
      </c>
      <c r="H283" s="7">
        <f t="shared" si="72"/>
        <v>0</v>
      </c>
      <c r="I283" s="8">
        <v>7.9</v>
      </c>
      <c r="J283" s="9">
        <f t="shared" si="73"/>
        <v>7.9</v>
      </c>
      <c r="K283" s="3">
        <f t="shared" si="74"/>
        <v>0</v>
      </c>
      <c r="L283" s="7">
        <f t="shared" si="75"/>
        <v>0</v>
      </c>
      <c r="M283" t="s">
        <v>150</v>
      </c>
      <c r="O283" s="3">
        <f>E283-'290710 - P1223'!F283</f>
        <v>0</v>
      </c>
      <c r="P283" s="30">
        <f>I283-'290710 - P1223'!J283</f>
        <v>0</v>
      </c>
    </row>
    <row r="284" spans="1:16" x14ac:dyDescent="0.25">
      <c r="A284">
        <v>282</v>
      </c>
      <c r="C284" t="s">
        <v>8</v>
      </c>
      <c r="D284" s="4" t="s">
        <v>275</v>
      </c>
      <c r="E284" s="12">
        <v>2.56</v>
      </c>
      <c r="F284" s="11">
        <v>2.56</v>
      </c>
      <c r="G284" s="6">
        <f t="shared" si="71"/>
        <v>0</v>
      </c>
      <c r="H284" s="7">
        <f t="shared" si="72"/>
        <v>0</v>
      </c>
      <c r="I284" s="8">
        <v>8.0228714375055841</v>
      </c>
      <c r="J284" s="9">
        <f t="shared" si="73"/>
        <v>8.0228714375055841</v>
      </c>
      <c r="K284" s="3">
        <f t="shared" si="74"/>
        <v>0</v>
      </c>
      <c r="L284" s="7">
        <f t="shared" si="75"/>
        <v>0</v>
      </c>
      <c r="M284" t="s">
        <v>150</v>
      </c>
      <c r="O284" s="3">
        <f>E284-'290710 - P1223'!F284</f>
        <v>0</v>
      </c>
      <c r="P284" s="30">
        <f>I284-'290710 - P1223'!J284</f>
        <v>0</v>
      </c>
    </row>
    <row r="285" spans="1:16" x14ac:dyDescent="0.25">
      <c r="A285">
        <v>283</v>
      </c>
      <c r="C285" t="s">
        <v>8</v>
      </c>
      <c r="D285" s="4" t="s">
        <v>276</v>
      </c>
      <c r="E285" s="12">
        <v>3.71</v>
      </c>
      <c r="F285" s="11">
        <v>3.71</v>
      </c>
      <c r="G285" s="6">
        <f t="shared" si="71"/>
        <v>0</v>
      </c>
      <c r="H285" s="7">
        <f t="shared" si="72"/>
        <v>0</v>
      </c>
      <c r="I285" s="8">
        <v>9.2527255216693405</v>
      </c>
      <c r="J285" s="9">
        <f t="shared" si="73"/>
        <v>9.2527255216693405</v>
      </c>
      <c r="K285" s="3">
        <f t="shared" si="74"/>
        <v>0</v>
      </c>
      <c r="L285" s="7">
        <f t="shared" si="75"/>
        <v>0</v>
      </c>
      <c r="M285" t="s">
        <v>150</v>
      </c>
      <c r="O285" s="3">
        <f>E285-'290710 - P1223'!F285</f>
        <v>0</v>
      </c>
      <c r="P285" s="30">
        <f>I285-'290710 - P1223'!J285</f>
        <v>0</v>
      </c>
    </row>
    <row r="286" spans="1:16" x14ac:dyDescent="0.25">
      <c r="A286">
        <v>284</v>
      </c>
      <c r="C286" t="s">
        <v>277</v>
      </c>
      <c r="D286" s="4" t="s">
        <v>278</v>
      </c>
      <c r="E286" s="11">
        <v>76.17</v>
      </c>
      <c r="F286" s="11">
        <v>76.17</v>
      </c>
      <c r="G286" s="6">
        <f t="shared" si="71"/>
        <v>0</v>
      </c>
      <c r="H286" s="7">
        <f t="shared" si="72"/>
        <v>0</v>
      </c>
      <c r="I286" s="8">
        <v>129.08106565176024</v>
      </c>
      <c r="J286" s="9">
        <f t="shared" si="73"/>
        <v>129.08106565176024</v>
      </c>
      <c r="K286" s="3">
        <f t="shared" si="74"/>
        <v>0</v>
      </c>
      <c r="L286" s="7">
        <f t="shared" si="75"/>
        <v>0</v>
      </c>
      <c r="M286" t="s">
        <v>150</v>
      </c>
      <c r="O286" s="3">
        <f>E286-'290710 - P1223'!F286</f>
        <v>0</v>
      </c>
      <c r="P286" s="30">
        <f>I286-'290710 - P1223'!J286</f>
        <v>0</v>
      </c>
    </row>
    <row r="287" spans="1:16" x14ac:dyDescent="0.25">
      <c r="A287">
        <v>285</v>
      </c>
      <c r="C287" t="s">
        <v>8</v>
      </c>
      <c r="D287" s="4" t="s">
        <v>279</v>
      </c>
      <c r="E287" s="12">
        <v>3.47</v>
      </c>
      <c r="F287" s="12">
        <v>3.47</v>
      </c>
      <c r="G287" s="6">
        <f t="shared" si="71"/>
        <v>0</v>
      </c>
      <c r="H287" s="7">
        <f t="shared" si="72"/>
        <v>0</v>
      </c>
      <c r="I287" s="8">
        <v>9.272871621621622</v>
      </c>
      <c r="J287" s="9">
        <f t="shared" si="73"/>
        <v>9.272871621621622</v>
      </c>
      <c r="K287" s="3">
        <f t="shared" si="74"/>
        <v>0</v>
      </c>
      <c r="L287" s="7">
        <f t="shared" si="75"/>
        <v>0</v>
      </c>
      <c r="M287" t="s">
        <v>150</v>
      </c>
      <c r="O287" s="3">
        <f>E287-'290710 - P1223'!F287</f>
        <v>0</v>
      </c>
      <c r="P287" s="30">
        <f>I287-'290710 - P1223'!J287</f>
        <v>0</v>
      </c>
    </row>
    <row r="288" spans="1:16" x14ac:dyDescent="0.25">
      <c r="A288">
        <v>286</v>
      </c>
      <c r="C288" t="s">
        <v>8</v>
      </c>
      <c r="D288" s="4" t="s">
        <v>280</v>
      </c>
      <c r="E288" s="12">
        <v>3.03</v>
      </c>
      <c r="F288" s="12">
        <v>3.03</v>
      </c>
      <c r="G288" s="6">
        <f t="shared" si="71"/>
        <v>0</v>
      </c>
      <c r="H288" s="7">
        <f t="shared" si="72"/>
        <v>0</v>
      </c>
      <c r="I288" s="8">
        <v>6.4226640926640925</v>
      </c>
      <c r="J288" s="9">
        <f t="shared" si="73"/>
        <v>6.4226640926640925</v>
      </c>
      <c r="K288" s="3">
        <f t="shared" si="74"/>
        <v>0</v>
      </c>
      <c r="L288" s="7">
        <f t="shared" si="75"/>
        <v>0</v>
      </c>
      <c r="M288" t="s">
        <v>150</v>
      </c>
      <c r="O288" s="3">
        <f>E288-'290710 - P1223'!F288</f>
        <v>0</v>
      </c>
      <c r="P288" s="30">
        <f>I288-'290710 - P1223'!J288</f>
        <v>0</v>
      </c>
    </row>
    <row r="289" spans="1:16" x14ac:dyDescent="0.25">
      <c r="A289">
        <v>287</v>
      </c>
      <c r="C289" t="s">
        <v>8</v>
      </c>
      <c r="D289" s="4" t="s">
        <v>281</v>
      </c>
      <c r="E289" s="12">
        <v>12.95</v>
      </c>
      <c r="F289" s="12">
        <v>12.95</v>
      </c>
      <c r="G289" s="6">
        <f t="shared" si="71"/>
        <v>0</v>
      </c>
      <c r="H289" s="7">
        <f t="shared" si="72"/>
        <v>0</v>
      </c>
      <c r="I289" s="8">
        <v>25.9</v>
      </c>
      <c r="J289" s="9">
        <f t="shared" si="73"/>
        <v>25.9</v>
      </c>
      <c r="K289" s="3">
        <f t="shared" si="74"/>
        <v>0</v>
      </c>
      <c r="L289" s="7">
        <f t="shared" si="75"/>
        <v>0</v>
      </c>
      <c r="M289" t="s">
        <v>150</v>
      </c>
      <c r="O289" s="3">
        <f>E289-'290710 - P1223'!F289</f>
        <v>0</v>
      </c>
      <c r="P289" s="30">
        <f>I289-'290710 - P1223'!J289</f>
        <v>0</v>
      </c>
    </row>
    <row r="290" spans="1:16" x14ac:dyDescent="0.25">
      <c r="A290">
        <v>288</v>
      </c>
      <c r="C290" t="s">
        <v>8</v>
      </c>
      <c r="D290" s="4" t="s">
        <v>282</v>
      </c>
      <c r="E290" s="12">
        <v>9.27</v>
      </c>
      <c r="F290" s="12">
        <v>9.27</v>
      </c>
      <c r="G290" s="6">
        <f t="shared" si="71"/>
        <v>0</v>
      </c>
      <c r="H290" s="7">
        <f t="shared" si="72"/>
        <v>0</v>
      </c>
      <c r="I290" s="8">
        <v>18.54</v>
      </c>
      <c r="J290" s="9">
        <f t="shared" si="73"/>
        <v>18.54</v>
      </c>
      <c r="K290" s="3">
        <f t="shared" si="74"/>
        <v>0</v>
      </c>
      <c r="L290" s="7">
        <f t="shared" si="75"/>
        <v>0</v>
      </c>
      <c r="M290" t="s">
        <v>150</v>
      </c>
      <c r="O290" s="3">
        <f>E290-'290710 - P1223'!F290</f>
        <v>0</v>
      </c>
      <c r="P290" s="30">
        <f>I290-'290710 - P1223'!J290</f>
        <v>0</v>
      </c>
    </row>
    <row r="291" spans="1:16" x14ac:dyDescent="0.25">
      <c r="A291">
        <v>289</v>
      </c>
      <c r="C291" t="s">
        <v>8</v>
      </c>
      <c r="D291" s="4" t="s">
        <v>283</v>
      </c>
      <c r="E291" s="12">
        <v>4.38</v>
      </c>
      <c r="F291" s="12">
        <v>4.38</v>
      </c>
      <c r="G291" s="6">
        <f t="shared" si="71"/>
        <v>0</v>
      </c>
      <c r="H291" s="7">
        <f t="shared" si="72"/>
        <v>0</v>
      </c>
      <c r="I291" s="8">
        <v>19.878299999999999</v>
      </c>
      <c r="J291" s="9">
        <f t="shared" si="73"/>
        <v>19.878299999999999</v>
      </c>
      <c r="K291" s="3">
        <f t="shared" si="74"/>
        <v>0</v>
      </c>
      <c r="L291" s="7">
        <f t="shared" si="75"/>
        <v>0</v>
      </c>
      <c r="M291" t="s">
        <v>150</v>
      </c>
      <c r="O291" s="3">
        <f>E291-'290710 - P1223'!F291</f>
        <v>0</v>
      </c>
      <c r="P291" s="30">
        <f>I291-'290710 - P1223'!J291</f>
        <v>0</v>
      </c>
    </row>
    <row r="292" spans="1:16" x14ac:dyDescent="0.25">
      <c r="A292">
        <v>290</v>
      </c>
      <c r="C292" t="s">
        <v>8</v>
      </c>
      <c r="D292" s="4" t="s">
        <v>284</v>
      </c>
      <c r="E292" s="12">
        <v>7.78</v>
      </c>
      <c r="F292" s="12">
        <v>7.78</v>
      </c>
      <c r="G292" s="6">
        <f t="shared" si="71"/>
        <v>0</v>
      </c>
      <c r="H292" s="7">
        <f t="shared" si="72"/>
        <v>0</v>
      </c>
      <c r="I292" s="8">
        <v>20.218751857355123</v>
      </c>
      <c r="J292" s="9">
        <f t="shared" si="73"/>
        <v>20.218751857355123</v>
      </c>
      <c r="K292" s="3">
        <f t="shared" si="74"/>
        <v>0</v>
      </c>
      <c r="L292" s="7">
        <f t="shared" si="75"/>
        <v>0</v>
      </c>
      <c r="M292" t="s">
        <v>150</v>
      </c>
      <c r="O292" s="3">
        <f>E292-'290710 - P1223'!F292</f>
        <v>0</v>
      </c>
      <c r="P292" s="30">
        <f>I292-'290710 - P1223'!J292</f>
        <v>0</v>
      </c>
    </row>
    <row r="293" spans="1:16" x14ac:dyDescent="0.25">
      <c r="A293">
        <v>291</v>
      </c>
      <c r="C293" t="s">
        <v>8</v>
      </c>
      <c r="D293" s="4" t="s">
        <v>285</v>
      </c>
      <c r="E293" s="12">
        <v>0.98</v>
      </c>
      <c r="F293" s="12">
        <v>0.98</v>
      </c>
      <c r="G293" s="6">
        <f t="shared" si="71"/>
        <v>0</v>
      </c>
      <c r="H293" s="7">
        <f t="shared" si="72"/>
        <v>0</v>
      </c>
      <c r="I293" s="8">
        <v>2.0746808510638299</v>
      </c>
      <c r="J293" s="9">
        <f t="shared" si="73"/>
        <v>2.0746808510638299</v>
      </c>
      <c r="K293" s="3">
        <f t="shared" si="74"/>
        <v>0</v>
      </c>
      <c r="L293" s="7">
        <f t="shared" si="75"/>
        <v>0</v>
      </c>
      <c r="M293" t="s">
        <v>150</v>
      </c>
      <c r="O293" s="3">
        <f>E293-'290710 - P1223'!F293</f>
        <v>0</v>
      </c>
      <c r="P293" s="30">
        <f>I293-'290710 - P1223'!J293</f>
        <v>0</v>
      </c>
    </row>
    <row r="294" spans="1:16" x14ac:dyDescent="0.25">
      <c r="A294">
        <v>292</v>
      </c>
      <c r="C294" t="s">
        <v>8</v>
      </c>
      <c r="D294" s="4" t="s">
        <v>286</v>
      </c>
      <c r="E294" s="12">
        <v>0.56999999999999995</v>
      </c>
      <c r="F294" s="12">
        <v>0.56999999999999995</v>
      </c>
      <c r="G294" s="6">
        <f t="shared" si="71"/>
        <v>0</v>
      </c>
      <c r="H294" s="7">
        <f t="shared" si="72"/>
        <v>0</v>
      </c>
      <c r="I294" s="8">
        <v>1.29</v>
      </c>
      <c r="J294" s="9">
        <f t="shared" si="73"/>
        <v>1.29</v>
      </c>
      <c r="K294" s="3">
        <f t="shared" si="74"/>
        <v>0</v>
      </c>
      <c r="L294" s="7">
        <f t="shared" si="75"/>
        <v>0</v>
      </c>
      <c r="M294" t="s">
        <v>150</v>
      </c>
      <c r="O294" s="3">
        <f>E294-'290710 - P1223'!F294</f>
        <v>0</v>
      </c>
      <c r="P294" s="30">
        <f>I294-'290710 - P1223'!J294</f>
        <v>0</v>
      </c>
    </row>
    <row r="295" spans="1:16" x14ac:dyDescent="0.25">
      <c r="A295">
        <v>293</v>
      </c>
      <c r="C295" t="s">
        <v>8</v>
      </c>
      <c r="D295" s="4" t="s">
        <v>287</v>
      </c>
      <c r="E295" s="12">
        <v>3.2</v>
      </c>
      <c r="F295" s="12">
        <v>3.2</v>
      </c>
      <c r="G295" s="6">
        <f t="shared" si="71"/>
        <v>0</v>
      </c>
      <c r="H295" s="7">
        <f t="shared" si="72"/>
        <v>0</v>
      </c>
      <c r="I295" s="8">
        <v>9.2899999999999991</v>
      </c>
      <c r="J295" s="9">
        <f t="shared" si="73"/>
        <v>9.2899999999999991</v>
      </c>
      <c r="K295" s="3">
        <f t="shared" si="74"/>
        <v>0</v>
      </c>
      <c r="L295" s="7">
        <f t="shared" si="75"/>
        <v>0</v>
      </c>
      <c r="M295" t="s">
        <v>150</v>
      </c>
      <c r="O295" s="3">
        <f>E295-'290710 - P1223'!F295</f>
        <v>0</v>
      </c>
      <c r="P295" s="30">
        <f>I295-'290710 - P1223'!J295</f>
        <v>0</v>
      </c>
    </row>
    <row r="296" spans="1:16" x14ac:dyDescent="0.25">
      <c r="A296">
        <v>294</v>
      </c>
      <c r="D296" s="2" t="s">
        <v>288</v>
      </c>
      <c r="H296" s="10">
        <f>AVERAGE(H251:H290)</f>
        <v>1.6335227272727272E-3</v>
      </c>
      <c r="I296"/>
    </row>
    <row r="297" spans="1:16" x14ac:dyDescent="0.25">
      <c r="A297">
        <v>295</v>
      </c>
      <c r="D297" s="2" t="s">
        <v>289</v>
      </c>
      <c r="I297"/>
      <c r="M297" t="s">
        <v>187</v>
      </c>
    </row>
    <row r="298" spans="1:16" x14ac:dyDescent="0.25">
      <c r="A298">
        <v>296</v>
      </c>
      <c r="B298" t="s">
        <v>468</v>
      </c>
      <c r="C298" t="s">
        <v>291</v>
      </c>
      <c r="D298" s="4" t="s">
        <v>292</v>
      </c>
      <c r="E298" s="12">
        <v>83.45</v>
      </c>
      <c r="F298" s="12">
        <v>83.45</v>
      </c>
      <c r="G298" s="6">
        <f t="shared" ref="G298:G331" si="76">+F298-E298</f>
        <v>0</v>
      </c>
      <c r="H298" s="7">
        <f t="shared" ref="H298:H331" si="77">(F298-E298)/ABS(E298)</f>
        <v>0</v>
      </c>
      <c r="I298" s="8">
        <v>116.82130707692306</v>
      </c>
      <c r="J298" s="9">
        <f t="shared" ref="J298:J331" si="78">(I298*H298)+I298</f>
        <v>116.82130707692306</v>
      </c>
      <c r="K298" s="3">
        <f t="shared" ref="K298:K331" si="79">J298-I298</f>
        <v>0</v>
      </c>
      <c r="L298" s="7">
        <f t="shared" ref="L298:L331" si="80">(J298-I298)/ABS(I298)</f>
        <v>0</v>
      </c>
      <c r="M298" t="s">
        <v>187</v>
      </c>
      <c r="O298" s="3">
        <f>E298-'290710 - P1223'!F298</f>
        <v>0</v>
      </c>
      <c r="P298" s="30">
        <f>I298-'290710 - P1223'!J298</f>
        <v>0</v>
      </c>
    </row>
    <row r="299" spans="1:16" x14ac:dyDescent="0.25">
      <c r="A299">
        <v>297</v>
      </c>
      <c r="B299" t="s">
        <v>471</v>
      </c>
      <c r="C299" t="s">
        <v>291</v>
      </c>
      <c r="D299" s="4" t="s">
        <v>293</v>
      </c>
      <c r="E299" s="12">
        <v>17.16</v>
      </c>
      <c r="F299" s="12">
        <v>17.16</v>
      </c>
      <c r="G299" s="6">
        <f t="shared" si="76"/>
        <v>0</v>
      </c>
      <c r="H299" s="7">
        <f t="shared" si="77"/>
        <v>0</v>
      </c>
      <c r="I299" s="8">
        <v>23.58</v>
      </c>
      <c r="J299" s="9">
        <f t="shared" si="78"/>
        <v>23.58</v>
      </c>
      <c r="K299" s="3">
        <f t="shared" si="79"/>
        <v>0</v>
      </c>
      <c r="L299" s="7">
        <f t="shared" si="80"/>
        <v>0</v>
      </c>
      <c r="M299" t="s">
        <v>187</v>
      </c>
      <c r="O299" s="3">
        <f>E299-'290710 - P1223'!F299</f>
        <v>0</v>
      </c>
      <c r="P299" s="30">
        <f>I299-'290710 - P1223'!J299</f>
        <v>0</v>
      </c>
    </row>
    <row r="300" spans="1:16" x14ac:dyDescent="0.25">
      <c r="A300">
        <v>298</v>
      </c>
      <c r="B300" t="s">
        <v>468</v>
      </c>
      <c r="C300" t="s">
        <v>291</v>
      </c>
      <c r="D300" s="4" t="s">
        <v>295</v>
      </c>
      <c r="E300" s="12">
        <v>20.45</v>
      </c>
      <c r="F300" s="12">
        <v>20.45</v>
      </c>
      <c r="G300" s="6">
        <f t="shared" si="76"/>
        <v>0</v>
      </c>
      <c r="H300" s="7">
        <f t="shared" si="77"/>
        <v>0</v>
      </c>
      <c r="I300" s="8">
        <v>28.117117241379304</v>
      </c>
      <c r="J300" s="9">
        <f t="shared" si="78"/>
        <v>28.117117241379304</v>
      </c>
      <c r="K300" s="3">
        <f t="shared" si="79"/>
        <v>0</v>
      </c>
      <c r="L300" s="7">
        <f t="shared" si="80"/>
        <v>0</v>
      </c>
      <c r="M300" t="s">
        <v>187</v>
      </c>
      <c r="O300" s="3">
        <f>E300-'290710 - P1223'!F300</f>
        <v>0</v>
      </c>
      <c r="P300" s="30">
        <f>I300-'290710 - P1223'!J300</f>
        <v>0</v>
      </c>
    </row>
    <row r="301" spans="1:16" x14ac:dyDescent="0.25">
      <c r="A301">
        <v>299</v>
      </c>
      <c r="B301" t="s">
        <v>471</v>
      </c>
      <c r="C301" t="s">
        <v>291</v>
      </c>
      <c r="D301" s="4" t="s">
        <v>296</v>
      </c>
      <c r="E301" s="12">
        <v>35.15</v>
      </c>
      <c r="F301" s="12">
        <v>35.15</v>
      </c>
      <c r="G301" s="6">
        <f t="shared" si="76"/>
        <v>0</v>
      </c>
      <c r="H301" s="7">
        <f t="shared" si="77"/>
        <v>0</v>
      </c>
      <c r="I301" s="8">
        <v>48.263872071910107</v>
      </c>
      <c r="J301" s="9">
        <f t="shared" si="78"/>
        <v>48.263872071910107</v>
      </c>
      <c r="K301" s="3">
        <f t="shared" si="79"/>
        <v>0</v>
      </c>
      <c r="L301" s="7">
        <f t="shared" si="80"/>
        <v>0</v>
      </c>
      <c r="M301" t="s">
        <v>187</v>
      </c>
      <c r="O301" s="3">
        <f>E301-'290710 - P1223'!F301</f>
        <v>0</v>
      </c>
      <c r="P301" s="30">
        <f>I301-'290710 - P1223'!J301</f>
        <v>0</v>
      </c>
    </row>
    <row r="302" spans="1:16" x14ac:dyDescent="0.25">
      <c r="A302">
        <v>300</v>
      </c>
      <c r="B302" t="s">
        <v>472</v>
      </c>
      <c r="C302" t="s">
        <v>291</v>
      </c>
      <c r="D302" s="4" t="s">
        <v>297</v>
      </c>
      <c r="E302" s="12">
        <v>7.16</v>
      </c>
      <c r="F302" s="12">
        <v>7.16</v>
      </c>
      <c r="G302" s="6">
        <f t="shared" si="76"/>
        <v>0</v>
      </c>
      <c r="H302" s="7">
        <f t="shared" si="77"/>
        <v>0</v>
      </c>
      <c r="I302" s="8">
        <v>9.85</v>
      </c>
      <c r="J302" s="9">
        <f t="shared" si="78"/>
        <v>9.85</v>
      </c>
      <c r="K302" s="3">
        <f t="shared" si="79"/>
        <v>0</v>
      </c>
      <c r="L302" s="7">
        <f t="shared" si="80"/>
        <v>0</v>
      </c>
      <c r="M302" t="s">
        <v>187</v>
      </c>
      <c r="O302" s="3">
        <f>E302-'290710 - P1223'!F302</f>
        <v>0</v>
      </c>
      <c r="P302" s="30">
        <f>I302-'290710 - P1223'!J302</f>
        <v>0</v>
      </c>
    </row>
    <row r="303" spans="1:16" x14ac:dyDescent="0.25">
      <c r="A303">
        <v>301</v>
      </c>
      <c r="B303" t="s">
        <v>486</v>
      </c>
      <c r="C303" t="s">
        <v>291</v>
      </c>
      <c r="D303" s="4" t="s">
        <v>298</v>
      </c>
      <c r="E303" s="12">
        <v>0.49</v>
      </c>
      <c r="F303" s="12">
        <v>0.49</v>
      </c>
      <c r="G303" s="6">
        <f t="shared" si="76"/>
        <v>0</v>
      </c>
      <c r="H303" s="7">
        <f t="shared" si="77"/>
        <v>0</v>
      </c>
      <c r="I303" s="8">
        <v>0.69</v>
      </c>
      <c r="J303" s="9">
        <f t="shared" si="78"/>
        <v>0.69</v>
      </c>
      <c r="K303" s="3">
        <f t="shared" si="79"/>
        <v>0</v>
      </c>
      <c r="L303" s="7">
        <f t="shared" si="80"/>
        <v>0</v>
      </c>
      <c r="M303" t="s">
        <v>187</v>
      </c>
      <c r="O303" s="3">
        <f>E303-'290710 - P1223'!F303</f>
        <v>0</v>
      </c>
      <c r="P303" s="30">
        <f>I303-'290710 - P1223'!J303</f>
        <v>0</v>
      </c>
    </row>
    <row r="304" spans="1:16" x14ac:dyDescent="0.25">
      <c r="A304">
        <v>302</v>
      </c>
      <c r="B304" t="s">
        <v>471</v>
      </c>
      <c r="C304" t="s">
        <v>291</v>
      </c>
      <c r="D304" s="4" t="s">
        <v>299</v>
      </c>
      <c r="E304" s="12">
        <v>21.81</v>
      </c>
      <c r="F304" s="12">
        <v>21.81</v>
      </c>
      <c r="G304" s="6">
        <f t="shared" si="76"/>
        <v>0</v>
      </c>
      <c r="H304" s="7">
        <f t="shared" si="77"/>
        <v>0</v>
      </c>
      <c r="I304" s="8">
        <v>29.968966617429842</v>
      </c>
      <c r="J304" s="9">
        <f t="shared" si="78"/>
        <v>29.968966617429842</v>
      </c>
      <c r="K304" s="3">
        <f t="shared" si="79"/>
        <v>0</v>
      </c>
      <c r="L304" s="7">
        <f t="shared" si="80"/>
        <v>0</v>
      </c>
      <c r="M304" t="s">
        <v>187</v>
      </c>
      <c r="O304" s="3">
        <f>E304-'290710 - P1223'!F304</f>
        <v>0</v>
      </c>
      <c r="P304" s="30">
        <f>I304-'290710 - P1223'!J304</f>
        <v>0</v>
      </c>
    </row>
    <row r="305" spans="1:16" x14ac:dyDescent="0.25">
      <c r="A305">
        <v>303</v>
      </c>
      <c r="B305" s="28" t="s">
        <v>471</v>
      </c>
      <c r="C305" t="s">
        <v>291</v>
      </c>
      <c r="D305" s="4" t="s">
        <v>300</v>
      </c>
      <c r="E305" s="12">
        <v>2.2000000000000002</v>
      </c>
      <c r="F305" s="12">
        <v>2.2000000000000002</v>
      </c>
      <c r="G305" s="6">
        <f t="shared" si="76"/>
        <v>0</v>
      </c>
      <c r="H305" s="7">
        <f t="shared" si="77"/>
        <v>0</v>
      </c>
      <c r="I305" s="8">
        <v>3.0480105109489042</v>
      </c>
      <c r="J305" s="9">
        <f t="shared" si="78"/>
        <v>3.0480105109489042</v>
      </c>
      <c r="K305" s="3">
        <f t="shared" si="79"/>
        <v>0</v>
      </c>
      <c r="L305" s="7">
        <f t="shared" si="80"/>
        <v>0</v>
      </c>
      <c r="M305" t="s">
        <v>187</v>
      </c>
      <c r="O305" s="3">
        <f>E305-'290710 - P1223'!F305</f>
        <v>0</v>
      </c>
      <c r="P305" s="30">
        <f>I305-'290710 - P1223'!J305</f>
        <v>0</v>
      </c>
    </row>
    <row r="306" spans="1:16" x14ac:dyDescent="0.25">
      <c r="A306">
        <v>304</v>
      </c>
      <c r="B306" t="s">
        <v>471</v>
      </c>
      <c r="C306" t="s">
        <v>291</v>
      </c>
      <c r="D306" s="4" t="s">
        <v>301</v>
      </c>
      <c r="E306" s="12">
        <v>2.73</v>
      </c>
      <c r="F306" s="12">
        <v>2.73</v>
      </c>
      <c r="G306" s="6">
        <f t="shared" si="76"/>
        <v>0</v>
      </c>
      <c r="H306" s="7">
        <f t="shared" si="77"/>
        <v>0</v>
      </c>
      <c r="I306" s="8">
        <v>3.751827692307693</v>
      </c>
      <c r="J306" s="9">
        <f t="shared" si="78"/>
        <v>3.751827692307693</v>
      </c>
      <c r="K306" s="3">
        <f t="shared" si="79"/>
        <v>0</v>
      </c>
      <c r="L306" s="7">
        <f t="shared" si="80"/>
        <v>0</v>
      </c>
      <c r="M306" t="s">
        <v>187</v>
      </c>
      <c r="O306" s="3">
        <f>E306-'290710 - P1223'!F306</f>
        <v>0</v>
      </c>
      <c r="P306" s="30">
        <f>I306-'290710 - P1223'!J306</f>
        <v>0</v>
      </c>
    </row>
    <row r="307" spans="1:16" x14ac:dyDescent="0.25">
      <c r="A307">
        <v>305</v>
      </c>
      <c r="B307" t="s">
        <v>469</v>
      </c>
      <c r="C307" t="s">
        <v>291</v>
      </c>
      <c r="D307" s="4" t="s">
        <v>302</v>
      </c>
      <c r="E307" s="12">
        <v>0.9</v>
      </c>
      <c r="F307" s="12">
        <v>0.9</v>
      </c>
      <c r="G307" s="6">
        <f t="shared" si="76"/>
        <v>0</v>
      </c>
      <c r="H307" s="7">
        <f t="shared" si="77"/>
        <v>0</v>
      </c>
      <c r="I307" s="8">
        <v>1.7875199999999998</v>
      </c>
      <c r="J307" s="9">
        <f t="shared" si="78"/>
        <v>1.7875199999999998</v>
      </c>
      <c r="K307" s="3">
        <f t="shared" si="79"/>
        <v>0</v>
      </c>
      <c r="L307" s="7">
        <f t="shared" si="80"/>
        <v>0</v>
      </c>
      <c r="M307" t="s">
        <v>187</v>
      </c>
      <c r="O307" s="3">
        <f>E307-'290710 - P1223'!F307</f>
        <v>0</v>
      </c>
      <c r="P307" s="30">
        <f>I307-'290710 - P1223'!J307</f>
        <v>0</v>
      </c>
    </row>
    <row r="308" spans="1:16" x14ac:dyDescent="0.25">
      <c r="A308">
        <v>306</v>
      </c>
      <c r="B308" t="s">
        <v>303</v>
      </c>
      <c r="C308" t="s">
        <v>291</v>
      </c>
      <c r="D308" s="4" t="s">
        <v>304</v>
      </c>
      <c r="E308" s="12">
        <v>66.48</v>
      </c>
      <c r="F308" s="12">
        <v>66.48</v>
      </c>
      <c r="G308" s="6">
        <f t="shared" si="76"/>
        <v>0</v>
      </c>
      <c r="H308" s="7">
        <f t="shared" si="77"/>
        <v>0</v>
      </c>
      <c r="I308" s="8">
        <v>91.32</v>
      </c>
      <c r="J308" s="9">
        <f t="shared" si="78"/>
        <v>91.32</v>
      </c>
      <c r="K308" s="3">
        <f t="shared" si="79"/>
        <v>0</v>
      </c>
      <c r="L308" s="7">
        <f t="shared" si="80"/>
        <v>0</v>
      </c>
      <c r="M308" t="s">
        <v>187</v>
      </c>
      <c r="O308" s="3">
        <f>E308-'290710 - P1223'!F308</f>
        <v>0</v>
      </c>
      <c r="P308" s="30">
        <f>I308-'290710 - P1223'!J308</f>
        <v>0</v>
      </c>
    </row>
    <row r="309" spans="1:16" x14ac:dyDescent="0.25">
      <c r="A309">
        <v>307</v>
      </c>
      <c r="B309" t="s">
        <v>305</v>
      </c>
      <c r="C309" t="s">
        <v>291</v>
      </c>
      <c r="D309" s="4" t="s">
        <v>306</v>
      </c>
      <c r="E309" s="12">
        <v>26.81</v>
      </c>
      <c r="F309" s="12">
        <v>26.81</v>
      </c>
      <c r="G309" s="13">
        <f t="shared" si="76"/>
        <v>0</v>
      </c>
      <c r="H309" s="7">
        <f t="shared" si="77"/>
        <v>0</v>
      </c>
      <c r="I309" s="8">
        <v>41.25</v>
      </c>
      <c r="J309" s="9">
        <f t="shared" si="78"/>
        <v>41.25</v>
      </c>
      <c r="K309" s="3">
        <f t="shared" si="79"/>
        <v>0</v>
      </c>
      <c r="L309" s="7">
        <f t="shared" si="80"/>
        <v>0</v>
      </c>
      <c r="M309" t="s">
        <v>187</v>
      </c>
      <c r="O309" s="3">
        <f>E309-'290710 - P1223'!F309</f>
        <v>0</v>
      </c>
      <c r="P309" s="30">
        <f>I309-'290710 - P1223'!J309</f>
        <v>0</v>
      </c>
    </row>
    <row r="310" spans="1:16" x14ac:dyDescent="0.25">
      <c r="A310">
        <v>308</v>
      </c>
      <c r="B310" t="s">
        <v>303</v>
      </c>
      <c r="C310" t="s">
        <v>291</v>
      </c>
      <c r="D310" s="4" t="s">
        <v>307</v>
      </c>
      <c r="E310" s="12">
        <v>38.020000000000003</v>
      </c>
      <c r="F310" s="12">
        <v>38.020000000000003</v>
      </c>
      <c r="G310" s="6">
        <f t="shared" si="76"/>
        <v>0</v>
      </c>
      <c r="H310" s="7">
        <f t="shared" si="77"/>
        <v>0</v>
      </c>
      <c r="I310" s="8">
        <v>52.23</v>
      </c>
      <c r="J310" s="9">
        <f t="shared" si="78"/>
        <v>52.23</v>
      </c>
      <c r="K310" s="3">
        <f t="shared" si="79"/>
        <v>0</v>
      </c>
      <c r="L310" s="7">
        <f t="shared" si="80"/>
        <v>0</v>
      </c>
      <c r="M310" t="s">
        <v>187</v>
      </c>
      <c r="O310" s="3">
        <f>E310-'290710 - P1223'!F310</f>
        <v>0</v>
      </c>
      <c r="P310" s="30">
        <f>I310-'290710 - P1223'!J310</f>
        <v>0</v>
      </c>
    </row>
    <row r="311" spans="1:16" x14ac:dyDescent="0.25">
      <c r="A311">
        <v>309</v>
      </c>
      <c r="B311" t="s">
        <v>303</v>
      </c>
      <c r="C311" t="s">
        <v>291</v>
      </c>
      <c r="D311" s="4" t="s">
        <v>308</v>
      </c>
      <c r="E311" s="12">
        <v>95.36</v>
      </c>
      <c r="F311" s="12">
        <v>95.36</v>
      </c>
      <c r="G311" s="6">
        <f t="shared" si="76"/>
        <v>0</v>
      </c>
      <c r="H311" s="7">
        <f t="shared" si="77"/>
        <v>0</v>
      </c>
      <c r="I311" s="8">
        <v>130.96011922503726</v>
      </c>
      <c r="J311" s="9">
        <f t="shared" si="78"/>
        <v>130.96011922503726</v>
      </c>
      <c r="K311" s="3">
        <f t="shared" si="79"/>
        <v>0</v>
      </c>
      <c r="L311" s="7">
        <f t="shared" si="80"/>
        <v>0</v>
      </c>
      <c r="M311" t="s">
        <v>187</v>
      </c>
      <c r="O311" s="3">
        <f>E311-'290710 - P1223'!F311</f>
        <v>0</v>
      </c>
      <c r="P311" s="30">
        <f>I311-'290710 - P1223'!J311</f>
        <v>0</v>
      </c>
    </row>
    <row r="312" spans="1:16" x14ac:dyDescent="0.25">
      <c r="A312">
        <v>310</v>
      </c>
      <c r="B312" t="s">
        <v>303</v>
      </c>
      <c r="C312" t="s">
        <v>291</v>
      </c>
      <c r="D312" s="4" t="s">
        <v>309</v>
      </c>
      <c r="E312" s="12">
        <v>15.89</v>
      </c>
      <c r="F312" s="12">
        <v>15.89</v>
      </c>
      <c r="G312" s="6">
        <f t="shared" si="76"/>
        <v>0</v>
      </c>
      <c r="H312" s="7">
        <f t="shared" si="77"/>
        <v>0</v>
      </c>
      <c r="I312" s="8">
        <v>21.821258516129031</v>
      </c>
      <c r="J312" s="9">
        <f t="shared" si="78"/>
        <v>21.821258516129031</v>
      </c>
      <c r="K312" s="3">
        <f t="shared" si="79"/>
        <v>0</v>
      </c>
      <c r="L312" s="7">
        <f t="shared" si="80"/>
        <v>0</v>
      </c>
      <c r="M312" t="s">
        <v>187</v>
      </c>
      <c r="O312" s="3">
        <f>E312-'290710 - P1223'!F312</f>
        <v>0</v>
      </c>
      <c r="P312" s="30">
        <f>I312-'290710 - P1223'!J312</f>
        <v>0</v>
      </c>
    </row>
    <row r="313" spans="1:16" x14ac:dyDescent="0.25">
      <c r="A313">
        <v>311</v>
      </c>
      <c r="B313" t="s">
        <v>303</v>
      </c>
      <c r="C313" t="s">
        <v>291</v>
      </c>
      <c r="D313" s="4" t="s">
        <v>310</v>
      </c>
      <c r="E313" s="12">
        <v>8.59</v>
      </c>
      <c r="F313" s="12">
        <v>8.59</v>
      </c>
      <c r="G313" s="6">
        <f t="shared" si="76"/>
        <v>0</v>
      </c>
      <c r="H313" s="7">
        <f t="shared" si="77"/>
        <v>0</v>
      </c>
      <c r="I313" s="8">
        <v>11.8</v>
      </c>
      <c r="J313" s="9">
        <f t="shared" si="78"/>
        <v>11.8</v>
      </c>
      <c r="K313" s="3">
        <f t="shared" si="79"/>
        <v>0</v>
      </c>
      <c r="L313" s="7">
        <f t="shared" si="80"/>
        <v>0</v>
      </c>
      <c r="M313" t="s">
        <v>187</v>
      </c>
      <c r="O313" s="3">
        <f>E313-'290710 - P1223'!F313</f>
        <v>0</v>
      </c>
      <c r="P313" s="30">
        <f>I313-'290710 - P1223'!J313</f>
        <v>0</v>
      </c>
    </row>
    <row r="314" spans="1:16" x14ac:dyDescent="0.25">
      <c r="A314">
        <v>312</v>
      </c>
      <c r="B314" t="s">
        <v>319</v>
      </c>
      <c r="C314" t="s">
        <v>291</v>
      </c>
      <c r="D314" s="4" t="s">
        <v>311</v>
      </c>
      <c r="E314" s="12">
        <v>11.51</v>
      </c>
      <c r="F314" s="12">
        <v>11.51</v>
      </c>
      <c r="G314" s="6">
        <f t="shared" si="76"/>
        <v>0</v>
      </c>
      <c r="H314" s="7">
        <f t="shared" si="77"/>
        <v>0</v>
      </c>
      <c r="I314" s="8">
        <v>21.72</v>
      </c>
      <c r="J314" s="9">
        <f t="shared" si="78"/>
        <v>21.72</v>
      </c>
      <c r="K314" s="3">
        <f t="shared" si="79"/>
        <v>0</v>
      </c>
      <c r="L314" s="7">
        <f t="shared" si="80"/>
        <v>0</v>
      </c>
      <c r="M314" t="s">
        <v>187</v>
      </c>
      <c r="O314" s="3">
        <f>E314-'290710 - P1223'!F314</f>
        <v>0</v>
      </c>
      <c r="P314" s="30">
        <f>I314-'290710 - P1223'!J314</f>
        <v>0</v>
      </c>
    </row>
    <row r="315" spans="1:16" x14ac:dyDescent="0.25">
      <c r="A315">
        <v>313</v>
      </c>
      <c r="B315" t="s">
        <v>303</v>
      </c>
      <c r="C315" t="s">
        <v>291</v>
      </c>
      <c r="D315" s="4" t="s">
        <v>312</v>
      </c>
      <c r="E315" s="12">
        <v>175</v>
      </c>
      <c r="F315" s="12">
        <v>175</v>
      </c>
      <c r="G315" s="6">
        <f t="shared" si="76"/>
        <v>0</v>
      </c>
      <c r="H315" s="7">
        <f t="shared" si="77"/>
        <v>0</v>
      </c>
      <c r="I315" s="8">
        <v>284.09826122118881</v>
      </c>
      <c r="J315" s="9">
        <f t="shared" si="78"/>
        <v>284.09826122118881</v>
      </c>
      <c r="K315" s="3">
        <f t="shared" si="79"/>
        <v>0</v>
      </c>
      <c r="L315" s="7">
        <f t="shared" si="80"/>
        <v>0</v>
      </c>
      <c r="M315" t="s">
        <v>187</v>
      </c>
      <c r="O315" s="3">
        <f>E315-'290710 - P1223'!F315</f>
        <v>0</v>
      </c>
      <c r="P315" s="30">
        <f>I315-'290710 - P1223'!J315</f>
        <v>0</v>
      </c>
    </row>
    <row r="316" spans="1:16" x14ac:dyDescent="0.25">
      <c r="A316">
        <v>314</v>
      </c>
      <c r="B316" t="s">
        <v>470</v>
      </c>
      <c r="C316" t="s">
        <v>291</v>
      </c>
      <c r="D316" s="4" t="s">
        <v>313</v>
      </c>
      <c r="E316" s="12">
        <v>175</v>
      </c>
      <c r="F316" s="12">
        <v>175</v>
      </c>
      <c r="G316" s="6">
        <f t="shared" si="76"/>
        <v>0</v>
      </c>
      <c r="H316" s="7">
        <f t="shared" si="77"/>
        <v>0</v>
      </c>
      <c r="I316" s="8">
        <v>284.09826122118881</v>
      </c>
      <c r="J316" s="9">
        <f t="shared" si="78"/>
        <v>284.09826122118881</v>
      </c>
      <c r="K316" s="3">
        <f t="shared" si="79"/>
        <v>0</v>
      </c>
      <c r="L316" s="7">
        <f t="shared" si="80"/>
        <v>0</v>
      </c>
      <c r="M316" t="s">
        <v>187</v>
      </c>
      <c r="O316" s="3">
        <f>E316-'290710 - P1223'!F316</f>
        <v>0</v>
      </c>
      <c r="P316" s="30">
        <f>I316-'290710 - P1223'!J316</f>
        <v>0</v>
      </c>
    </row>
    <row r="317" spans="1:16" x14ac:dyDescent="0.25">
      <c r="A317">
        <v>315</v>
      </c>
      <c r="B317" t="s">
        <v>303</v>
      </c>
      <c r="C317" t="s">
        <v>291</v>
      </c>
      <c r="D317" s="4" t="s">
        <v>314</v>
      </c>
      <c r="E317" s="12">
        <v>20.73</v>
      </c>
      <c r="F317" s="12">
        <v>20.73</v>
      </c>
      <c r="G317" s="6">
        <f t="shared" si="76"/>
        <v>0</v>
      </c>
      <c r="H317" s="7">
        <f t="shared" si="77"/>
        <v>0</v>
      </c>
      <c r="I317" s="8">
        <v>33.65</v>
      </c>
      <c r="J317" s="9">
        <f t="shared" si="78"/>
        <v>33.65</v>
      </c>
      <c r="K317" s="3">
        <f t="shared" si="79"/>
        <v>0</v>
      </c>
      <c r="L317" s="7">
        <f t="shared" si="80"/>
        <v>0</v>
      </c>
      <c r="M317" t="s">
        <v>187</v>
      </c>
      <c r="O317" s="3">
        <f>E317-'290710 - P1223'!F317</f>
        <v>0</v>
      </c>
      <c r="P317" s="30">
        <f>I317-'290710 - P1223'!J317</f>
        <v>0</v>
      </c>
    </row>
    <row r="318" spans="1:16" x14ac:dyDescent="0.25">
      <c r="A318">
        <v>316</v>
      </c>
      <c r="B318" t="s">
        <v>470</v>
      </c>
      <c r="C318" t="s">
        <v>291</v>
      </c>
      <c r="D318" s="4" t="s">
        <v>315</v>
      </c>
      <c r="E318" s="12">
        <v>11.34</v>
      </c>
      <c r="F318" s="12">
        <v>11.34</v>
      </c>
      <c r="G318" s="6">
        <f t="shared" si="76"/>
        <v>0</v>
      </c>
      <c r="H318" s="7">
        <f t="shared" si="77"/>
        <v>0</v>
      </c>
      <c r="I318" s="8">
        <v>17.673479758926415</v>
      </c>
      <c r="J318" s="9">
        <f t="shared" si="78"/>
        <v>17.673479758926415</v>
      </c>
      <c r="K318" s="3">
        <f t="shared" si="79"/>
        <v>0</v>
      </c>
      <c r="L318" s="7">
        <f t="shared" si="80"/>
        <v>0</v>
      </c>
      <c r="M318" t="s">
        <v>187</v>
      </c>
      <c r="O318" s="3">
        <f>E318-'290710 - P1223'!F318</f>
        <v>0</v>
      </c>
      <c r="P318" s="30">
        <f>I318-'290710 - P1223'!J318</f>
        <v>0</v>
      </c>
    </row>
    <row r="319" spans="1:16" x14ac:dyDescent="0.25">
      <c r="A319">
        <v>317</v>
      </c>
      <c r="B319" t="s">
        <v>473</v>
      </c>
      <c r="C319" t="s">
        <v>291</v>
      </c>
      <c r="D319" s="4" t="s">
        <v>316</v>
      </c>
      <c r="E319" s="12">
        <v>36.4</v>
      </c>
      <c r="F319" s="12">
        <v>36.4</v>
      </c>
      <c r="G319" s="6">
        <f t="shared" si="76"/>
        <v>0</v>
      </c>
      <c r="H319" s="7">
        <f t="shared" si="77"/>
        <v>0</v>
      </c>
      <c r="I319" s="8">
        <v>56</v>
      </c>
      <c r="J319" s="9">
        <f t="shared" si="78"/>
        <v>56</v>
      </c>
      <c r="K319" s="3">
        <f t="shared" si="79"/>
        <v>0</v>
      </c>
      <c r="L319" s="7">
        <f t="shared" si="80"/>
        <v>0</v>
      </c>
      <c r="M319" t="s">
        <v>187</v>
      </c>
      <c r="O319" s="3">
        <f>E319-'290710 - P1223'!F319</f>
        <v>0</v>
      </c>
      <c r="P319" s="30">
        <f>I319-'290710 - P1223'!J319</f>
        <v>0</v>
      </c>
    </row>
    <row r="320" spans="1:16" x14ac:dyDescent="0.25">
      <c r="A320">
        <v>318</v>
      </c>
      <c r="B320" t="s">
        <v>470</v>
      </c>
      <c r="C320" t="s">
        <v>291</v>
      </c>
      <c r="D320" s="4" t="s">
        <v>317</v>
      </c>
      <c r="E320" s="12">
        <v>32.81</v>
      </c>
      <c r="F320" s="12">
        <v>32.81</v>
      </c>
      <c r="G320" s="6">
        <f t="shared" si="76"/>
        <v>0</v>
      </c>
      <c r="H320" s="7">
        <f t="shared" si="77"/>
        <v>0</v>
      </c>
      <c r="I320" s="8">
        <v>85.12</v>
      </c>
      <c r="J320" s="9">
        <f t="shared" si="78"/>
        <v>85.12</v>
      </c>
      <c r="K320" s="3">
        <f t="shared" si="79"/>
        <v>0</v>
      </c>
      <c r="L320" s="7">
        <f t="shared" si="80"/>
        <v>0</v>
      </c>
      <c r="M320" t="s">
        <v>187</v>
      </c>
      <c r="O320" s="3">
        <f>E320-'290710 - P1223'!F320</f>
        <v>0</v>
      </c>
      <c r="P320" s="30">
        <f>I320-'290710 - P1223'!J320</f>
        <v>0</v>
      </c>
    </row>
    <row r="321" spans="1:16" x14ac:dyDescent="0.25">
      <c r="A321">
        <v>319</v>
      </c>
      <c r="B321" t="s">
        <v>473</v>
      </c>
      <c r="C321" t="s">
        <v>291</v>
      </c>
      <c r="D321" s="4" t="s">
        <v>318</v>
      </c>
      <c r="E321" s="12">
        <v>21.15</v>
      </c>
      <c r="F321" s="12">
        <v>21.15</v>
      </c>
      <c r="G321" s="6">
        <f t="shared" si="76"/>
        <v>0</v>
      </c>
      <c r="H321" s="7">
        <f t="shared" si="77"/>
        <v>0</v>
      </c>
      <c r="I321" s="8">
        <v>32.590000000000003</v>
      </c>
      <c r="J321" s="9">
        <f t="shared" si="78"/>
        <v>32.590000000000003</v>
      </c>
      <c r="K321" s="3">
        <f t="shared" si="79"/>
        <v>0</v>
      </c>
      <c r="L321" s="7">
        <f t="shared" si="80"/>
        <v>0</v>
      </c>
      <c r="M321" t="s">
        <v>187</v>
      </c>
      <c r="O321" s="3">
        <f>E321-'290710 - P1223'!F321</f>
        <v>0</v>
      </c>
      <c r="P321" s="30">
        <f>I321-'290710 - P1223'!J321</f>
        <v>0</v>
      </c>
    </row>
    <row r="322" spans="1:16" x14ac:dyDescent="0.25">
      <c r="A322">
        <v>320</v>
      </c>
      <c r="B322" t="s">
        <v>319</v>
      </c>
      <c r="C322" t="s">
        <v>291</v>
      </c>
      <c r="D322" s="4" t="s">
        <v>320</v>
      </c>
      <c r="E322" s="12">
        <v>1.34</v>
      </c>
      <c r="F322" s="12">
        <v>1.34</v>
      </c>
      <c r="G322" s="6">
        <f t="shared" si="76"/>
        <v>0</v>
      </c>
      <c r="H322" s="7">
        <f t="shared" si="77"/>
        <v>0</v>
      </c>
      <c r="I322" s="8">
        <v>2.5299999999999998</v>
      </c>
      <c r="J322" s="9">
        <f t="shared" si="78"/>
        <v>2.5299999999999998</v>
      </c>
      <c r="K322" s="3">
        <f t="shared" si="79"/>
        <v>0</v>
      </c>
      <c r="L322" s="7">
        <f t="shared" si="80"/>
        <v>0</v>
      </c>
      <c r="M322" t="s">
        <v>187</v>
      </c>
      <c r="O322" s="3">
        <f>E322-'290710 - P1223'!F322</f>
        <v>0</v>
      </c>
      <c r="P322" s="30">
        <f>I322-'290710 - P1223'!J322</f>
        <v>0</v>
      </c>
    </row>
    <row r="323" spans="1:16" x14ac:dyDescent="0.25">
      <c r="A323">
        <v>321</v>
      </c>
      <c r="B323" t="s">
        <v>473</v>
      </c>
      <c r="C323" t="s">
        <v>291</v>
      </c>
      <c r="D323" s="4" t="s">
        <v>321</v>
      </c>
      <c r="E323" s="12">
        <v>1.7</v>
      </c>
      <c r="F323" s="12">
        <v>1.7</v>
      </c>
      <c r="G323" s="6">
        <f t="shared" si="76"/>
        <v>0</v>
      </c>
      <c r="H323" s="7">
        <f t="shared" si="77"/>
        <v>0</v>
      </c>
      <c r="I323" s="8">
        <v>2.62</v>
      </c>
      <c r="J323" s="9">
        <f t="shared" si="78"/>
        <v>2.62</v>
      </c>
      <c r="K323" s="3">
        <f t="shared" si="79"/>
        <v>0</v>
      </c>
      <c r="L323" s="7">
        <f t="shared" si="80"/>
        <v>0</v>
      </c>
      <c r="M323" t="s">
        <v>187</v>
      </c>
      <c r="O323" s="3">
        <f>E323-'290710 - P1223'!F323</f>
        <v>0</v>
      </c>
      <c r="P323" s="30">
        <f>I323-'290710 - P1223'!J323</f>
        <v>0</v>
      </c>
    </row>
    <row r="324" spans="1:16" x14ac:dyDescent="0.25">
      <c r="A324">
        <v>322</v>
      </c>
      <c r="B324" t="s">
        <v>474</v>
      </c>
      <c r="C324" t="s">
        <v>291</v>
      </c>
      <c r="D324" s="4" t="s">
        <v>323</v>
      </c>
      <c r="E324" s="16">
        <v>35.229999999999997</v>
      </c>
      <c r="F324" s="12">
        <v>35.229999999999997</v>
      </c>
      <c r="G324" s="6">
        <f t="shared" si="76"/>
        <v>0</v>
      </c>
      <c r="H324" s="7">
        <f t="shared" si="77"/>
        <v>0</v>
      </c>
      <c r="I324" s="8">
        <v>54.21</v>
      </c>
      <c r="J324" s="9">
        <f t="shared" si="78"/>
        <v>54.21</v>
      </c>
      <c r="K324" s="3">
        <f t="shared" si="79"/>
        <v>0</v>
      </c>
      <c r="L324" s="7">
        <f t="shared" si="80"/>
        <v>0</v>
      </c>
      <c r="M324" t="s">
        <v>187</v>
      </c>
      <c r="O324" s="3">
        <f>E324-'290710 - P1223'!F324</f>
        <v>0</v>
      </c>
      <c r="P324" s="30">
        <f>I324-'290710 - P1223'!J324</f>
        <v>0</v>
      </c>
    </row>
    <row r="325" spans="1:16" x14ac:dyDescent="0.25">
      <c r="A325">
        <v>323</v>
      </c>
      <c r="B325" t="s">
        <v>474</v>
      </c>
      <c r="C325" t="s">
        <v>291</v>
      </c>
      <c r="D325" s="4" t="s">
        <v>324</v>
      </c>
      <c r="E325" s="16">
        <v>19.350000000000001</v>
      </c>
      <c r="F325" s="12">
        <v>19.350000000000001</v>
      </c>
      <c r="G325" s="6">
        <f t="shared" si="76"/>
        <v>0</v>
      </c>
      <c r="H325" s="7">
        <f t="shared" si="77"/>
        <v>0</v>
      </c>
      <c r="I325" s="8">
        <v>34.01</v>
      </c>
      <c r="J325" s="9">
        <f t="shared" si="78"/>
        <v>34.01</v>
      </c>
      <c r="K325" s="3">
        <f t="shared" si="79"/>
        <v>0</v>
      </c>
      <c r="L325" s="7">
        <f t="shared" si="80"/>
        <v>0</v>
      </c>
      <c r="M325" t="s">
        <v>187</v>
      </c>
      <c r="O325" s="3">
        <f>E325-'290710 - P1223'!F325</f>
        <v>0</v>
      </c>
      <c r="P325" s="30">
        <f>I325-'290710 - P1223'!J325</f>
        <v>0</v>
      </c>
    </row>
    <row r="326" spans="1:16" x14ac:dyDescent="0.25">
      <c r="A326">
        <v>324</v>
      </c>
      <c r="B326" t="s">
        <v>474</v>
      </c>
      <c r="C326" t="s">
        <v>291</v>
      </c>
      <c r="D326" s="4" t="s">
        <v>325</v>
      </c>
      <c r="E326" s="16">
        <v>13.97</v>
      </c>
      <c r="F326" s="12">
        <v>13.97</v>
      </c>
      <c r="G326" s="6">
        <f t="shared" si="76"/>
        <v>0</v>
      </c>
      <c r="H326" s="7">
        <f t="shared" si="77"/>
        <v>0</v>
      </c>
      <c r="I326" s="8">
        <v>21.5</v>
      </c>
      <c r="J326" s="9">
        <f t="shared" si="78"/>
        <v>21.5</v>
      </c>
      <c r="K326" s="3">
        <f t="shared" si="79"/>
        <v>0</v>
      </c>
      <c r="L326" s="7">
        <f t="shared" si="80"/>
        <v>0</v>
      </c>
      <c r="M326" t="s">
        <v>187</v>
      </c>
      <c r="O326" s="3">
        <f>E326-'290710 - P1223'!F326</f>
        <v>0</v>
      </c>
      <c r="P326" s="30">
        <f>I326-'290710 - P1223'!J326</f>
        <v>0</v>
      </c>
    </row>
    <row r="327" spans="1:16" x14ac:dyDescent="0.25">
      <c r="A327">
        <v>325</v>
      </c>
      <c r="B327" t="s">
        <v>474</v>
      </c>
      <c r="C327" t="s">
        <v>291</v>
      </c>
      <c r="D327" s="4" t="s">
        <v>326</v>
      </c>
      <c r="E327" s="16">
        <v>4.5599999999999996</v>
      </c>
      <c r="F327" s="12">
        <v>4.5599999999999996</v>
      </c>
      <c r="G327" s="6">
        <f t="shared" si="76"/>
        <v>0</v>
      </c>
      <c r="H327" s="7">
        <f t="shared" si="77"/>
        <v>0</v>
      </c>
      <c r="I327" s="8">
        <v>9.14</v>
      </c>
      <c r="J327" s="9">
        <f t="shared" si="78"/>
        <v>9.14</v>
      </c>
      <c r="K327" s="3">
        <f t="shared" si="79"/>
        <v>0</v>
      </c>
      <c r="L327" s="7">
        <f t="shared" si="80"/>
        <v>0</v>
      </c>
      <c r="M327" t="s">
        <v>187</v>
      </c>
      <c r="O327" s="3">
        <f>E327-'290710 - P1223'!F327</f>
        <v>0</v>
      </c>
      <c r="P327" s="30">
        <f>I327-'290710 - P1223'!J327</f>
        <v>0</v>
      </c>
    </row>
    <row r="328" spans="1:16" x14ac:dyDescent="0.25">
      <c r="A328">
        <v>326</v>
      </c>
      <c r="B328" t="s">
        <v>475</v>
      </c>
      <c r="C328" t="s">
        <v>291</v>
      </c>
      <c r="D328" s="4" t="s">
        <v>327</v>
      </c>
      <c r="E328" s="16">
        <v>3.49</v>
      </c>
      <c r="F328" s="12">
        <v>3.49</v>
      </c>
      <c r="G328" s="6">
        <f t="shared" si="76"/>
        <v>0</v>
      </c>
      <c r="H328" s="7">
        <f t="shared" si="77"/>
        <v>0</v>
      </c>
      <c r="I328" s="8">
        <v>6.59</v>
      </c>
      <c r="J328" s="9">
        <f t="shared" si="78"/>
        <v>6.59</v>
      </c>
      <c r="K328" s="3">
        <f t="shared" si="79"/>
        <v>0</v>
      </c>
      <c r="L328" s="7">
        <f t="shared" si="80"/>
        <v>0</v>
      </c>
      <c r="M328" t="s">
        <v>187</v>
      </c>
      <c r="O328" s="3">
        <f>E328-'290710 - P1223'!F328</f>
        <v>0</v>
      </c>
      <c r="P328" s="30">
        <f>I328-'290710 - P1223'!J328</f>
        <v>0</v>
      </c>
    </row>
    <row r="329" spans="1:16" x14ac:dyDescent="0.25">
      <c r="A329">
        <v>327</v>
      </c>
      <c r="B329" t="s">
        <v>474</v>
      </c>
      <c r="C329" t="s">
        <v>291</v>
      </c>
      <c r="D329" s="4" t="s">
        <v>328</v>
      </c>
      <c r="E329" s="16">
        <v>5.68</v>
      </c>
      <c r="F329" s="12">
        <v>5.68</v>
      </c>
      <c r="G329" s="6">
        <f t="shared" si="76"/>
        <v>0</v>
      </c>
      <c r="H329" s="7">
        <f t="shared" si="77"/>
        <v>0</v>
      </c>
      <c r="I329" s="8">
        <v>8.77</v>
      </c>
      <c r="J329" s="9">
        <f t="shared" si="78"/>
        <v>8.77</v>
      </c>
      <c r="K329" s="3">
        <f t="shared" si="79"/>
        <v>0</v>
      </c>
      <c r="L329" s="7">
        <f t="shared" si="80"/>
        <v>0</v>
      </c>
      <c r="M329" t="s">
        <v>187</v>
      </c>
      <c r="O329" s="3">
        <f>E329-'290710 - P1223'!F329</f>
        <v>0</v>
      </c>
      <c r="P329" s="30">
        <f>I329-'290710 - P1223'!J329</f>
        <v>0</v>
      </c>
    </row>
    <row r="330" spans="1:16" x14ac:dyDescent="0.25">
      <c r="A330">
        <v>328</v>
      </c>
      <c r="B330" t="s">
        <v>473</v>
      </c>
      <c r="C330" t="s">
        <v>291</v>
      </c>
      <c r="D330" s="4" t="s">
        <v>329</v>
      </c>
      <c r="E330" s="16">
        <v>5.22</v>
      </c>
      <c r="F330" s="12">
        <v>5.22</v>
      </c>
      <c r="G330" s="6">
        <f t="shared" si="76"/>
        <v>0</v>
      </c>
      <c r="H330" s="7">
        <f t="shared" si="77"/>
        <v>0</v>
      </c>
      <c r="I330" s="8">
        <v>8.0399999999999991</v>
      </c>
      <c r="J330" s="9">
        <f t="shared" si="78"/>
        <v>8.0399999999999991</v>
      </c>
      <c r="K330" s="3">
        <f t="shared" si="79"/>
        <v>0</v>
      </c>
      <c r="L330" s="7">
        <f t="shared" si="80"/>
        <v>0</v>
      </c>
      <c r="M330" t="s">
        <v>187</v>
      </c>
      <c r="O330" s="3">
        <f>E330-'290710 - P1223'!F330</f>
        <v>0</v>
      </c>
      <c r="P330" s="30">
        <f>I330-'290710 - P1223'!J330</f>
        <v>0</v>
      </c>
    </row>
    <row r="331" spans="1:16" x14ac:dyDescent="0.25">
      <c r="A331">
        <v>329</v>
      </c>
      <c r="B331" t="s">
        <v>474</v>
      </c>
      <c r="C331" t="s">
        <v>291</v>
      </c>
      <c r="D331" s="4" t="s">
        <v>330</v>
      </c>
      <c r="E331" s="16">
        <v>34.32</v>
      </c>
      <c r="F331" s="12">
        <v>34.32</v>
      </c>
      <c r="G331" s="6">
        <f t="shared" si="76"/>
        <v>0</v>
      </c>
      <c r="H331" s="7">
        <f t="shared" si="77"/>
        <v>0</v>
      </c>
      <c r="I331" s="8">
        <v>52.8</v>
      </c>
      <c r="J331" s="9">
        <f t="shared" si="78"/>
        <v>52.8</v>
      </c>
      <c r="K331" s="3">
        <f t="shared" si="79"/>
        <v>0</v>
      </c>
      <c r="L331" s="7">
        <f t="shared" si="80"/>
        <v>0</v>
      </c>
      <c r="M331" t="s">
        <v>187</v>
      </c>
      <c r="O331" s="3">
        <f>E331-'290710 - P1223'!F331</f>
        <v>0</v>
      </c>
      <c r="P331" s="30">
        <f>I331-'290710 - P1223'!J331</f>
        <v>0</v>
      </c>
    </row>
    <row r="332" spans="1:16" x14ac:dyDescent="0.25">
      <c r="A332">
        <v>330</v>
      </c>
      <c r="B332" t="s">
        <v>474</v>
      </c>
      <c r="C332" t="s">
        <v>291</v>
      </c>
      <c r="D332" s="4" t="s">
        <v>331</v>
      </c>
      <c r="E332" s="16">
        <v>2.96</v>
      </c>
      <c r="F332" s="12">
        <v>2.96</v>
      </c>
      <c r="G332" s="6">
        <f>+F332-E332</f>
        <v>0</v>
      </c>
      <c r="H332" s="7">
        <f>(F332-E332)/ABS(E332)</f>
        <v>0</v>
      </c>
      <c r="I332" s="8">
        <v>4.5599999999999996</v>
      </c>
      <c r="J332" s="9">
        <f>(I332*H332)+I332</f>
        <v>4.5599999999999996</v>
      </c>
      <c r="K332" s="3">
        <f>J332-I332</f>
        <v>0</v>
      </c>
      <c r="L332" s="7">
        <f>(J332-I332)/ABS(I332)</f>
        <v>0</v>
      </c>
      <c r="M332" t="s">
        <v>187</v>
      </c>
      <c r="O332" s="3">
        <f>E332-'290710 - P1223'!F332</f>
        <v>0</v>
      </c>
      <c r="P332" s="30">
        <f>I332-'290710 - P1223'!J332</f>
        <v>0</v>
      </c>
    </row>
    <row r="333" spans="1:16" x14ac:dyDescent="0.25">
      <c r="A333">
        <v>331</v>
      </c>
      <c r="B333" t="s">
        <v>473</v>
      </c>
      <c r="C333" t="s">
        <v>291</v>
      </c>
      <c r="D333" s="4" t="s">
        <v>332</v>
      </c>
      <c r="E333" s="12">
        <v>197</v>
      </c>
      <c r="F333" s="12">
        <v>197</v>
      </c>
      <c r="G333" s="6">
        <f t="shared" ref="G333:G345" si="81">+F333-E333</f>
        <v>0</v>
      </c>
      <c r="H333" s="7">
        <f t="shared" ref="H333:H345" si="82">(F333-E333)/ABS(E333)</f>
        <v>0</v>
      </c>
      <c r="I333" s="8">
        <v>303.08</v>
      </c>
      <c r="J333" s="9">
        <f t="shared" ref="J333:J345" si="83">(I333*H333)+I333</f>
        <v>303.08</v>
      </c>
      <c r="K333" s="3">
        <f t="shared" ref="K333:K345" si="84">J333-I333</f>
        <v>0</v>
      </c>
      <c r="L333" s="7">
        <f t="shared" ref="L333:L345" si="85">(J333-I333)/ABS(I333)</f>
        <v>0</v>
      </c>
      <c r="M333" t="s">
        <v>187</v>
      </c>
      <c r="O333" s="3">
        <f>E333-'290710 - P1223'!F333</f>
        <v>0</v>
      </c>
      <c r="P333" s="30">
        <f>I333-'290710 - P1223'!J333</f>
        <v>0</v>
      </c>
    </row>
    <row r="334" spans="1:16" x14ac:dyDescent="0.25">
      <c r="A334">
        <v>332</v>
      </c>
      <c r="B334" t="s">
        <v>319</v>
      </c>
      <c r="C334" t="s">
        <v>291</v>
      </c>
      <c r="D334" s="4" t="s">
        <v>333</v>
      </c>
      <c r="E334" s="12">
        <v>83</v>
      </c>
      <c r="F334" s="12">
        <v>83</v>
      </c>
      <c r="G334" s="6">
        <f t="shared" si="81"/>
        <v>0</v>
      </c>
      <c r="H334" s="7">
        <f t="shared" si="82"/>
        <v>0</v>
      </c>
      <c r="I334" s="8">
        <v>100.7</v>
      </c>
      <c r="J334" s="9">
        <f t="shared" si="83"/>
        <v>100.7</v>
      </c>
      <c r="K334" s="3">
        <f t="shared" si="84"/>
        <v>0</v>
      </c>
      <c r="L334" s="7">
        <f t="shared" si="85"/>
        <v>0</v>
      </c>
      <c r="M334" t="s">
        <v>187</v>
      </c>
      <c r="O334" s="3">
        <f>E334-'290710 - P1223'!F334</f>
        <v>0</v>
      </c>
      <c r="P334" s="30">
        <f>I334-'290710 - P1223'!J334</f>
        <v>0</v>
      </c>
    </row>
    <row r="335" spans="1:16" x14ac:dyDescent="0.25">
      <c r="A335">
        <v>333</v>
      </c>
      <c r="B335" t="s">
        <v>305</v>
      </c>
      <c r="C335" t="s">
        <v>291</v>
      </c>
      <c r="D335" s="4" t="s">
        <v>334</v>
      </c>
      <c r="E335" s="12">
        <v>10</v>
      </c>
      <c r="F335" s="12">
        <v>10</v>
      </c>
      <c r="G335" s="6">
        <f t="shared" si="81"/>
        <v>0</v>
      </c>
      <c r="H335" s="7">
        <f t="shared" si="82"/>
        <v>0</v>
      </c>
      <c r="I335" s="8">
        <v>15.39</v>
      </c>
      <c r="J335" s="9">
        <f t="shared" si="83"/>
        <v>15.39</v>
      </c>
      <c r="K335" s="3">
        <f t="shared" si="84"/>
        <v>0</v>
      </c>
      <c r="L335" s="7">
        <f t="shared" si="85"/>
        <v>0</v>
      </c>
      <c r="M335" t="s">
        <v>187</v>
      </c>
      <c r="O335" s="3">
        <f>E335-'290710 - P1223'!F335</f>
        <v>0</v>
      </c>
      <c r="P335" s="30">
        <f>I335-'290710 - P1223'!J335</f>
        <v>0</v>
      </c>
    </row>
    <row r="336" spans="1:16" x14ac:dyDescent="0.25">
      <c r="A336">
        <v>334</v>
      </c>
      <c r="B336" t="s">
        <v>476</v>
      </c>
      <c r="C336" t="s">
        <v>291</v>
      </c>
      <c r="D336" s="4" t="s">
        <v>335</v>
      </c>
      <c r="E336" s="12">
        <v>2.5099999999999998</v>
      </c>
      <c r="F336" s="12">
        <v>2.5099999999999998</v>
      </c>
      <c r="G336" s="6">
        <f t="shared" si="81"/>
        <v>0</v>
      </c>
      <c r="H336" s="7">
        <f t="shared" si="82"/>
        <v>0</v>
      </c>
      <c r="I336" s="8">
        <v>5.14</v>
      </c>
      <c r="J336" s="9">
        <f t="shared" si="83"/>
        <v>5.14</v>
      </c>
      <c r="K336" s="3">
        <f t="shared" si="84"/>
        <v>0</v>
      </c>
      <c r="L336" s="7">
        <f t="shared" si="85"/>
        <v>0</v>
      </c>
      <c r="M336" t="s">
        <v>187</v>
      </c>
      <c r="O336" s="3">
        <f>E336-'290710 - P1223'!F336</f>
        <v>0</v>
      </c>
      <c r="P336" s="30">
        <f>I336-'290710 - P1223'!J336</f>
        <v>0</v>
      </c>
    </row>
    <row r="337" spans="1:16" x14ac:dyDescent="0.25">
      <c r="A337">
        <v>335</v>
      </c>
      <c r="B337" t="s">
        <v>477</v>
      </c>
      <c r="C337" t="s">
        <v>291</v>
      </c>
      <c r="D337" s="4" t="s">
        <v>336</v>
      </c>
      <c r="E337" s="12">
        <v>5.44</v>
      </c>
      <c r="F337" s="12">
        <v>5.44</v>
      </c>
      <c r="G337" s="6">
        <f t="shared" si="81"/>
        <v>0</v>
      </c>
      <c r="H337" s="7">
        <f t="shared" si="82"/>
        <v>0</v>
      </c>
      <c r="I337" s="8">
        <v>9.49</v>
      </c>
      <c r="J337" s="9">
        <f t="shared" si="83"/>
        <v>9.49</v>
      </c>
      <c r="K337" s="3">
        <f t="shared" si="84"/>
        <v>0</v>
      </c>
      <c r="L337" s="7">
        <f t="shared" si="85"/>
        <v>0</v>
      </c>
      <c r="M337" t="s">
        <v>187</v>
      </c>
      <c r="O337" s="3">
        <f>E337-'290710 - P1223'!F337</f>
        <v>0</v>
      </c>
      <c r="P337" s="30">
        <f>I337-'290710 - P1223'!J337</f>
        <v>0</v>
      </c>
    </row>
    <row r="338" spans="1:16" x14ac:dyDescent="0.25">
      <c r="A338">
        <v>336</v>
      </c>
      <c r="B338" t="s">
        <v>463</v>
      </c>
      <c r="C338" t="s">
        <v>291</v>
      </c>
      <c r="D338" s="4" t="s">
        <v>337</v>
      </c>
      <c r="E338" s="12">
        <v>115.32</v>
      </c>
      <c r="F338" s="12">
        <v>115.32</v>
      </c>
      <c r="G338" s="6">
        <f t="shared" si="81"/>
        <v>0</v>
      </c>
      <c r="H338" s="7">
        <f t="shared" si="82"/>
        <v>0</v>
      </c>
      <c r="I338" s="8">
        <v>177.42</v>
      </c>
      <c r="J338" s="9">
        <f t="shared" si="83"/>
        <v>177.42</v>
      </c>
      <c r="K338" s="3">
        <f t="shared" si="84"/>
        <v>0</v>
      </c>
      <c r="L338" s="7">
        <f t="shared" si="85"/>
        <v>0</v>
      </c>
      <c r="M338" t="s">
        <v>187</v>
      </c>
      <c r="O338" s="3">
        <f>E338-'290710 - P1223'!F338</f>
        <v>0</v>
      </c>
      <c r="P338" s="30">
        <f>I338-'290710 - P1223'!J338</f>
        <v>0</v>
      </c>
    </row>
    <row r="339" spans="1:16" x14ac:dyDescent="0.25">
      <c r="A339">
        <v>337</v>
      </c>
      <c r="B339" t="s">
        <v>463</v>
      </c>
      <c r="C339" t="s">
        <v>291</v>
      </c>
      <c r="D339" s="4" t="s">
        <v>338</v>
      </c>
      <c r="E339" s="12">
        <v>0.89</v>
      </c>
      <c r="F339" s="12">
        <v>0.89</v>
      </c>
      <c r="G339" s="6">
        <f t="shared" si="81"/>
        <v>0</v>
      </c>
      <c r="H339" s="7">
        <f t="shared" si="82"/>
        <v>0</v>
      </c>
      <c r="I339" s="8">
        <v>1.37</v>
      </c>
      <c r="J339" s="9">
        <f t="shared" si="83"/>
        <v>1.37</v>
      </c>
      <c r="K339" s="3">
        <f t="shared" si="84"/>
        <v>0</v>
      </c>
      <c r="L339" s="7">
        <f t="shared" si="85"/>
        <v>0</v>
      </c>
      <c r="M339" t="s">
        <v>187</v>
      </c>
      <c r="O339" s="3">
        <f>E339-'290710 - P1223'!F339</f>
        <v>0</v>
      </c>
      <c r="P339" s="30">
        <f>I339-'290710 - P1223'!J339</f>
        <v>0</v>
      </c>
    </row>
    <row r="340" spans="1:16" x14ac:dyDescent="0.25">
      <c r="A340">
        <v>338</v>
      </c>
      <c r="B340" t="s">
        <v>463</v>
      </c>
      <c r="C340" t="s">
        <v>291</v>
      </c>
      <c r="D340" s="4" t="s">
        <v>339</v>
      </c>
      <c r="E340" s="12">
        <v>33.590000000000003</v>
      </c>
      <c r="F340" s="12">
        <v>33.590000000000003</v>
      </c>
      <c r="G340" s="6">
        <f t="shared" si="81"/>
        <v>0</v>
      </c>
      <c r="H340" s="7">
        <f t="shared" si="82"/>
        <v>0</v>
      </c>
      <c r="I340" s="8">
        <v>51.68</v>
      </c>
      <c r="J340" s="9">
        <f t="shared" si="83"/>
        <v>51.68</v>
      </c>
      <c r="K340" s="3">
        <f t="shared" si="84"/>
        <v>0</v>
      </c>
      <c r="L340" s="7">
        <f t="shared" si="85"/>
        <v>0</v>
      </c>
      <c r="M340" t="s">
        <v>187</v>
      </c>
      <c r="O340" s="3">
        <f>E340-'290710 - P1223'!F340</f>
        <v>0</v>
      </c>
      <c r="P340" s="30">
        <f>I340-'290710 - P1223'!J340</f>
        <v>0</v>
      </c>
    </row>
    <row r="341" spans="1:16" x14ac:dyDescent="0.25">
      <c r="A341">
        <v>339</v>
      </c>
      <c r="B341" t="s">
        <v>463</v>
      </c>
      <c r="C341" t="s">
        <v>291</v>
      </c>
      <c r="D341" s="4" t="s">
        <v>464</v>
      </c>
      <c r="E341" s="12">
        <v>14.78</v>
      </c>
      <c r="F341" s="12">
        <v>14.78</v>
      </c>
      <c r="G341" s="6">
        <f t="shared" si="81"/>
        <v>0</v>
      </c>
      <c r="H341" s="7">
        <f t="shared" si="82"/>
        <v>0</v>
      </c>
      <c r="I341" s="8">
        <v>22.74</v>
      </c>
      <c r="J341" s="9">
        <f t="shared" si="83"/>
        <v>22.74</v>
      </c>
      <c r="K341" s="3">
        <f t="shared" si="84"/>
        <v>0</v>
      </c>
      <c r="L341" s="7">
        <f t="shared" si="85"/>
        <v>0</v>
      </c>
      <c r="M341" t="s">
        <v>187</v>
      </c>
      <c r="O341" s="3">
        <f>E341-'290710 - P1223'!F341</f>
        <v>0</v>
      </c>
      <c r="P341" s="30">
        <f>I341-'290710 - P1223'!J341</f>
        <v>0</v>
      </c>
    </row>
    <row r="342" spans="1:16" x14ac:dyDescent="0.25">
      <c r="A342">
        <v>340</v>
      </c>
      <c r="B342" t="s">
        <v>463</v>
      </c>
      <c r="C342" t="s">
        <v>291</v>
      </c>
      <c r="D342" s="4" t="s">
        <v>466</v>
      </c>
      <c r="E342" s="12">
        <v>2.21</v>
      </c>
      <c r="F342" s="12">
        <v>2.21</v>
      </c>
      <c r="G342" s="6">
        <f t="shared" si="81"/>
        <v>0</v>
      </c>
      <c r="H342" s="7">
        <f t="shared" si="82"/>
        <v>0</v>
      </c>
      <c r="I342" s="8">
        <v>3.8</v>
      </c>
      <c r="J342" s="9">
        <f t="shared" si="83"/>
        <v>3.8</v>
      </c>
      <c r="K342" s="3">
        <f t="shared" si="84"/>
        <v>0</v>
      </c>
      <c r="L342" s="7">
        <f t="shared" si="85"/>
        <v>0</v>
      </c>
      <c r="M342" t="s">
        <v>187</v>
      </c>
      <c r="O342" s="3">
        <f>E342-'290710 - P1223'!F342</f>
        <v>0</v>
      </c>
      <c r="P342" s="30">
        <f>I342-'290710 - P1223'!J342</f>
        <v>0</v>
      </c>
    </row>
    <row r="343" spans="1:16" x14ac:dyDescent="0.25">
      <c r="A343">
        <v>341</v>
      </c>
      <c r="B343" t="s">
        <v>463</v>
      </c>
      <c r="C343" t="s">
        <v>291</v>
      </c>
      <c r="D343" s="4" t="s">
        <v>467</v>
      </c>
      <c r="E343" s="12">
        <v>30.62</v>
      </c>
      <c r="F343" s="12">
        <v>30.62</v>
      </c>
      <c r="G343" s="6">
        <f t="shared" si="81"/>
        <v>0</v>
      </c>
      <c r="H343" s="7">
        <f t="shared" si="82"/>
        <v>0</v>
      </c>
      <c r="I343" s="8">
        <v>52.76</v>
      </c>
      <c r="J343" s="9">
        <f t="shared" si="83"/>
        <v>52.76</v>
      </c>
      <c r="K343" s="3">
        <f t="shared" si="84"/>
        <v>0</v>
      </c>
      <c r="L343" s="7">
        <f t="shared" si="85"/>
        <v>0</v>
      </c>
      <c r="M343" t="s">
        <v>187</v>
      </c>
      <c r="O343" s="3">
        <f>E343-'290710 - P1223'!F343</f>
        <v>0</v>
      </c>
      <c r="P343" s="30">
        <f>I343-'290710 - P1223'!J343</f>
        <v>0</v>
      </c>
    </row>
    <row r="344" spans="1:16" x14ac:dyDescent="0.25">
      <c r="A344">
        <v>342</v>
      </c>
      <c r="B344" t="s">
        <v>485</v>
      </c>
      <c r="C344" t="s">
        <v>291</v>
      </c>
      <c r="D344" s="4" t="s">
        <v>488</v>
      </c>
      <c r="E344" s="12">
        <v>147</v>
      </c>
      <c r="F344" s="12">
        <v>147</v>
      </c>
      <c r="G344" s="6">
        <f t="shared" si="81"/>
        <v>0</v>
      </c>
      <c r="H344" s="7">
        <f t="shared" si="82"/>
        <v>0</v>
      </c>
      <c r="I344" s="8">
        <v>226.16</v>
      </c>
      <c r="J344" s="9">
        <f t="shared" si="83"/>
        <v>226.16</v>
      </c>
      <c r="K344" s="3">
        <f t="shared" si="84"/>
        <v>0</v>
      </c>
      <c r="L344" s="7">
        <f t="shared" si="85"/>
        <v>0</v>
      </c>
      <c r="M344" t="s">
        <v>187</v>
      </c>
      <c r="O344" s="3">
        <f>E344-'290710 - P1223'!F344</f>
        <v>0</v>
      </c>
      <c r="P344" s="30">
        <f>I344-'290710 - P1223'!J344</f>
        <v>0</v>
      </c>
    </row>
    <row r="345" spans="1:16" x14ac:dyDescent="0.25">
      <c r="A345">
        <v>343</v>
      </c>
      <c r="B345" t="s">
        <v>290</v>
      </c>
      <c r="C345" t="s">
        <v>291</v>
      </c>
      <c r="D345" s="4" t="s">
        <v>489</v>
      </c>
      <c r="E345" s="12">
        <v>66.349999999999994</v>
      </c>
      <c r="F345" s="12">
        <v>66.349999999999994</v>
      </c>
      <c r="G345" s="6">
        <f t="shared" si="81"/>
        <v>0</v>
      </c>
      <c r="H345" s="7">
        <f t="shared" si="82"/>
        <v>0</v>
      </c>
      <c r="I345" s="8">
        <v>102.08</v>
      </c>
      <c r="J345" s="9">
        <f t="shared" si="83"/>
        <v>102.08</v>
      </c>
      <c r="K345" s="3">
        <f t="shared" si="84"/>
        <v>0</v>
      </c>
      <c r="L345" s="7">
        <f t="shared" si="85"/>
        <v>0</v>
      </c>
      <c r="M345" t="s">
        <v>187</v>
      </c>
      <c r="O345" s="3">
        <f>E345-'290710 - P1223'!F345</f>
        <v>0</v>
      </c>
      <c r="P345" s="30">
        <f>I345-'290710 - P1223'!J345</f>
        <v>0</v>
      </c>
    </row>
    <row r="346" spans="1:16" x14ac:dyDescent="0.25">
      <c r="A346">
        <v>344</v>
      </c>
      <c r="D346" s="2" t="s">
        <v>340</v>
      </c>
      <c r="H346" s="10">
        <f>AVERAGE(H298:H343)</f>
        <v>0</v>
      </c>
      <c r="I346"/>
    </row>
    <row r="347" spans="1:16" x14ac:dyDescent="0.25">
      <c r="A347">
        <v>345</v>
      </c>
      <c r="D347" s="2" t="s">
        <v>341</v>
      </c>
      <c r="I347"/>
      <c r="M347" t="s">
        <v>7</v>
      </c>
    </row>
    <row r="348" spans="1:16" x14ac:dyDescent="0.25">
      <c r="A348">
        <v>346</v>
      </c>
      <c r="D348" s="2" t="s">
        <v>342</v>
      </c>
      <c r="I348"/>
      <c r="O348" s="3">
        <f>E348-'290710 - P1223'!F348</f>
        <v>0</v>
      </c>
      <c r="P348" s="30">
        <f>I348-'290710 - P1223'!J348</f>
        <v>0</v>
      </c>
    </row>
    <row r="349" spans="1:16" x14ac:dyDescent="0.25">
      <c r="A349">
        <v>347</v>
      </c>
      <c r="B349" t="s">
        <v>470</v>
      </c>
      <c r="C349" s="28" t="s">
        <v>454</v>
      </c>
      <c r="D349" s="4" t="s">
        <v>497</v>
      </c>
      <c r="E349" s="11">
        <v>1430</v>
      </c>
      <c r="F349" s="11">
        <v>1430</v>
      </c>
      <c r="G349" s="6">
        <f t="shared" ref="G349:G356" si="86">+F349-E349</f>
        <v>0</v>
      </c>
      <c r="H349" s="7">
        <f t="shared" ref="H349:H356" si="87">(F349-E349)/ABS(E349)</f>
        <v>0</v>
      </c>
      <c r="I349" s="8">
        <v>118.24570098910753</v>
      </c>
      <c r="J349" s="9">
        <f t="shared" ref="J349:J356" si="88">(I349*H349)+I349</f>
        <v>118.24570098910753</v>
      </c>
      <c r="K349" s="3">
        <f t="shared" ref="K349:K356" si="89">J349-I349</f>
        <v>0</v>
      </c>
      <c r="L349" s="7">
        <f t="shared" ref="L349:L356" si="90">(J349-I349)/ABS(I349)</f>
        <v>0</v>
      </c>
      <c r="M349" t="s">
        <v>7</v>
      </c>
      <c r="O349" s="3">
        <f>E349-'290710 - P1223'!F349</f>
        <v>0</v>
      </c>
      <c r="P349" s="30">
        <f>I349-'290710 - P1223'!J349</f>
        <v>4.3794704070039785</v>
      </c>
    </row>
    <row r="350" spans="1:16" x14ac:dyDescent="0.25">
      <c r="A350">
        <v>348</v>
      </c>
      <c r="B350" t="s">
        <v>290</v>
      </c>
      <c r="C350" s="28" t="s">
        <v>344</v>
      </c>
      <c r="D350" s="4" t="s">
        <v>345</v>
      </c>
      <c r="E350" s="11">
        <v>4.93</v>
      </c>
      <c r="F350" s="11">
        <v>4.93</v>
      </c>
      <c r="G350" s="6">
        <f t="shared" si="86"/>
        <v>0</v>
      </c>
      <c r="H350" s="7">
        <f t="shared" si="87"/>
        <v>0</v>
      </c>
      <c r="I350" s="8">
        <v>10.18301417057406</v>
      </c>
      <c r="J350" s="9">
        <f t="shared" si="88"/>
        <v>10.18301417057406</v>
      </c>
      <c r="K350" s="3">
        <f t="shared" si="89"/>
        <v>0</v>
      </c>
      <c r="L350" s="7">
        <f t="shared" si="90"/>
        <v>0</v>
      </c>
      <c r="M350" t="s">
        <v>7</v>
      </c>
      <c r="O350" s="3">
        <f>E350-'290710 - P1223'!F350</f>
        <v>0</v>
      </c>
      <c r="P350" s="30">
        <f>I350-'290710 - P1223'!J350</f>
        <v>0</v>
      </c>
    </row>
    <row r="351" spans="1:16" x14ac:dyDescent="0.25">
      <c r="A351">
        <v>349</v>
      </c>
      <c r="B351" t="s">
        <v>463</v>
      </c>
      <c r="C351" s="28" t="s">
        <v>344</v>
      </c>
      <c r="D351" s="4" t="s">
        <v>346</v>
      </c>
      <c r="E351" s="11">
        <v>6.5</v>
      </c>
      <c r="F351" s="11">
        <v>6.5</v>
      </c>
      <c r="G351" s="6">
        <f t="shared" si="86"/>
        <v>0</v>
      </c>
      <c r="H351" s="7">
        <f t="shared" si="87"/>
        <v>0</v>
      </c>
      <c r="I351" s="8">
        <v>11.46</v>
      </c>
      <c r="J351" s="9">
        <f t="shared" si="88"/>
        <v>11.46</v>
      </c>
      <c r="K351" s="3">
        <f t="shared" si="89"/>
        <v>0</v>
      </c>
      <c r="L351" s="7">
        <f t="shared" si="90"/>
        <v>0</v>
      </c>
      <c r="M351" t="s">
        <v>7</v>
      </c>
      <c r="O351" s="3">
        <f>E351-'290710 - P1223'!F351</f>
        <v>0</v>
      </c>
      <c r="P351" s="30">
        <f>I351-'290710 - P1223'!J351</f>
        <v>0</v>
      </c>
    </row>
    <row r="352" spans="1:16" x14ac:dyDescent="0.25">
      <c r="A352">
        <v>350</v>
      </c>
      <c r="B352" t="s">
        <v>463</v>
      </c>
      <c r="C352" s="28" t="s">
        <v>347</v>
      </c>
      <c r="D352" s="4" t="s">
        <v>348</v>
      </c>
      <c r="E352" s="11">
        <v>4.7699999999999996</v>
      </c>
      <c r="F352" s="11">
        <v>4.7699999999999996</v>
      </c>
      <c r="G352" s="6">
        <f t="shared" si="86"/>
        <v>0</v>
      </c>
      <c r="H352" s="7">
        <f t="shared" si="87"/>
        <v>0</v>
      </c>
      <c r="I352" s="8">
        <v>6.82</v>
      </c>
      <c r="J352" s="9">
        <f t="shared" si="88"/>
        <v>6.82</v>
      </c>
      <c r="K352" s="3">
        <f t="shared" si="89"/>
        <v>0</v>
      </c>
      <c r="L352" s="7">
        <f t="shared" si="90"/>
        <v>0</v>
      </c>
      <c r="M352" t="s">
        <v>7</v>
      </c>
      <c r="O352" s="3">
        <f>E352-'290710 - P1223'!F352</f>
        <v>0</v>
      </c>
      <c r="P352" s="30">
        <f>I352-'290710 - P1223'!J352</f>
        <v>0</v>
      </c>
    </row>
    <row r="353" spans="1:16" x14ac:dyDescent="0.25">
      <c r="A353">
        <v>351</v>
      </c>
      <c r="B353" t="s">
        <v>463</v>
      </c>
      <c r="C353" s="28" t="s">
        <v>347</v>
      </c>
      <c r="D353" s="4" t="s">
        <v>349</v>
      </c>
      <c r="E353" s="11">
        <v>104</v>
      </c>
      <c r="F353" s="11">
        <v>104</v>
      </c>
      <c r="G353" s="6">
        <f t="shared" si="86"/>
        <v>0</v>
      </c>
      <c r="H353" s="7">
        <f t="shared" si="87"/>
        <v>0</v>
      </c>
      <c r="I353" s="8">
        <v>159.78</v>
      </c>
      <c r="J353" s="9">
        <f t="shared" si="88"/>
        <v>159.78</v>
      </c>
      <c r="K353" s="3">
        <f t="shared" si="89"/>
        <v>0</v>
      </c>
      <c r="L353" s="7">
        <f t="shared" si="90"/>
        <v>0</v>
      </c>
      <c r="M353" t="s">
        <v>7</v>
      </c>
      <c r="O353" s="3">
        <f>E353-'290710 - P1223'!F353</f>
        <v>0</v>
      </c>
      <c r="P353" s="30">
        <f>I353-'290710 - P1223'!J353</f>
        <v>0</v>
      </c>
    </row>
    <row r="354" spans="1:16" x14ac:dyDescent="0.25">
      <c r="A354">
        <v>352</v>
      </c>
      <c r="B354" t="s">
        <v>445</v>
      </c>
      <c r="C354" s="28" t="s">
        <v>343</v>
      </c>
      <c r="D354" s="4" t="s">
        <v>446</v>
      </c>
      <c r="E354" s="11">
        <v>49.22</v>
      </c>
      <c r="F354" s="11">
        <v>49.22</v>
      </c>
      <c r="G354" s="6">
        <f t="shared" si="86"/>
        <v>0</v>
      </c>
      <c r="H354" s="7">
        <f t="shared" si="87"/>
        <v>0</v>
      </c>
      <c r="I354" s="8">
        <v>65.413333333333341</v>
      </c>
      <c r="J354" s="9">
        <f t="shared" si="88"/>
        <v>65.413333333333341</v>
      </c>
      <c r="K354" s="3">
        <f t="shared" si="89"/>
        <v>0</v>
      </c>
      <c r="L354" s="7">
        <f t="shared" si="90"/>
        <v>0</v>
      </c>
      <c r="M354" t="s">
        <v>7</v>
      </c>
      <c r="O354" s="3">
        <f>E354-'290710 - P1223'!F354</f>
        <v>0</v>
      </c>
      <c r="P354" s="30">
        <f>I354-'290710 - P1223'!J354</f>
        <v>0</v>
      </c>
    </row>
    <row r="355" spans="1:16" x14ac:dyDescent="0.25">
      <c r="A355">
        <v>353</v>
      </c>
      <c r="B355" t="s">
        <v>303</v>
      </c>
      <c r="C355" s="28" t="s">
        <v>343</v>
      </c>
      <c r="D355" s="4" t="s">
        <v>350</v>
      </c>
      <c r="E355" s="11">
        <v>28.21</v>
      </c>
      <c r="F355" s="11">
        <v>28.21</v>
      </c>
      <c r="G355" s="6">
        <f t="shared" si="86"/>
        <v>0</v>
      </c>
      <c r="H355" s="7">
        <f t="shared" si="87"/>
        <v>0</v>
      </c>
      <c r="I355" s="8">
        <v>60.400819101768519</v>
      </c>
      <c r="J355" s="9">
        <f t="shared" si="88"/>
        <v>60.400819101768519</v>
      </c>
      <c r="K355" s="3">
        <f t="shared" si="89"/>
        <v>0</v>
      </c>
      <c r="L355" s="7">
        <f t="shared" si="90"/>
        <v>0</v>
      </c>
      <c r="M355" t="s">
        <v>7</v>
      </c>
      <c r="O355" s="3">
        <f>E355-'290710 - P1223'!F355</f>
        <v>0</v>
      </c>
      <c r="P355" s="30">
        <f>I355-'290710 - P1223'!J355</f>
        <v>0</v>
      </c>
    </row>
    <row r="356" spans="1:16" x14ac:dyDescent="0.25">
      <c r="A356">
        <v>354</v>
      </c>
      <c r="B356" t="s">
        <v>303</v>
      </c>
      <c r="C356" s="28" t="s">
        <v>351</v>
      </c>
      <c r="D356" s="4" t="s">
        <v>352</v>
      </c>
      <c r="E356" s="11">
        <v>20.36</v>
      </c>
      <c r="F356" s="11">
        <v>20.36</v>
      </c>
      <c r="G356" s="6">
        <f t="shared" si="86"/>
        <v>0</v>
      </c>
      <c r="H356" s="7">
        <f t="shared" si="87"/>
        <v>0</v>
      </c>
      <c r="I356" s="8">
        <v>33.75</v>
      </c>
      <c r="J356" s="9">
        <f t="shared" si="88"/>
        <v>33.75</v>
      </c>
      <c r="K356" s="3">
        <f t="shared" si="89"/>
        <v>0</v>
      </c>
      <c r="L356" s="7">
        <f t="shared" si="90"/>
        <v>0</v>
      </c>
      <c r="M356" t="s">
        <v>7</v>
      </c>
      <c r="O356" s="3">
        <f>E356-'290710 - P1223'!F356</f>
        <v>0</v>
      </c>
      <c r="P356" s="30">
        <f>I356-'290710 - P1223'!J356</f>
        <v>0</v>
      </c>
    </row>
    <row r="357" spans="1:16" x14ac:dyDescent="0.25">
      <c r="A357">
        <v>355</v>
      </c>
      <c r="C357" s="28"/>
      <c r="D357" s="2" t="s">
        <v>353</v>
      </c>
      <c r="I357"/>
    </row>
    <row r="358" spans="1:16" x14ac:dyDescent="0.25">
      <c r="A358">
        <v>356</v>
      </c>
      <c r="B358" t="s">
        <v>294</v>
      </c>
      <c r="C358" s="28" t="s">
        <v>354</v>
      </c>
      <c r="D358" s="4" t="s">
        <v>355</v>
      </c>
      <c r="E358" s="12">
        <v>5.98</v>
      </c>
      <c r="F358" s="12">
        <v>5.98</v>
      </c>
      <c r="G358" s="6">
        <f>+F358-E358</f>
        <v>0</v>
      </c>
      <c r="H358" s="7">
        <f>(F358-E358)/ABS(E358)</f>
        <v>0</v>
      </c>
      <c r="I358" s="12">
        <v>10.64931506849315</v>
      </c>
      <c r="J358" s="12">
        <f>(I358*H358)+I358</f>
        <v>10.64931506849315</v>
      </c>
      <c r="K358" s="3">
        <f>J358-I358</f>
        <v>0</v>
      </c>
      <c r="L358" s="7">
        <f>(J358-I358)/ABS(I358)</f>
        <v>0</v>
      </c>
      <c r="M358" t="s">
        <v>150</v>
      </c>
      <c r="O358" s="3">
        <f>E358-'290710 - P1223'!F358</f>
        <v>0</v>
      </c>
      <c r="P358" s="30">
        <f>I358-'290710 - P1223'!J358</f>
        <v>0</v>
      </c>
    </row>
    <row r="359" spans="1:16" x14ac:dyDescent="0.25">
      <c r="A359">
        <v>357</v>
      </c>
      <c r="C359" s="28"/>
      <c r="D359" s="2" t="s">
        <v>356</v>
      </c>
      <c r="I359"/>
    </row>
    <row r="360" spans="1:16" x14ac:dyDescent="0.25">
      <c r="A360">
        <v>358</v>
      </c>
      <c r="B360" t="s">
        <v>502</v>
      </c>
      <c r="C360" s="28" t="s">
        <v>454</v>
      </c>
      <c r="D360" s="4" t="s">
        <v>503</v>
      </c>
      <c r="E360" s="11">
        <v>1581</v>
      </c>
      <c r="F360" s="11">
        <v>1527</v>
      </c>
      <c r="G360" s="13">
        <f t="shared" ref="G360:G394" si="91">+F360-E360</f>
        <v>-54</v>
      </c>
      <c r="H360" s="7">
        <f t="shared" ref="H360:H394" si="92">(F360-E360)/ABS(E360)</f>
        <v>-3.4155597722960153E-2</v>
      </c>
      <c r="I360" s="9">
        <v>83.5202093596059</v>
      </c>
      <c r="J360" s="8">
        <f t="shared" ref="J360:J394" si="93">(I360*H360)+I360</f>
        <v>80.667526686981788</v>
      </c>
      <c r="K360" s="3">
        <f t="shared" ref="K360:K394" si="94">J360-I360</f>
        <v>-2.8526826726241126</v>
      </c>
      <c r="L360" s="7">
        <f t="shared" ref="L360:L394" si="95">(J360-I360)/ABS(I360)</f>
        <v>-3.4155597722960181E-2</v>
      </c>
      <c r="M360" t="s">
        <v>7</v>
      </c>
      <c r="O360" s="3">
        <f>E360-'290710 - P1223'!F360</f>
        <v>-173</v>
      </c>
      <c r="P360" s="30">
        <f>I360-'290710 - P1223'!J360</f>
        <v>0</v>
      </c>
    </row>
    <row r="361" spans="1:16" x14ac:dyDescent="0.25">
      <c r="A361">
        <v>359</v>
      </c>
      <c r="B361" t="s">
        <v>290</v>
      </c>
      <c r="C361" s="28" t="s">
        <v>454</v>
      </c>
      <c r="D361" s="4" t="s">
        <v>498</v>
      </c>
      <c r="E361" s="11">
        <v>1670</v>
      </c>
      <c r="F361" s="11">
        <v>1670</v>
      </c>
      <c r="G361" s="13">
        <f t="shared" si="91"/>
        <v>0</v>
      </c>
      <c r="H361" s="7">
        <f t="shared" si="92"/>
        <v>0</v>
      </c>
      <c r="I361" s="8">
        <v>40.460441510876777</v>
      </c>
      <c r="J361" s="9">
        <f t="shared" si="93"/>
        <v>40.460441510876777</v>
      </c>
      <c r="K361" s="3">
        <f t="shared" si="94"/>
        <v>0</v>
      </c>
      <c r="L361" s="7">
        <f t="shared" si="95"/>
        <v>0</v>
      </c>
      <c r="M361" t="s">
        <v>7</v>
      </c>
      <c r="O361" s="3">
        <f>E361-'290710 - P1223'!F361</f>
        <v>0</v>
      </c>
      <c r="P361" s="30">
        <f>I361-'290710 - P1223'!J361</f>
        <v>0</v>
      </c>
    </row>
    <row r="362" spans="1:16" x14ac:dyDescent="0.25">
      <c r="A362">
        <v>360</v>
      </c>
      <c r="B362" t="s">
        <v>290</v>
      </c>
      <c r="C362" s="28" t="s">
        <v>454</v>
      </c>
      <c r="D362" s="4" t="s">
        <v>495</v>
      </c>
      <c r="E362" s="11">
        <v>76.16</v>
      </c>
      <c r="F362" s="11">
        <v>76.16</v>
      </c>
      <c r="G362" s="13">
        <f t="shared" si="91"/>
        <v>0</v>
      </c>
      <c r="H362" s="7">
        <f t="shared" si="92"/>
        <v>0</v>
      </c>
      <c r="I362" s="8">
        <v>118.41812494751909</v>
      </c>
      <c r="J362" s="9">
        <f t="shared" si="93"/>
        <v>118.41812494751909</v>
      </c>
      <c r="K362" s="3">
        <f t="shared" si="94"/>
        <v>0</v>
      </c>
      <c r="L362" s="7">
        <f t="shared" si="95"/>
        <v>0</v>
      </c>
      <c r="M362" t="s">
        <v>7</v>
      </c>
      <c r="O362" s="3">
        <f>E362-'290710 - P1223'!F362</f>
        <v>0</v>
      </c>
      <c r="P362" s="30">
        <f>I362-'290710 - P1223'!J362</f>
        <v>0</v>
      </c>
    </row>
    <row r="363" spans="1:16" x14ac:dyDescent="0.25">
      <c r="A363">
        <v>361</v>
      </c>
      <c r="B363" t="s">
        <v>290</v>
      </c>
      <c r="C363" s="28" t="s">
        <v>454</v>
      </c>
      <c r="D363" s="4" t="s">
        <v>496</v>
      </c>
      <c r="E363" s="11">
        <v>1840</v>
      </c>
      <c r="F363" s="11">
        <v>1840</v>
      </c>
      <c r="G363" s="13">
        <f t="shared" si="91"/>
        <v>0</v>
      </c>
      <c r="H363" s="7">
        <f t="shared" si="92"/>
        <v>0</v>
      </c>
      <c r="I363" s="8">
        <v>246.84337380502768</v>
      </c>
      <c r="J363" s="9">
        <f t="shared" si="93"/>
        <v>246.84337380502768</v>
      </c>
      <c r="K363" s="3">
        <f t="shared" si="94"/>
        <v>0</v>
      </c>
      <c r="L363" s="7">
        <f t="shared" si="95"/>
        <v>0</v>
      </c>
      <c r="M363" t="s">
        <v>7</v>
      </c>
      <c r="O363" s="3">
        <f>E363-'290710 - P1223'!F363</f>
        <v>0</v>
      </c>
      <c r="P363" s="30">
        <f>I363-'290710 - P1223'!J363</f>
        <v>0</v>
      </c>
    </row>
    <row r="364" spans="1:16" x14ac:dyDescent="0.25">
      <c r="A364">
        <v>362</v>
      </c>
      <c r="B364" t="s">
        <v>483</v>
      </c>
      <c r="C364" s="28" t="s">
        <v>351</v>
      </c>
      <c r="D364" s="4" t="s">
        <v>357</v>
      </c>
      <c r="E364" s="11">
        <v>2709</v>
      </c>
      <c r="F364" s="11">
        <v>2709</v>
      </c>
      <c r="G364" s="13">
        <f t="shared" si="91"/>
        <v>0</v>
      </c>
      <c r="H364" s="7">
        <f t="shared" si="92"/>
        <v>0</v>
      </c>
      <c r="I364" s="8">
        <v>5.1687034714890512</v>
      </c>
      <c r="J364" s="9">
        <f t="shared" si="93"/>
        <v>5.1687034714890512</v>
      </c>
      <c r="K364" s="3">
        <f t="shared" si="94"/>
        <v>0</v>
      </c>
      <c r="L364" s="7">
        <f t="shared" si="95"/>
        <v>0</v>
      </c>
      <c r="M364" t="s">
        <v>7</v>
      </c>
      <c r="O364" s="3">
        <f>E364-'290710 - P1223'!F364</f>
        <v>0</v>
      </c>
      <c r="P364" s="30">
        <f>I364-'290710 - P1223'!J364</f>
        <v>0</v>
      </c>
    </row>
    <row r="365" spans="1:16" x14ac:dyDescent="0.25">
      <c r="A365">
        <v>363</v>
      </c>
      <c r="B365" t="s">
        <v>484</v>
      </c>
      <c r="C365" s="28" t="s">
        <v>351</v>
      </c>
      <c r="D365" s="4" t="s">
        <v>358</v>
      </c>
      <c r="E365" s="11">
        <v>2709</v>
      </c>
      <c r="F365" s="11">
        <v>2709</v>
      </c>
      <c r="G365" s="13">
        <f t="shared" si="91"/>
        <v>0</v>
      </c>
      <c r="H365" s="7">
        <f t="shared" si="92"/>
        <v>0</v>
      </c>
      <c r="I365" s="8">
        <v>8.0702736339232413</v>
      </c>
      <c r="J365" s="9">
        <f t="shared" si="93"/>
        <v>8.0702736339232413</v>
      </c>
      <c r="K365" s="3">
        <f t="shared" si="94"/>
        <v>0</v>
      </c>
      <c r="L365" s="7">
        <f t="shared" si="95"/>
        <v>0</v>
      </c>
      <c r="M365" t="s">
        <v>7</v>
      </c>
      <c r="O365" s="3">
        <f>E365-'290710 - P1223'!F365</f>
        <v>0</v>
      </c>
      <c r="P365" s="30">
        <f>I365-'290710 - P1223'!J365</f>
        <v>0</v>
      </c>
    </row>
    <row r="366" spans="1:16" x14ac:dyDescent="0.25">
      <c r="A366">
        <v>364</v>
      </c>
      <c r="B366" t="s">
        <v>290</v>
      </c>
      <c r="C366" s="28" t="s">
        <v>351</v>
      </c>
      <c r="D366" s="4" t="s">
        <v>359</v>
      </c>
      <c r="E366" s="11">
        <v>2709</v>
      </c>
      <c r="F366" s="11">
        <v>2709</v>
      </c>
      <c r="G366" s="13">
        <f t="shared" si="91"/>
        <v>0</v>
      </c>
      <c r="H366" s="7">
        <f t="shared" si="92"/>
        <v>0</v>
      </c>
      <c r="I366" s="8">
        <v>11.040593760943526</v>
      </c>
      <c r="J366" s="9">
        <f t="shared" si="93"/>
        <v>11.040593760943526</v>
      </c>
      <c r="K366" s="3">
        <f t="shared" si="94"/>
        <v>0</v>
      </c>
      <c r="L366" s="7">
        <f t="shared" si="95"/>
        <v>0</v>
      </c>
      <c r="M366" t="s">
        <v>7</v>
      </c>
      <c r="O366" s="3">
        <f>E366-'290710 - P1223'!F366</f>
        <v>0</v>
      </c>
      <c r="P366" s="30">
        <f>I366-'290710 - P1223'!J366</f>
        <v>0</v>
      </c>
    </row>
    <row r="367" spans="1:16" x14ac:dyDescent="0.25">
      <c r="A367">
        <v>365</v>
      </c>
      <c r="B367" t="s">
        <v>476</v>
      </c>
      <c r="C367" s="28" t="s">
        <v>351</v>
      </c>
      <c r="D367" s="4" t="s">
        <v>360</v>
      </c>
      <c r="E367" s="11">
        <v>3148</v>
      </c>
      <c r="F367" s="11">
        <v>3148</v>
      </c>
      <c r="G367" s="13">
        <f t="shared" si="91"/>
        <v>0</v>
      </c>
      <c r="H367" s="7">
        <f t="shared" si="92"/>
        <v>0</v>
      </c>
      <c r="I367" s="8">
        <v>14.3</v>
      </c>
      <c r="J367" s="9">
        <f t="shared" si="93"/>
        <v>14.3</v>
      </c>
      <c r="K367" s="3">
        <f t="shared" si="94"/>
        <v>0</v>
      </c>
      <c r="L367" s="7">
        <f t="shared" si="95"/>
        <v>0</v>
      </c>
      <c r="M367" t="s">
        <v>7</v>
      </c>
      <c r="O367" s="3">
        <f>E367-'290710 - P1223'!F367</f>
        <v>0</v>
      </c>
      <c r="P367" s="30">
        <f>I367-'290710 - P1223'!J367</f>
        <v>0</v>
      </c>
    </row>
    <row r="368" spans="1:16" x14ac:dyDescent="0.25">
      <c r="A368">
        <v>366</v>
      </c>
      <c r="B368" t="s">
        <v>478</v>
      </c>
      <c r="C368" s="28" t="s">
        <v>351</v>
      </c>
      <c r="D368" s="4" t="s">
        <v>361</v>
      </c>
      <c r="E368" s="11">
        <v>3065</v>
      </c>
      <c r="F368" s="11">
        <v>3065</v>
      </c>
      <c r="G368" s="13">
        <f t="shared" si="91"/>
        <v>0</v>
      </c>
      <c r="H368" s="7">
        <f t="shared" si="92"/>
        <v>0</v>
      </c>
      <c r="I368" s="8">
        <v>19.904756025519848</v>
      </c>
      <c r="J368" s="9">
        <f t="shared" si="93"/>
        <v>19.904756025519848</v>
      </c>
      <c r="K368" s="3">
        <f t="shared" si="94"/>
        <v>0</v>
      </c>
      <c r="L368" s="7">
        <f t="shared" si="95"/>
        <v>0</v>
      </c>
      <c r="M368" t="s">
        <v>7</v>
      </c>
      <c r="O368" s="3">
        <f>E368-'290710 - P1223'!F368</f>
        <v>0</v>
      </c>
      <c r="P368" s="30">
        <f>I368-'290710 - P1223'!J368</f>
        <v>0</v>
      </c>
    </row>
    <row r="369" spans="1:16" x14ac:dyDescent="0.25">
      <c r="A369">
        <v>367</v>
      </c>
      <c r="B369" t="s">
        <v>445</v>
      </c>
      <c r="C369" s="28" t="s">
        <v>351</v>
      </c>
      <c r="D369" s="4" t="s">
        <v>362</v>
      </c>
      <c r="E369" s="11">
        <v>3065</v>
      </c>
      <c r="F369" s="11">
        <v>3065</v>
      </c>
      <c r="G369" s="13">
        <f t="shared" si="91"/>
        <v>0</v>
      </c>
      <c r="H369" s="7">
        <f t="shared" si="92"/>
        <v>0</v>
      </c>
      <c r="I369" s="8">
        <v>23.00692071335494</v>
      </c>
      <c r="J369" s="9">
        <f t="shared" si="93"/>
        <v>23.00692071335494</v>
      </c>
      <c r="K369" s="3">
        <f t="shared" si="94"/>
        <v>0</v>
      </c>
      <c r="L369" s="7">
        <f t="shared" si="95"/>
        <v>0</v>
      </c>
      <c r="M369" t="s">
        <v>7</v>
      </c>
      <c r="O369" s="3">
        <f>E369-'290710 - P1223'!F369</f>
        <v>0</v>
      </c>
      <c r="P369" s="30">
        <f>I369-'290710 - P1223'!J369</f>
        <v>0</v>
      </c>
    </row>
    <row r="370" spans="1:16" x14ac:dyDescent="0.25">
      <c r="A370">
        <v>368</v>
      </c>
      <c r="B370" t="s">
        <v>478</v>
      </c>
      <c r="C370" s="28" t="s">
        <v>351</v>
      </c>
      <c r="D370" s="4" t="s">
        <v>363</v>
      </c>
      <c r="E370" s="11">
        <v>3135</v>
      </c>
      <c r="F370" s="11">
        <v>3135</v>
      </c>
      <c r="G370" s="13">
        <f t="shared" si="91"/>
        <v>0</v>
      </c>
      <c r="H370" s="7">
        <f t="shared" si="92"/>
        <v>0</v>
      </c>
      <c r="I370" s="8">
        <v>26.876311326468805</v>
      </c>
      <c r="J370" s="9">
        <f t="shared" si="93"/>
        <v>26.876311326468805</v>
      </c>
      <c r="K370" s="3">
        <f t="shared" si="94"/>
        <v>0</v>
      </c>
      <c r="L370" s="7">
        <f t="shared" si="95"/>
        <v>0</v>
      </c>
      <c r="M370" t="s">
        <v>7</v>
      </c>
      <c r="O370" s="3">
        <f>E370-'290710 - P1223'!F370</f>
        <v>0</v>
      </c>
      <c r="P370" s="30">
        <f>I370-'290710 - P1223'!J370</f>
        <v>0</v>
      </c>
    </row>
    <row r="371" spans="1:16" x14ac:dyDescent="0.25">
      <c r="A371">
        <v>369</v>
      </c>
      <c r="B371" t="s">
        <v>481</v>
      </c>
      <c r="C371" s="28" t="s">
        <v>351</v>
      </c>
      <c r="D371" s="4" t="s">
        <v>364</v>
      </c>
      <c r="E371" s="11">
        <v>2931</v>
      </c>
      <c r="F371" s="11">
        <v>2931</v>
      </c>
      <c r="G371" s="13">
        <f t="shared" si="91"/>
        <v>0</v>
      </c>
      <c r="H371" s="7">
        <f t="shared" si="92"/>
        <v>0</v>
      </c>
      <c r="I371" s="8">
        <v>5.5842827924987404</v>
      </c>
      <c r="J371" s="9">
        <f t="shared" si="93"/>
        <v>5.5842827924987404</v>
      </c>
      <c r="K371" s="3">
        <f t="shared" si="94"/>
        <v>0</v>
      </c>
      <c r="L371" s="7">
        <f t="shared" si="95"/>
        <v>0</v>
      </c>
      <c r="M371" t="s">
        <v>7</v>
      </c>
      <c r="O371" s="3">
        <f>E371-'290710 - P1223'!F371</f>
        <v>0</v>
      </c>
      <c r="P371" s="30">
        <f>I371-'290710 - P1223'!J371</f>
        <v>0</v>
      </c>
    </row>
    <row r="372" spans="1:16" x14ac:dyDescent="0.25">
      <c r="A372">
        <v>370</v>
      </c>
      <c r="B372" t="s">
        <v>479</v>
      </c>
      <c r="C372" t="s">
        <v>365</v>
      </c>
      <c r="D372" s="4" t="s">
        <v>366</v>
      </c>
      <c r="E372" s="11">
        <v>3205</v>
      </c>
      <c r="F372" s="11">
        <v>3205</v>
      </c>
      <c r="G372" s="13">
        <f t="shared" si="91"/>
        <v>0</v>
      </c>
      <c r="H372" s="7">
        <f t="shared" si="92"/>
        <v>0</v>
      </c>
      <c r="I372" s="8">
        <v>12.576720322698609</v>
      </c>
      <c r="J372" s="9">
        <f t="shared" si="93"/>
        <v>12.576720322698609</v>
      </c>
      <c r="K372" s="3">
        <f t="shared" si="94"/>
        <v>0</v>
      </c>
      <c r="L372" s="7">
        <f t="shared" si="95"/>
        <v>0</v>
      </c>
      <c r="M372" t="s">
        <v>7</v>
      </c>
      <c r="O372" s="3">
        <f>E372-'290710 - P1223'!F372</f>
        <v>0</v>
      </c>
      <c r="P372" s="30">
        <f>I372-'290710 - P1223'!J372</f>
        <v>0</v>
      </c>
    </row>
    <row r="373" spans="1:16" x14ac:dyDescent="0.25">
      <c r="A373">
        <v>371</v>
      </c>
      <c r="B373" t="s">
        <v>470</v>
      </c>
      <c r="C373" t="s">
        <v>365</v>
      </c>
      <c r="D373" s="4" t="s">
        <v>367</v>
      </c>
      <c r="E373" s="11">
        <v>2952</v>
      </c>
      <c r="F373" s="11">
        <v>2952</v>
      </c>
      <c r="G373" s="13">
        <f t="shared" si="91"/>
        <v>0</v>
      </c>
      <c r="H373" s="7">
        <f t="shared" si="92"/>
        <v>0</v>
      </c>
      <c r="I373" s="8">
        <v>24.324911704207679</v>
      </c>
      <c r="J373" s="9">
        <f t="shared" si="93"/>
        <v>24.324911704207679</v>
      </c>
      <c r="K373" s="3">
        <f t="shared" si="94"/>
        <v>0</v>
      </c>
      <c r="L373" s="7">
        <f t="shared" si="95"/>
        <v>0</v>
      </c>
      <c r="M373" t="s">
        <v>7</v>
      </c>
      <c r="O373" s="3">
        <f>E373-'290710 - P1223'!F373</f>
        <v>0</v>
      </c>
      <c r="P373" s="30">
        <f>I373-'290710 - P1223'!J373</f>
        <v>0</v>
      </c>
    </row>
    <row r="374" spans="1:16" x14ac:dyDescent="0.25">
      <c r="A374">
        <v>372</v>
      </c>
      <c r="B374" t="s">
        <v>303</v>
      </c>
      <c r="C374" t="s">
        <v>365</v>
      </c>
      <c r="D374" s="4" t="s">
        <v>368</v>
      </c>
      <c r="E374" s="11">
        <v>2702</v>
      </c>
      <c r="F374" s="11">
        <v>2702</v>
      </c>
      <c r="G374" s="13">
        <f t="shared" si="91"/>
        <v>0</v>
      </c>
      <c r="H374" s="7">
        <f t="shared" si="92"/>
        <v>0</v>
      </c>
      <c r="I374" s="8">
        <v>40.51093209547124</v>
      </c>
      <c r="J374" s="9">
        <f>(I374*H374)+I374</f>
        <v>40.51093209547124</v>
      </c>
      <c r="K374" s="3">
        <f t="shared" si="94"/>
        <v>0</v>
      </c>
      <c r="L374" s="7">
        <f t="shared" si="95"/>
        <v>0</v>
      </c>
      <c r="M374" t="s">
        <v>7</v>
      </c>
      <c r="O374" s="3">
        <f>E374-'290710 - P1223'!F374</f>
        <v>0</v>
      </c>
      <c r="P374" s="30">
        <f>I374-'290710 - P1223'!J374</f>
        <v>0</v>
      </c>
    </row>
    <row r="375" spans="1:16" x14ac:dyDescent="0.25">
      <c r="A375">
        <v>373</v>
      </c>
      <c r="B375" t="s">
        <v>290</v>
      </c>
      <c r="C375" t="s">
        <v>365</v>
      </c>
      <c r="D375" s="4" t="s">
        <v>369</v>
      </c>
      <c r="E375" s="11">
        <v>2702</v>
      </c>
      <c r="F375" s="11">
        <v>2702</v>
      </c>
      <c r="G375" s="13">
        <f t="shared" si="91"/>
        <v>0</v>
      </c>
      <c r="H375" s="7">
        <f t="shared" si="92"/>
        <v>0</v>
      </c>
      <c r="I375" s="8">
        <v>50.641879791355422</v>
      </c>
      <c r="J375" s="9">
        <f t="shared" si="93"/>
        <v>50.641879791355422</v>
      </c>
      <c r="K375" s="3">
        <f t="shared" si="94"/>
        <v>0</v>
      </c>
      <c r="L375" s="7">
        <f t="shared" si="95"/>
        <v>0</v>
      </c>
      <c r="M375" t="s">
        <v>7</v>
      </c>
      <c r="O375" s="3">
        <f>E375-'290710 - P1223'!F375</f>
        <v>0</v>
      </c>
      <c r="P375" s="30">
        <f>I375-'290710 - P1223'!J375</f>
        <v>0</v>
      </c>
    </row>
    <row r="376" spans="1:16" x14ac:dyDescent="0.25">
      <c r="A376">
        <v>374</v>
      </c>
      <c r="B376" t="s">
        <v>470</v>
      </c>
      <c r="C376" t="s">
        <v>365</v>
      </c>
      <c r="D376" s="4" t="s">
        <v>370</v>
      </c>
      <c r="E376" s="11">
        <v>2702</v>
      </c>
      <c r="F376" s="11">
        <v>2702</v>
      </c>
      <c r="G376" s="13">
        <f t="shared" si="91"/>
        <v>0</v>
      </c>
      <c r="H376" s="7">
        <f t="shared" si="92"/>
        <v>0</v>
      </c>
      <c r="I376" s="8">
        <v>60.769079441442358</v>
      </c>
      <c r="J376" s="9">
        <f t="shared" si="93"/>
        <v>60.769079441442358</v>
      </c>
      <c r="K376" s="3">
        <f t="shared" si="94"/>
        <v>0</v>
      </c>
      <c r="L376" s="7">
        <f t="shared" si="95"/>
        <v>0</v>
      </c>
      <c r="M376" t="s">
        <v>7</v>
      </c>
      <c r="O376" s="3">
        <f>E376-'290710 - P1223'!F376</f>
        <v>0</v>
      </c>
      <c r="P376" s="30">
        <f>I376-'290710 - P1223'!J376</f>
        <v>0</v>
      </c>
    </row>
    <row r="377" spans="1:16" x14ac:dyDescent="0.25">
      <c r="A377">
        <v>375</v>
      </c>
      <c r="B377" t="s">
        <v>479</v>
      </c>
      <c r="C377" t="s">
        <v>365</v>
      </c>
      <c r="D377" s="4" t="s">
        <v>371</v>
      </c>
      <c r="E377" s="11">
        <v>3868</v>
      </c>
      <c r="F377" s="11">
        <v>3868</v>
      </c>
      <c r="G377" s="13">
        <f t="shared" si="91"/>
        <v>0</v>
      </c>
      <c r="H377" s="7">
        <f t="shared" si="92"/>
        <v>0</v>
      </c>
      <c r="I377" s="8">
        <v>63.401973632327376</v>
      </c>
      <c r="J377" s="9">
        <f t="shared" si="93"/>
        <v>63.401973632327376</v>
      </c>
      <c r="K377" s="3">
        <f t="shared" si="94"/>
        <v>0</v>
      </c>
      <c r="L377" s="7">
        <f t="shared" si="95"/>
        <v>0</v>
      </c>
      <c r="M377" t="s">
        <v>7</v>
      </c>
      <c r="O377" s="3">
        <f>E377-'290710 - P1223'!F377</f>
        <v>0</v>
      </c>
      <c r="P377" s="30">
        <f>I377-'290710 - P1223'!J377</f>
        <v>0</v>
      </c>
    </row>
    <row r="378" spans="1:16" x14ac:dyDescent="0.25">
      <c r="A378">
        <v>376</v>
      </c>
      <c r="B378" t="s">
        <v>479</v>
      </c>
      <c r="C378" t="s">
        <v>365</v>
      </c>
      <c r="D378" s="4" t="s">
        <v>372</v>
      </c>
      <c r="E378" s="11">
        <v>3928</v>
      </c>
      <c r="F378" s="11">
        <v>3928</v>
      </c>
      <c r="G378" s="13">
        <f t="shared" si="91"/>
        <v>0</v>
      </c>
      <c r="H378" s="7">
        <f t="shared" si="92"/>
        <v>0</v>
      </c>
      <c r="I378" s="8">
        <v>80.721941958125299</v>
      </c>
      <c r="J378" s="9">
        <f t="shared" si="93"/>
        <v>80.721941958125299</v>
      </c>
      <c r="K378" s="3">
        <f t="shared" si="94"/>
        <v>0</v>
      </c>
      <c r="L378" s="7">
        <f t="shared" si="95"/>
        <v>0</v>
      </c>
      <c r="M378" t="s">
        <v>7</v>
      </c>
      <c r="O378" s="3">
        <f>E378-'290710 - P1223'!F378</f>
        <v>0</v>
      </c>
      <c r="P378" s="30">
        <f>I378-'290710 - P1223'!J378</f>
        <v>0</v>
      </c>
    </row>
    <row r="379" spans="1:16" x14ac:dyDescent="0.25">
      <c r="A379">
        <v>377</v>
      </c>
      <c r="B379" t="s">
        <v>473</v>
      </c>
      <c r="C379" t="s">
        <v>365</v>
      </c>
      <c r="D379" s="4" t="s">
        <v>373</v>
      </c>
      <c r="E379" s="11">
        <v>3928</v>
      </c>
      <c r="F379" s="11">
        <v>3928</v>
      </c>
      <c r="G379" s="13">
        <f t="shared" si="91"/>
        <v>0</v>
      </c>
      <c r="H379" s="7">
        <f t="shared" si="92"/>
        <v>0</v>
      </c>
      <c r="I379" s="8">
        <v>100.90409723646053</v>
      </c>
      <c r="J379" s="9">
        <f t="shared" si="93"/>
        <v>100.90409723646053</v>
      </c>
      <c r="K379" s="3">
        <f t="shared" si="94"/>
        <v>0</v>
      </c>
      <c r="L379" s="7">
        <f t="shared" si="95"/>
        <v>0</v>
      </c>
      <c r="M379" t="s">
        <v>7</v>
      </c>
      <c r="O379" s="3">
        <f>E379-'290710 - P1223'!F379</f>
        <v>0</v>
      </c>
      <c r="P379" s="30">
        <f>I379-'290710 - P1223'!J379</f>
        <v>0</v>
      </c>
    </row>
    <row r="380" spans="1:16" x14ac:dyDescent="0.25">
      <c r="A380">
        <v>378</v>
      </c>
      <c r="B380" t="s">
        <v>470</v>
      </c>
      <c r="C380" t="s">
        <v>365</v>
      </c>
      <c r="D380" s="4" t="s">
        <v>374</v>
      </c>
      <c r="E380" s="11">
        <v>3928</v>
      </c>
      <c r="F380" s="11">
        <v>3928</v>
      </c>
      <c r="G380" s="13">
        <f t="shared" si="91"/>
        <v>0</v>
      </c>
      <c r="H380" s="7">
        <f t="shared" si="92"/>
        <v>0</v>
      </c>
      <c r="I380" s="8">
        <v>121.08871182445142</v>
      </c>
      <c r="J380" s="9">
        <f t="shared" si="93"/>
        <v>121.08871182445142</v>
      </c>
      <c r="K380" s="3">
        <f t="shared" si="94"/>
        <v>0</v>
      </c>
      <c r="L380" s="7">
        <f t="shared" si="95"/>
        <v>0</v>
      </c>
      <c r="M380" t="s">
        <v>7</v>
      </c>
      <c r="O380" s="3">
        <f>E380-'290710 - P1223'!F380</f>
        <v>0</v>
      </c>
      <c r="P380" s="30">
        <f>I380-'290710 - P1223'!J380</f>
        <v>0</v>
      </c>
    </row>
    <row r="381" spans="1:16" x14ac:dyDescent="0.25">
      <c r="A381">
        <v>379</v>
      </c>
      <c r="B381" t="s">
        <v>470</v>
      </c>
      <c r="C381" t="s">
        <v>365</v>
      </c>
      <c r="D381" s="4" t="s">
        <v>375</v>
      </c>
      <c r="E381" s="11">
        <v>3700</v>
      </c>
      <c r="F381" s="11">
        <v>3700</v>
      </c>
      <c r="G381" s="13">
        <f t="shared" si="91"/>
        <v>0</v>
      </c>
      <c r="H381" s="7">
        <f t="shared" si="92"/>
        <v>0</v>
      </c>
      <c r="I381" s="8">
        <v>119.12776534176258</v>
      </c>
      <c r="J381" s="9">
        <f t="shared" si="93"/>
        <v>119.12776534176258</v>
      </c>
      <c r="K381" s="3">
        <f t="shared" si="94"/>
        <v>0</v>
      </c>
      <c r="L381" s="7">
        <f t="shared" si="95"/>
        <v>0</v>
      </c>
      <c r="M381" t="s">
        <v>7</v>
      </c>
      <c r="O381" s="3">
        <f>E381-'290710 - P1223'!F381</f>
        <v>0</v>
      </c>
      <c r="P381" s="30">
        <f>I381-'290710 - P1223'!J381</f>
        <v>0</v>
      </c>
    </row>
    <row r="382" spans="1:16" x14ac:dyDescent="0.25">
      <c r="A382">
        <v>380</v>
      </c>
      <c r="B382" t="s">
        <v>290</v>
      </c>
      <c r="C382" t="s">
        <v>365</v>
      </c>
      <c r="D382" s="4" t="s">
        <v>376</v>
      </c>
      <c r="E382" s="11">
        <v>3700</v>
      </c>
      <c r="F382" s="11">
        <v>3700</v>
      </c>
      <c r="G382" s="13">
        <f t="shared" si="91"/>
        <v>0</v>
      </c>
      <c r="H382" s="7">
        <f t="shared" si="92"/>
        <v>0</v>
      </c>
      <c r="I382" s="8">
        <v>208.45869530604656</v>
      </c>
      <c r="J382" s="9">
        <f t="shared" si="93"/>
        <v>208.45869530604656</v>
      </c>
      <c r="K382" s="3">
        <f t="shared" si="94"/>
        <v>0</v>
      </c>
      <c r="L382" s="7">
        <f t="shared" si="95"/>
        <v>0</v>
      </c>
      <c r="M382" t="s">
        <v>7</v>
      </c>
      <c r="O382" s="3">
        <f>E382-'290710 - P1223'!F382</f>
        <v>0</v>
      </c>
      <c r="P382" s="30">
        <f>I382-'290710 - P1223'!J382</f>
        <v>0</v>
      </c>
    </row>
    <row r="383" spans="1:16" x14ac:dyDescent="0.25">
      <c r="A383">
        <v>381</v>
      </c>
      <c r="B383" t="s">
        <v>303</v>
      </c>
      <c r="C383" t="s">
        <v>365</v>
      </c>
      <c r="D383" s="4" t="s">
        <v>377</v>
      </c>
      <c r="E383" s="11">
        <v>5269</v>
      </c>
      <c r="F383" s="11">
        <v>5269</v>
      </c>
      <c r="G383" s="13">
        <f t="shared" si="91"/>
        <v>0</v>
      </c>
      <c r="H383" s="7">
        <f t="shared" si="92"/>
        <v>0</v>
      </c>
      <c r="I383" s="8">
        <v>195.32781627941307</v>
      </c>
      <c r="J383" s="9">
        <f t="shared" si="93"/>
        <v>195.32781627941307</v>
      </c>
      <c r="K383" s="3">
        <f t="shared" si="94"/>
        <v>0</v>
      </c>
      <c r="L383" s="7">
        <f t="shared" si="95"/>
        <v>0</v>
      </c>
      <c r="M383" t="s">
        <v>7</v>
      </c>
      <c r="O383" s="3">
        <f>E383-'290710 - P1223'!F383</f>
        <v>0</v>
      </c>
      <c r="P383" s="30">
        <f>I383-'290710 - P1223'!J383</f>
        <v>0</v>
      </c>
    </row>
    <row r="384" spans="1:16" x14ac:dyDescent="0.25">
      <c r="A384">
        <v>382</v>
      </c>
      <c r="B384" t="s">
        <v>303</v>
      </c>
      <c r="C384" t="s">
        <v>365</v>
      </c>
      <c r="D384" s="4" t="s">
        <v>378</v>
      </c>
      <c r="E384" s="11">
        <v>5395</v>
      </c>
      <c r="F384" s="11">
        <v>5395</v>
      </c>
      <c r="G384" s="13">
        <f t="shared" si="91"/>
        <v>0</v>
      </c>
      <c r="H384" s="7">
        <f t="shared" si="92"/>
        <v>0</v>
      </c>
      <c r="I384" s="8">
        <v>519.78770475648537</v>
      </c>
      <c r="J384" s="9">
        <f t="shared" si="93"/>
        <v>519.78770475648537</v>
      </c>
      <c r="K384" s="3">
        <f t="shared" si="94"/>
        <v>0</v>
      </c>
      <c r="L384" s="7">
        <f t="shared" si="95"/>
        <v>0</v>
      </c>
      <c r="M384" t="s">
        <v>7</v>
      </c>
      <c r="O384" s="3">
        <f>E384-'290710 - P1223'!F384</f>
        <v>0</v>
      </c>
      <c r="P384" s="30">
        <f>I384-'290710 - P1223'!J384</f>
        <v>0</v>
      </c>
    </row>
    <row r="385" spans="1:16" x14ac:dyDescent="0.25">
      <c r="A385">
        <v>383</v>
      </c>
      <c r="B385" t="s">
        <v>290</v>
      </c>
      <c r="C385" t="s">
        <v>365</v>
      </c>
      <c r="D385" s="4" t="s">
        <v>379</v>
      </c>
      <c r="E385" s="11">
        <v>5200</v>
      </c>
      <c r="F385" s="11">
        <v>5200</v>
      </c>
      <c r="G385" s="13">
        <f t="shared" si="91"/>
        <v>0</v>
      </c>
      <c r="H385" s="7">
        <f t="shared" si="92"/>
        <v>0</v>
      </c>
      <c r="I385" s="8">
        <v>341.80468131321027</v>
      </c>
      <c r="J385" s="9">
        <f t="shared" si="93"/>
        <v>341.80468131321027</v>
      </c>
      <c r="K385" s="3">
        <f t="shared" si="94"/>
        <v>0</v>
      </c>
      <c r="L385" s="7">
        <f t="shared" si="95"/>
        <v>0</v>
      </c>
      <c r="M385" t="s">
        <v>7</v>
      </c>
      <c r="O385" s="3">
        <f>E385-'290710 - P1223'!F385</f>
        <v>0</v>
      </c>
      <c r="P385" s="30">
        <f>I385-'290710 - P1223'!J385</f>
        <v>0</v>
      </c>
    </row>
    <row r="386" spans="1:16" x14ac:dyDescent="0.25">
      <c r="A386">
        <v>384</v>
      </c>
      <c r="B386" t="s">
        <v>485</v>
      </c>
      <c r="C386" t="s">
        <v>343</v>
      </c>
      <c r="D386" s="4" t="s">
        <v>380</v>
      </c>
      <c r="E386" s="12">
        <v>8.6</v>
      </c>
      <c r="F386" s="11">
        <v>9.0500000000000007</v>
      </c>
      <c r="G386" s="13">
        <f t="shared" si="91"/>
        <v>0.45000000000000107</v>
      </c>
      <c r="H386" s="7">
        <f t="shared" si="92"/>
        <v>5.2325581395348965E-2</v>
      </c>
      <c r="I386" s="8">
        <v>10.406656000000002</v>
      </c>
      <c r="J386" s="9">
        <f t="shared" si="93"/>
        <v>10.951190325581399</v>
      </c>
      <c r="K386" s="3">
        <f t="shared" si="94"/>
        <v>0.54453432558139703</v>
      </c>
      <c r="L386" s="7">
        <f t="shared" si="95"/>
        <v>5.2325581395348993E-2</v>
      </c>
      <c r="M386" t="s">
        <v>121</v>
      </c>
      <c r="O386" s="3">
        <f>E386-'290710 - P1223'!F386</f>
        <v>0</v>
      </c>
      <c r="P386" s="30">
        <f>I386-'290710 - P1223'!J386</f>
        <v>0</v>
      </c>
    </row>
    <row r="387" spans="1:16" x14ac:dyDescent="0.25">
      <c r="A387">
        <v>385</v>
      </c>
      <c r="B387" t="s">
        <v>290</v>
      </c>
      <c r="C387" t="s">
        <v>343</v>
      </c>
      <c r="D387" s="4" t="s">
        <v>381</v>
      </c>
      <c r="E387" s="12">
        <v>16.510000000000002</v>
      </c>
      <c r="F387" s="11">
        <v>17.38</v>
      </c>
      <c r="G387" s="13">
        <f t="shared" si="91"/>
        <v>0.86999999999999744</v>
      </c>
      <c r="H387" s="7">
        <f t="shared" si="92"/>
        <v>5.2695336159902927E-2</v>
      </c>
      <c r="I387" s="8">
        <v>19.966543999999999</v>
      </c>
      <c r="J387" s="9">
        <f t="shared" si="93"/>
        <v>21.018687748031493</v>
      </c>
      <c r="K387" s="3">
        <f t="shared" si="94"/>
        <v>1.0521437480314937</v>
      </c>
      <c r="L387" s="7">
        <f t="shared" si="95"/>
        <v>5.2695336159902975E-2</v>
      </c>
      <c r="M387" t="s">
        <v>121</v>
      </c>
      <c r="O387" s="3">
        <f>E387-'290710 - P1223'!F387</f>
        <v>0</v>
      </c>
      <c r="P387" s="30">
        <f>I387-'290710 - P1223'!J387</f>
        <v>0</v>
      </c>
    </row>
    <row r="388" spans="1:16" x14ac:dyDescent="0.25">
      <c r="A388">
        <v>386</v>
      </c>
      <c r="B388" t="s">
        <v>481</v>
      </c>
      <c r="C388" s="28" t="s">
        <v>382</v>
      </c>
      <c r="D388" s="4" t="s">
        <v>383</v>
      </c>
      <c r="E388" s="14">
        <v>112.02</v>
      </c>
      <c r="F388" s="14">
        <v>112.02</v>
      </c>
      <c r="G388" s="6">
        <f t="shared" si="91"/>
        <v>0</v>
      </c>
      <c r="H388" s="7">
        <f t="shared" si="92"/>
        <v>0</v>
      </c>
      <c r="I388" s="8">
        <v>334.74445542845763</v>
      </c>
      <c r="J388" s="9">
        <f t="shared" si="93"/>
        <v>334.74445542845763</v>
      </c>
      <c r="K388" s="3">
        <f t="shared" si="94"/>
        <v>0</v>
      </c>
      <c r="L388" s="7">
        <f t="shared" si="95"/>
        <v>0</v>
      </c>
      <c r="M388" t="s">
        <v>121</v>
      </c>
      <c r="O388" s="3">
        <f>E388-'290710 - P1223'!F388</f>
        <v>0</v>
      </c>
      <c r="P388" s="30">
        <f>I388-'290710 - P1223'!J388</f>
        <v>0</v>
      </c>
    </row>
    <row r="389" spans="1:16" x14ac:dyDescent="0.25">
      <c r="A389">
        <v>387</v>
      </c>
      <c r="B389" t="s">
        <v>482</v>
      </c>
      <c r="C389" s="28" t="s">
        <v>343</v>
      </c>
      <c r="D389" s="4" t="s">
        <v>384</v>
      </c>
      <c r="E389" s="11">
        <v>35.4</v>
      </c>
      <c r="F389" s="11">
        <v>35.4</v>
      </c>
      <c r="G389" s="6">
        <f t="shared" si="91"/>
        <v>0</v>
      </c>
      <c r="H389" s="7">
        <f t="shared" si="92"/>
        <v>0</v>
      </c>
      <c r="I389" s="8">
        <v>53.73333333333332</v>
      </c>
      <c r="J389" s="9">
        <f t="shared" si="93"/>
        <v>53.73333333333332</v>
      </c>
      <c r="K389" s="3">
        <f t="shared" si="94"/>
        <v>0</v>
      </c>
      <c r="L389" s="7">
        <f t="shared" si="95"/>
        <v>0</v>
      </c>
      <c r="M389" t="s">
        <v>150</v>
      </c>
      <c r="O389" s="3">
        <f>E389-'290710 - P1223'!F389</f>
        <v>0</v>
      </c>
      <c r="P389" s="30">
        <f>I389-'290710 - P1223'!J389</f>
        <v>0</v>
      </c>
    </row>
    <row r="390" spans="1:16" x14ac:dyDescent="0.25">
      <c r="A390">
        <v>388</v>
      </c>
      <c r="B390" t="s">
        <v>476</v>
      </c>
      <c r="C390" s="28" t="s">
        <v>385</v>
      </c>
      <c r="D390" s="4" t="s">
        <v>386</v>
      </c>
      <c r="E390" s="11">
        <v>70.2</v>
      </c>
      <c r="F390" s="11">
        <v>70.2</v>
      </c>
      <c r="G390" s="6">
        <f t="shared" si="91"/>
        <v>0</v>
      </c>
      <c r="H390" s="7">
        <f t="shared" si="92"/>
        <v>0</v>
      </c>
      <c r="I390" s="8">
        <v>114.84819573542534</v>
      </c>
      <c r="J390" s="9">
        <f t="shared" si="93"/>
        <v>114.84819573542534</v>
      </c>
      <c r="K390" s="3">
        <f t="shared" si="94"/>
        <v>0</v>
      </c>
      <c r="L390" s="7">
        <f t="shared" si="95"/>
        <v>0</v>
      </c>
      <c r="M390" t="s">
        <v>150</v>
      </c>
      <c r="O390" s="3">
        <f>E390-'290710 - P1223'!F390</f>
        <v>0</v>
      </c>
      <c r="P390" s="30">
        <f>I390-'290710 - P1223'!J390</f>
        <v>0</v>
      </c>
    </row>
    <row r="391" spans="1:16" x14ac:dyDescent="0.25">
      <c r="A391">
        <v>389</v>
      </c>
      <c r="B391" t="s">
        <v>445</v>
      </c>
      <c r="C391" s="28" t="s">
        <v>351</v>
      </c>
      <c r="D391" s="4" t="s">
        <v>500</v>
      </c>
      <c r="E391" s="11">
        <v>208</v>
      </c>
      <c r="F391" s="11">
        <v>208</v>
      </c>
      <c r="G391" s="6">
        <f t="shared" si="91"/>
        <v>0</v>
      </c>
      <c r="H391" s="7">
        <f t="shared" si="92"/>
        <v>0</v>
      </c>
      <c r="I391" s="8">
        <v>297.15636363636361</v>
      </c>
      <c r="J391" s="9">
        <f t="shared" si="93"/>
        <v>297.15636363636361</v>
      </c>
      <c r="K391" s="3">
        <f t="shared" si="94"/>
        <v>0</v>
      </c>
      <c r="L391" s="7">
        <f t="shared" si="95"/>
        <v>0</v>
      </c>
      <c r="M391" t="s">
        <v>150</v>
      </c>
      <c r="O391" s="3">
        <f>E391-'290710 - P1223'!F391</f>
        <v>0</v>
      </c>
      <c r="P391" s="30">
        <f>I391-'290710 - P1223'!J391</f>
        <v>0</v>
      </c>
    </row>
    <row r="392" spans="1:16" x14ac:dyDescent="0.25">
      <c r="A392">
        <v>390</v>
      </c>
      <c r="B392" t="s">
        <v>387</v>
      </c>
      <c r="C392" s="28" t="s">
        <v>351</v>
      </c>
      <c r="D392" s="4" t="s">
        <v>388</v>
      </c>
      <c r="E392" s="12">
        <v>13.11</v>
      </c>
      <c r="F392" s="12">
        <v>13.11</v>
      </c>
      <c r="G392" s="6">
        <f t="shared" si="91"/>
        <v>0</v>
      </c>
      <c r="H392" s="7">
        <f t="shared" si="92"/>
        <v>0</v>
      </c>
      <c r="I392" s="8">
        <v>15.06</v>
      </c>
      <c r="J392" s="9">
        <f t="shared" si="93"/>
        <v>15.06</v>
      </c>
      <c r="K392" s="3">
        <f t="shared" si="94"/>
        <v>0</v>
      </c>
      <c r="L392" s="7">
        <f t="shared" si="95"/>
        <v>0</v>
      </c>
      <c r="M392" t="s">
        <v>150</v>
      </c>
      <c r="O392" s="3">
        <f>E392-'290710 - P1223'!F392</f>
        <v>0</v>
      </c>
      <c r="P392" s="30">
        <f>I392-'290710 - P1223'!J392</f>
        <v>0</v>
      </c>
    </row>
    <row r="393" spans="1:16" x14ac:dyDescent="0.25">
      <c r="A393">
        <v>391</v>
      </c>
      <c r="B393" t="s">
        <v>387</v>
      </c>
      <c r="C393" s="28" t="s">
        <v>351</v>
      </c>
      <c r="D393" s="4" t="s">
        <v>389</v>
      </c>
      <c r="E393" s="12">
        <v>27.99</v>
      </c>
      <c r="F393" s="12">
        <v>27.99</v>
      </c>
      <c r="G393" s="6">
        <f t="shared" si="91"/>
        <v>0</v>
      </c>
      <c r="H393" s="7">
        <f t="shared" si="92"/>
        <v>0</v>
      </c>
      <c r="I393" s="8">
        <v>32.15</v>
      </c>
      <c r="J393" s="9">
        <f t="shared" si="93"/>
        <v>32.15</v>
      </c>
      <c r="K393" s="3">
        <f t="shared" si="94"/>
        <v>0</v>
      </c>
      <c r="L393" s="7">
        <f t="shared" si="95"/>
        <v>0</v>
      </c>
      <c r="M393" t="s">
        <v>150</v>
      </c>
      <c r="O393" s="3">
        <f>E393-'290710 - P1223'!F393</f>
        <v>0</v>
      </c>
      <c r="P393" s="30">
        <f>I393-'290710 - P1223'!J393</f>
        <v>0</v>
      </c>
    </row>
    <row r="394" spans="1:16" x14ac:dyDescent="0.25">
      <c r="A394">
        <v>392</v>
      </c>
      <c r="B394" t="s">
        <v>387</v>
      </c>
      <c r="C394" s="28" t="s">
        <v>351</v>
      </c>
      <c r="D394" s="4" t="s">
        <v>390</v>
      </c>
      <c r="E394" s="12">
        <v>24.27</v>
      </c>
      <c r="F394" s="12">
        <v>24.27</v>
      </c>
      <c r="G394" s="6">
        <f t="shared" si="91"/>
        <v>0</v>
      </c>
      <c r="H394" s="7">
        <f t="shared" si="92"/>
        <v>0</v>
      </c>
      <c r="I394" s="8">
        <v>27.88</v>
      </c>
      <c r="J394" s="9">
        <f t="shared" si="93"/>
        <v>27.88</v>
      </c>
      <c r="K394" s="3">
        <f t="shared" si="94"/>
        <v>0</v>
      </c>
      <c r="L394" s="7">
        <f t="shared" si="95"/>
        <v>0</v>
      </c>
      <c r="M394" t="s">
        <v>150</v>
      </c>
      <c r="O394" s="3">
        <f>E394-'290710 - P1223'!F394</f>
        <v>0</v>
      </c>
      <c r="P394" s="30">
        <f>I394-'290710 - P1223'!J394</f>
        <v>0</v>
      </c>
    </row>
    <row r="395" spans="1:16" x14ac:dyDescent="0.25">
      <c r="A395">
        <v>393</v>
      </c>
      <c r="C395" s="28"/>
      <c r="D395" s="2" t="s">
        <v>391</v>
      </c>
      <c r="M395" t="s">
        <v>150</v>
      </c>
    </row>
    <row r="396" spans="1:16" x14ac:dyDescent="0.25">
      <c r="A396">
        <v>394</v>
      </c>
      <c r="B396" t="s">
        <v>322</v>
      </c>
      <c r="C396" s="28" t="s">
        <v>354</v>
      </c>
      <c r="D396" s="4" t="s">
        <v>392</v>
      </c>
      <c r="E396" s="12">
        <v>3.7791000000000001</v>
      </c>
      <c r="F396" s="12">
        <v>3.7791000000000001</v>
      </c>
      <c r="G396" s="6">
        <f t="shared" ref="G396:G413" si="96">+F396-E396</f>
        <v>0</v>
      </c>
      <c r="H396" s="7">
        <f t="shared" ref="H396:H413" si="97">(F396-E396)/ABS(E396)</f>
        <v>0</v>
      </c>
      <c r="I396" s="8">
        <v>7.5582000000000003</v>
      </c>
      <c r="J396" s="9">
        <f t="shared" ref="J396:J413" si="98">(I396*H396)+I396</f>
        <v>7.5582000000000003</v>
      </c>
      <c r="K396" s="3">
        <f t="shared" ref="K396:K413" si="99">J396-I396</f>
        <v>0</v>
      </c>
      <c r="L396" s="7">
        <f t="shared" ref="L396:L413" si="100">(J396-I396)/ABS(I396)</f>
        <v>0</v>
      </c>
      <c r="M396" t="s">
        <v>150</v>
      </c>
      <c r="O396" s="3">
        <f>E396-'290710 - P1223'!F396</f>
        <v>0</v>
      </c>
      <c r="P396" s="30">
        <f>I396-'290710 - P1223'!J396</f>
        <v>0</v>
      </c>
    </row>
    <row r="397" spans="1:16" x14ac:dyDescent="0.25">
      <c r="A397">
        <v>395</v>
      </c>
      <c r="B397" t="s">
        <v>476</v>
      </c>
      <c r="C397" s="28" t="s">
        <v>354</v>
      </c>
      <c r="D397" s="4" t="s">
        <v>393</v>
      </c>
      <c r="E397" s="12">
        <v>1.81</v>
      </c>
      <c r="F397" s="12">
        <v>1.81</v>
      </c>
      <c r="G397" s="6">
        <f t="shared" si="96"/>
        <v>0</v>
      </c>
      <c r="H397" s="7">
        <f t="shared" si="97"/>
        <v>0</v>
      </c>
      <c r="I397" s="8">
        <v>3.62</v>
      </c>
      <c r="J397" s="9">
        <f t="shared" si="98"/>
        <v>3.62</v>
      </c>
      <c r="K397" s="3">
        <f t="shared" si="99"/>
        <v>0</v>
      </c>
      <c r="L397" s="7">
        <f t="shared" si="100"/>
        <v>0</v>
      </c>
      <c r="M397" t="s">
        <v>150</v>
      </c>
      <c r="O397" s="3">
        <f>E397-'290710 - P1223'!F397</f>
        <v>0</v>
      </c>
      <c r="P397" s="30">
        <f>I397-'290710 - P1223'!J397</f>
        <v>0</v>
      </c>
    </row>
    <row r="398" spans="1:16" x14ac:dyDescent="0.25">
      <c r="A398">
        <v>396</v>
      </c>
      <c r="B398" t="s">
        <v>480</v>
      </c>
      <c r="C398" s="28" t="s">
        <v>354</v>
      </c>
      <c r="D398" s="4" t="s">
        <v>394</v>
      </c>
      <c r="E398" s="12">
        <v>3.01</v>
      </c>
      <c r="F398" s="12">
        <v>3.01</v>
      </c>
      <c r="G398" s="6">
        <f t="shared" si="96"/>
        <v>0</v>
      </c>
      <c r="H398" s="7">
        <f t="shared" si="97"/>
        <v>0</v>
      </c>
      <c r="I398" s="8">
        <v>6.02</v>
      </c>
      <c r="J398" s="9">
        <f t="shared" si="98"/>
        <v>6.02</v>
      </c>
      <c r="K398" s="3">
        <f t="shared" si="99"/>
        <v>0</v>
      </c>
      <c r="L398" s="7">
        <f t="shared" si="100"/>
        <v>0</v>
      </c>
      <c r="M398" t="s">
        <v>150</v>
      </c>
      <c r="O398" s="3">
        <f>E398-'290710 - P1223'!F398</f>
        <v>0</v>
      </c>
      <c r="P398" s="30">
        <f>I398-'290710 - P1223'!J398</f>
        <v>0</v>
      </c>
    </row>
    <row r="399" spans="1:16" x14ac:dyDescent="0.25">
      <c r="A399">
        <v>397</v>
      </c>
      <c r="B399" t="s">
        <v>470</v>
      </c>
      <c r="C399" s="28" t="s">
        <v>354</v>
      </c>
      <c r="D399" s="4" t="s">
        <v>395</v>
      </c>
      <c r="E399" s="12">
        <v>27.08</v>
      </c>
      <c r="F399" s="12">
        <v>27.08</v>
      </c>
      <c r="G399" s="6">
        <f t="shared" si="96"/>
        <v>0</v>
      </c>
      <c r="H399" s="7">
        <f t="shared" si="97"/>
        <v>0</v>
      </c>
      <c r="I399" s="8">
        <v>54.16</v>
      </c>
      <c r="J399" s="9">
        <f t="shared" si="98"/>
        <v>54.16</v>
      </c>
      <c r="K399" s="3">
        <f t="shared" si="99"/>
        <v>0</v>
      </c>
      <c r="L399" s="7">
        <f t="shared" si="100"/>
        <v>0</v>
      </c>
      <c r="M399" t="s">
        <v>150</v>
      </c>
      <c r="O399" s="3">
        <f>E399-'290710 - P1223'!F399</f>
        <v>0</v>
      </c>
      <c r="P399" s="30">
        <f>I399-'290710 - P1223'!J399</f>
        <v>0</v>
      </c>
    </row>
    <row r="400" spans="1:16" x14ac:dyDescent="0.25">
      <c r="A400">
        <v>398</v>
      </c>
      <c r="B400" t="s">
        <v>303</v>
      </c>
      <c r="C400" s="28" t="s">
        <v>354</v>
      </c>
      <c r="D400" s="4" t="s">
        <v>396</v>
      </c>
      <c r="E400" s="12">
        <v>18.07</v>
      </c>
      <c r="F400" s="12">
        <v>18.07</v>
      </c>
      <c r="G400" s="6">
        <f t="shared" si="96"/>
        <v>0</v>
      </c>
      <c r="H400" s="7">
        <f t="shared" si="97"/>
        <v>0</v>
      </c>
      <c r="I400" s="8">
        <v>32.273257621040045</v>
      </c>
      <c r="J400" s="9">
        <f t="shared" si="98"/>
        <v>32.273257621040045</v>
      </c>
      <c r="K400" s="3">
        <f t="shared" si="99"/>
        <v>0</v>
      </c>
      <c r="L400" s="7">
        <f t="shared" si="100"/>
        <v>0</v>
      </c>
      <c r="M400" t="s">
        <v>150</v>
      </c>
      <c r="O400" s="3">
        <f>E400-'290710 - P1223'!F400</f>
        <v>0</v>
      </c>
      <c r="P400" s="30">
        <f>I400-'290710 - P1223'!J400</f>
        <v>0</v>
      </c>
    </row>
    <row r="401" spans="1:16" x14ac:dyDescent="0.25">
      <c r="A401">
        <v>399</v>
      </c>
      <c r="B401" t="s">
        <v>303</v>
      </c>
      <c r="C401" s="28" t="s">
        <v>354</v>
      </c>
      <c r="D401" s="4" t="s">
        <v>397</v>
      </c>
      <c r="E401" s="12">
        <v>11.92</v>
      </c>
      <c r="F401" s="12">
        <v>11.92</v>
      </c>
      <c r="G401" s="6">
        <f t="shared" si="96"/>
        <v>0</v>
      </c>
      <c r="H401" s="7">
        <f t="shared" si="97"/>
        <v>0</v>
      </c>
      <c r="I401" s="8">
        <v>23.863213242453746</v>
      </c>
      <c r="J401" s="9">
        <f t="shared" si="98"/>
        <v>23.863213242453746</v>
      </c>
      <c r="K401" s="3">
        <f t="shared" si="99"/>
        <v>0</v>
      </c>
      <c r="L401" s="7">
        <f t="shared" si="100"/>
        <v>0</v>
      </c>
      <c r="M401" t="s">
        <v>150</v>
      </c>
      <c r="O401" s="3">
        <f>E401-'290710 - P1223'!F401</f>
        <v>0</v>
      </c>
      <c r="P401" s="30">
        <f>I401-'290710 - P1223'!J401</f>
        <v>0</v>
      </c>
    </row>
    <row r="402" spans="1:16" x14ac:dyDescent="0.25">
      <c r="A402">
        <v>400</v>
      </c>
      <c r="B402" t="s">
        <v>303</v>
      </c>
      <c r="C402" s="28" t="s">
        <v>354</v>
      </c>
      <c r="D402" s="4" t="s">
        <v>398</v>
      </c>
      <c r="E402" s="12">
        <v>12.97</v>
      </c>
      <c r="F402" s="12">
        <v>12.97</v>
      </c>
      <c r="G402" s="6">
        <f t="shared" si="96"/>
        <v>0</v>
      </c>
      <c r="H402" s="7">
        <f t="shared" si="97"/>
        <v>0</v>
      </c>
      <c r="I402" s="8">
        <v>25.96322291853178</v>
      </c>
      <c r="J402" s="9">
        <f t="shared" si="98"/>
        <v>25.96322291853178</v>
      </c>
      <c r="K402" s="3">
        <f t="shared" si="99"/>
        <v>0</v>
      </c>
      <c r="L402" s="7">
        <f t="shared" si="100"/>
        <v>0</v>
      </c>
      <c r="M402" t="s">
        <v>150</v>
      </c>
      <c r="O402" s="3">
        <f>E402-'290710 - P1223'!F402</f>
        <v>0</v>
      </c>
      <c r="P402" s="30">
        <f>I402-'290710 - P1223'!J402</f>
        <v>0</v>
      </c>
    </row>
    <row r="403" spans="1:16" x14ac:dyDescent="0.25">
      <c r="A403">
        <v>401</v>
      </c>
      <c r="B403" t="s">
        <v>475</v>
      </c>
      <c r="C403" s="28" t="s">
        <v>354</v>
      </c>
      <c r="D403" s="4" t="s">
        <v>399</v>
      </c>
      <c r="E403" s="12">
        <v>51.3</v>
      </c>
      <c r="F403" s="12">
        <v>51.3</v>
      </c>
      <c r="G403" s="6">
        <f t="shared" si="96"/>
        <v>0</v>
      </c>
      <c r="H403" s="7">
        <f t="shared" si="97"/>
        <v>0</v>
      </c>
      <c r="I403" s="8">
        <v>102.6</v>
      </c>
      <c r="J403" s="9">
        <f t="shared" si="98"/>
        <v>102.6</v>
      </c>
      <c r="K403" s="3">
        <f t="shared" si="99"/>
        <v>0</v>
      </c>
      <c r="L403" s="7">
        <f t="shared" si="100"/>
        <v>0</v>
      </c>
      <c r="M403" t="s">
        <v>150</v>
      </c>
      <c r="O403" s="3">
        <f>E403-'290710 - P1223'!F403</f>
        <v>0</v>
      </c>
      <c r="P403" s="30">
        <f>I403-'290710 - P1223'!J403</f>
        <v>0</v>
      </c>
    </row>
    <row r="404" spans="1:16" x14ac:dyDescent="0.25">
      <c r="A404">
        <v>402</v>
      </c>
      <c r="B404" t="s">
        <v>479</v>
      </c>
      <c r="C404" s="28" t="s">
        <v>354</v>
      </c>
      <c r="D404" s="4" t="s">
        <v>400</v>
      </c>
      <c r="E404" s="12">
        <v>21.37</v>
      </c>
      <c r="F404" s="12">
        <v>21.37</v>
      </c>
      <c r="G404" s="6">
        <f t="shared" si="96"/>
        <v>0</v>
      </c>
      <c r="H404" s="7">
        <f t="shared" si="97"/>
        <v>0</v>
      </c>
      <c r="I404" s="8">
        <v>42.74</v>
      </c>
      <c r="J404" s="9">
        <f t="shared" si="98"/>
        <v>42.74</v>
      </c>
      <c r="K404" s="3">
        <f t="shared" si="99"/>
        <v>0</v>
      </c>
      <c r="L404" s="7">
        <f t="shared" si="100"/>
        <v>0</v>
      </c>
      <c r="M404" t="s">
        <v>150</v>
      </c>
      <c r="O404" s="3">
        <f>E404-'290710 - P1223'!F404</f>
        <v>0</v>
      </c>
      <c r="P404" s="30">
        <f>I404-'290710 - P1223'!J404</f>
        <v>0</v>
      </c>
    </row>
    <row r="405" spans="1:16" x14ac:dyDescent="0.25">
      <c r="A405">
        <v>403</v>
      </c>
      <c r="B405" t="s">
        <v>476</v>
      </c>
      <c r="C405" s="28" t="s">
        <v>354</v>
      </c>
      <c r="D405" s="4" t="s">
        <v>401</v>
      </c>
      <c r="E405" s="12">
        <v>37.51</v>
      </c>
      <c r="F405" s="12">
        <v>37.51</v>
      </c>
      <c r="G405" s="6">
        <f t="shared" si="96"/>
        <v>0</v>
      </c>
      <c r="H405" s="7">
        <f t="shared" si="97"/>
        <v>0</v>
      </c>
      <c r="I405" s="8">
        <v>75.02</v>
      </c>
      <c r="J405" s="9">
        <f t="shared" si="98"/>
        <v>75.02</v>
      </c>
      <c r="K405" s="3">
        <f t="shared" si="99"/>
        <v>0</v>
      </c>
      <c r="L405" s="7">
        <f t="shared" si="100"/>
        <v>0</v>
      </c>
      <c r="M405" t="s">
        <v>150</v>
      </c>
      <c r="O405" s="3">
        <f>E405-'290710 - P1223'!F405</f>
        <v>0</v>
      </c>
      <c r="P405" s="30">
        <f>I405-'290710 - P1223'!J405</f>
        <v>0</v>
      </c>
    </row>
    <row r="406" spans="1:16" x14ac:dyDescent="0.25">
      <c r="A406">
        <v>404</v>
      </c>
      <c r="B406" t="s">
        <v>476</v>
      </c>
      <c r="C406" s="28" t="s">
        <v>354</v>
      </c>
      <c r="D406" s="4" t="s">
        <v>402</v>
      </c>
      <c r="E406" s="12">
        <v>1.79</v>
      </c>
      <c r="F406" s="12">
        <v>1.79</v>
      </c>
      <c r="G406" s="6">
        <f t="shared" si="96"/>
        <v>0</v>
      </c>
      <c r="H406" s="7">
        <f t="shared" si="97"/>
        <v>0</v>
      </c>
      <c r="I406" s="8">
        <v>4</v>
      </c>
      <c r="J406" s="9">
        <f t="shared" si="98"/>
        <v>4</v>
      </c>
      <c r="K406" s="3">
        <f t="shared" si="99"/>
        <v>0</v>
      </c>
      <c r="L406" s="7">
        <f t="shared" si="100"/>
        <v>0</v>
      </c>
      <c r="M406" t="s">
        <v>150</v>
      </c>
      <c r="O406" s="3">
        <f>E406-'290710 - P1223'!F406</f>
        <v>0</v>
      </c>
      <c r="P406" s="30">
        <f>I406-'290710 - P1223'!J406</f>
        <v>0</v>
      </c>
    </row>
    <row r="407" spans="1:16" x14ac:dyDescent="0.25">
      <c r="A407">
        <v>405</v>
      </c>
      <c r="B407" t="s">
        <v>476</v>
      </c>
      <c r="C407" s="28" t="s">
        <v>354</v>
      </c>
      <c r="D407" s="4" t="s">
        <v>403</v>
      </c>
      <c r="E407" s="12">
        <v>2.4700000000000002</v>
      </c>
      <c r="F407" s="12">
        <v>2.4700000000000002</v>
      </c>
      <c r="G407" s="6">
        <f t="shared" si="96"/>
        <v>0</v>
      </c>
      <c r="H407" s="7">
        <f t="shared" si="97"/>
        <v>0</v>
      </c>
      <c r="I407" s="8">
        <v>5</v>
      </c>
      <c r="J407" s="9">
        <f t="shared" si="98"/>
        <v>5</v>
      </c>
      <c r="K407" s="3">
        <f t="shared" si="99"/>
        <v>0</v>
      </c>
      <c r="L407" s="7">
        <f t="shared" si="100"/>
        <v>0</v>
      </c>
      <c r="M407" t="s">
        <v>150</v>
      </c>
      <c r="O407" s="3">
        <f>E407-'290710 - P1223'!F407</f>
        <v>0</v>
      </c>
      <c r="P407" s="30">
        <f>I407-'290710 - P1223'!J407</f>
        <v>0</v>
      </c>
    </row>
    <row r="408" spans="1:16" x14ac:dyDescent="0.25">
      <c r="A408">
        <v>406</v>
      </c>
      <c r="B408" t="s">
        <v>474</v>
      </c>
      <c r="C408" s="28" t="s">
        <v>354</v>
      </c>
      <c r="D408" s="4" t="s">
        <v>404</v>
      </c>
      <c r="E408" s="12">
        <v>6.48</v>
      </c>
      <c r="F408" s="12">
        <v>6.48</v>
      </c>
      <c r="G408" s="6">
        <f t="shared" si="96"/>
        <v>0</v>
      </c>
      <c r="H408" s="7">
        <f t="shared" si="97"/>
        <v>0</v>
      </c>
      <c r="I408" s="8">
        <v>12.96</v>
      </c>
      <c r="J408" s="9">
        <f t="shared" si="98"/>
        <v>12.96</v>
      </c>
      <c r="K408" s="3">
        <f t="shared" si="99"/>
        <v>0</v>
      </c>
      <c r="L408" s="7">
        <f t="shared" si="100"/>
        <v>0</v>
      </c>
      <c r="M408" t="s">
        <v>150</v>
      </c>
      <c r="O408" s="3">
        <f>E408-'290710 - P1223'!F408</f>
        <v>0</v>
      </c>
      <c r="P408" s="30">
        <f>I408-'290710 - P1223'!J408</f>
        <v>0</v>
      </c>
    </row>
    <row r="409" spans="1:16" x14ac:dyDescent="0.25">
      <c r="A409">
        <v>407</v>
      </c>
      <c r="B409" t="s">
        <v>474</v>
      </c>
      <c r="C409" s="28" t="s">
        <v>354</v>
      </c>
      <c r="D409" s="4" t="s">
        <v>405</v>
      </c>
      <c r="E409" s="12">
        <v>10.78</v>
      </c>
      <c r="F409" s="12">
        <v>10.78</v>
      </c>
      <c r="G409" s="6">
        <f t="shared" si="96"/>
        <v>0</v>
      </c>
      <c r="H409" s="7">
        <f t="shared" si="97"/>
        <v>0</v>
      </c>
      <c r="I409" s="8">
        <v>21.56</v>
      </c>
      <c r="J409" s="9">
        <f t="shared" si="98"/>
        <v>21.56</v>
      </c>
      <c r="K409" s="3">
        <f t="shared" si="99"/>
        <v>0</v>
      </c>
      <c r="L409" s="7">
        <f t="shared" si="100"/>
        <v>0</v>
      </c>
      <c r="M409" t="s">
        <v>150</v>
      </c>
      <c r="O409" s="3">
        <f>E409-'290710 - P1223'!F409</f>
        <v>0</v>
      </c>
      <c r="P409" s="30">
        <f>I409-'290710 - P1223'!J409</f>
        <v>0</v>
      </c>
    </row>
    <row r="410" spans="1:16" x14ac:dyDescent="0.25">
      <c r="A410">
        <v>408</v>
      </c>
      <c r="B410" t="s">
        <v>474</v>
      </c>
      <c r="C410" s="28" t="s">
        <v>354</v>
      </c>
      <c r="D410" s="4" t="s">
        <v>406</v>
      </c>
      <c r="E410" s="12">
        <v>13.22</v>
      </c>
      <c r="F410" s="12">
        <v>13.22</v>
      </c>
      <c r="G410" s="6">
        <f t="shared" si="96"/>
        <v>0</v>
      </c>
      <c r="H410" s="7">
        <f t="shared" si="97"/>
        <v>0</v>
      </c>
      <c r="I410" s="8">
        <v>26.44</v>
      </c>
      <c r="J410" s="9">
        <f t="shared" si="98"/>
        <v>26.44</v>
      </c>
      <c r="K410" s="3">
        <f t="shared" si="99"/>
        <v>0</v>
      </c>
      <c r="L410" s="7">
        <f t="shared" si="100"/>
        <v>0</v>
      </c>
      <c r="M410" t="s">
        <v>150</v>
      </c>
      <c r="O410" s="3">
        <f>E410-'290710 - P1223'!F410</f>
        <v>0</v>
      </c>
      <c r="P410" s="30">
        <f>I410-'290710 - P1223'!J410</f>
        <v>0</v>
      </c>
    </row>
    <row r="411" spans="1:16" x14ac:dyDescent="0.25">
      <c r="A411">
        <v>409</v>
      </c>
      <c r="B411" t="s">
        <v>476</v>
      </c>
      <c r="C411" s="28" t="s">
        <v>354</v>
      </c>
      <c r="D411" s="4" t="s">
        <v>407</v>
      </c>
      <c r="E411" s="12">
        <v>14.72</v>
      </c>
      <c r="F411" s="12">
        <v>14.72</v>
      </c>
      <c r="G411" s="6">
        <f t="shared" si="96"/>
        <v>0</v>
      </c>
      <c r="H411" s="7">
        <f t="shared" si="97"/>
        <v>0</v>
      </c>
      <c r="I411" s="8">
        <v>29.44</v>
      </c>
      <c r="J411" s="9">
        <f t="shared" si="98"/>
        <v>29.44</v>
      </c>
      <c r="K411" s="3">
        <f t="shared" si="99"/>
        <v>0</v>
      </c>
      <c r="L411" s="7">
        <f t="shared" si="100"/>
        <v>0</v>
      </c>
      <c r="M411" t="s">
        <v>150</v>
      </c>
      <c r="O411" s="3">
        <f>E411-'290710 - P1223'!F411</f>
        <v>0</v>
      </c>
      <c r="P411" s="30">
        <f>I411-'290710 - P1223'!J411</f>
        <v>0</v>
      </c>
    </row>
    <row r="412" spans="1:16" x14ac:dyDescent="0.25">
      <c r="A412">
        <v>410</v>
      </c>
      <c r="B412" t="s">
        <v>476</v>
      </c>
      <c r="C412" s="28" t="s">
        <v>354</v>
      </c>
      <c r="D412" s="4" t="s">
        <v>408</v>
      </c>
      <c r="E412" s="12">
        <v>3.74</v>
      </c>
      <c r="F412" s="12">
        <v>3.74</v>
      </c>
      <c r="G412" s="6">
        <f t="shared" si="96"/>
        <v>0</v>
      </c>
      <c r="H412" s="7">
        <f t="shared" si="97"/>
        <v>0</v>
      </c>
      <c r="I412" s="8">
        <v>7.48</v>
      </c>
      <c r="J412" s="9">
        <f t="shared" si="98"/>
        <v>7.48</v>
      </c>
      <c r="K412" s="3">
        <f t="shared" si="99"/>
        <v>0</v>
      </c>
      <c r="L412" s="7">
        <f t="shared" si="100"/>
        <v>0</v>
      </c>
      <c r="M412" t="s">
        <v>150</v>
      </c>
      <c r="O412" s="3">
        <f>E412-'290710 - P1223'!F412</f>
        <v>0</v>
      </c>
      <c r="P412" s="30">
        <f>I412-'290710 - P1223'!J412</f>
        <v>0</v>
      </c>
    </row>
    <row r="413" spans="1:16" x14ac:dyDescent="0.25">
      <c r="A413">
        <v>411</v>
      </c>
      <c r="B413" t="s">
        <v>476</v>
      </c>
      <c r="C413" s="28" t="s">
        <v>354</v>
      </c>
      <c r="D413" s="4" t="s">
        <v>409</v>
      </c>
      <c r="E413" s="12">
        <v>5.12</v>
      </c>
      <c r="F413" s="12">
        <v>5.12</v>
      </c>
      <c r="G413" s="6">
        <f t="shared" si="96"/>
        <v>0</v>
      </c>
      <c r="H413" s="7">
        <f t="shared" si="97"/>
        <v>0</v>
      </c>
      <c r="I413" s="8">
        <v>10.24</v>
      </c>
      <c r="J413" s="9">
        <f t="shared" si="98"/>
        <v>10.24</v>
      </c>
      <c r="K413" s="3">
        <f t="shared" si="99"/>
        <v>0</v>
      </c>
      <c r="L413" s="7">
        <f t="shared" si="100"/>
        <v>0</v>
      </c>
      <c r="M413" t="s">
        <v>150</v>
      </c>
      <c r="O413" s="3">
        <f>E413-'290710 - P1223'!F413</f>
        <v>0</v>
      </c>
      <c r="P413" s="30">
        <f>I413-'290710 - P1223'!J413</f>
        <v>0</v>
      </c>
    </row>
    <row r="414" spans="1:16" x14ac:dyDescent="0.25">
      <c r="A414">
        <v>412</v>
      </c>
      <c r="D414" s="2" t="s">
        <v>410</v>
      </c>
      <c r="H414" s="10">
        <f>AVERAGE(H349:H410)</f>
        <v>1.2011071158015551E-3</v>
      </c>
    </row>
    <row r="415" spans="1:16" x14ac:dyDescent="0.25">
      <c r="D415" s="2" t="s">
        <v>411</v>
      </c>
    </row>
    <row r="416" spans="1:16" x14ac:dyDescent="0.25">
      <c r="D416" s="17" t="s">
        <v>412</v>
      </c>
      <c r="E416" s="5">
        <v>523</v>
      </c>
      <c r="F416" s="5">
        <v>560</v>
      </c>
      <c r="G416" s="6">
        <f t="shared" ref="G416:G425" si="101">+F416-E416</f>
        <v>37</v>
      </c>
      <c r="H416" s="7">
        <f t="shared" ref="H416:H425" si="102">(F416-E416)/ABS(E416)</f>
        <v>7.0745697896749518E-2</v>
      </c>
      <c r="J416" s="3"/>
      <c r="K416" s="3"/>
      <c r="L416" s="7"/>
    </row>
    <row r="417" spans="1:16" x14ac:dyDescent="0.25">
      <c r="D417" s="17" t="s">
        <v>413</v>
      </c>
      <c r="E417" s="5">
        <v>470</v>
      </c>
      <c r="F417" s="5">
        <v>522</v>
      </c>
      <c r="G417" s="6">
        <f t="shared" si="101"/>
        <v>52</v>
      </c>
      <c r="H417" s="7">
        <f t="shared" si="102"/>
        <v>0.11063829787234042</v>
      </c>
      <c r="J417" s="3"/>
      <c r="K417" s="3"/>
      <c r="L417" s="7"/>
    </row>
    <row r="418" spans="1:16" x14ac:dyDescent="0.25">
      <c r="D418" s="17" t="s">
        <v>414</v>
      </c>
      <c r="E418" s="5">
        <v>848</v>
      </c>
      <c r="F418" s="5">
        <v>863</v>
      </c>
      <c r="G418" s="6">
        <f t="shared" si="101"/>
        <v>15</v>
      </c>
      <c r="H418" s="7">
        <f t="shared" si="102"/>
        <v>1.7688679245283018E-2</v>
      </c>
      <c r="J418" s="3"/>
      <c r="K418" s="3"/>
      <c r="L418" s="7"/>
    </row>
    <row r="419" spans="1:16" x14ac:dyDescent="0.25">
      <c r="D419" s="4" t="s">
        <v>415</v>
      </c>
      <c r="E419" s="5">
        <v>739</v>
      </c>
      <c r="F419" s="5">
        <v>689</v>
      </c>
      <c r="G419" s="6">
        <f t="shared" si="101"/>
        <v>-50</v>
      </c>
      <c r="H419" s="7">
        <f t="shared" si="102"/>
        <v>-6.7658998646820026E-2</v>
      </c>
      <c r="J419" s="3"/>
      <c r="K419" s="3"/>
      <c r="L419" s="7"/>
    </row>
    <row r="420" spans="1:16" x14ac:dyDescent="0.25">
      <c r="D420" s="4" t="s">
        <v>416</v>
      </c>
      <c r="E420" s="5">
        <v>599</v>
      </c>
      <c r="F420" s="5">
        <v>604</v>
      </c>
      <c r="G420" s="6">
        <f t="shared" si="101"/>
        <v>5</v>
      </c>
      <c r="H420" s="7">
        <f t="shared" si="102"/>
        <v>8.3472454090150246E-3</v>
      </c>
      <c r="J420" s="3"/>
      <c r="K420" s="3"/>
      <c r="L420" s="7"/>
    </row>
    <row r="421" spans="1:16" x14ac:dyDescent="0.25">
      <c r="D421" s="4" t="s">
        <v>417</v>
      </c>
      <c r="E421" s="5">
        <v>1485</v>
      </c>
      <c r="F421" s="5">
        <v>1495</v>
      </c>
      <c r="G421" s="6">
        <f t="shared" si="101"/>
        <v>10</v>
      </c>
      <c r="H421" s="7">
        <f t="shared" si="102"/>
        <v>6.7340067340067337E-3</v>
      </c>
      <c r="J421" s="3"/>
      <c r="K421" s="3"/>
      <c r="L421" s="7"/>
    </row>
    <row r="422" spans="1:16" x14ac:dyDescent="0.25">
      <c r="D422" s="4" t="s">
        <v>418</v>
      </c>
      <c r="E422" s="5">
        <v>1445</v>
      </c>
      <c r="F422" s="5">
        <v>1460</v>
      </c>
      <c r="G422" s="6">
        <f t="shared" si="101"/>
        <v>15</v>
      </c>
      <c r="H422" s="7">
        <f t="shared" si="102"/>
        <v>1.0380622837370242E-2</v>
      </c>
      <c r="J422" s="3"/>
      <c r="K422" s="3"/>
      <c r="L422" s="7"/>
    </row>
    <row r="423" spans="1:16" x14ac:dyDescent="0.25">
      <c r="D423" s="4" t="s">
        <v>419</v>
      </c>
      <c r="E423" s="5">
        <v>849</v>
      </c>
      <c r="F423" s="5">
        <v>859</v>
      </c>
      <c r="G423" s="6">
        <f t="shared" si="101"/>
        <v>10</v>
      </c>
      <c r="H423" s="7">
        <f t="shared" si="102"/>
        <v>1.1778563015312132E-2</v>
      </c>
      <c r="J423" s="3"/>
      <c r="K423" s="3"/>
      <c r="L423" s="7"/>
    </row>
    <row r="424" spans="1:16" x14ac:dyDescent="0.25">
      <c r="D424" s="4" t="s">
        <v>420</v>
      </c>
      <c r="E424" s="5">
        <v>764</v>
      </c>
      <c r="F424" s="5">
        <v>774</v>
      </c>
      <c r="G424" s="6">
        <f t="shared" si="101"/>
        <v>10</v>
      </c>
      <c r="H424" s="7">
        <f t="shared" si="102"/>
        <v>1.3089005235602094E-2</v>
      </c>
      <c r="J424" s="3"/>
      <c r="K424" s="3"/>
      <c r="L424" s="7"/>
    </row>
    <row r="425" spans="1:16" x14ac:dyDescent="0.25">
      <c r="D425" s="4" t="s">
        <v>421</v>
      </c>
      <c r="E425" s="5">
        <v>1022</v>
      </c>
      <c r="F425" s="5">
        <v>1032</v>
      </c>
      <c r="G425" s="6">
        <f t="shared" si="101"/>
        <v>10</v>
      </c>
      <c r="H425" s="7">
        <f t="shared" si="102"/>
        <v>9.7847358121330719E-3</v>
      </c>
      <c r="J425" s="3"/>
      <c r="K425" s="3"/>
      <c r="L425" s="7"/>
    </row>
    <row r="426" spans="1:16" s="3" customFormat="1" x14ac:dyDescent="0.25">
      <c r="A426"/>
      <c r="B426"/>
      <c r="C426"/>
      <c r="D426" s="2" t="s">
        <v>422</v>
      </c>
      <c r="H426" s="10">
        <f>AVERAGE(H416:H425)</f>
        <v>1.915278554109922E-2</v>
      </c>
      <c r="J426"/>
      <c r="K426"/>
      <c r="L426"/>
      <c r="M426"/>
      <c r="N426"/>
      <c r="P426" s="30"/>
    </row>
  </sheetData>
  <autoFilter ref="A1:M426" xr:uid="{00000000-0009-0000-0000-000001000000}"/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049D-4153-4FC0-9552-D1C6381D8DBE}">
  <dimension ref="A1:P426"/>
  <sheetViews>
    <sheetView workbookViewId="0">
      <pane ySplit="2" topLeftCell="A78" activePane="bottomLeft" state="frozen"/>
      <selection pane="bottomLeft" activeCell="J97" sqref="J97"/>
    </sheetView>
  </sheetViews>
  <sheetFormatPr defaultColWidth="9.140625" defaultRowHeight="15" x14ac:dyDescent="0.25"/>
  <cols>
    <col min="1" max="1" width="4" bestFit="1" customWidth="1"/>
    <col min="2" max="2" width="14.85546875" customWidth="1"/>
    <col min="3" max="3" width="9" customWidth="1"/>
    <col min="4" max="4" width="76.7109375" customWidth="1"/>
    <col min="5" max="5" width="28.42578125" style="3" customWidth="1"/>
    <col min="6" max="6" width="29.5703125" style="3" customWidth="1"/>
    <col min="7" max="7" width="8.28515625" style="3" customWidth="1"/>
    <col min="8" max="8" width="7.7109375" style="3" customWidth="1"/>
    <col min="9" max="9" width="28.42578125" style="3" customWidth="1"/>
    <col min="10" max="10" width="29.5703125" customWidth="1"/>
    <col min="16" max="16" width="9.140625" style="30"/>
  </cols>
  <sheetData>
    <row r="1" spans="1:16" x14ac:dyDescent="0.25">
      <c r="E1" s="1" t="s">
        <v>0</v>
      </c>
      <c r="F1" s="1" t="s">
        <v>0</v>
      </c>
      <c r="G1" s="1"/>
      <c r="H1" s="1"/>
      <c r="I1" s="1" t="s">
        <v>1</v>
      </c>
      <c r="J1" s="1" t="s">
        <v>1</v>
      </c>
      <c r="M1" t="s">
        <v>2</v>
      </c>
    </row>
    <row r="2" spans="1:16" x14ac:dyDescent="0.25">
      <c r="B2" t="s">
        <v>3</v>
      </c>
      <c r="C2" t="s">
        <v>4</v>
      </c>
      <c r="D2" t="s">
        <v>5</v>
      </c>
      <c r="E2" s="1" t="s">
        <v>509</v>
      </c>
      <c r="F2" s="1" t="s">
        <v>511</v>
      </c>
      <c r="G2" s="1"/>
      <c r="H2" s="1"/>
      <c r="I2" s="1" t="s">
        <v>509</v>
      </c>
      <c r="J2" s="1" t="s">
        <v>511</v>
      </c>
    </row>
    <row r="3" spans="1:16" x14ac:dyDescent="0.25">
      <c r="A3">
        <v>1</v>
      </c>
      <c r="D3" s="2" t="s">
        <v>6</v>
      </c>
      <c r="M3" t="s">
        <v>7</v>
      </c>
    </row>
    <row r="4" spans="1:16" x14ac:dyDescent="0.25">
      <c r="A4">
        <v>2</v>
      </c>
      <c r="C4" t="s">
        <v>8</v>
      </c>
      <c r="D4" s="4" t="s">
        <v>9</v>
      </c>
      <c r="E4" s="5">
        <v>701</v>
      </c>
      <c r="F4" s="5">
        <v>721</v>
      </c>
      <c r="G4" s="6">
        <f t="shared" ref="G4:G23" si="0">+F4-E4</f>
        <v>20</v>
      </c>
      <c r="H4" s="7">
        <f t="shared" ref="H4:H23" si="1">(F4-E4)/ABS(E4)</f>
        <v>2.8530670470756064E-2</v>
      </c>
      <c r="I4" s="8">
        <v>845.58632676709158</v>
      </c>
      <c r="J4" s="9">
        <f t="shared" ref="J4:J23" si="2">(I4*H4)+I4</f>
        <v>869.71147161066051</v>
      </c>
      <c r="K4" s="3">
        <f t="shared" ref="K4:K23" si="3">J4-I4</f>
        <v>24.125144843568933</v>
      </c>
      <c r="L4" s="7">
        <f t="shared" ref="L4:L23" si="4">(J4-I4)/ABS(I4)</f>
        <v>2.8530670470756046E-2</v>
      </c>
      <c r="M4" t="s">
        <v>7</v>
      </c>
      <c r="O4" s="3">
        <f>E4-'290710 - P1223'!F4</f>
        <v>0</v>
      </c>
      <c r="P4" s="30">
        <f>I4-'290710 - P1223'!J4</f>
        <v>0</v>
      </c>
    </row>
    <row r="5" spans="1:16" x14ac:dyDescent="0.25">
      <c r="A5">
        <v>3</v>
      </c>
      <c r="D5" s="4" t="s">
        <v>10</v>
      </c>
      <c r="E5" s="8">
        <v>701</v>
      </c>
      <c r="F5" s="8">
        <f>F4</f>
        <v>721</v>
      </c>
      <c r="G5" s="6">
        <f t="shared" si="0"/>
        <v>20</v>
      </c>
      <c r="H5" s="7">
        <f t="shared" si="1"/>
        <v>2.8530670470756064E-2</v>
      </c>
      <c r="I5" s="8">
        <v>845.58632676709158</v>
      </c>
      <c r="J5" s="9">
        <f t="shared" si="2"/>
        <v>869.71147161066051</v>
      </c>
      <c r="K5" s="3">
        <f t="shared" si="3"/>
        <v>24.125144843568933</v>
      </c>
      <c r="L5" s="7">
        <f t="shared" si="4"/>
        <v>2.8530670470756046E-2</v>
      </c>
      <c r="M5" t="s">
        <v>7</v>
      </c>
      <c r="O5" s="3">
        <f>E5-'290710 - P1223'!F5</f>
        <v>0</v>
      </c>
      <c r="P5" s="30">
        <f>I5-'290710 - P1223'!J5</f>
        <v>0</v>
      </c>
    </row>
    <row r="6" spans="1:16" x14ac:dyDescent="0.25">
      <c r="A6">
        <v>4</v>
      </c>
      <c r="D6" s="4" t="s">
        <v>11</v>
      </c>
      <c r="E6" s="8">
        <v>701</v>
      </c>
      <c r="F6" s="8">
        <f>F4</f>
        <v>721</v>
      </c>
      <c r="G6" s="6">
        <f t="shared" si="0"/>
        <v>20</v>
      </c>
      <c r="H6" s="7">
        <f t="shared" si="1"/>
        <v>2.8530670470756064E-2</v>
      </c>
      <c r="I6" s="8">
        <v>845.58632676709158</v>
      </c>
      <c r="J6" s="9">
        <f t="shared" si="2"/>
        <v>869.71147161066051</v>
      </c>
      <c r="K6" s="3">
        <f t="shared" si="3"/>
        <v>24.125144843568933</v>
      </c>
      <c r="L6" s="7">
        <f t="shared" si="4"/>
        <v>2.8530670470756046E-2</v>
      </c>
      <c r="M6" t="s">
        <v>7</v>
      </c>
      <c r="O6" s="3">
        <f>E6-'290710 - P1223'!F6</f>
        <v>0</v>
      </c>
      <c r="P6" s="30">
        <f>I6-'290710 - P1223'!J6</f>
        <v>0</v>
      </c>
    </row>
    <row r="7" spans="1:16" x14ac:dyDescent="0.25">
      <c r="A7">
        <v>5</v>
      </c>
      <c r="C7" t="s">
        <v>8</v>
      </c>
      <c r="D7" s="4" t="s">
        <v>12</v>
      </c>
      <c r="E7" s="5">
        <v>606</v>
      </c>
      <c r="F7" s="5">
        <v>666</v>
      </c>
      <c r="G7" s="6">
        <f t="shared" si="0"/>
        <v>60</v>
      </c>
      <c r="H7" s="7">
        <f t="shared" si="1"/>
        <v>9.9009900990099015E-2</v>
      </c>
      <c r="I7" s="8">
        <v>782.24999999999989</v>
      </c>
      <c r="J7" s="9">
        <f t="shared" si="2"/>
        <v>859.70049504950487</v>
      </c>
      <c r="K7" s="3">
        <f t="shared" si="3"/>
        <v>77.45049504950498</v>
      </c>
      <c r="L7" s="7">
        <f t="shared" si="4"/>
        <v>9.9009900990099056E-2</v>
      </c>
      <c r="M7" t="s">
        <v>7</v>
      </c>
      <c r="N7" s="27"/>
      <c r="O7" s="3">
        <f>E7-'290710 - P1223'!F7</f>
        <v>0</v>
      </c>
      <c r="P7" s="30">
        <f>I7-'290710 - P1223'!J7</f>
        <v>0</v>
      </c>
    </row>
    <row r="8" spans="1:16" x14ac:dyDescent="0.25">
      <c r="A8">
        <v>6</v>
      </c>
      <c r="D8" s="4" t="s">
        <v>13</v>
      </c>
      <c r="E8" s="8">
        <v>606</v>
      </c>
      <c r="F8" s="8">
        <f>F7</f>
        <v>666</v>
      </c>
      <c r="G8" s="6">
        <f t="shared" si="0"/>
        <v>60</v>
      </c>
      <c r="H8" s="7">
        <f t="shared" si="1"/>
        <v>9.9009900990099015E-2</v>
      </c>
      <c r="I8" s="8">
        <v>782.24999999999989</v>
      </c>
      <c r="J8" s="9">
        <f t="shared" si="2"/>
        <v>859.70049504950487</v>
      </c>
      <c r="K8" s="3">
        <f t="shared" si="3"/>
        <v>77.45049504950498</v>
      </c>
      <c r="L8" s="7">
        <f t="shared" si="4"/>
        <v>9.9009900990099056E-2</v>
      </c>
      <c r="M8" t="s">
        <v>7</v>
      </c>
      <c r="N8" s="27"/>
      <c r="O8" s="3">
        <f>E8-'290710 - P1223'!F8</f>
        <v>0</v>
      </c>
      <c r="P8" s="30">
        <f>I8-'290710 - P1223'!J8</f>
        <v>0</v>
      </c>
    </row>
    <row r="9" spans="1:16" x14ac:dyDescent="0.25">
      <c r="A9">
        <v>7</v>
      </c>
      <c r="D9" s="4" t="s">
        <v>14</v>
      </c>
      <c r="E9" s="8">
        <v>606</v>
      </c>
      <c r="F9" s="8">
        <f>F7</f>
        <v>666</v>
      </c>
      <c r="G9" s="6">
        <f t="shared" si="0"/>
        <v>60</v>
      </c>
      <c r="H9" s="7">
        <f t="shared" si="1"/>
        <v>9.9009900990099015E-2</v>
      </c>
      <c r="I9" s="8">
        <v>782.24999999999989</v>
      </c>
      <c r="J9" s="9">
        <f t="shared" si="2"/>
        <v>859.70049504950487</v>
      </c>
      <c r="K9" s="3">
        <f t="shared" si="3"/>
        <v>77.45049504950498</v>
      </c>
      <c r="L9" s="7">
        <f t="shared" si="4"/>
        <v>9.9009900990099056E-2</v>
      </c>
      <c r="M9" t="s">
        <v>7</v>
      </c>
      <c r="N9" s="27"/>
      <c r="O9" s="3">
        <f>E9-'290710 - P1223'!F9</f>
        <v>0</v>
      </c>
      <c r="P9" s="30">
        <f>I9-'290710 - P1223'!J9</f>
        <v>0</v>
      </c>
    </row>
    <row r="10" spans="1:16" x14ac:dyDescent="0.25">
      <c r="A10">
        <v>8</v>
      </c>
      <c r="C10" t="s">
        <v>8</v>
      </c>
      <c r="D10" s="4" t="s">
        <v>15</v>
      </c>
      <c r="E10" s="5">
        <v>960</v>
      </c>
      <c r="F10" s="5">
        <v>921</v>
      </c>
      <c r="G10" s="6">
        <f t="shared" si="0"/>
        <v>-39</v>
      </c>
      <c r="H10" s="7">
        <f t="shared" si="1"/>
        <v>-4.0625000000000001E-2</v>
      </c>
      <c r="I10" s="8">
        <v>1274.9756361667573</v>
      </c>
      <c r="J10" s="9">
        <f t="shared" si="2"/>
        <v>1223.1797509474827</v>
      </c>
      <c r="K10" s="3">
        <f t="shared" si="3"/>
        <v>-51.795885219274624</v>
      </c>
      <c r="L10" s="7">
        <f t="shared" si="4"/>
        <v>-4.0625000000000085E-2</v>
      </c>
      <c r="M10" t="s">
        <v>7</v>
      </c>
      <c r="N10" s="27"/>
      <c r="O10" s="3">
        <f>E10-'290710 - P1223'!F10</f>
        <v>0</v>
      </c>
      <c r="P10" s="30">
        <f>I10-'290710 - P1223'!J10</f>
        <v>0</v>
      </c>
    </row>
    <row r="11" spans="1:16" x14ac:dyDescent="0.25">
      <c r="A11">
        <v>9</v>
      </c>
      <c r="D11" s="4" t="s">
        <v>16</v>
      </c>
      <c r="E11" s="8">
        <v>960</v>
      </c>
      <c r="F11" s="8">
        <f>F10</f>
        <v>921</v>
      </c>
      <c r="G11" s="6">
        <f t="shared" si="0"/>
        <v>-39</v>
      </c>
      <c r="H11" s="7">
        <f t="shared" si="1"/>
        <v>-4.0625000000000001E-2</v>
      </c>
      <c r="I11" s="8">
        <v>1274.9756361667573</v>
      </c>
      <c r="J11" s="9">
        <f t="shared" si="2"/>
        <v>1223.1797509474827</v>
      </c>
      <c r="K11" s="3">
        <f t="shared" si="3"/>
        <v>-51.795885219274624</v>
      </c>
      <c r="L11" s="7">
        <f t="shared" si="4"/>
        <v>-4.0625000000000085E-2</v>
      </c>
      <c r="M11" t="s">
        <v>7</v>
      </c>
      <c r="N11" s="27"/>
      <c r="O11" s="3">
        <f>E11-'290710 - P1223'!F11</f>
        <v>0</v>
      </c>
      <c r="P11" s="30">
        <f>I11-'290710 - P1223'!J11</f>
        <v>0</v>
      </c>
    </row>
    <row r="12" spans="1:16" x14ac:dyDescent="0.25">
      <c r="A12">
        <v>10</v>
      </c>
      <c r="C12" t="s">
        <v>8</v>
      </c>
      <c r="D12" s="4" t="s">
        <v>17</v>
      </c>
      <c r="E12" s="5">
        <v>807</v>
      </c>
      <c r="F12" s="5">
        <v>819</v>
      </c>
      <c r="G12" s="6">
        <f t="shared" si="0"/>
        <v>12</v>
      </c>
      <c r="H12" s="7">
        <f t="shared" si="1"/>
        <v>1.4869888475836431E-2</v>
      </c>
      <c r="I12" s="8">
        <v>962.62946912242717</v>
      </c>
      <c r="J12" s="9">
        <f t="shared" si="2"/>
        <v>976.94366197183126</v>
      </c>
      <c r="K12" s="3">
        <f t="shared" si="3"/>
        <v>14.314192849404094</v>
      </c>
      <c r="L12" s="7">
        <f t="shared" si="4"/>
        <v>1.4869888475836403E-2</v>
      </c>
      <c r="M12" t="s">
        <v>7</v>
      </c>
      <c r="N12" s="27"/>
      <c r="O12" s="3">
        <f>E12-'290710 - P1223'!F12</f>
        <v>0</v>
      </c>
      <c r="P12" s="30">
        <f>I12-'290710 - P1223'!J12</f>
        <v>0</v>
      </c>
    </row>
    <row r="13" spans="1:16" x14ac:dyDescent="0.25">
      <c r="A13">
        <v>11</v>
      </c>
      <c r="D13" s="4" t="s">
        <v>18</v>
      </c>
      <c r="E13" s="8">
        <v>807</v>
      </c>
      <c r="F13" s="8">
        <f>F12</f>
        <v>819</v>
      </c>
      <c r="G13" s="6">
        <f t="shared" si="0"/>
        <v>12</v>
      </c>
      <c r="H13" s="7">
        <f t="shared" si="1"/>
        <v>1.4869888475836431E-2</v>
      </c>
      <c r="I13" s="8">
        <v>962.62946912242717</v>
      </c>
      <c r="J13" s="9">
        <f t="shared" si="2"/>
        <v>976.94366197183126</v>
      </c>
      <c r="K13" s="3">
        <f t="shared" si="3"/>
        <v>14.314192849404094</v>
      </c>
      <c r="L13" s="7">
        <f t="shared" si="4"/>
        <v>1.4869888475836403E-2</v>
      </c>
      <c r="M13" t="s">
        <v>7</v>
      </c>
      <c r="N13" s="27"/>
      <c r="O13" s="3">
        <f>E13-'290710 - P1223'!F13</f>
        <v>0</v>
      </c>
      <c r="P13" s="30">
        <f>I13-'290710 - P1223'!J13</f>
        <v>0</v>
      </c>
    </row>
    <row r="14" spans="1:16" x14ac:dyDescent="0.25">
      <c r="A14">
        <v>12</v>
      </c>
      <c r="D14" s="4" t="s">
        <v>19</v>
      </c>
      <c r="E14" s="5">
        <v>823</v>
      </c>
      <c r="F14" s="5">
        <v>825</v>
      </c>
      <c r="G14" s="6">
        <f t="shared" si="0"/>
        <v>2</v>
      </c>
      <c r="H14" s="7">
        <f t="shared" si="1"/>
        <v>2.4301336573511541E-3</v>
      </c>
      <c r="I14" s="8">
        <v>1057.9059771658831</v>
      </c>
      <c r="J14" s="9">
        <f t="shared" si="2"/>
        <v>1060.4768300873068</v>
      </c>
      <c r="K14" s="3">
        <f t="shared" si="3"/>
        <v>2.5708529214236933</v>
      </c>
      <c r="L14" s="7">
        <f t="shared" si="4"/>
        <v>2.4301336573510778E-3</v>
      </c>
      <c r="M14" t="s">
        <v>7</v>
      </c>
      <c r="N14" s="27"/>
      <c r="O14" s="3">
        <f>E14-'290710 - P1223'!F14</f>
        <v>0</v>
      </c>
      <c r="P14" s="30">
        <f>I14-'290710 - P1223'!J14</f>
        <v>0</v>
      </c>
    </row>
    <row r="15" spans="1:16" x14ac:dyDescent="0.25">
      <c r="A15">
        <v>13</v>
      </c>
      <c r="D15" s="4" t="s">
        <v>20</v>
      </c>
      <c r="E15" s="8">
        <v>823</v>
      </c>
      <c r="F15" s="8">
        <f>F14</f>
        <v>825</v>
      </c>
      <c r="G15" s="6">
        <f t="shared" si="0"/>
        <v>2</v>
      </c>
      <c r="H15" s="7">
        <f t="shared" si="1"/>
        <v>2.4301336573511541E-3</v>
      </c>
      <c r="I15" s="8">
        <v>1057.9059771658831</v>
      </c>
      <c r="J15" s="9">
        <f t="shared" si="2"/>
        <v>1060.4768300873068</v>
      </c>
      <c r="K15" s="3">
        <f t="shared" si="3"/>
        <v>2.5708529214236933</v>
      </c>
      <c r="L15" s="7">
        <f t="shared" si="4"/>
        <v>2.4301336573510778E-3</v>
      </c>
      <c r="M15" t="s">
        <v>7</v>
      </c>
      <c r="N15" s="27"/>
      <c r="O15" s="3">
        <f>E15-'290710 - P1223'!F15</f>
        <v>0</v>
      </c>
      <c r="P15" s="30">
        <f>I15-'290710 - P1223'!J15</f>
        <v>0</v>
      </c>
    </row>
    <row r="16" spans="1:16" x14ac:dyDescent="0.25">
      <c r="A16">
        <v>14</v>
      </c>
      <c r="C16" t="s">
        <v>8</v>
      </c>
      <c r="D16" s="4" t="s">
        <v>21</v>
      </c>
      <c r="E16" s="5">
        <v>991</v>
      </c>
      <c r="F16" s="5">
        <v>903</v>
      </c>
      <c r="G16" s="6">
        <f t="shared" si="0"/>
        <v>-88</v>
      </c>
      <c r="H16" s="7">
        <f t="shared" si="1"/>
        <v>-8.879919273461151E-2</v>
      </c>
      <c r="I16" s="8">
        <v>1395.9247311827958</v>
      </c>
      <c r="J16" s="9">
        <f t="shared" si="2"/>
        <v>1271.9677419354839</v>
      </c>
      <c r="K16" s="3">
        <f t="shared" si="3"/>
        <v>-123.95698924731187</v>
      </c>
      <c r="L16" s="7">
        <f t="shared" si="4"/>
        <v>-8.8799192734611523E-2</v>
      </c>
      <c r="M16" t="s">
        <v>7</v>
      </c>
      <c r="N16" s="27"/>
      <c r="O16" s="3">
        <f>E16-'290710 - P1223'!F16</f>
        <v>0</v>
      </c>
      <c r="P16" s="30">
        <f>I16-'290710 - P1223'!J16</f>
        <v>0</v>
      </c>
    </row>
    <row r="17" spans="1:16" x14ac:dyDescent="0.25">
      <c r="A17">
        <v>15</v>
      </c>
      <c r="D17" s="4" t="s">
        <v>22</v>
      </c>
      <c r="E17" s="8">
        <v>991</v>
      </c>
      <c r="F17" s="8">
        <f>F16</f>
        <v>903</v>
      </c>
      <c r="G17" s="6">
        <f t="shared" si="0"/>
        <v>-88</v>
      </c>
      <c r="H17" s="7">
        <f t="shared" si="1"/>
        <v>-8.879919273461151E-2</v>
      </c>
      <c r="I17" s="8">
        <v>1395.9247311827958</v>
      </c>
      <c r="J17" s="9">
        <f t="shared" si="2"/>
        <v>1271.9677419354839</v>
      </c>
      <c r="K17" s="3">
        <f t="shared" si="3"/>
        <v>-123.95698924731187</v>
      </c>
      <c r="L17" s="7">
        <f t="shared" si="4"/>
        <v>-8.8799192734611523E-2</v>
      </c>
      <c r="M17" t="s">
        <v>7</v>
      </c>
      <c r="N17" s="27"/>
      <c r="O17" s="3">
        <f>E17-'290710 - P1223'!F17</f>
        <v>0</v>
      </c>
      <c r="P17" s="30">
        <f>I17-'290710 - P1223'!J17</f>
        <v>0</v>
      </c>
    </row>
    <row r="18" spans="1:16" x14ac:dyDescent="0.25">
      <c r="A18">
        <v>16</v>
      </c>
      <c r="C18" t="s">
        <v>8</v>
      </c>
      <c r="D18" s="4" t="s">
        <v>23</v>
      </c>
      <c r="E18" s="5">
        <v>1092</v>
      </c>
      <c r="F18" s="5">
        <v>1032</v>
      </c>
      <c r="G18" s="6">
        <f t="shared" si="0"/>
        <v>-60</v>
      </c>
      <c r="H18" s="7">
        <f t="shared" si="1"/>
        <v>-5.4945054945054944E-2</v>
      </c>
      <c r="I18" s="8">
        <v>1517.6265822784806</v>
      </c>
      <c r="J18" s="9">
        <f t="shared" si="2"/>
        <v>1434.2405063291135</v>
      </c>
      <c r="K18" s="3">
        <f t="shared" si="3"/>
        <v>-83.386075949367068</v>
      </c>
      <c r="L18" s="7">
        <f t="shared" si="4"/>
        <v>-5.4945054945054951E-2</v>
      </c>
      <c r="M18" t="s">
        <v>7</v>
      </c>
      <c r="N18" s="27"/>
      <c r="O18" s="3">
        <f>E18-'290710 - P1223'!F18</f>
        <v>0</v>
      </c>
      <c r="P18" s="30">
        <f>I18-'290710 - P1223'!J18</f>
        <v>0</v>
      </c>
    </row>
    <row r="19" spans="1:16" x14ac:dyDescent="0.25">
      <c r="A19">
        <v>17</v>
      </c>
      <c r="D19" s="4" t="s">
        <v>24</v>
      </c>
      <c r="E19" s="8">
        <v>1092</v>
      </c>
      <c r="F19" s="8">
        <f>F18</f>
        <v>1032</v>
      </c>
      <c r="G19" s="6">
        <f t="shared" si="0"/>
        <v>-60</v>
      </c>
      <c r="H19" s="7">
        <f t="shared" si="1"/>
        <v>-5.4945054945054944E-2</v>
      </c>
      <c r="I19" s="8">
        <v>1517.6265822784806</v>
      </c>
      <c r="J19" s="9">
        <f t="shared" si="2"/>
        <v>1434.2405063291135</v>
      </c>
      <c r="K19" s="3">
        <f t="shared" si="3"/>
        <v>-83.386075949367068</v>
      </c>
      <c r="L19" s="7">
        <f t="shared" si="4"/>
        <v>-5.4945054945054951E-2</v>
      </c>
      <c r="M19" t="s">
        <v>7</v>
      </c>
      <c r="N19" s="27"/>
      <c r="O19" s="3">
        <f>E19-'290710 - P1223'!F19</f>
        <v>0</v>
      </c>
      <c r="P19" s="30">
        <f>I19-'290710 - P1223'!J19</f>
        <v>0</v>
      </c>
    </row>
    <row r="20" spans="1:16" x14ac:dyDescent="0.25">
      <c r="A20">
        <v>18</v>
      </c>
      <c r="C20" t="s">
        <v>8</v>
      </c>
      <c r="D20" s="4" t="s">
        <v>25</v>
      </c>
      <c r="E20" s="5">
        <v>52.480000000000004</v>
      </c>
      <c r="F20" s="5">
        <v>49.68</v>
      </c>
      <c r="G20" s="6">
        <f t="shared" si="0"/>
        <v>-2.8000000000000043</v>
      </c>
      <c r="H20" s="7">
        <f t="shared" si="1"/>
        <v>-5.3353658536585441E-2</v>
      </c>
      <c r="I20" s="8">
        <v>2635.6993709738545</v>
      </c>
      <c r="J20" s="9">
        <f t="shared" si="2"/>
        <v>2495.0751667298223</v>
      </c>
      <c r="K20" s="3">
        <f t="shared" si="3"/>
        <v>-140.62420424403217</v>
      </c>
      <c r="L20" s="7">
        <f t="shared" si="4"/>
        <v>-5.3353658536585483E-2</v>
      </c>
      <c r="M20" t="s">
        <v>7</v>
      </c>
      <c r="N20" s="27"/>
      <c r="O20" s="3">
        <f>E20-'290710 - P1223'!F20</f>
        <v>0</v>
      </c>
      <c r="P20" s="30">
        <f>I20-'290710 - P1223'!J20</f>
        <v>0</v>
      </c>
    </row>
    <row r="21" spans="1:16" x14ac:dyDescent="0.25">
      <c r="A21">
        <v>19</v>
      </c>
      <c r="C21" t="s">
        <v>8</v>
      </c>
      <c r="D21" s="4" t="s">
        <v>26</v>
      </c>
      <c r="E21" s="5">
        <v>15.07</v>
      </c>
      <c r="F21" s="5">
        <v>15.07</v>
      </c>
      <c r="G21" s="6">
        <f t="shared" si="0"/>
        <v>0</v>
      </c>
      <c r="H21" s="7">
        <f t="shared" si="1"/>
        <v>0</v>
      </c>
      <c r="I21" s="8">
        <v>34.218057468646201</v>
      </c>
      <c r="J21" s="9">
        <f t="shared" si="2"/>
        <v>34.218057468646201</v>
      </c>
      <c r="K21" s="3">
        <f t="shared" si="3"/>
        <v>0</v>
      </c>
      <c r="L21" s="7">
        <f t="shared" si="4"/>
        <v>0</v>
      </c>
      <c r="M21" t="s">
        <v>7</v>
      </c>
      <c r="O21" s="3">
        <f>E21-'290710 - P1223'!F21</f>
        <v>0</v>
      </c>
      <c r="P21" s="30">
        <f>I21-'290710 - P1223'!J21</f>
        <v>0</v>
      </c>
    </row>
    <row r="22" spans="1:16" x14ac:dyDescent="0.25">
      <c r="A22">
        <v>20</v>
      </c>
      <c r="C22" t="s">
        <v>8</v>
      </c>
      <c r="D22" s="4" t="s">
        <v>27</v>
      </c>
      <c r="E22" s="5">
        <v>1390</v>
      </c>
      <c r="F22" s="5">
        <v>1390</v>
      </c>
      <c r="G22" s="6">
        <f t="shared" si="0"/>
        <v>0</v>
      </c>
      <c r="H22" s="7">
        <f t="shared" si="1"/>
        <v>0</v>
      </c>
      <c r="I22" s="8">
        <v>1984.805491990847</v>
      </c>
      <c r="J22" s="9">
        <f t="shared" si="2"/>
        <v>1984.805491990847</v>
      </c>
      <c r="K22" s="3">
        <f t="shared" si="3"/>
        <v>0</v>
      </c>
      <c r="L22" s="7">
        <f t="shared" si="4"/>
        <v>0</v>
      </c>
      <c r="M22" t="s">
        <v>7</v>
      </c>
      <c r="N22" s="27"/>
      <c r="O22" s="3">
        <f>E22-'290710 - P1223'!F22</f>
        <v>0</v>
      </c>
      <c r="P22" s="30">
        <f>I22-'290710 - P1223'!J22</f>
        <v>0</v>
      </c>
    </row>
    <row r="23" spans="1:16" x14ac:dyDescent="0.25">
      <c r="A23">
        <v>21</v>
      </c>
      <c r="D23" s="4" t="s">
        <v>28</v>
      </c>
      <c r="E23" s="8">
        <v>1390</v>
      </c>
      <c r="F23" s="8">
        <f>F22</f>
        <v>1390</v>
      </c>
      <c r="G23" s="6">
        <f t="shared" si="0"/>
        <v>0</v>
      </c>
      <c r="H23" s="7">
        <f t="shared" si="1"/>
        <v>0</v>
      </c>
      <c r="I23" s="8">
        <v>1984.805491990847</v>
      </c>
      <c r="J23" s="9">
        <f t="shared" si="2"/>
        <v>1984.805491990847</v>
      </c>
      <c r="K23" s="3">
        <f t="shared" si="3"/>
        <v>0</v>
      </c>
      <c r="L23" s="7">
        <f t="shared" si="4"/>
        <v>0</v>
      </c>
      <c r="M23" t="s">
        <v>7</v>
      </c>
      <c r="N23" s="27"/>
      <c r="O23" s="3">
        <f>E23-'290710 - P1223'!F23</f>
        <v>0</v>
      </c>
      <c r="P23" s="30">
        <f>I23-'290710 - P1223'!J23</f>
        <v>0</v>
      </c>
    </row>
    <row r="24" spans="1:16" x14ac:dyDescent="0.25">
      <c r="A24">
        <v>22</v>
      </c>
      <c r="D24" s="2" t="s">
        <v>29</v>
      </c>
      <c r="H24" s="10">
        <f>AVERAGE(H4:H23)</f>
        <v>-2.4351976234889965E-4</v>
      </c>
      <c r="L24" s="10">
        <f>AVERAGE(L4:L23)</f>
        <v>-2.4351976234891597E-4</v>
      </c>
    </row>
    <row r="25" spans="1:16" x14ac:dyDescent="0.25">
      <c r="A25">
        <v>23</v>
      </c>
      <c r="D25" s="2" t="s">
        <v>30</v>
      </c>
      <c r="M25" t="s">
        <v>7</v>
      </c>
    </row>
    <row r="26" spans="1:16" x14ac:dyDescent="0.25">
      <c r="A26">
        <v>24</v>
      </c>
      <c r="D26" s="4" t="s">
        <v>31</v>
      </c>
      <c r="E26" s="5">
        <v>468</v>
      </c>
      <c r="F26" s="5">
        <v>496</v>
      </c>
      <c r="G26" s="6">
        <f t="shared" ref="G26:G31" si="5">+F26-E26</f>
        <v>28</v>
      </c>
      <c r="H26" s="7">
        <f t="shared" ref="H26:H31" si="6">(F26-E26)/ABS(E26)</f>
        <v>5.9829059829059832E-2</v>
      </c>
      <c r="I26" s="8">
        <v>778.05</v>
      </c>
      <c r="J26" s="9">
        <f t="shared" ref="J26:J31" si="7">(I26*H26)+I26</f>
        <v>824.59999999999991</v>
      </c>
      <c r="K26" s="3">
        <f t="shared" ref="K26:K31" si="8">J26-I26</f>
        <v>46.549999999999955</v>
      </c>
      <c r="L26" s="7">
        <f t="shared" ref="L26:L31" si="9">(J26-I26)/ABS(I26)</f>
        <v>5.9829059829059776E-2</v>
      </c>
      <c r="M26" t="s">
        <v>7</v>
      </c>
      <c r="O26" s="3">
        <f>E26-'290710 - P1223'!F26</f>
        <v>0</v>
      </c>
      <c r="P26" s="30">
        <f>I26-'290710 - P1223'!J26</f>
        <v>0</v>
      </c>
    </row>
    <row r="27" spans="1:16" x14ac:dyDescent="0.25">
      <c r="A27">
        <v>25</v>
      </c>
      <c r="D27" s="4" t="s">
        <v>32</v>
      </c>
      <c r="E27" s="5">
        <v>498</v>
      </c>
      <c r="F27" s="5">
        <v>546</v>
      </c>
      <c r="G27" s="6">
        <f t="shared" si="5"/>
        <v>48</v>
      </c>
      <c r="H27" s="7">
        <f t="shared" si="6"/>
        <v>9.6385542168674704E-2</v>
      </c>
      <c r="I27" s="8">
        <v>653.2973684210524</v>
      </c>
      <c r="J27" s="9">
        <f>(I27*H27)+I27</f>
        <v>716.26578947368398</v>
      </c>
      <c r="K27" s="3">
        <f t="shared" si="8"/>
        <v>62.968421052631584</v>
      </c>
      <c r="L27" s="7">
        <f t="shared" si="9"/>
        <v>9.6385542168674745E-2</v>
      </c>
      <c r="M27" t="s">
        <v>7</v>
      </c>
      <c r="O27" s="3">
        <f>E27-'290710 - P1223'!F27</f>
        <v>0</v>
      </c>
      <c r="P27" s="30">
        <f>I27-'290710 - P1223'!J27</f>
        <v>0</v>
      </c>
    </row>
    <row r="28" spans="1:16" x14ac:dyDescent="0.25">
      <c r="A28">
        <v>26</v>
      </c>
      <c r="D28" s="4" t="s">
        <v>33</v>
      </c>
      <c r="E28" s="5">
        <v>498</v>
      </c>
      <c r="F28" s="5">
        <v>546</v>
      </c>
      <c r="G28" s="6">
        <f t="shared" si="5"/>
        <v>48</v>
      </c>
      <c r="H28" s="7">
        <f t="shared" si="6"/>
        <v>9.6385542168674704E-2</v>
      </c>
      <c r="I28" s="8">
        <v>593.01315789473688</v>
      </c>
      <c r="J28" s="9">
        <f t="shared" si="7"/>
        <v>650.17105263157896</v>
      </c>
      <c r="K28" s="3">
        <f t="shared" si="8"/>
        <v>57.157894736842081</v>
      </c>
      <c r="L28" s="7">
        <f t="shared" si="9"/>
        <v>9.6385542168674648E-2</v>
      </c>
      <c r="M28" t="s">
        <v>7</v>
      </c>
      <c r="O28" s="3">
        <f>E28-'290710 - P1223'!F28</f>
        <v>0</v>
      </c>
      <c r="P28" s="30">
        <f>I28-'290710 - P1223'!J28</f>
        <v>0</v>
      </c>
    </row>
    <row r="29" spans="1:16" x14ac:dyDescent="0.25">
      <c r="A29">
        <v>27</v>
      </c>
      <c r="D29" s="4" t="s">
        <v>34</v>
      </c>
      <c r="E29" s="5">
        <v>448</v>
      </c>
      <c r="F29" s="5">
        <v>466</v>
      </c>
      <c r="G29" s="6">
        <f t="shared" si="5"/>
        <v>18</v>
      </c>
      <c r="H29" s="7">
        <f t="shared" si="6"/>
        <v>4.0178571428571432E-2</v>
      </c>
      <c r="I29" s="8">
        <v>590.24</v>
      </c>
      <c r="J29" s="9">
        <f t="shared" si="7"/>
        <v>613.95500000000004</v>
      </c>
      <c r="K29" s="3">
        <f t="shared" si="8"/>
        <v>23.715000000000032</v>
      </c>
      <c r="L29" s="7">
        <f t="shared" si="9"/>
        <v>4.017857142857148E-2</v>
      </c>
      <c r="M29" t="s">
        <v>7</v>
      </c>
      <c r="O29" s="3">
        <f>E29-'290710 - P1223'!F29</f>
        <v>0</v>
      </c>
      <c r="P29" s="30">
        <f>I29-'290710 - P1223'!J29</f>
        <v>0</v>
      </c>
    </row>
    <row r="30" spans="1:16" x14ac:dyDescent="0.25">
      <c r="A30">
        <v>28</v>
      </c>
      <c r="D30" s="4" t="s">
        <v>35</v>
      </c>
      <c r="E30" s="5">
        <v>513</v>
      </c>
      <c r="F30" s="5">
        <v>546</v>
      </c>
      <c r="G30" s="6">
        <f t="shared" si="5"/>
        <v>33</v>
      </c>
      <c r="H30" s="7">
        <f t="shared" si="6"/>
        <v>6.4327485380116955E-2</v>
      </c>
      <c r="I30" s="8">
        <v>648.50943396226421</v>
      </c>
      <c r="J30" s="9">
        <f t="shared" si="7"/>
        <v>690.2264150943397</v>
      </c>
      <c r="K30" s="3">
        <f t="shared" si="8"/>
        <v>41.716981132075489</v>
      </c>
      <c r="L30" s="7">
        <f t="shared" si="9"/>
        <v>6.4327485380116983E-2</v>
      </c>
      <c r="M30" t="s">
        <v>7</v>
      </c>
      <c r="O30" s="3">
        <f>E30-'290710 - P1223'!F30</f>
        <v>0</v>
      </c>
      <c r="P30" s="30">
        <f>I30-'290710 - P1223'!J30</f>
        <v>0</v>
      </c>
    </row>
    <row r="31" spans="1:16" x14ac:dyDescent="0.25">
      <c r="A31">
        <v>29</v>
      </c>
      <c r="D31" s="4" t="s">
        <v>36</v>
      </c>
      <c r="E31" s="5">
        <v>513</v>
      </c>
      <c r="F31" s="5">
        <v>546</v>
      </c>
      <c r="G31" s="6">
        <f t="shared" si="5"/>
        <v>33</v>
      </c>
      <c r="H31" s="7">
        <f t="shared" si="6"/>
        <v>6.4327485380116955E-2</v>
      </c>
      <c r="I31" s="8">
        <v>623.34339622641528</v>
      </c>
      <c r="J31" s="9">
        <f t="shared" si="7"/>
        <v>663.44150943396244</v>
      </c>
      <c r="K31" s="3">
        <f t="shared" si="8"/>
        <v>40.098113207547158</v>
      </c>
      <c r="L31" s="7">
        <f t="shared" si="9"/>
        <v>6.4327485380116914E-2</v>
      </c>
      <c r="M31" t="s">
        <v>7</v>
      </c>
      <c r="O31" s="3">
        <f>E31-'290710 - P1223'!F31</f>
        <v>0</v>
      </c>
      <c r="P31" s="30">
        <f>I31-'290710 - P1223'!J31</f>
        <v>0</v>
      </c>
    </row>
    <row r="32" spans="1:16" x14ac:dyDescent="0.25">
      <c r="A32">
        <v>30</v>
      </c>
      <c r="D32" s="2" t="s">
        <v>37</v>
      </c>
      <c r="H32" s="10">
        <f>AVERAGE(H26:H31)</f>
        <v>7.0238947725869097E-2</v>
      </c>
      <c r="L32" s="10">
        <f>AVERAGE(L26:L31)</f>
        <v>7.0238947725869097E-2</v>
      </c>
    </row>
    <row r="33" spans="1:16" x14ac:dyDescent="0.25">
      <c r="A33">
        <v>31</v>
      </c>
      <c r="D33" s="2" t="s">
        <v>38</v>
      </c>
      <c r="M33" t="s">
        <v>7</v>
      </c>
    </row>
    <row r="34" spans="1:16" x14ac:dyDescent="0.25">
      <c r="A34">
        <v>32</v>
      </c>
      <c r="D34" s="4" t="s">
        <v>39</v>
      </c>
      <c r="E34" s="5">
        <v>530</v>
      </c>
      <c r="F34" s="5">
        <v>565</v>
      </c>
      <c r="G34" s="6">
        <f t="shared" ref="G34:G62" si="10">+F34-E34</f>
        <v>35</v>
      </c>
      <c r="H34" s="7">
        <f t="shared" ref="H34:H62" si="11">(F34-E34)/ABS(E34)</f>
        <v>6.6037735849056603E-2</v>
      </c>
      <c r="I34" s="8">
        <v>602.64655172413768</v>
      </c>
      <c r="J34" s="9">
        <f t="shared" ref="J34:J62" si="12">(I34*H34)+I34</f>
        <v>642.44396551724117</v>
      </c>
      <c r="K34" s="3">
        <f t="shared" ref="K34:K62" si="13">J34-I34</f>
        <v>39.797413793103487</v>
      </c>
      <c r="L34" s="7">
        <f t="shared" ref="L34:L62" si="14">(J34-I34)/ABS(I34)</f>
        <v>6.60377358490567E-2</v>
      </c>
      <c r="M34" t="s">
        <v>7</v>
      </c>
      <c r="O34" s="3">
        <f>E34-'290710 - P1223'!F34</f>
        <v>0</v>
      </c>
      <c r="P34" s="30">
        <f>I34-'290710 - P1223'!J34</f>
        <v>0</v>
      </c>
    </row>
    <row r="35" spans="1:16" x14ac:dyDescent="0.25">
      <c r="A35">
        <v>33</v>
      </c>
      <c r="D35" s="4" t="s">
        <v>40</v>
      </c>
      <c r="E35" s="8">
        <v>530</v>
      </c>
      <c r="F35" s="8">
        <f>F34</f>
        <v>565</v>
      </c>
      <c r="G35" s="6">
        <f t="shared" si="10"/>
        <v>35</v>
      </c>
      <c r="H35" s="7">
        <f t="shared" si="11"/>
        <v>6.6037735849056603E-2</v>
      </c>
      <c r="I35" s="8">
        <v>602.64655172413791</v>
      </c>
      <c r="J35" s="9">
        <f t="shared" si="12"/>
        <v>642.44396551724139</v>
      </c>
      <c r="K35" s="3">
        <f t="shared" si="13"/>
        <v>39.797413793103487</v>
      </c>
      <c r="L35" s="7">
        <f t="shared" si="14"/>
        <v>6.6037735849056672E-2</v>
      </c>
      <c r="M35" t="s">
        <v>7</v>
      </c>
      <c r="O35" s="3">
        <f>E35-'290710 - P1223'!F35</f>
        <v>0</v>
      </c>
      <c r="P35" s="30">
        <f>I35-'290710 - P1223'!J35</f>
        <v>0</v>
      </c>
    </row>
    <row r="36" spans="1:16" x14ac:dyDescent="0.25">
      <c r="A36">
        <v>34</v>
      </c>
      <c r="D36" s="4" t="s">
        <v>41</v>
      </c>
      <c r="E36" s="8">
        <v>530</v>
      </c>
      <c r="F36" s="8">
        <f>F34</f>
        <v>565</v>
      </c>
      <c r="G36" s="6">
        <f t="shared" si="10"/>
        <v>35</v>
      </c>
      <c r="H36" s="7">
        <f t="shared" si="11"/>
        <v>6.6037735849056603E-2</v>
      </c>
      <c r="I36" s="8">
        <v>602.64655172413791</v>
      </c>
      <c r="J36" s="9">
        <f t="shared" si="12"/>
        <v>642.44396551724139</v>
      </c>
      <c r="K36" s="3">
        <f t="shared" si="13"/>
        <v>39.797413793103487</v>
      </c>
      <c r="L36" s="7">
        <f t="shared" si="14"/>
        <v>6.6037735849056672E-2</v>
      </c>
      <c r="M36" t="s">
        <v>7</v>
      </c>
      <c r="O36" s="3">
        <f>E36-'290710 - P1223'!F36</f>
        <v>0</v>
      </c>
      <c r="P36" s="30">
        <f>I36-'290710 - P1223'!J36</f>
        <v>0</v>
      </c>
    </row>
    <row r="37" spans="1:16" x14ac:dyDescent="0.25">
      <c r="A37">
        <v>35</v>
      </c>
      <c r="D37" s="4" t="s">
        <v>42</v>
      </c>
      <c r="E37" s="8">
        <v>530</v>
      </c>
      <c r="F37" s="8">
        <f>F34</f>
        <v>565</v>
      </c>
      <c r="G37" s="6">
        <f t="shared" si="10"/>
        <v>35</v>
      </c>
      <c r="H37" s="7">
        <f t="shared" si="11"/>
        <v>6.6037735849056603E-2</v>
      </c>
      <c r="I37" s="8">
        <v>602.64655172413791</v>
      </c>
      <c r="J37" s="9">
        <f t="shared" si="12"/>
        <v>642.44396551724139</v>
      </c>
      <c r="K37" s="3">
        <f t="shared" si="13"/>
        <v>39.797413793103487</v>
      </c>
      <c r="L37" s="7">
        <f t="shared" si="14"/>
        <v>6.6037735849056672E-2</v>
      </c>
      <c r="M37" t="s">
        <v>7</v>
      </c>
      <c r="O37" s="3">
        <f>E37-'290710 - P1223'!F37</f>
        <v>0</v>
      </c>
      <c r="P37" s="30">
        <f>I37-'290710 - P1223'!J37</f>
        <v>0</v>
      </c>
    </row>
    <row r="38" spans="1:16" x14ac:dyDescent="0.25">
      <c r="A38">
        <v>36</v>
      </c>
      <c r="D38" s="4" t="s">
        <v>43</v>
      </c>
      <c r="E38" s="8">
        <v>530</v>
      </c>
      <c r="F38" s="8">
        <f>F34</f>
        <v>565</v>
      </c>
      <c r="G38" s="6">
        <f t="shared" si="10"/>
        <v>35</v>
      </c>
      <c r="H38" s="7">
        <f t="shared" si="11"/>
        <v>6.6037735849056603E-2</v>
      </c>
      <c r="I38" s="8">
        <v>602.64655172413791</v>
      </c>
      <c r="J38" s="9">
        <f t="shared" si="12"/>
        <v>642.44396551724139</v>
      </c>
      <c r="K38" s="3">
        <f t="shared" si="13"/>
        <v>39.797413793103487</v>
      </c>
      <c r="L38" s="7">
        <f t="shared" si="14"/>
        <v>6.6037735849056672E-2</v>
      </c>
      <c r="M38" t="s">
        <v>7</v>
      </c>
      <c r="O38" s="3">
        <f>E38-'290710 - P1223'!F38</f>
        <v>0</v>
      </c>
      <c r="P38" s="30">
        <f>I38-'290710 - P1223'!J38</f>
        <v>0</v>
      </c>
    </row>
    <row r="39" spans="1:16" x14ac:dyDescent="0.25">
      <c r="A39">
        <v>37</v>
      </c>
      <c r="D39" s="4" t="s">
        <v>44</v>
      </c>
      <c r="E39" s="8">
        <v>530</v>
      </c>
      <c r="F39" s="8">
        <f>F34</f>
        <v>565</v>
      </c>
      <c r="G39" s="6">
        <f t="shared" si="10"/>
        <v>35</v>
      </c>
      <c r="H39" s="7">
        <f t="shared" si="11"/>
        <v>6.6037735849056603E-2</v>
      </c>
      <c r="I39" s="8">
        <v>602.64655172413791</v>
      </c>
      <c r="J39" s="9">
        <f t="shared" si="12"/>
        <v>642.44396551724139</v>
      </c>
      <c r="K39" s="3">
        <f t="shared" si="13"/>
        <v>39.797413793103487</v>
      </c>
      <c r="L39" s="7">
        <f t="shared" si="14"/>
        <v>6.6037735849056672E-2</v>
      </c>
      <c r="M39" t="s">
        <v>7</v>
      </c>
      <c r="O39" s="3">
        <f>E39-'290710 - P1223'!F39</f>
        <v>0</v>
      </c>
      <c r="P39" s="30">
        <f>I39-'290710 - P1223'!J39</f>
        <v>0</v>
      </c>
    </row>
    <row r="40" spans="1:16" x14ac:dyDescent="0.25">
      <c r="A40">
        <v>38</v>
      </c>
      <c r="D40" s="4" t="s">
        <v>45</v>
      </c>
      <c r="E40" s="8">
        <v>530</v>
      </c>
      <c r="F40" s="8">
        <f>F34</f>
        <v>565</v>
      </c>
      <c r="G40" s="6">
        <f t="shared" si="10"/>
        <v>35</v>
      </c>
      <c r="H40" s="7">
        <f t="shared" si="11"/>
        <v>6.6037735849056603E-2</v>
      </c>
      <c r="I40" s="8">
        <v>602.64655172413791</v>
      </c>
      <c r="J40" s="9">
        <f t="shared" si="12"/>
        <v>642.44396551724139</v>
      </c>
      <c r="K40" s="3">
        <f t="shared" si="13"/>
        <v>39.797413793103487</v>
      </c>
      <c r="L40" s="7">
        <f t="shared" si="14"/>
        <v>6.6037735849056672E-2</v>
      </c>
      <c r="M40" t="s">
        <v>7</v>
      </c>
      <c r="O40" s="3">
        <f>E40-'290710 - P1223'!F40</f>
        <v>0</v>
      </c>
      <c r="P40" s="30">
        <f>I40-'290710 - P1223'!J40</f>
        <v>0</v>
      </c>
    </row>
    <row r="41" spans="1:16" x14ac:dyDescent="0.25">
      <c r="A41">
        <v>39</v>
      </c>
      <c r="D41" s="4" t="s">
        <v>46</v>
      </c>
      <c r="E41" s="8">
        <v>530</v>
      </c>
      <c r="F41" s="8">
        <f>F35</f>
        <v>565</v>
      </c>
      <c r="G41" s="6">
        <f t="shared" si="10"/>
        <v>35</v>
      </c>
      <c r="H41" s="7">
        <f t="shared" si="11"/>
        <v>6.6037735849056603E-2</v>
      </c>
      <c r="I41" s="8">
        <v>602.64655172413791</v>
      </c>
      <c r="J41" s="9">
        <f t="shared" si="12"/>
        <v>642.44396551724139</v>
      </c>
      <c r="K41" s="3">
        <f t="shared" si="13"/>
        <v>39.797413793103487</v>
      </c>
      <c r="L41" s="7">
        <f t="shared" si="14"/>
        <v>6.6037735849056672E-2</v>
      </c>
      <c r="M41" t="s">
        <v>7</v>
      </c>
      <c r="O41" s="3">
        <f>E41-'290710 - P1223'!F41</f>
        <v>0</v>
      </c>
      <c r="P41" s="30">
        <f>I41-'290710 - P1223'!J41</f>
        <v>0</v>
      </c>
    </row>
    <row r="42" spans="1:16" x14ac:dyDescent="0.25">
      <c r="A42">
        <v>40</v>
      </c>
      <c r="D42" s="4" t="s">
        <v>47</v>
      </c>
      <c r="E42" s="5">
        <v>515</v>
      </c>
      <c r="F42" s="5">
        <v>565</v>
      </c>
      <c r="G42" s="6">
        <f t="shared" si="10"/>
        <v>50</v>
      </c>
      <c r="H42" s="7">
        <f t="shared" si="11"/>
        <v>9.7087378640776698E-2</v>
      </c>
      <c r="I42" s="8">
        <v>587.29807692307702</v>
      </c>
      <c r="J42" s="9">
        <f t="shared" si="12"/>
        <v>644.31730769230785</v>
      </c>
      <c r="K42" s="3">
        <f t="shared" si="13"/>
        <v>57.01923076923083</v>
      </c>
      <c r="L42" s="7">
        <f t="shared" si="14"/>
        <v>9.7087378640776781E-2</v>
      </c>
      <c r="M42" t="s">
        <v>7</v>
      </c>
      <c r="O42" s="3">
        <f>E42-'290710 - P1223'!F42</f>
        <v>0</v>
      </c>
      <c r="P42" s="30">
        <f>I42-'290710 - P1223'!J42</f>
        <v>0</v>
      </c>
    </row>
    <row r="43" spans="1:16" x14ac:dyDescent="0.25">
      <c r="A43">
        <v>41</v>
      </c>
      <c r="D43" s="4" t="s">
        <v>48</v>
      </c>
      <c r="E43" s="8">
        <v>515</v>
      </c>
      <c r="F43" s="8">
        <f>F42</f>
        <v>565</v>
      </c>
      <c r="G43" s="6">
        <f t="shared" si="10"/>
        <v>50</v>
      </c>
      <c r="H43" s="7">
        <f t="shared" si="11"/>
        <v>9.7087378640776698E-2</v>
      </c>
      <c r="I43" s="8">
        <v>587.29807692307702</v>
      </c>
      <c r="J43" s="9">
        <f t="shared" si="12"/>
        <v>644.31730769230785</v>
      </c>
      <c r="K43" s="3">
        <f t="shared" si="13"/>
        <v>57.01923076923083</v>
      </c>
      <c r="L43" s="7">
        <f t="shared" si="14"/>
        <v>9.7087378640776781E-2</v>
      </c>
      <c r="M43" t="s">
        <v>7</v>
      </c>
      <c r="O43" s="3">
        <f>E43-'290710 - P1223'!F43</f>
        <v>0</v>
      </c>
      <c r="P43" s="30">
        <f>I43-'290710 - P1223'!J43</f>
        <v>0</v>
      </c>
    </row>
    <row r="44" spans="1:16" x14ac:dyDescent="0.25">
      <c r="A44">
        <v>42</v>
      </c>
      <c r="D44" s="4" t="s">
        <v>49</v>
      </c>
      <c r="E44" s="8">
        <v>515</v>
      </c>
      <c r="F44" s="8">
        <f>F42</f>
        <v>565</v>
      </c>
      <c r="G44" s="6">
        <f t="shared" si="10"/>
        <v>50</v>
      </c>
      <c r="H44" s="7">
        <f t="shared" si="11"/>
        <v>9.7087378640776698E-2</v>
      </c>
      <c r="I44" s="8">
        <v>587.29807692307702</v>
      </c>
      <c r="J44" s="9">
        <f t="shared" si="12"/>
        <v>644.31730769230785</v>
      </c>
      <c r="K44" s="3">
        <f t="shared" si="13"/>
        <v>57.01923076923083</v>
      </c>
      <c r="L44" s="7">
        <f t="shared" si="14"/>
        <v>9.7087378640776781E-2</v>
      </c>
      <c r="M44" t="s">
        <v>7</v>
      </c>
      <c r="O44" s="3">
        <f>E44-'290710 - P1223'!F44</f>
        <v>0</v>
      </c>
      <c r="P44" s="30">
        <f>I44-'290710 - P1223'!J44</f>
        <v>0</v>
      </c>
    </row>
    <row r="45" spans="1:16" x14ac:dyDescent="0.25">
      <c r="A45">
        <v>43</v>
      </c>
      <c r="D45" s="4" t="s">
        <v>50</v>
      </c>
      <c r="E45" s="8">
        <v>515</v>
      </c>
      <c r="F45" s="8">
        <f>F42</f>
        <v>565</v>
      </c>
      <c r="G45" s="6">
        <f t="shared" si="10"/>
        <v>50</v>
      </c>
      <c r="H45" s="7">
        <f t="shared" si="11"/>
        <v>9.7087378640776698E-2</v>
      </c>
      <c r="I45" s="8">
        <v>587.29807692307702</v>
      </c>
      <c r="J45" s="9">
        <f t="shared" si="12"/>
        <v>644.31730769230785</v>
      </c>
      <c r="K45" s="3">
        <f t="shared" si="13"/>
        <v>57.01923076923083</v>
      </c>
      <c r="L45" s="7">
        <f t="shared" si="14"/>
        <v>9.7087378640776781E-2</v>
      </c>
      <c r="M45" t="s">
        <v>7</v>
      </c>
      <c r="O45" s="3">
        <f>E45-'290710 - P1223'!F45</f>
        <v>0</v>
      </c>
      <c r="P45" s="30">
        <f>I45-'290710 - P1223'!J45</f>
        <v>0</v>
      </c>
    </row>
    <row r="46" spans="1:16" x14ac:dyDescent="0.25">
      <c r="A46">
        <v>44</v>
      </c>
      <c r="D46" s="4" t="s">
        <v>51</v>
      </c>
      <c r="E46" s="8">
        <v>515</v>
      </c>
      <c r="F46" s="8">
        <f>F42</f>
        <v>565</v>
      </c>
      <c r="G46" s="6">
        <f t="shared" si="10"/>
        <v>50</v>
      </c>
      <c r="H46" s="7">
        <f t="shared" si="11"/>
        <v>9.7087378640776698E-2</v>
      </c>
      <c r="I46" s="8">
        <v>587.29807692307702</v>
      </c>
      <c r="J46" s="9">
        <f t="shared" si="12"/>
        <v>644.31730769230785</v>
      </c>
      <c r="K46" s="3">
        <f t="shared" si="13"/>
        <v>57.01923076923083</v>
      </c>
      <c r="L46" s="7">
        <f t="shared" si="14"/>
        <v>9.7087378640776781E-2</v>
      </c>
      <c r="M46" t="s">
        <v>7</v>
      </c>
      <c r="O46" s="3">
        <f>E46-'290710 - P1223'!F46</f>
        <v>0</v>
      </c>
      <c r="P46" s="30">
        <f>I46-'290710 - P1223'!J46</f>
        <v>0</v>
      </c>
    </row>
    <row r="47" spans="1:16" x14ac:dyDescent="0.25">
      <c r="A47">
        <v>45</v>
      </c>
      <c r="D47" s="4" t="s">
        <v>52</v>
      </c>
      <c r="E47" s="8">
        <v>515</v>
      </c>
      <c r="F47" s="8">
        <f>F42</f>
        <v>565</v>
      </c>
      <c r="G47" s="6">
        <f t="shared" si="10"/>
        <v>50</v>
      </c>
      <c r="H47" s="7">
        <f t="shared" si="11"/>
        <v>9.7087378640776698E-2</v>
      </c>
      <c r="I47" s="8">
        <v>587.29807692307702</v>
      </c>
      <c r="J47" s="9">
        <f t="shared" si="12"/>
        <v>644.31730769230785</v>
      </c>
      <c r="K47" s="3">
        <f t="shared" si="13"/>
        <v>57.01923076923083</v>
      </c>
      <c r="L47" s="7">
        <f t="shared" si="14"/>
        <v>9.7087378640776781E-2</v>
      </c>
      <c r="M47" t="s">
        <v>7</v>
      </c>
      <c r="O47" s="3">
        <f>E47-'290710 - P1223'!F47</f>
        <v>0</v>
      </c>
      <c r="P47" s="30">
        <f>I47-'290710 - P1223'!J47</f>
        <v>0</v>
      </c>
    </row>
    <row r="48" spans="1:16" x14ac:dyDescent="0.25">
      <c r="A48">
        <v>46</v>
      </c>
      <c r="D48" s="4" t="s">
        <v>53</v>
      </c>
      <c r="E48" s="8">
        <v>515</v>
      </c>
      <c r="F48" s="8">
        <f>F42</f>
        <v>565</v>
      </c>
      <c r="G48" s="6">
        <f t="shared" si="10"/>
        <v>50</v>
      </c>
      <c r="H48" s="7">
        <f t="shared" si="11"/>
        <v>9.7087378640776698E-2</v>
      </c>
      <c r="I48" s="8">
        <v>587.29807692307702</v>
      </c>
      <c r="J48" s="9">
        <f t="shared" si="12"/>
        <v>644.31730769230785</v>
      </c>
      <c r="K48" s="3">
        <f t="shared" si="13"/>
        <v>57.01923076923083</v>
      </c>
      <c r="L48" s="7">
        <f t="shared" si="14"/>
        <v>9.7087378640776781E-2</v>
      </c>
      <c r="M48" t="s">
        <v>7</v>
      </c>
      <c r="O48" s="3">
        <f>E48-'290710 - P1223'!F48</f>
        <v>0</v>
      </c>
      <c r="P48" s="30">
        <f>I48-'290710 - P1223'!J48</f>
        <v>0</v>
      </c>
    </row>
    <row r="49" spans="1:16" x14ac:dyDescent="0.25">
      <c r="A49">
        <v>47</v>
      </c>
      <c r="D49" s="4" t="s">
        <v>54</v>
      </c>
      <c r="E49" s="8">
        <v>515</v>
      </c>
      <c r="F49" s="8">
        <f>F43</f>
        <v>565</v>
      </c>
      <c r="G49" s="6">
        <f t="shared" si="10"/>
        <v>50</v>
      </c>
      <c r="H49" s="7">
        <f t="shared" si="11"/>
        <v>9.7087378640776698E-2</v>
      </c>
      <c r="I49" s="8">
        <v>587.29807692307702</v>
      </c>
      <c r="J49" s="9">
        <f t="shared" si="12"/>
        <v>644.31730769230785</v>
      </c>
      <c r="K49" s="3">
        <f t="shared" si="13"/>
        <v>57.01923076923083</v>
      </c>
      <c r="L49" s="7">
        <f t="shared" si="14"/>
        <v>9.7087378640776781E-2</v>
      </c>
      <c r="M49" t="s">
        <v>7</v>
      </c>
      <c r="O49" s="3">
        <f>E49-'290710 - P1223'!F49</f>
        <v>0</v>
      </c>
      <c r="P49" s="30">
        <f>I49-'290710 - P1223'!J49</f>
        <v>0</v>
      </c>
    </row>
    <row r="50" spans="1:16" x14ac:dyDescent="0.25">
      <c r="A50">
        <v>48</v>
      </c>
      <c r="D50" s="4" t="s">
        <v>55</v>
      </c>
      <c r="E50" s="5">
        <v>775</v>
      </c>
      <c r="F50" s="5">
        <v>440</v>
      </c>
      <c r="G50" s="6">
        <f t="shared" si="10"/>
        <v>-335</v>
      </c>
      <c r="H50" s="7">
        <f t="shared" si="11"/>
        <v>-0.43225806451612903</v>
      </c>
      <c r="I50" s="8">
        <v>959.38837920489289</v>
      </c>
      <c r="J50" s="9">
        <f t="shared" si="12"/>
        <v>544.68501529051991</v>
      </c>
      <c r="K50" s="3">
        <f t="shared" si="13"/>
        <v>-414.70336391437297</v>
      </c>
      <c r="L50" s="7">
        <f t="shared" si="14"/>
        <v>-0.43225806451612897</v>
      </c>
      <c r="M50" t="s">
        <v>7</v>
      </c>
      <c r="O50" s="3">
        <f>E50-'290710 - P1223'!F50</f>
        <v>0</v>
      </c>
      <c r="P50" s="30">
        <f>I50-'290710 - P1223'!J50</f>
        <v>0</v>
      </c>
    </row>
    <row r="51" spans="1:16" x14ac:dyDescent="0.25">
      <c r="A51">
        <v>49</v>
      </c>
      <c r="D51" s="4" t="s">
        <v>56</v>
      </c>
      <c r="E51" s="8">
        <v>775</v>
      </c>
      <c r="F51" s="8">
        <f>F50</f>
        <v>440</v>
      </c>
      <c r="G51" s="6">
        <f t="shared" si="10"/>
        <v>-335</v>
      </c>
      <c r="H51" s="7">
        <f t="shared" si="11"/>
        <v>-0.43225806451612903</v>
      </c>
      <c r="I51" s="8">
        <v>959.38837920489289</v>
      </c>
      <c r="J51" s="9">
        <f t="shared" si="12"/>
        <v>544.68501529051991</v>
      </c>
      <c r="K51" s="3">
        <f t="shared" si="13"/>
        <v>-414.70336391437297</v>
      </c>
      <c r="L51" s="7">
        <f t="shared" si="14"/>
        <v>-0.43225806451612897</v>
      </c>
      <c r="M51" t="s">
        <v>7</v>
      </c>
      <c r="O51" s="3">
        <f>E51-'290710 - P1223'!F51</f>
        <v>0</v>
      </c>
      <c r="P51" s="30">
        <f>I51-'290710 - P1223'!J51</f>
        <v>0</v>
      </c>
    </row>
    <row r="52" spans="1:16" x14ac:dyDescent="0.25">
      <c r="A52">
        <v>50</v>
      </c>
      <c r="D52" s="4" t="s">
        <v>57</v>
      </c>
      <c r="E52" s="8">
        <v>775</v>
      </c>
      <c r="F52" s="8">
        <f>F50</f>
        <v>440</v>
      </c>
      <c r="G52" s="6">
        <f t="shared" si="10"/>
        <v>-335</v>
      </c>
      <c r="H52" s="7">
        <f t="shared" si="11"/>
        <v>-0.43225806451612903</v>
      </c>
      <c r="I52" s="8">
        <v>959.38837920489289</v>
      </c>
      <c r="J52" s="9">
        <f t="shared" si="12"/>
        <v>544.68501529051991</v>
      </c>
      <c r="K52" s="3">
        <f t="shared" si="13"/>
        <v>-414.70336391437297</v>
      </c>
      <c r="L52" s="7">
        <f t="shared" si="14"/>
        <v>-0.43225806451612897</v>
      </c>
      <c r="M52" t="s">
        <v>7</v>
      </c>
      <c r="O52" s="3">
        <f>E52-'290710 - P1223'!F52</f>
        <v>0</v>
      </c>
      <c r="P52" s="30">
        <f>I52-'290710 - P1223'!J52</f>
        <v>0</v>
      </c>
    </row>
    <row r="53" spans="1:16" x14ac:dyDescent="0.25">
      <c r="A53">
        <v>51</v>
      </c>
      <c r="D53" s="4" t="s">
        <v>58</v>
      </c>
      <c r="E53" s="8">
        <v>775</v>
      </c>
      <c r="F53" s="8">
        <f>F50</f>
        <v>440</v>
      </c>
      <c r="G53" s="6">
        <f t="shared" si="10"/>
        <v>-335</v>
      </c>
      <c r="H53" s="7">
        <f t="shared" si="11"/>
        <v>-0.43225806451612903</v>
      </c>
      <c r="I53" s="8">
        <v>959.38837920489289</v>
      </c>
      <c r="J53" s="9">
        <f t="shared" si="12"/>
        <v>544.68501529051991</v>
      </c>
      <c r="K53" s="3">
        <f t="shared" si="13"/>
        <v>-414.70336391437297</v>
      </c>
      <c r="L53" s="7">
        <f t="shared" si="14"/>
        <v>-0.43225806451612897</v>
      </c>
      <c r="M53" t="s">
        <v>7</v>
      </c>
      <c r="O53" s="3">
        <f>E53-'290710 - P1223'!F53</f>
        <v>0</v>
      </c>
      <c r="P53" s="30">
        <f>I53-'290710 - P1223'!J53</f>
        <v>0</v>
      </c>
    </row>
    <row r="54" spans="1:16" x14ac:dyDescent="0.25">
      <c r="A54">
        <v>52</v>
      </c>
      <c r="D54" s="4" t="s">
        <v>59</v>
      </c>
      <c r="E54" s="5">
        <v>783</v>
      </c>
      <c r="F54" s="5">
        <v>443</v>
      </c>
      <c r="G54" s="6">
        <f t="shared" si="10"/>
        <v>-340</v>
      </c>
      <c r="H54" s="7">
        <f t="shared" si="11"/>
        <v>-0.4342273307790549</v>
      </c>
      <c r="I54" s="8">
        <v>978.16216216216174</v>
      </c>
      <c r="J54" s="9">
        <f t="shared" si="12"/>
        <v>553.41741741741725</v>
      </c>
      <c r="K54" s="3">
        <f t="shared" si="13"/>
        <v>-424.74474474474448</v>
      </c>
      <c r="L54" s="7">
        <f t="shared" si="14"/>
        <v>-0.43422733077905484</v>
      </c>
      <c r="M54" t="s">
        <v>7</v>
      </c>
      <c r="O54" s="3">
        <f>E54-'290710 - P1223'!F54</f>
        <v>0</v>
      </c>
      <c r="P54" s="30">
        <f>I54-'290710 - P1223'!J54</f>
        <v>0</v>
      </c>
    </row>
    <row r="55" spans="1:16" x14ac:dyDescent="0.25">
      <c r="A55">
        <v>53</v>
      </c>
      <c r="D55" s="4" t="s">
        <v>60</v>
      </c>
      <c r="E55" s="8">
        <v>783</v>
      </c>
      <c r="F55" s="8">
        <f>F54</f>
        <v>443</v>
      </c>
      <c r="G55" s="6">
        <f t="shared" si="10"/>
        <v>-340</v>
      </c>
      <c r="H55" s="7">
        <f t="shared" si="11"/>
        <v>-0.4342273307790549</v>
      </c>
      <c r="I55" s="8">
        <v>978.16216216216174</v>
      </c>
      <c r="J55" s="9">
        <f t="shared" si="12"/>
        <v>553.41741741741725</v>
      </c>
      <c r="K55" s="3">
        <f t="shared" si="13"/>
        <v>-424.74474474474448</v>
      </c>
      <c r="L55" s="7">
        <f t="shared" si="14"/>
        <v>-0.43422733077905484</v>
      </c>
      <c r="M55" t="s">
        <v>7</v>
      </c>
      <c r="O55" s="3">
        <f>E55-'290710 - P1223'!F55</f>
        <v>0</v>
      </c>
      <c r="P55" s="30">
        <f>I55-'290710 - P1223'!J55</f>
        <v>0</v>
      </c>
    </row>
    <row r="56" spans="1:16" x14ac:dyDescent="0.25">
      <c r="A56">
        <v>54</v>
      </c>
      <c r="D56" s="4" t="s">
        <v>61</v>
      </c>
      <c r="E56" s="8">
        <v>783</v>
      </c>
      <c r="F56" s="8">
        <f>F54</f>
        <v>443</v>
      </c>
      <c r="G56" s="6">
        <f t="shared" si="10"/>
        <v>-340</v>
      </c>
      <c r="H56" s="7">
        <f t="shared" si="11"/>
        <v>-0.4342273307790549</v>
      </c>
      <c r="I56" s="8">
        <v>978.16216216216174</v>
      </c>
      <c r="J56" s="9">
        <f t="shared" si="12"/>
        <v>553.41741741741725</v>
      </c>
      <c r="K56" s="3">
        <f t="shared" si="13"/>
        <v>-424.74474474474448</v>
      </c>
      <c r="L56" s="7">
        <f t="shared" si="14"/>
        <v>-0.43422733077905484</v>
      </c>
      <c r="M56" t="s">
        <v>7</v>
      </c>
      <c r="O56" s="3">
        <f>E56-'290710 - P1223'!F56</f>
        <v>0</v>
      </c>
      <c r="P56" s="30">
        <f>I56-'290710 - P1223'!J56</f>
        <v>0</v>
      </c>
    </row>
    <row r="57" spans="1:16" x14ac:dyDescent="0.25">
      <c r="A57">
        <v>55</v>
      </c>
      <c r="D57" s="4" t="s">
        <v>62</v>
      </c>
      <c r="E57" s="8">
        <v>783</v>
      </c>
      <c r="F57" s="8">
        <f>F54</f>
        <v>443</v>
      </c>
      <c r="G57" s="6">
        <f t="shared" si="10"/>
        <v>-340</v>
      </c>
      <c r="H57" s="7">
        <f t="shared" si="11"/>
        <v>-0.4342273307790549</v>
      </c>
      <c r="I57" s="8">
        <v>978.16216216216174</v>
      </c>
      <c r="J57" s="9">
        <f t="shared" si="12"/>
        <v>553.41741741741725</v>
      </c>
      <c r="K57" s="3">
        <f t="shared" si="13"/>
        <v>-424.74474474474448</v>
      </c>
      <c r="L57" s="7">
        <f t="shared" si="14"/>
        <v>-0.43422733077905484</v>
      </c>
      <c r="M57" t="s">
        <v>7</v>
      </c>
      <c r="O57" s="3">
        <f>E57-'290710 - P1223'!F57</f>
        <v>0</v>
      </c>
      <c r="P57" s="30">
        <f>I57-'290710 - P1223'!J57</f>
        <v>0</v>
      </c>
    </row>
    <row r="58" spans="1:16" x14ac:dyDescent="0.25">
      <c r="A58">
        <v>56</v>
      </c>
      <c r="D58" s="4" t="s">
        <v>63</v>
      </c>
      <c r="E58" s="8">
        <v>783</v>
      </c>
      <c r="F58" s="8">
        <f>F54</f>
        <v>443</v>
      </c>
      <c r="G58" s="6">
        <f t="shared" si="10"/>
        <v>-340</v>
      </c>
      <c r="H58" s="7">
        <f t="shared" si="11"/>
        <v>-0.4342273307790549</v>
      </c>
      <c r="I58" s="8">
        <v>978.16216216216174</v>
      </c>
      <c r="J58" s="9">
        <f t="shared" si="12"/>
        <v>553.41741741741725</v>
      </c>
      <c r="K58" s="3">
        <f t="shared" si="13"/>
        <v>-424.74474474474448</v>
      </c>
      <c r="L58" s="7">
        <f t="shared" si="14"/>
        <v>-0.43422733077905484</v>
      </c>
      <c r="M58" t="s">
        <v>7</v>
      </c>
      <c r="O58" s="3">
        <f>E58-'290710 - P1223'!F58</f>
        <v>0</v>
      </c>
      <c r="P58" s="30">
        <f>I58-'290710 - P1223'!J58</f>
        <v>0</v>
      </c>
    </row>
    <row r="59" spans="1:16" x14ac:dyDescent="0.25">
      <c r="A59">
        <v>57</v>
      </c>
      <c r="D59" s="4" t="s">
        <v>64</v>
      </c>
      <c r="E59" s="5">
        <v>888</v>
      </c>
      <c r="F59" s="5">
        <v>538</v>
      </c>
      <c r="G59" s="6">
        <f t="shared" si="10"/>
        <v>-350</v>
      </c>
      <c r="H59" s="7">
        <f t="shared" si="11"/>
        <v>-0.39414414414414417</v>
      </c>
      <c r="I59" s="8">
        <v>1182.4869009584663</v>
      </c>
      <c r="J59" s="9">
        <f t="shared" si="12"/>
        <v>716.41661341853023</v>
      </c>
      <c r="K59" s="3">
        <f t="shared" si="13"/>
        <v>-466.07028753993609</v>
      </c>
      <c r="L59" s="7">
        <f t="shared" si="14"/>
        <v>-0.39414414414414417</v>
      </c>
      <c r="M59" t="s">
        <v>7</v>
      </c>
      <c r="O59" s="3">
        <f>E59-'290710 - P1223'!F59</f>
        <v>0</v>
      </c>
      <c r="P59" s="30">
        <f>I59-'290710 - P1223'!J59</f>
        <v>0</v>
      </c>
    </row>
    <row r="60" spans="1:16" x14ac:dyDescent="0.25">
      <c r="A60">
        <v>58</v>
      </c>
      <c r="D60" s="4" t="s">
        <v>65</v>
      </c>
      <c r="E60" s="8">
        <v>888</v>
      </c>
      <c r="F60" s="8">
        <f>F59</f>
        <v>538</v>
      </c>
      <c r="G60" s="6">
        <f t="shared" si="10"/>
        <v>-350</v>
      </c>
      <c r="H60" s="7">
        <f t="shared" si="11"/>
        <v>-0.39414414414414417</v>
      </c>
      <c r="I60" s="8">
        <v>1182.4869009584663</v>
      </c>
      <c r="J60" s="9">
        <f t="shared" si="12"/>
        <v>716.41661341853023</v>
      </c>
      <c r="K60" s="3">
        <f t="shared" si="13"/>
        <v>-466.07028753993609</v>
      </c>
      <c r="L60" s="7">
        <f t="shared" si="14"/>
        <v>-0.39414414414414417</v>
      </c>
      <c r="M60" t="s">
        <v>7</v>
      </c>
      <c r="O60" s="3">
        <f>E60-'290710 - P1223'!F60</f>
        <v>0</v>
      </c>
      <c r="P60" s="30">
        <f>I60-'290710 - P1223'!J60</f>
        <v>0</v>
      </c>
    </row>
    <row r="61" spans="1:16" x14ac:dyDescent="0.25">
      <c r="A61">
        <v>59</v>
      </c>
      <c r="D61" s="4" t="s">
        <v>66</v>
      </c>
      <c r="E61" s="8">
        <v>888</v>
      </c>
      <c r="F61" s="8">
        <f>F59</f>
        <v>538</v>
      </c>
      <c r="G61" s="6">
        <f t="shared" si="10"/>
        <v>-350</v>
      </c>
      <c r="H61" s="7">
        <f t="shared" si="11"/>
        <v>-0.39414414414414417</v>
      </c>
      <c r="I61" s="8">
        <v>1182.4869009584663</v>
      </c>
      <c r="J61" s="9">
        <f t="shared" si="12"/>
        <v>716.41661341853023</v>
      </c>
      <c r="K61" s="3">
        <f t="shared" si="13"/>
        <v>-466.07028753993609</v>
      </c>
      <c r="L61" s="7">
        <f t="shared" si="14"/>
        <v>-0.39414414414414417</v>
      </c>
      <c r="M61" t="s">
        <v>7</v>
      </c>
      <c r="O61" s="3">
        <f>E61-'290710 - P1223'!F61</f>
        <v>0</v>
      </c>
      <c r="P61" s="30">
        <f>I61-'290710 - P1223'!J61</f>
        <v>0</v>
      </c>
    </row>
    <row r="62" spans="1:16" x14ac:dyDescent="0.25">
      <c r="A62">
        <v>60</v>
      </c>
      <c r="D62" s="4" t="s">
        <v>67</v>
      </c>
      <c r="E62" s="8">
        <v>888</v>
      </c>
      <c r="F62" s="8">
        <f>F59</f>
        <v>538</v>
      </c>
      <c r="G62" s="6">
        <f t="shared" si="10"/>
        <v>-350</v>
      </c>
      <c r="H62" s="7">
        <f t="shared" si="11"/>
        <v>-0.39414414414414417</v>
      </c>
      <c r="I62" s="8">
        <v>1182.4869009584663</v>
      </c>
      <c r="J62" s="9">
        <f t="shared" si="12"/>
        <v>716.41661341853023</v>
      </c>
      <c r="K62" s="3">
        <f t="shared" si="13"/>
        <v>-466.07028753993609</v>
      </c>
      <c r="L62" s="7">
        <f t="shared" si="14"/>
        <v>-0.39414414414414417</v>
      </c>
      <c r="M62" t="s">
        <v>7</v>
      </c>
      <c r="O62" s="3">
        <f>E62-'290710 - P1223'!F62</f>
        <v>0</v>
      </c>
      <c r="P62" s="30">
        <f>I62-'290710 - P1223'!J62</f>
        <v>0</v>
      </c>
    </row>
    <row r="63" spans="1:16" x14ac:dyDescent="0.25">
      <c r="A63">
        <v>61</v>
      </c>
      <c r="D63" s="2"/>
      <c r="G63" s="6"/>
      <c r="H63" s="10">
        <f>AVERAGE(H34:H62)</f>
        <v>-0.14385326112474828</v>
      </c>
      <c r="J63" s="3"/>
      <c r="K63" s="3"/>
      <c r="L63" s="10">
        <f>AVERAGE(L34:L62)</f>
        <v>-0.14385326112474819</v>
      </c>
    </row>
    <row r="64" spans="1:16" x14ac:dyDescent="0.25">
      <c r="A64">
        <v>62</v>
      </c>
      <c r="D64" s="2" t="s">
        <v>68</v>
      </c>
      <c r="G64" s="6"/>
      <c r="H64" s="7"/>
      <c r="J64" s="3"/>
      <c r="K64" s="3"/>
      <c r="L64" s="7"/>
    </row>
    <row r="65" spans="1:16" x14ac:dyDescent="0.25">
      <c r="A65">
        <v>63</v>
      </c>
      <c r="D65" s="4" t="s">
        <v>69</v>
      </c>
      <c r="E65" s="5">
        <v>485</v>
      </c>
      <c r="F65" s="5">
        <v>520</v>
      </c>
      <c r="G65" s="6">
        <f t="shared" ref="G65:G71" si="15">+F65-E65</f>
        <v>35</v>
      </c>
      <c r="H65" s="7">
        <f t="shared" ref="H65:H71" si="16">(F65-E65)/ABS(E65)</f>
        <v>7.2164948453608241E-2</v>
      </c>
      <c r="I65" s="8">
        <v>591.54098360655746</v>
      </c>
      <c r="J65" s="9">
        <f t="shared" ref="J65:J90" si="17">(I65*H65)+I65</f>
        <v>634.22950819672144</v>
      </c>
      <c r="K65" s="3">
        <f t="shared" ref="K65:K71" si="18">J65-I65</f>
        <v>42.688524590163979</v>
      </c>
      <c r="L65" s="7">
        <f t="shared" ref="L65:L71" si="19">(J65-I65)/ABS(I65)</f>
        <v>7.216494845360831E-2</v>
      </c>
      <c r="M65" t="s">
        <v>7</v>
      </c>
      <c r="O65" s="3">
        <f>E65-'290710 - P1223'!F65</f>
        <v>0</v>
      </c>
      <c r="P65" s="30">
        <f>I65-'290710 - P1223'!J65</f>
        <v>0</v>
      </c>
    </row>
    <row r="66" spans="1:16" x14ac:dyDescent="0.25">
      <c r="A66">
        <v>64</v>
      </c>
      <c r="D66" s="4" t="s">
        <v>70</v>
      </c>
      <c r="E66" s="8">
        <v>485</v>
      </c>
      <c r="F66" s="8">
        <f>F65</f>
        <v>520</v>
      </c>
      <c r="G66" s="6">
        <f t="shared" si="15"/>
        <v>35</v>
      </c>
      <c r="H66" s="7">
        <f t="shared" si="16"/>
        <v>7.2164948453608241E-2</v>
      </c>
      <c r="I66" s="8">
        <v>591.54098360655746</v>
      </c>
      <c r="J66" s="9">
        <f t="shared" si="17"/>
        <v>634.22950819672144</v>
      </c>
      <c r="K66" s="3">
        <f t="shared" si="18"/>
        <v>42.688524590163979</v>
      </c>
      <c r="L66" s="7">
        <f t="shared" si="19"/>
        <v>7.216494845360831E-2</v>
      </c>
      <c r="M66" t="s">
        <v>7</v>
      </c>
      <c r="O66" s="3">
        <f>E66-'290710 - P1223'!F66</f>
        <v>0</v>
      </c>
      <c r="P66" s="30">
        <f>I66-'290710 - P1223'!J66</f>
        <v>0</v>
      </c>
    </row>
    <row r="67" spans="1:16" x14ac:dyDescent="0.25">
      <c r="A67">
        <v>65</v>
      </c>
      <c r="D67" s="4" t="s">
        <v>71</v>
      </c>
      <c r="E67" s="8">
        <v>485</v>
      </c>
      <c r="F67" s="8">
        <f>F65</f>
        <v>520</v>
      </c>
      <c r="G67" s="6">
        <f t="shared" si="15"/>
        <v>35</v>
      </c>
      <c r="H67" s="7">
        <f t="shared" si="16"/>
        <v>7.2164948453608241E-2</v>
      </c>
      <c r="I67" s="8">
        <v>591.54098360655746</v>
      </c>
      <c r="J67" s="9">
        <f t="shared" si="17"/>
        <v>634.22950819672144</v>
      </c>
      <c r="K67" s="3">
        <f t="shared" si="18"/>
        <v>42.688524590163979</v>
      </c>
      <c r="L67" s="7">
        <f t="shared" si="19"/>
        <v>7.216494845360831E-2</v>
      </c>
      <c r="M67" t="s">
        <v>7</v>
      </c>
      <c r="O67" s="3">
        <f>E67-'290710 - P1223'!F67</f>
        <v>0</v>
      </c>
      <c r="P67" s="30">
        <f>I67-'290710 - P1223'!J67</f>
        <v>0</v>
      </c>
    </row>
    <row r="68" spans="1:16" x14ac:dyDescent="0.25">
      <c r="A68">
        <v>66</v>
      </c>
      <c r="D68" s="4" t="s">
        <v>72</v>
      </c>
      <c r="E68" s="8">
        <v>485</v>
      </c>
      <c r="F68" s="8">
        <f>F65</f>
        <v>520</v>
      </c>
      <c r="G68" s="6">
        <f t="shared" si="15"/>
        <v>35</v>
      </c>
      <c r="H68" s="7">
        <f t="shared" si="16"/>
        <v>7.2164948453608241E-2</v>
      </c>
      <c r="I68" s="8">
        <v>591.54098360655746</v>
      </c>
      <c r="J68" s="9">
        <f t="shared" si="17"/>
        <v>634.22950819672144</v>
      </c>
      <c r="K68" s="3">
        <f t="shared" si="18"/>
        <v>42.688524590163979</v>
      </c>
      <c r="L68" s="7">
        <f t="shared" si="19"/>
        <v>7.216494845360831E-2</v>
      </c>
      <c r="M68" t="s">
        <v>7</v>
      </c>
      <c r="O68" s="3">
        <f>E68-'290710 - P1223'!F68</f>
        <v>0</v>
      </c>
      <c r="P68" s="30">
        <f>I68-'290710 - P1223'!J68</f>
        <v>0</v>
      </c>
    </row>
    <row r="69" spans="1:16" x14ac:dyDescent="0.25">
      <c r="A69">
        <v>67</v>
      </c>
      <c r="D69" s="4" t="s">
        <v>73</v>
      </c>
      <c r="E69" s="8">
        <v>485</v>
      </c>
      <c r="F69" s="8">
        <f>F65</f>
        <v>520</v>
      </c>
      <c r="G69" s="6">
        <f t="shared" si="15"/>
        <v>35</v>
      </c>
      <c r="H69" s="7">
        <f t="shared" si="16"/>
        <v>7.2164948453608241E-2</v>
      </c>
      <c r="I69" s="8">
        <v>591.54098360655746</v>
      </c>
      <c r="J69" s="9">
        <f t="shared" si="17"/>
        <v>634.22950819672144</v>
      </c>
      <c r="K69" s="3">
        <f t="shared" si="18"/>
        <v>42.688524590163979</v>
      </c>
      <c r="L69" s="7">
        <f t="shared" si="19"/>
        <v>7.216494845360831E-2</v>
      </c>
      <c r="M69" t="s">
        <v>7</v>
      </c>
      <c r="O69" s="3">
        <f>E69-'290710 - P1223'!F69</f>
        <v>0</v>
      </c>
      <c r="P69" s="30">
        <f>I69-'290710 - P1223'!J69</f>
        <v>0</v>
      </c>
    </row>
    <row r="70" spans="1:16" x14ac:dyDescent="0.25">
      <c r="A70">
        <v>68</v>
      </c>
      <c r="D70" s="4" t="s">
        <v>74</v>
      </c>
      <c r="E70" s="8">
        <v>485</v>
      </c>
      <c r="F70" s="8">
        <f>F65</f>
        <v>520</v>
      </c>
      <c r="G70" s="6">
        <f t="shared" si="15"/>
        <v>35</v>
      </c>
      <c r="H70" s="7">
        <f t="shared" si="16"/>
        <v>7.2164948453608241E-2</v>
      </c>
      <c r="I70" s="8">
        <v>591.54098360655746</v>
      </c>
      <c r="J70" s="9">
        <f t="shared" si="17"/>
        <v>634.22950819672144</v>
      </c>
      <c r="K70" s="3">
        <f t="shared" si="18"/>
        <v>42.688524590163979</v>
      </c>
      <c r="L70" s="7">
        <f t="shared" si="19"/>
        <v>7.216494845360831E-2</v>
      </c>
      <c r="M70" t="s">
        <v>7</v>
      </c>
      <c r="O70" s="3">
        <f>E70-'290710 - P1223'!F70</f>
        <v>0</v>
      </c>
      <c r="P70" s="30">
        <f>I70-'290710 - P1223'!J70</f>
        <v>0</v>
      </c>
    </row>
    <row r="71" spans="1:16" x14ac:dyDescent="0.25">
      <c r="A71">
        <v>69</v>
      </c>
      <c r="D71" s="4" t="s">
        <v>75</v>
      </c>
      <c r="E71" s="8">
        <v>485</v>
      </c>
      <c r="F71" s="8">
        <f>F67</f>
        <v>520</v>
      </c>
      <c r="G71" s="6">
        <f t="shared" si="15"/>
        <v>35</v>
      </c>
      <c r="H71" s="7">
        <f t="shared" si="16"/>
        <v>7.2164948453608241E-2</v>
      </c>
      <c r="I71" s="8">
        <v>591.54098360655746</v>
      </c>
      <c r="J71" s="9">
        <f t="shared" si="17"/>
        <v>634.22950819672144</v>
      </c>
      <c r="K71" s="3">
        <f t="shared" si="18"/>
        <v>42.688524590163979</v>
      </c>
      <c r="L71" s="7">
        <f t="shared" si="19"/>
        <v>7.216494845360831E-2</v>
      </c>
      <c r="M71" t="s">
        <v>7</v>
      </c>
      <c r="O71" s="3">
        <f>E71-'290710 - P1223'!F71</f>
        <v>0</v>
      </c>
      <c r="P71" s="30">
        <f>I71-'290710 - P1223'!J71</f>
        <v>0</v>
      </c>
    </row>
    <row r="72" spans="1:16" x14ac:dyDescent="0.25">
      <c r="A72">
        <v>70</v>
      </c>
      <c r="D72" s="4" t="s">
        <v>76</v>
      </c>
      <c r="E72" s="5">
        <v>713</v>
      </c>
      <c r="F72" s="5">
        <v>463</v>
      </c>
      <c r="G72" s="6">
        <f>+F72-E72</f>
        <v>-250</v>
      </c>
      <c r="H72" s="7">
        <f>(F72-E72)/ABS(E72)</f>
        <v>-0.35063113604488078</v>
      </c>
      <c r="I72" s="8">
        <v>1000.077616077616</v>
      </c>
      <c r="J72" s="9">
        <f t="shared" si="17"/>
        <v>649.41926541926534</v>
      </c>
      <c r="K72" s="3">
        <f>J72-I72</f>
        <v>-350.65835065835063</v>
      </c>
      <c r="L72" s="7">
        <f>(J72-I72)/ABS(I72)</f>
        <v>-0.35063113604488078</v>
      </c>
      <c r="M72" t="s">
        <v>7</v>
      </c>
      <c r="O72" s="3">
        <f>E72-'290710 - P1223'!F72</f>
        <v>0</v>
      </c>
      <c r="P72" s="30">
        <f>I72-'290710 - P1223'!J72</f>
        <v>0</v>
      </c>
    </row>
    <row r="73" spans="1:16" x14ac:dyDescent="0.25">
      <c r="A73">
        <v>71</v>
      </c>
      <c r="D73" s="4" t="s">
        <v>77</v>
      </c>
      <c r="E73" s="8">
        <v>713</v>
      </c>
      <c r="F73" s="8">
        <f>F72</f>
        <v>463</v>
      </c>
      <c r="G73" s="6">
        <f>+F73-E73</f>
        <v>-250</v>
      </c>
      <c r="H73" s="7">
        <f>(F73-E73)/ABS(E73)</f>
        <v>-0.35063113604488078</v>
      </c>
      <c r="I73" s="8">
        <v>1000.077616077616</v>
      </c>
      <c r="J73" s="9">
        <f t="shared" si="17"/>
        <v>649.41926541926534</v>
      </c>
      <c r="K73" s="3">
        <f>J73-I73</f>
        <v>-350.65835065835063</v>
      </c>
      <c r="L73" s="7">
        <f>(J73-I73)/ABS(I73)</f>
        <v>-0.35063113604488078</v>
      </c>
      <c r="M73" t="s">
        <v>7</v>
      </c>
      <c r="O73" s="3">
        <f>E73-'290710 - P1223'!F73</f>
        <v>0</v>
      </c>
      <c r="P73" s="30">
        <f>I73-'290710 - P1223'!J73</f>
        <v>0</v>
      </c>
    </row>
    <row r="74" spans="1:16" x14ac:dyDescent="0.25">
      <c r="A74">
        <v>72</v>
      </c>
      <c r="D74" s="4" t="s">
        <v>78</v>
      </c>
      <c r="E74" s="8">
        <v>713</v>
      </c>
      <c r="F74" s="8">
        <f>F72</f>
        <v>463</v>
      </c>
      <c r="G74" s="6">
        <f>+F74-E74</f>
        <v>-250</v>
      </c>
      <c r="H74" s="7">
        <f>(F74-E74)/ABS(E74)</f>
        <v>-0.35063113604488078</v>
      </c>
      <c r="I74" s="8">
        <v>1000.077616077616</v>
      </c>
      <c r="J74" s="9">
        <f t="shared" si="17"/>
        <v>649.41926541926534</v>
      </c>
      <c r="K74" s="3">
        <f>J74-I74</f>
        <v>-350.65835065835063</v>
      </c>
      <c r="L74" s="7">
        <f>(J74-I74)/ABS(I74)</f>
        <v>-0.35063113604488078</v>
      </c>
      <c r="M74" t="s">
        <v>7</v>
      </c>
      <c r="O74" s="3">
        <f>E74-'290710 - P1223'!F74</f>
        <v>0</v>
      </c>
      <c r="P74" s="30">
        <f>I74-'290710 - P1223'!J74</f>
        <v>0</v>
      </c>
    </row>
    <row r="75" spans="1:16" x14ac:dyDescent="0.25">
      <c r="A75">
        <v>73</v>
      </c>
      <c r="D75" s="4" t="s">
        <v>79</v>
      </c>
      <c r="E75" s="8">
        <v>713</v>
      </c>
      <c r="F75" s="8">
        <f>F72</f>
        <v>463</v>
      </c>
      <c r="G75" s="6">
        <f>+F75-E75</f>
        <v>-250</v>
      </c>
      <c r="H75" s="7">
        <f>(F75-E75)/ABS(E75)</f>
        <v>-0.35063113604488078</v>
      </c>
      <c r="I75" s="8">
        <v>1000.077616077616</v>
      </c>
      <c r="J75" s="9">
        <f t="shared" si="17"/>
        <v>649.41926541926534</v>
      </c>
      <c r="K75" s="3">
        <f>J75-I75</f>
        <v>-350.65835065835063</v>
      </c>
      <c r="L75" s="7">
        <f>(J75-I75)/ABS(I75)</f>
        <v>-0.35063113604488078</v>
      </c>
      <c r="M75" t="s">
        <v>7</v>
      </c>
      <c r="O75" s="3">
        <f>E75-'290710 - P1223'!F75</f>
        <v>0</v>
      </c>
      <c r="P75" s="30">
        <f>I75-'290710 - P1223'!J75</f>
        <v>0</v>
      </c>
    </row>
    <row r="76" spans="1:16" x14ac:dyDescent="0.25">
      <c r="A76">
        <v>74</v>
      </c>
      <c r="D76" s="4" t="s">
        <v>80</v>
      </c>
      <c r="E76" s="8">
        <v>713</v>
      </c>
      <c r="F76" s="8">
        <f>F72</f>
        <v>463</v>
      </c>
      <c r="G76" s="6">
        <f>+F76-E76</f>
        <v>-250</v>
      </c>
      <c r="H76" s="7">
        <f>(F76-E76)/ABS(E76)</f>
        <v>-0.35063113604488078</v>
      </c>
      <c r="I76" s="8">
        <v>1000.077616077616</v>
      </c>
      <c r="J76" s="9">
        <f t="shared" si="17"/>
        <v>649.41926541926534</v>
      </c>
      <c r="K76" s="3">
        <f>J76-I76</f>
        <v>-350.65835065835063</v>
      </c>
      <c r="L76" s="7">
        <f>(J76-I76)/ABS(I76)</f>
        <v>-0.35063113604488078</v>
      </c>
      <c r="M76" t="s">
        <v>7</v>
      </c>
      <c r="O76" s="3">
        <f>E76-'290710 - P1223'!F76</f>
        <v>0</v>
      </c>
      <c r="P76" s="30">
        <f>I76-'290710 - P1223'!J76</f>
        <v>0</v>
      </c>
    </row>
    <row r="77" spans="1:16" x14ac:dyDescent="0.25">
      <c r="A77">
        <v>75</v>
      </c>
      <c r="D77" s="4" t="s">
        <v>81</v>
      </c>
      <c r="E77" s="8">
        <v>713</v>
      </c>
      <c r="F77" s="8">
        <f t="shared" ref="F77" si="20">F74</f>
        <v>463</v>
      </c>
      <c r="G77" s="6">
        <f t="shared" ref="G77" si="21">+F77-E77</f>
        <v>-250</v>
      </c>
      <c r="H77" s="7">
        <f t="shared" ref="H77" si="22">(F77-E77)/ABS(E77)</f>
        <v>-0.35063113604488078</v>
      </c>
      <c r="I77" s="8">
        <v>1000.077616077616</v>
      </c>
      <c r="J77" s="9">
        <f t="shared" si="17"/>
        <v>649.41926541926534</v>
      </c>
      <c r="K77" s="3">
        <f t="shared" ref="K77" si="23">J77-I77</f>
        <v>-350.65835065835063</v>
      </c>
      <c r="L77" s="7">
        <f t="shared" ref="L77" si="24">(J77-I77)/ABS(I77)</f>
        <v>-0.35063113604488078</v>
      </c>
      <c r="M77" t="s">
        <v>7</v>
      </c>
      <c r="O77" s="3">
        <f>E77-'290710 - P1223'!F77</f>
        <v>0</v>
      </c>
      <c r="P77" s="30">
        <f>I77-'290710 - P1223'!J77</f>
        <v>0</v>
      </c>
    </row>
    <row r="78" spans="1:16" x14ac:dyDescent="0.25">
      <c r="A78">
        <v>76</v>
      </c>
      <c r="D78" s="4" t="s">
        <v>82</v>
      </c>
      <c r="E78" s="5">
        <v>803</v>
      </c>
      <c r="F78" s="5">
        <v>558</v>
      </c>
      <c r="G78" s="6">
        <f>+F78-E78</f>
        <v>-245</v>
      </c>
      <c r="H78" s="7">
        <f>(F78-E78)/ABS(E78)</f>
        <v>-0.30510585305105853</v>
      </c>
      <c r="I78" s="8">
        <v>1016.57277486911</v>
      </c>
      <c r="J78" s="9">
        <f t="shared" si="17"/>
        <v>706.41047120418853</v>
      </c>
      <c r="K78" s="3">
        <f>J78-I78</f>
        <v>-310.16230366492152</v>
      </c>
      <c r="L78" s="7">
        <f>(J78-I78)/ABS(I78)</f>
        <v>-0.30510585305105858</v>
      </c>
      <c r="M78" t="s">
        <v>7</v>
      </c>
      <c r="O78" s="3">
        <f>E78-'290710 - P1223'!F78</f>
        <v>0</v>
      </c>
      <c r="P78" s="30">
        <f>I78-'290710 - P1223'!J78</f>
        <v>0</v>
      </c>
    </row>
    <row r="79" spans="1:16" x14ac:dyDescent="0.25">
      <c r="A79">
        <v>77</v>
      </c>
      <c r="D79" s="4" t="s">
        <v>83</v>
      </c>
      <c r="E79" s="8">
        <v>803</v>
      </c>
      <c r="F79" s="8">
        <f>F78</f>
        <v>558</v>
      </c>
      <c r="G79" s="6">
        <f>+F79-E79</f>
        <v>-245</v>
      </c>
      <c r="H79" s="7">
        <f>(F79-E79)/ABS(E79)</f>
        <v>-0.30510585305105853</v>
      </c>
      <c r="I79" s="8">
        <v>1016.57277486911</v>
      </c>
      <c r="J79" s="9">
        <f t="shared" si="17"/>
        <v>706.41047120418853</v>
      </c>
      <c r="K79" s="3">
        <f>J79-I79</f>
        <v>-310.16230366492152</v>
      </c>
      <c r="L79" s="7">
        <f>(J79-I79)/ABS(I79)</f>
        <v>-0.30510585305105858</v>
      </c>
      <c r="M79" t="s">
        <v>7</v>
      </c>
      <c r="O79" s="3">
        <f>E79-'290710 - P1223'!F79</f>
        <v>0</v>
      </c>
      <c r="P79" s="30">
        <f>I79-'290710 - P1223'!J79</f>
        <v>0</v>
      </c>
    </row>
    <row r="80" spans="1:16" x14ac:dyDescent="0.25">
      <c r="A80">
        <v>78</v>
      </c>
      <c r="D80" s="4" t="s">
        <v>84</v>
      </c>
      <c r="E80" s="8">
        <v>803</v>
      </c>
      <c r="F80" s="8">
        <f>F78</f>
        <v>558</v>
      </c>
      <c r="G80" s="6">
        <f>+F80-E80</f>
        <v>-245</v>
      </c>
      <c r="H80" s="7">
        <f>(F80-E80)/ABS(E80)</f>
        <v>-0.30510585305105853</v>
      </c>
      <c r="I80" s="8">
        <v>1016.57277486911</v>
      </c>
      <c r="J80" s="9">
        <f t="shared" si="17"/>
        <v>706.41047120418853</v>
      </c>
      <c r="K80" s="3">
        <f>J80-I80</f>
        <v>-310.16230366492152</v>
      </c>
      <c r="L80" s="7">
        <f>(J80-I80)/ABS(I80)</f>
        <v>-0.30510585305105858</v>
      </c>
      <c r="M80" t="s">
        <v>7</v>
      </c>
      <c r="O80" s="3">
        <f>E80-'290710 - P1223'!F80</f>
        <v>0</v>
      </c>
      <c r="P80" s="30">
        <f>I80-'290710 - P1223'!J80</f>
        <v>0</v>
      </c>
    </row>
    <row r="81" spans="1:16" x14ac:dyDescent="0.25">
      <c r="A81">
        <v>79</v>
      </c>
      <c r="D81" s="4" t="s">
        <v>85</v>
      </c>
      <c r="E81" s="8">
        <v>803</v>
      </c>
      <c r="F81" s="8">
        <f>F78</f>
        <v>558</v>
      </c>
      <c r="G81" s="6">
        <f>+F81-E81</f>
        <v>-245</v>
      </c>
      <c r="H81" s="7">
        <f>(F81-E81)/ABS(E81)</f>
        <v>-0.30510585305105853</v>
      </c>
      <c r="I81" s="8">
        <v>1016.57277486911</v>
      </c>
      <c r="J81" s="9">
        <f t="shared" si="17"/>
        <v>706.41047120418853</v>
      </c>
      <c r="K81" s="3">
        <f>J81-I81</f>
        <v>-310.16230366492152</v>
      </c>
      <c r="L81" s="7">
        <f>(J81-I81)/ABS(I81)</f>
        <v>-0.30510585305105858</v>
      </c>
      <c r="M81" t="s">
        <v>7</v>
      </c>
      <c r="O81" s="3">
        <f>E81-'290710 - P1223'!F81</f>
        <v>0</v>
      </c>
      <c r="P81" s="30">
        <f>I81-'290710 - P1223'!J81</f>
        <v>0</v>
      </c>
    </row>
    <row r="82" spans="1:16" x14ac:dyDescent="0.25">
      <c r="A82">
        <v>80</v>
      </c>
      <c r="D82" s="4" t="s">
        <v>86</v>
      </c>
      <c r="E82" s="8">
        <v>803</v>
      </c>
      <c r="F82" s="8">
        <f>F78</f>
        <v>558</v>
      </c>
      <c r="G82" s="6">
        <f>+F82-E82</f>
        <v>-245</v>
      </c>
      <c r="H82" s="7">
        <f>(F82-E82)/ABS(E82)</f>
        <v>-0.30510585305105853</v>
      </c>
      <c r="I82" s="8">
        <v>1016.57277486911</v>
      </c>
      <c r="J82" s="9">
        <f t="shared" si="17"/>
        <v>706.41047120418853</v>
      </c>
      <c r="K82" s="3">
        <f>J82-I82</f>
        <v>-310.16230366492152</v>
      </c>
      <c r="L82" s="7">
        <f>(J82-I82)/ABS(I82)</f>
        <v>-0.30510585305105858</v>
      </c>
      <c r="M82" t="s">
        <v>7</v>
      </c>
      <c r="O82" s="3">
        <f>E82-'290710 - P1223'!F82</f>
        <v>0</v>
      </c>
      <c r="P82" s="30">
        <f>I82-'290710 - P1223'!J82</f>
        <v>0</v>
      </c>
    </row>
    <row r="83" spans="1:16" x14ac:dyDescent="0.25">
      <c r="A83">
        <v>81</v>
      </c>
      <c r="D83" s="4" t="s">
        <v>87</v>
      </c>
      <c r="E83" s="8">
        <v>803</v>
      </c>
      <c r="F83" s="8">
        <f>F80</f>
        <v>558</v>
      </c>
      <c r="G83" s="6">
        <f t="shared" ref="G83" si="25">+F83-E83</f>
        <v>-245</v>
      </c>
      <c r="H83" s="7">
        <f t="shared" ref="H83" si="26">(F83-E83)/ABS(E83)</f>
        <v>-0.30510585305105853</v>
      </c>
      <c r="I83" s="8">
        <v>1016.57277486911</v>
      </c>
      <c r="J83" s="9">
        <f t="shared" si="17"/>
        <v>706.41047120418853</v>
      </c>
      <c r="K83" s="3">
        <f t="shared" ref="K83" si="27">J83-I83</f>
        <v>-310.16230366492152</v>
      </c>
      <c r="L83" s="7">
        <f t="shared" ref="L83" si="28">(J83-I83)/ABS(I83)</f>
        <v>-0.30510585305105858</v>
      </c>
      <c r="M83" t="s">
        <v>7</v>
      </c>
      <c r="O83" s="3">
        <f>E83-'290710 - P1223'!F83</f>
        <v>0</v>
      </c>
      <c r="P83" s="30">
        <f>I83-'290710 - P1223'!J83</f>
        <v>0</v>
      </c>
    </row>
    <row r="84" spans="1:16" x14ac:dyDescent="0.25">
      <c r="A84">
        <v>82</v>
      </c>
      <c r="D84" s="4" t="s">
        <v>493</v>
      </c>
      <c r="E84" s="5">
        <v>898</v>
      </c>
      <c r="F84" s="5">
        <v>603</v>
      </c>
      <c r="G84" s="6">
        <f>+F84-E84</f>
        <v>-295</v>
      </c>
      <c r="H84" s="7">
        <f>(F84-E84)/ABS(E84)</f>
        <v>-0.32850779510022271</v>
      </c>
      <c r="I84" s="8">
        <v>1150.3184137475214</v>
      </c>
      <c r="J84" s="9">
        <f t="shared" si="17"/>
        <v>772.4298479841375</v>
      </c>
      <c r="K84" s="3">
        <f>J84-I84</f>
        <v>-377.88856576338389</v>
      </c>
      <c r="L84" s="7">
        <f>(J84-I84)/ABS(I84)</f>
        <v>-0.32850779510022265</v>
      </c>
      <c r="M84" t="s">
        <v>7</v>
      </c>
      <c r="O84" s="3">
        <f>E84-'290710 - P1223'!F84</f>
        <v>0</v>
      </c>
      <c r="P84" s="30">
        <f>I84-'290710 - P1223'!J84</f>
        <v>0</v>
      </c>
    </row>
    <row r="85" spans="1:16" x14ac:dyDescent="0.25">
      <c r="A85">
        <v>83</v>
      </c>
      <c r="D85" s="4" t="s">
        <v>88</v>
      </c>
      <c r="E85" s="8">
        <v>898</v>
      </c>
      <c r="F85" s="8">
        <f>F84</f>
        <v>603</v>
      </c>
      <c r="G85" s="6">
        <f>+F85-E85</f>
        <v>-295</v>
      </c>
      <c r="H85" s="7">
        <f>(F85-E85)/ABS(E85)</f>
        <v>-0.32850779510022271</v>
      </c>
      <c r="I85" s="8">
        <v>1150.3184137475214</v>
      </c>
      <c r="J85" s="9">
        <f t="shared" si="17"/>
        <v>772.4298479841375</v>
      </c>
      <c r="K85" s="3">
        <f>J85-I85</f>
        <v>-377.88856576338389</v>
      </c>
      <c r="L85" s="7">
        <f>(J85-I85)/ABS(I85)</f>
        <v>-0.32850779510022265</v>
      </c>
      <c r="M85" t="s">
        <v>7</v>
      </c>
      <c r="O85" s="3">
        <f>E85-'290710 - P1223'!F85</f>
        <v>0</v>
      </c>
      <c r="P85" s="30">
        <f>I85-'290710 - P1223'!J85</f>
        <v>0</v>
      </c>
    </row>
    <row r="86" spans="1:16" x14ac:dyDescent="0.25">
      <c r="A86">
        <v>84</v>
      </c>
      <c r="D86" s="4" t="s">
        <v>89</v>
      </c>
      <c r="E86" s="8">
        <v>898</v>
      </c>
      <c r="F86" s="8">
        <f>F84</f>
        <v>603</v>
      </c>
      <c r="G86" s="6">
        <f>+F86-E86</f>
        <v>-295</v>
      </c>
      <c r="H86" s="7">
        <f>(F86-E86)/ABS(E86)</f>
        <v>-0.32850779510022271</v>
      </c>
      <c r="I86" s="8">
        <v>1150.3184137475214</v>
      </c>
      <c r="J86" s="9">
        <f t="shared" si="17"/>
        <v>772.4298479841375</v>
      </c>
      <c r="K86" s="3">
        <f>J86-I86</f>
        <v>-377.88856576338389</v>
      </c>
      <c r="L86" s="7">
        <f>(J86-I86)/ABS(I86)</f>
        <v>-0.32850779510022265</v>
      </c>
      <c r="M86" t="s">
        <v>7</v>
      </c>
      <c r="O86" s="3">
        <f>E86-'290710 - P1223'!F86</f>
        <v>0</v>
      </c>
      <c r="P86" s="30">
        <f>I86-'290710 - P1223'!J86</f>
        <v>0</v>
      </c>
    </row>
    <row r="87" spans="1:16" x14ac:dyDescent="0.25">
      <c r="A87">
        <v>85</v>
      </c>
      <c r="D87" s="4" t="s">
        <v>90</v>
      </c>
      <c r="E87" s="8">
        <v>898</v>
      </c>
      <c r="F87" s="8">
        <f>F84</f>
        <v>603</v>
      </c>
      <c r="G87" s="6">
        <f>+F87-E87</f>
        <v>-295</v>
      </c>
      <c r="H87" s="7">
        <f>(F87-E87)/ABS(E87)</f>
        <v>-0.32850779510022271</v>
      </c>
      <c r="I87" s="8">
        <v>1150.3184137475214</v>
      </c>
      <c r="J87" s="9">
        <f t="shared" si="17"/>
        <v>772.4298479841375</v>
      </c>
      <c r="K87" s="3">
        <f>J87-I87</f>
        <v>-377.88856576338389</v>
      </c>
      <c r="L87" s="7">
        <f>(J87-I87)/ABS(I87)</f>
        <v>-0.32850779510022265</v>
      </c>
      <c r="M87" t="s">
        <v>7</v>
      </c>
      <c r="O87" s="3">
        <f>E87-'290710 - P1223'!F87</f>
        <v>0</v>
      </c>
      <c r="P87" s="30">
        <f>I87-'290710 - P1223'!J87</f>
        <v>0</v>
      </c>
    </row>
    <row r="88" spans="1:16" x14ac:dyDescent="0.25">
      <c r="A88">
        <v>86</v>
      </c>
      <c r="D88" s="4" t="s">
        <v>91</v>
      </c>
      <c r="E88" s="8">
        <v>898</v>
      </c>
      <c r="F88" s="8">
        <f>F84</f>
        <v>603</v>
      </c>
      <c r="G88" s="6">
        <f>+F88-E88</f>
        <v>-295</v>
      </c>
      <c r="H88" s="7">
        <f>(F88-E88)/ABS(E88)</f>
        <v>-0.32850779510022271</v>
      </c>
      <c r="I88" s="8">
        <v>1150.3184137475214</v>
      </c>
      <c r="J88" s="9">
        <f t="shared" si="17"/>
        <v>772.4298479841375</v>
      </c>
      <c r="K88" s="3">
        <f>J88-I88</f>
        <v>-377.88856576338389</v>
      </c>
      <c r="L88" s="7">
        <f>(J88-I88)/ABS(I88)</f>
        <v>-0.32850779510022265</v>
      </c>
      <c r="M88" t="s">
        <v>7</v>
      </c>
      <c r="O88" s="3">
        <f>E88-'290710 - P1223'!F88</f>
        <v>0</v>
      </c>
      <c r="P88" s="30">
        <f>I88-'290710 - P1223'!J88</f>
        <v>0</v>
      </c>
    </row>
    <row r="89" spans="1:16" x14ac:dyDescent="0.25">
      <c r="A89">
        <v>87</v>
      </c>
      <c r="D89" s="4" t="s">
        <v>92</v>
      </c>
      <c r="E89" s="8">
        <v>898</v>
      </c>
      <c r="F89" s="8">
        <f t="shared" ref="F89" si="29">F86</f>
        <v>603</v>
      </c>
      <c r="G89" s="6">
        <f t="shared" ref="G89:G90" si="30">+F89-E89</f>
        <v>-295</v>
      </c>
      <c r="H89" s="7">
        <f t="shared" ref="H89:H90" si="31">(F89-E89)/ABS(E89)</f>
        <v>-0.32850779510022271</v>
      </c>
      <c r="I89" s="8">
        <v>1150.3184137475214</v>
      </c>
      <c r="J89" s="9">
        <f t="shared" si="17"/>
        <v>772.4298479841375</v>
      </c>
      <c r="K89" s="3">
        <f t="shared" ref="K89:K90" si="32">J89-I89</f>
        <v>-377.88856576338389</v>
      </c>
      <c r="L89" s="7">
        <f t="shared" ref="L89:L90" si="33">(J89-I89)/ABS(I89)</f>
        <v>-0.32850779510022265</v>
      </c>
      <c r="M89" t="s">
        <v>7</v>
      </c>
      <c r="O89" s="3">
        <f>E89-'290710 - P1223'!F89</f>
        <v>0</v>
      </c>
      <c r="P89" s="30">
        <f>I89-'290710 - P1223'!J89</f>
        <v>0</v>
      </c>
    </row>
    <row r="90" spans="1:16" x14ac:dyDescent="0.25">
      <c r="A90">
        <v>88</v>
      </c>
      <c r="C90" t="s">
        <v>8</v>
      </c>
      <c r="D90" s="4" t="s">
        <v>93</v>
      </c>
      <c r="E90" s="5">
        <v>12.053333333333331</v>
      </c>
      <c r="F90" s="5">
        <v>12.05</v>
      </c>
      <c r="G90" s="6">
        <f t="shared" si="30"/>
        <v>-3.3333333333303017E-3</v>
      </c>
      <c r="H90" s="7">
        <f t="shared" si="31"/>
        <v>-2.765486725661202E-4</v>
      </c>
      <c r="I90" s="8">
        <v>2420.3417918177115</v>
      </c>
      <c r="J90" s="9">
        <f t="shared" si="17"/>
        <v>2419.672449508028</v>
      </c>
      <c r="K90" s="3">
        <f t="shared" si="32"/>
        <v>-0.66934230968354314</v>
      </c>
      <c r="L90" s="7">
        <f t="shared" si="33"/>
        <v>-2.7654867256614091E-4</v>
      </c>
      <c r="M90" t="s">
        <v>7</v>
      </c>
      <c r="O90" s="3">
        <f>E90-'290710 - P1223'!F90</f>
        <v>0</v>
      </c>
      <c r="P90" s="30">
        <f>I90-'290710 - P1223'!J90</f>
        <v>0</v>
      </c>
    </row>
    <row r="91" spans="1:16" x14ac:dyDescent="0.25">
      <c r="A91">
        <v>89</v>
      </c>
      <c r="D91" s="2" t="s">
        <v>94</v>
      </c>
      <c r="H91" s="10">
        <f>AVERAGE(H65:H90)</f>
        <v>-0.20771502364131855</v>
      </c>
      <c r="I91"/>
      <c r="L91" s="10">
        <f>AVERAGE(L65:L89)</f>
        <v>-0.21601256264006849</v>
      </c>
    </row>
    <row r="92" spans="1:16" x14ac:dyDescent="0.25">
      <c r="A92">
        <v>90</v>
      </c>
      <c r="D92" s="2" t="s">
        <v>95</v>
      </c>
      <c r="I92"/>
      <c r="M92" t="s">
        <v>7</v>
      </c>
      <c r="O92" s="3">
        <f>E92-'290710 - P1223'!F92</f>
        <v>0</v>
      </c>
      <c r="P92" s="30">
        <f>I92-'290710 - P1223'!J92</f>
        <v>0</v>
      </c>
    </row>
    <row r="93" spans="1:16" x14ac:dyDescent="0.25">
      <c r="A93">
        <v>91</v>
      </c>
      <c r="D93" s="4" t="s">
        <v>96</v>
      </c>
      <c r="E93" s="5">
        <v>441</v>
      </c>
      <c r="F93" s="5">
        <v>486</v>
      </c>
      <c r="G93" s="6">
        <f t="shared" ref="G93:G101" si="34">+F93-E93</f>
        <v>45</v>
      </c>
      <c r="H93" s="7">
        <f t="shared" ref="H93:H101" si="35">(F93-E93)/ABS(E93)</f>
        <v>0.10204081632653061</v>
      </c>
      <c r="I93" s="8">
        <v>500.12849162011173</v>
      </c>
      <c r="J93" s="9">
        <f t="shared" ref="J93:J101" si="36">(I93*H93)+I93</f>
        <v>551.1620111731844</v>
      </c>
      <c r="K93" s="3">
        <f t="shared" ref="K93:K101" si="37">J93-I93</f>
        <v>51.033519553072665</v>
      </c>
      <c r="L93" s="7">
        <f t="shared" ref="L93:L101" si="38">(J93-I93)/ABS(I93)</f>
        <v>0.1020408163265307</v>
      </c>
      <c r="M93" t="s">
        <v>7</v>
      </c>
      <c r="O93" s="3">
        <f>E93-'290710 - P1223'!F93</f>
        <v>0</v>
      </c>
      <c r="P93" s="30">
        <f>I93-'290710 - P1223'!J93</f>
        <v>0</v>
      </c>
    </row>
    <row r="94" spans="1:16" x14ac:dyDescent="0.25">
      <c r="A94">
        <v>92</v>
      </c>
      <c r="D94" s="4" t="s">
        <v>97</v>
      </c>
      <c r="E94" s="5">
        <v>461</v>
      </c>
      <c r="F94" s="5">
        <v>506</v>
      </c>
      <c r="G94" s="6">
        <f t="shared" si="34"/>
        <v>45</v>
      </c>
      <c r="H94" s="7">
        <f t="shared" si="35"/>
        <v>9.7613882863340565E-2</v>
      </c>
      <c r="I94" s="8">
        <v>530.53157572041698</v>
      </c>
      <c r="J94" s="9">
        <f t="shared" si="36"/>
        <v>582.31882280809327</v>
      </c>
      <c r="K94" s="3">
        <f t="shared" si="37"/>
        <v>51.787247087676292</v>
      </c>
      <c r="L94" s="7">
        <f t="shared" si="38"/>
        <v>9.7613882863340592E-2</v>
      </c>
      <c r="M94" t="s">
        <v>7</v>
      </c>
      <c r="O94" s="3">
        <f>E94-'290710 - P1223'!F94</f>
        <v>0</v>
      </c>
      <c r="P94" s="30">
        <f>I94-'290710 - P1223'!J94</f>
        <v>0</v>
      </c>
    </row>
    <row r="95" spans="1:16" x14ac:dyDescent="0.25">
      <c r="A95">
        <v>93</v>
      </c>
      <c r="D95" s="4" t="s">
        <v>98</v>
      </c>
      <c r="E95" s="5">
        <v>461</v>
      </c>
      <c r="F95" s="5">
        <v>506</v>
      </c>
      <c r="G95" s="6">
        <f t="shared" si="34"/>
        <v>45</v>
      </c>
      <c r="H95" s="7">
        <f t="shared" si="35"/>
        <v>9.7613882863340565E-2</v>
      </c>
      <c r="I95" s="8">
        <v>527.42244022072327</v>
      </c>
      <c r="J95" s="9">
        <f t="shared" si="36"/>
        <v>578.90619251992621</v>
      </c>
      <c r="K95" s="3">
        <f t="shared" si="37"/>
        <v>51.483752299202934</v>
      </c>
      <c r="L95" s="7">
        <f t="shared" si="38"/>
        <v>9.7613882863340579E-2</v>
      </c>
      <c r="M95" t="s">
        <v>7</v>
      </c>
      <c r="O95" s="3">
        <f>E95-'290710 - P1223'!F95</f>
        <v>0</v>
      </c>
      <c r="P95" s="30">
        <f>I95-'290710 - P1223'!J95</f>
        <v>0</v>
      </c>
    </row>
    <row r="96" spans="1:16" x14ac:dyDescent="0.25">
      <c r="A96">
        <v>94</v>
      </c>
      <c r="D96" s="4" t="s">
        <v>99</v>
      </c>
      <c r="E96" s="5">
        <v>466</v>
      </c>
      <c r="F96" s="5">
        <v>511</v>
      </c>
      <c r="G96" s="6">
        <f t="shared" si="34"/>
        <v>45</v>
      </c>
      <c r="H96" s="7">
        <f t="shared" si="35"/>
        <v>9.6566523605150209E-2</v>
      </c>
      <c r="I96" s="8">
        <v>579.05983926521242</v>
      </c>
      <c r="J96" s="9">
        <f t="shared" si="36"/>
        <v>634.97763490241107</v>
      </c>
      <c r="K96" s="3">
        <f t="shared" si="37"/>
        <v>55.917795637198651</v>
      </c>
      <c r="L96" s="7">
        <f t="shared" si="38"/>
        <v>9.6566523605150265E-2</v>
      </c>
      <c r="M96" t="s">
        <v>7</v>
      </c>
      <c r="O96" s="3">
        <f>E96-'290710 - P1223'!F96</f>
        <v>0</v>
      </c>
      <c r="P96" s="30">
        <f>I96-'290710 - P1223'!J96</f>
        <v>0</v>
      </c>
    </row>
    <row r="97" spans="1:16" x14ac:dyDescent="0.25">
      <c r="A97">
        <v>95</v>
      </c>
      <c r="D97" s="23" t="s">
        <v>100</v>
      </c>
      <c r="E97" s="5">
        <v>658</v>
      </c>
      <c r="F97" s="5">
        <v>708</v>
      </c>
      <c r="G97" s="6">
        <f t="shared" si="34"/>
        <v>50</v>
      </c>
      <c r="H97" s="7">
        <f t="shared" si="35"/>
        <v>7.598784194528875E-2</v>
      </c>
      <c r="I97" s="8">
        <v>774</v>
      </c>
      <c r="J97" s="9">
        <f t="shared" si="36"/>
        <v>832.81458966565344</v>
      </c>
      <c r="K97" s="3">
        <f t="shared" si="37"/>
        <v>58.814589665653443</v>
      </c>
      <c r="L97" s="7">
        <f>(J97-I97)/ABS(I97)</f>
        <v>7.5987841945288681E-2</v>
      </c>
      <c r="M97" t="s">
        <v>7</v>
      </c>
      <c r="O97" s="3">
        <f>E97-'290710 - P1223'!F97</f>
        <v>0</v>
      </c>
      <c r="P97" s="30">
        <f>I97-'290710 - P1223'!J97</f>
        <v>0</v>
      </c>
    </row>
    <row r="98" spans="1:16" x14ac:dyDescent="0.25">
      <c r="A98">
        <v>96</v>
      </c>
      <c r="C98" t="s">
        <v>8</v>
      </c>
      <c r="D98" s="29" t="s">
        <v>101</v>
      </c>
      <c r="E98" s="5">
        <v>970</v>
      </c>
      <c r="F98" s="5">
        <v>985</v>
      </c>
      <c r="G98" s="6">
        <f t="shared" si="34"/>
        <v>15</v>
      </c>
      <c r="H98" s="7">
        <f t="shared" si="35"/>
        <v>1.5463917525773196E-2</v>
      </c>
      <c r="I98" s="8">
        <v>1034.1303258145365</v>
      </c>
      <c r="J98" s="25">
        <v>1059</v>
      </c>
      <c r="K98" s="3">
        <f t="shared" si="37"/>
        <v>24.869674185463509</v>
      </c>
      <c r="L98" s="7">
        <f t="shared" si="38"/>
        <v>2.4048878139101879E-2</v>
      </c>
      <c r="M98" t="s">
        <v>7</v>
      </c>
      <c r="O98" s="3">
        <f>E98-'290710 - P1223'!F98</f>
        <v>0</v>
      </c>
      <c r="P98" s="30">
        <f>I98-'290710 - P1223'!J98</f>
        <v>0</v>
      </c>
    </row>
    <row r="99" spans="1:16" x14ac:dyDescent="0.25">
      <c r="A99">
        <v>97</v>
      </c>
      <c r="C99" t="s">
        <v>8</v>
      </c>
      <c r="D99" s="29" t="s">
        <v>102</v>
      </c>
      <c r="E99" s="5">
        <v>1149</v>
      </c>
      <c r="F99" s="5">
        <v>1174</v>
      </c>
      <c r="G99" s="6">
        <f t="shared" si="34"/>
        <v>25</v>
      </c>
      <c r="H99" s="7">
        <f t="shared" si="35"/>
        <v>2.1758050478677109E-2</v>
      </c>
      <c r="I99" s="8">
        <v>1509.2300143159521</v>
      </c>
      <c r="J99" s="9">
        <f t="shared" si="36"/>
        <v>1542.0679171513732</v>
      </c>
      <c r="K99" s="3">
        <f t="shared" si="37"/>
        <v>32.837902835421119</v>
      </c>
      <c r="L99" s="7">
        <f t="shared" si="38"/>
        <v>2.1758050478677148E-2</v>
      </c>
      <c r="M99" t="s">
        <v>7</v>
      </c>
      <c r="O99" s="3">
        <f>E99-'290710 - P1223'!F99</f>
        <v>0</v>
      </c>
      <c r="P99" s="30">
        <f>I99-'290710 - P1223'!J99</f>
        <v>0</v>
      </c>
    </row>
    <row r="100" spans="1:16" x14ac:dyDescent="0.25">
      <c r="A100">
        <v>98</v>
      </c>
      <c r="D100" s="4" t="s">
        <v>103</v>
      </c>
      <c r="E100" s="5">
        <v>16.64</v>
      </c>
      <c r="F100" s="5">
        <v>16.64</v>
      </c>
      <c r="G100" s="6">
        <f t="shared" si="34"/>
        <v>0</v>
      </c>
      <c r="H100" s="7">
        <f t="shared" si="35"/>
        <v>0</v>
      </c>
      <c r="I100" s="8">
        <v>42.900000000000006</v>
      </c>
      <c r="J100" s="9">
        <f t="shared" si="36"/>
        <v>42.900000000000006</v>
      </c>
      <c r="K100" s="3">
        <f t="shared" si="37"/>
        <v>0</v>
      </c>
      <c r="L100" s="7">
        <f t="shared" si="38"/>
        <v>0</v>
      </c>
      <c r="M100" t="s">
        <v>7</v>
      </c>
      <c r="O100" s="3">
        <f>E100-'290710 - P1223'!F100</f>
        <v>0</v>
      </c>
      <c r="P100" s="30">
        <f>I100-'290710 - P1223'!J100</f>
        <v>0</v>
      </c>
    </row>
    <row r="101" spans="1:16" x14ac:dyDescent="0.25">
      <c r="A101">
        <v>99</v>
      </c>
      <c r="C101" t="s">
        <v>8</v>
      </c>
      <c r="D101" s="4" t="s">
        <v>104</v>
      </c>
      <c r="E101" s="5">
        <v>1666</v>
      </c>
      <c r="F101" s="5">
        <v>1711</v>
      </c>
      <c r="G101" s="6">
        <f t="shared" si="34"/>
        <v>45</v>
      </c>
      <c r="H101" s="7">
        <f t="shared" si="35"/>
        <v>2.7010804321728692E-2</v>
      </c>
      <c r="I101" s="8">
        <v>2754.4059701492542</v>
      </c>
      <c r="J101" s="9">
        <f t="shared" si="36"/>
        <v>2828.8046908315569</v>
      </c>
      <c r="K101" s="3">
        <f t="shared" si="37"/>
        <v>74.39872068230261</v>
      </c>
      <c r="L101" s="7">
        <f t="shared" si="38"/>
        <v>2.7010804321728629E-2</v>
      </c>
      <c r="M101" t="s">
        <v>7</v>
      </c>
      <c r="O101" s="3">
        <f>E101-'290710 - P1223'!F101</f>
        <v>0</v>
      </c>
      <c r="P101" s="30">
        <f>I101-'290710 - P1223'!J101</f>
        <v>0</v>
      </c>
    </row>
    <row r="102" spans="1:16" x14ac:dyDescent="0.25">
      <c r="A102">
        <v>100</v>
      </c>
      <c r="D102" s="2" t="s">
        <v>105</v>
      </c>
      <c r="H102" s="10">
        <f>AVERAGE(H93:H101)</f>
        <v>5.933952443664773E-2</v>
      </c>
      <c r="I102"/>
      <c r="L102" s="10">
        <f>AVERAGE(L93:L101)</f>
        <v>6.0293408949239832E-2</v>
      </c>
    </row>
    <row r="103" spans="1:16" x14ac:dyDescent="0.25">
      <c r="A103">
        <v>101</v>
      </c>
      <c r="D103" s="2" t="s">
        <v>106</v>
      </c>
      <c r="G103" s="6"/>
      <c r="H103" s="7"/>
      <c r="I103"/>
      <c r="M103" t="s">
        <v>106</v>
      </c>
    </row>
    <row r="104" spans="1:16" x14ac:dyDescent="0.25">
      <c r="A104">
        <v>102</v>
      </c>
      <c r="C104" t="s">
        <v>8</v>
      </c>
      <c r="D104" s="4" t="s">
        <v>107</v>
      </c>
      <c r="E104" s="5">
        <v>46.11</v>
      </c>
      <c r="F104" s="5">
        <v>46.11</v>
      </c>
      <c r="G104" s="6">
        <f t="shared" ref="G104:G115" si="39">+F104-E104</f>
        <v>0</v>
      </c>
      <c r="H104" s="7">
        <f t="shared" ref="H104:H115" si="40">(F104-E104)/ABS(E104)</f>
        <v>0</v>
      </c>
      <c r="I104" s="8">
        <v>85.406538115384606</v>
      </c>
      <c r="J104" s="9">
        <f t="shared" ref="J104:J115" si="41">(I104*H104)+I104</f>
        <v>85.406538115384606</v>
      </c>
      <c r="K104" s="3">
        <f t="shared" ref="K104:K115" si="42">J104-I104</f>
        <v>0</v>
      </c>
      <c r="L104" s="7">
        <f t="shared" ref="L104:L115" si="43">(J104-I104)/ABS(I104)</f>
        <v>0</v>
      </c>
      <c r="M104" t="s">
        <v>106</v>
      </c>
      <c r="O104" s="3">
        <f>E104-'290710 - P1223'!F104</f>
        <v>0</v>
      </c>
      <c r="P104" s="30">
        <f>I104-'290710 - P1223'!J104</f>
        <v>0</v>
      </c>
    </row>
    <row r="105" spans="1:16" x14ac:dyDescent="0.25">
      <c r="A105">
        <v>103</v>
      </c>
      <c r="C105" t="s">
        <v>8</v>
      </c>
      <c r="D105" s="4" t="s">
        <v>108</v>
      </c>
      <c r="E105" s="5">
        <v>51.96</v>
      </c>
      <c r="F105" s="5">
        <v>51.96</v>
      </c>
      <c r="G105" s="6">
        <f t="shared" si="39"/>
        <v>0</v>
      </c>
      <c r="H105" s="7">
        <f t="shared" si="40"/>
        <v>0</v>
      </c>
      <c r="I105" s="8">
        <v>80.176901208617949</v>
      </c>
      <c r="J105" s="9">
        <f t="shared" si="41"/>
        <v>80.176901208617949</v>
      </c>
      <c r="K105" s="3">
        <f>J105-I105</f>
        <v>0</v>
      </c>
      <c r="L105" s="7">
        <f>(J105-I105)/ABS(I105)</f>
        <v>0</v>
      </c>
      <c r="M105" t="s">
        <v>106</v>
      </c>
      <c r="O105" s="3">
        <f>E105-'290710 - P1223'!F105</f>
        <v>0</v>
      </c>
      <c r="P105" s="30">
        <f>I105-'290710 - P1223'!J105</f>
        <v>0</v>
      </c>
    </row>
    <row r="106" spans="1:16" x14ac:dyDescent="0.25">
      <c r="A106">
        <v>104</v>
      </c>
      <c r="C106" t="s">
        <v>8</v>
      </c>
      <c r="D106" s="4" t="s">
        <v>109</v>
      </c>
      <c r="E106" s="12">
        <v>3.19</v>
      </c>
      <c r="F106" s="12">
        <v>3.19</v>
      </c>
      <c r="G106" s="6">
        <f t="shared" si="39"/>
        <v>0</v>
      </c>
      <c r="H106" s="7">
        <f t="shared" si="40"/>
        <v>0</v>
      </c>
      <c r="I106" s="8">
        <v>3.8745328209552197</v>
      </c>
      <c r="J106" s="9">
        <f t="shared" si="41"/>
        <v>3.8745328209552197</v>
      </c>
      <c r="K106" s="3">
        <f t="shared" si="42"/>
        <v>0</v>
      </c>
      <c r="L106" s="7">
        <f t="shared" si="43"/>
        <v>0</v>
      </c>
      <c r="M106" t="s">
        <v>106</v>
      </c>
      <c r="O106" s="3">
        <f>E106-'290710 - P1223'!F106</f>
        <v>0</v>
      </c>
      <c r="P106" s="30">
        <f>I106-'290710 - P1223'!J106</f>
        <v>0</v>
      </c>
    </row>
    <row r="107" spans="1:16" x14ac:dyDescent="0.25">
      <c r="A107">
        <v>105</v>
      </c>
      <c r="C107" t="s">
        <v>8</v>
      </c>
      <c r="D107" s="4" t="s">
        <v>110</v>
      </c>
      <c r="E107" s="12">
        <v>3.48</v>
      </c>
      <c r="F107" s="12">
        <v>3.48</v>
      </c>
      <c r="G107" s="6">
        <f t="shared" si="39"/>
        <v>0</v>
      </c>
      <c r="H107" s="7">
        <f t="shared" si="40"/>
        <v>0</v>
      </c>
      <c r="I107" s="8">
        <v>4.0655928193903108</v>
      </c>
      <c r="J107" s="9">
        <f t="shared" si="41"/>
        <v>4.0655928193903108</v>
      </c>
      <c r="K107" s="3">
        <f t="shared" si="42"/>
        <v>0</v>
      </c>
      <c r="L107" s="7">
        <f t="shared" si="43"/>
        <v>0</v>
      </c>
      <c r="M107" t="s">
        <v>106</v>
      </c>
      <c r="O107" s="3">
        <f>E107-'290710 - P1223'!F107</f>
        <v>0</v>
      </c>
      <c r="P107" s="30">
        <f>I107-'290710 - P1223'!J107</f>
        <v>0</v>
      </c>
    </row>
    <row r="108" spans="1:16" x14ac:dyDescent="0.25">
      <c r="A108">
        <v>106</v>
      </c>
      <c r="C108" t="s">
        <v>8</v>
      </c>
      <c r="D108" s="4" t="s">
        <v>111</v>
      </c>
      <c r="E108" s="12">
        <v>7.89</v>
      </c>
      <c r="F108" s="12">
        <v>7.89</v>
      </c>
      <c r="G108" s="6">
        <f t="shared" si="39"/>
        <v>0</v>
      </c>
      <c r="H108" s="7">
        <f t="shared" si="40"/>
        <v>0</v>
      </c>
      <c r="I108" s="8">
        <v>8.9203191080353719</v>
      </c>
      <c r="J108" s="9">
        <f t="shared" si="41"/>
        <v>8.9203191080353719</v>
      </c>
      <c r="K108" s="3">
        <f t="shared" si="42"/>
        <v>0</v>
      </c>
      <c r="L108" s="7">
        <f t="shared" si="43"/>
        <v>0</v>
      </c>
      <c r="M108" t="s">
        <v>106</v>
      </c>
      <c r="O108" s="3">
        <f>E108-'290710 - P1223'!F108</f>
        <v>0</v>
      </c>
      <c r="P108" s="30">
        <f>I108-'290710 - P1223'!J108</f>
        <v>0</v>
      </c>
    </row>
    <row r="109" spans="1:16" x14ac:dyDescent="0.25">
      <c r="A109">
        <v>107</v>
      </c>
      <c r="C109" t="s">
        <v>8</v>
      </c>
      <c r="D109" s="4" t="s">
        <v>112</v>
      </c>
      <c r="E109" s="12">
        <v>9.34</v>
      </c>
      <c r="F109" s="12">
        <v>9.34</v>
      </c>
      <c r="G109" s="6">
        <f t="shared" si="39"/>
        <v>0</v>
      </c>
      <c r="H109" s="7">
        <f t="shared" si="40"/>
        <v>0</v>
      </c>
      <c r="I109" s="8">
        <v>10.432893234927514</v>
      </c>
      <c r="J109" s="9">
        <f t="shared" si="41"/>
        <v>10.432893234927514</v>
      </c>
      <c r="K109" s="3">
        <f t="shared" si="42"/>
        <v>0</v>
      </c>
      <c r="L109" s="7">
        <f t="shared" si="43"/>
        <v>0</v>
      </c>
      <c r="M109" t="s">
        <v>106</v>
      </c>
      <c r="O109" s="3">
        <f>E109-'290710 - P1223'!F109</f>
        <v>0</v>
      </c>
      <c r="P109" s="30">
        <f>I109-'290710 - P1223'!J109</f>
        <v>0</v>
      </c>
    </row>
    <row r="110" spans="1:16" x14ac:dyDescent="0.25">
      <c r="A110">
        <v>108</v>
      </c>
      <c r="C110" t="s">
        <v>8</v>
      </c>
      <c r="D110" s="4" t="s">
        <v>113</v>
      </c>
      <c r="E110" s="12">
        <v>3.79</v>
      </c>
      <c r="F110" s="12">
        <v>3.79</v>
      </c>
      <c r="G110" s="6">
        <f t="shared" si="39"/>
        <v>0</v>
      </c>
      <c r="H110" s="7">
        <f t="shared" si="40"/>
        <v>0</v>
      </c>
      <c r="I110" s="8">
        <v>5.2944973572314407</v>
      </c>
      <c r="J110" s="9">
        <f t="shared" si="41"/>
        <v>5.2944973572314407</v>
      </c>
      <c r="K110" s="3">
        <f>J110-I110</f>
        <v>0</v>
      </c>
      <c r="L110" s="7">
        <f>(J110-I110)/ABS(I110)</f>
        <v>0</v>
      </c>
      <c r="M110" t="s">
        <v>106</v>
      </c>
      <c r="O110" s="3">
        <f>E110-'290710 - P1223'!F110</f>
        <v>0</v>
      </c>
      <c r="P110" s="30">
        <f>I110-'290710 - P1223'!J110</f>
        <v>0</v>
      </c>
    </row>
    <row r="111" spans="1:16" x14ac:dyDescent="0.25">
      <c r="A111">
        <v>109</v>
      </c>
      <c r="C111" t="s">
        <v>8</v>
      </c>
      <c r="D111" s="4" t="s">
        <v>114</v>
      </c>
      <c r="E111" s="12">
        <v>4.95</v>
      </c>
      <c r="F111" s="12">
        <v>4.95</v>
      </c>
      <c r="G111" s="6">
        <f t="shared" si="39"/>
        <v>0</v>
      </c>
      <c r="H111" s="7">
        <f t="shared" si="40"/>
        <v>0</v>
      </c>
      <c r="I111" s="8">
        <v>6.6523403553892901</v>
      </c>
      <c r="J111" s="9">
        <f t="shared" si="41"/>
        <v>6.6523403553892901</v>
      </c>
      <c r="K111" s="3">
        <f t="shared" si="42"/>
        <v>0</v>
      </c>
      <c r="L111" s="7">
        <f t="shared" si="43"/>
        <v>0</v>
      </c>
      <c r="M111" t="s">
        <v>106</v>
      </c>
      <c r="O111" s="3">
        <f>E111-'290710 - P1223'!F111</f>
        <v>0</v>
      </c>
      <c r="P111" s="30">
        <f>I111-'290710 - P1223'!J111</f>
        <v>0</v>
      </c>
    </row>
    <row r="112" spans="1:16" x14ac:dyDescent="0.25">
      <c r="A112">
        <v>110</v>
      </c>
      <c r="C112" t="s">
        <v>8</v>
      </c>
      <c r="D112" s="4" t="s">
        <v>115</v>
      </c>
      <c r="E112" s="12">
        <v>6.16</v>
      </c>
      <c r="F112" s="12">
        <v>6.16</v>
      </c>
      <c r="G112" s="6">
        <f t="shared" si="39"/>
        <v>0</v>
      </c>
      <c r="H112" s="7">
        <f t="shared" si="40"/>
        <v>0</v>
      </c>
      <c r="I112" s="8">
        <v>7.8767696532032376</v>
      </c>
      <c r="J112" s="9">
        <f t="shared" si="41"/>
        <v>7.8767696532032376</v>
      </c>
      <c r="K112" s="3">
        <f t="shared" si="42"/>
        <v>0</v>
      </c>
      <c r="L112" s="7">
        <f t="shared" si="43"/>
        <v>0</v>
      </c>
      <c r="M112" t="s">
        <v>106</v>
      </c>
      <c r="O112" s="3">
        <f>E112-'290710 - P1223'!F112</f>
        <v>0</v>
      </c>
      <c r="P112" s="30">
        <f>I112-'290710 - P1223'!J112</f>
        <v>0</v>
      </c>
    </row>
    <row r="113" spans="1:16" x14ac:dyDescent="0.25">
      <c r="A113">
        <v>111</v>
      </c>
      <c r="C113" t="s">
        <v>8</v>
      </c>
      <c r="D113" s="4" t="s">
        <v>116</v>
      </c>
      <c r="E113" s="12">
        <v>7.33</v>
      </c>
      <c r="F113" s="12">
        <v>7.33</v>
      </c>
      <c r="G113" s="6">
        <f t="shared" si="39"/>
        <v>0</v>
      </c>
      <c r="H113" s="7">
        <f t="shared" si="40"/>
        <v>0</v>
      </c>
      <c r="I113" s="8">
        <v>9.6975016766020872</v>
      </c>
      <c r="J113" s="9">
        <f t="shared" si="41"/>
        <v>9.6975016766020872</v>
      </c>
      <c r="K113" s="3">
        <f t="shared" si="42"/>
        <v>0</v>
      </c>
      <c r="L113" s="7">
        <f t="shared" si="43"/>
        <v>0</v>
      </c>
      <c r="M113" t="s">
        <v>106</v>
      </c>
      <c r="O113" s="3">
        <f>E113-'290710 - P1223'!F113</f>
        <v>0</v>
      </c>
      <c r="P113" s="30">
        <f>I113-'290710 - P1223'!J113</f>
        <v>0</v>
      </c>
    </row>
    <row r="114" spans="1:16" x14ac:dyDescent="0.25">
      <c r="A114">
        <v>112</v>
      </c>
      <c r="C114" t="s">
        <v>8</v>
      </c>
      <c r="D114" s="4" t="s">
        <v>117</v>
      </c>
      <c r="E114" s="12">
        <v>8.39</v>
      </c>
      <c r="F114" s="12">
        <v>8.39</v>
      </c>
      <c r="G114" s="6">
        <f t="shared" si="39"/>
        <v>0</v>
      </c>
      <c r="H114" s="7">
        <f t="shared" si="40"/>
        <v>0</v>
      </c>
      <c r="I114" s="8">
        <v>9.9493819659061415</v>
      </c>
      <c r="J114" s="9">
        <f t="shared" si="41"/>
        <v>9.9493819659061415</v>
      </c>
      <c r="K114" s="3">
        <f t="shared" si="42"/>
        <v>0</v>
      </c>
      <c r="L114" s="7">
        <f t="shared" si="43"/>
        <v>0</v>
      </c>
      <c r="M114" t="s">
        <v>106</v>
      </c>
      <c r="O114" s="3">
        <f>E114-'290710 - P1223'!F114</f>
        <v>0</v>
      </c>
      <c r="P114" s="30">
        <f>I114-'290710 - P1223'!J114</f>
        <v>0</v>
      </c>
    </row>
    <row r="115" spans="1:16" x14ac:dyDescent="0.25">
      <c r="A115">
        <v>113</v>
      </c>
      <c r="C115" t="s">
        <v>8</v>
      </c>
      <c r="D115" s="4" t="s">
        <v>118</v>
      </c>
      <c r="E115" s="12">
        <v>9.39</v>
      </c>
      <c r="F115" s="12">
        <v>9.39</v>
      </c>
      <c r="G115" s="6">
        <f t="shared" si="39"/>
        <v>0</v>
      </c>
      <c r="H115" s="7">
        <f t="shared" si="40"/>
        <v>0</v>
      </c>
      <c r="I115" s="8">
        <v>11.783981312354875</v>
      </c>
      <c r="J115" s="9">
        <f t="shared" si="41"/>
        <v>11.783981312354875</v>
      </c>
      <c r="K115" s="3">
        <f t="shared" si="42"/>
        <v>0</v>
      </c>
      <c r="L115" s="7">
        <f t="shared" si="43"/>
        <v>0</v>
      </c>
      <c r="M115" t="s">
        <v>106</v>
      </c>
      <c r="O115" s="3">
        <f>E115-'290710 - P1223'!F115</f>
        <v>0</v>
      </c>
      <c r="P115" s="30">
        <f>I115-'290710 - P1223'!J115</f>
        <v>0</v>
      </c>
    </row>
    <row r="116" spans="1:16" x14ac:dyDescent="0.25">
      <c r="A116">
        <v>114</v>
      </c>
      <c r="D116" s="2" t="s">
        <v>119</v>
      </c>
      <c r="H116" s="10">
        <f>AVERAGE(H104:H115)</f>
        <v>0</v>
      </c>
      <c r="I116"/>
      <c r="L116" s="10">
        <f>AVERAGE(L104:L115)</f>
        <v>0</v>
      </c>
    </row>
    <row r="117" spans="1:16" x14ac:dyDescent="0.25">
      <c r="A117">
        <v>115</v>
      </c>
      <c r="D117" s="2" t="s">
        <v>120</v>
      </c>
      <c r="I117"/>
      <c r="M117" t="s">
        <v>121</v>
      </c>
    </row>
    <row r="118" spans="1:16" x14ac:dyDescent="0.25">
      <c r="A118">
        <v>116</v>
      </c>
      <c r="C118" t="s">
        <v>8</v>
      </c>
      <c r="D118" s="4" t="s">
        <v>456</v>
      </c>
      <c r="E118" s="12">
        <v>6</v>
      </c>
      <c r="F118" s="12">
        <v>6</v>
      </c>
      <c r="G118" s="13">
        <f t="shared" ref="G118:G153" si="44">+F118-E118</f>
        <v>0</v>
      </c>
      <c r="H118" s="7">
        <f t="shared" ref="H118:H155" si="45">(F118-E118)/ABS(E118)</f>
        <v>0</v>
      </c>
      <c r="I118" s="8">
        <v>7.83</v>
      </c>
      <c r="J118" s="9">
        <f t="shared" ref="J118:J155" si="46">(I118*H118)+I118</f>
        <v>7.83</v>
      </c>
      <c r="K118" s="3">
        <f t="shared" ref="K118:K155" si="47">J118-I118</f>
        <v>0</v>
      </c>
      <c r="L118" s="7">
        <f t="shared" ref="L118:L155" si="48">(J118-I118)/ABS(I118)</f>
        <v>0</v>
      </c>
      <c r="M118" t="s">
        <v>121</v>
      </c>
      <c r="O118" s="3">
        <f>E118-'290710 - P1223'!F118</f>
        <v>0</v>
      </c>
      <c r="P118" s="30">
        <f>I118-'290710 - P1223'!J118</f>
        <v>0</v>
      </c>
    </row>
    <row r="119" spans="1:16" x14ac:dyDescent="0.25">
      <c r="A119">
        <v>117</v>
      </c>
      <c r="C119" t="s">
        <v>8</v>
      </c>
      <c r="D119" s="4" t="s">
        <v>457</v>
      </c>
      <c r="E119" s="12">
        <v>6.6</v>
      </c>
      <c r="F119" s="12">
        <v>6.6</v>
      </c>
      <c r="G119" s="13">
        <f t="shared" si="44"/>
        <v>0</v>
      </c>
      <c r="H119" s="7">
        <f t="shared" si="45"/>
        <v>0</v>
      </c>
      <c r="I119" s="8">
        <v>8.89</v>
      </c>
      <c r="J119" s="9">
        <f t="shared" si="46"/>
        <v>8.89</v>
      </c>
      <c r="K119" s="3">
        <f t="shared" si="47"/>
        <v>0</v>
      </c>
      <c r="L119" s="7">
        <f t="shared" si="48"/>
        <v>0</v>
      </c>
      <c r="M119" t="s">
        <v>121</v>
      </c>
      <c r="O119" s="3">
        <f>E119-'290710 - P1223'!F119</f>
        <v>0</v>
      </c>
      <c r="P119" s="30">
        <f>I119-'290710 - P1223'!J119</f>
        <v>0</v>
      </c>
    </row>
    <row r="120" spans="1:16" x14ac:dyDescent="0.25">
      <c r="A120">
        <v>118</v>
      </c>
      <c r="C120" t="s">
        <v>8</v>
      </c>
      <c r="D120" s="4" t="s">
        <v>458</v>
      </c>
      <c r="E120" s="12">
        <v>7.6</v>
      </c>
      <c r="F120" s="12">
        <v>7.6</v>
      </c>
      <c r="G120" s="13">
        <f t="shared" si="44"/>
        <v>0</v>
      </c>
      <c r="H120" s="7">
        <f t="shared" si="45"/>
        <v>0</v>
      </c>
      <c r="I120" s="8">
        <v>10.25</v>
      </c>
      <c r="J120" s="9">
        <f t="shared" si="46"/>
        <v>10.25</v>
      </c>
      <c r="K120" s="3">
        <f t="shared" si="47"/>
        <v>0</v>
      </c>
      <c r="L120" s="7">
        <f t="shared" si="48"/>
        <v>0</v>
      </c>
      <c r="M120" t="s">
        <v>121</v>
      </c>
      <c r="O120" s="3">
        <f>E120-'290710 - P1223'!F120</f>
        <v>0</v>
      </c>
      <c r="P120" s="30">
        <f>I120-'290710 - P1223'!J120</f>
        <v>0</v>
      </c>
    </row>
    <row r="121" spans="1:16" x14ac:dyDescent="0.25">
      <c r="A121">
        <v>119</v>
      </c>
      <c r="C121" t="s">
        <v>8</v>
      </c>
      <c r="D121" s="4" t="s">
        <v>460</v>
      </c>
      <c r="E121" s="12">
        <v>9.6</v>
      </c>
      <c r="F121" s="12">
        <v>9.6</v>
      </c>
      <c r="G121" s="6">
        <f t="shared" si="44"/>
        <v>0</v>
      </c>
      <c r="H121" s="7">
        <f t="shared" si="45"/>
        <v>0</v>
      </c>
      <c r="I121" s="8">
        <v>13.87</v>
      </c>
      <c r="J121" s="9">
        <f t="shared" si="46"/>
        <v>13.87</v>
      </c>
      <c r="K121" s="3">
        <f t="shared" si="47"/>
        <v>0</v>
      </c>
      <c r="L121" s="7">
        <f t="shared" si="48"/>
        <v>0</v>
      </c>
      <c r="M121" t="s">
        <v>121</v>
      </c>
      <c r="O121" s="3">
        <f>E121-'290710 - P1223'!F121</f>
        <v>0</v>
      </c>
      <c r="P121" s="30">
        <f>I121-'290710 - P1223'!J121</f>
        <v>0</v>
      </c>
    </row>
    <row r="122" spans="1:16" x14ac:dyDescent="0.25">
      <c r="A122">
        <v>120</v>
      </c>
      <c r="C122" t="s">
        <v>8</v>
      </c>
      <c r="D122" s="4" t="s">
        <v>459</v>
      </c>
      <c r="E122" s="14">
        <v>25.6</v>
      </c>
      <c r="F122" s="14">
        <v>25.6</v>
      </c>
      <c r="G122" s="6">
        <f t="shared" si="44"/>
        <v>0</v>
      </c>
      <c r="H122" s="7">
        <f t="shared" si="45"/>
        <v>0</v>
      </c>
      <c r="I122" s="8">
        <v>38.07</v>
      </c>
      <c r="J122" s="9">
        <f t="shared" si="46"/>
        <v>38.07</v>
      </c>
      <c r="K122" s="3">
        <f t="shared" si="47"/>
        <v>0</v>
      </c>
      <c r="L122" s="7">
        <f t="shared" si="48"/>
        <v>0</v>
      </c>
      <c r="M122" t="s">
        <v>121</v>
      </c>
      <c r="O122" s="3">
        <f>E122-'290710 - P1223'!F122</f>
        <v>0</v>
      </c>
      <c r="P122" s="30">
        <f>I122-'290710 - P1223'!J122</f>
        <v>0</v>
      </c>
    </row>
    <row r="123" spans="1:16" x14ac:dyDescent="0.25">
      <c r="A123">
        <v>121</v>
      </c>
      <c r="C123" t="s">
        <v>8</v>
      </c>
      <c r="D123" s="4" t="s">
        <v>122</v>
      </c>
      <c r="E123" s="12">
        <v>6.12</v>
      </c>
      <c r="F123" s="12">
        <v>6.12</v>
      </c>
      <c r="G123" s="6">
        <f t="shared" si="44"/>
        <v>0</v>
      </c>
      <c r="H123" s="7">
        <f t="shared" si="45"/>
        <v>0</v>
      </c>
      <c r="I123" s="8">
        <v>7.8894782608695655</v>
      </c>
      <c r="J123" s="9">
        <f t="shared" si="46"/>
        <v>7.8894782608695655</v>
      </c>
      <c r="K123" s="3">
        <f t="shared" si="47"/>
        <v>0</v>
      </c>
      <c r="L123" s="7">
        <f t="shared" si="48"/>
        <v>0</v>
      </c>
      <c r="M123" t="s">
        <v>121</v>
      </c>
      <c r="O123" s="3">
        <f>E123-'290710 - P1223'!F123</f>
        <v>0</v>
      </c>
      <c r="P123" s="30">
        <f>I123-'290710 - P1223'!J123</f>
        <v>0</v>
      </c>
    </row>
    <row r="124" spans="1:16" x14ac:dyDescent="0.25">
      <c r="A124">
        <v>122</v>
      </c>
      <c r="C124" t="s">
        <v>8</v>
      </c>
      <c r="D124" s="4" t="s">
        <v>123</v>
      </c>
      <c r="E124" s="12">
        <v>8.4499999999999993</v>
      </c>
      <c r="F124" s="12">
        <v>8.4499999999999993</v>
      </c>
      <c r="G124" s="13">
        <f t="shared" si="44"/>
        <v>0</v>
      </c>
      <c r="H124" s="7">
        <f t="shared" si="45"/>
        <v>0</v>
      </c>
      <c r="I124" s="8">
        <v>10.06</v>
      </c>
      <c r="J124" s="9">
        <f t="shared" si="46"/>
        <v>10.06</v>
      </c>
      <c r="K124" s="3">
        <f t="shared" si="47"/>
        <v>0</v>
      </c>
      <c r="L124" s="7">
        <f t="shared" si="48"/>
        <v>0</v>
      </c>
      <c r="M124" t="s">
        <v>121</v>
      </c>
      <c r="O124" s="3">
        <f>E124-'290710 - P1223'!F124</f>
        <v>0</v>
      </c>
      <c r="P124" s="30">
        <f>I124-'290710 - P1223'!J124</f>
        <v>0</v>
      </c>
    </row>
    <row r="125" spans="1:16" x14ac:dyDescent="0.25">
      <c r="A125">
        <v>123</v>
      </c>
      <c r="C125" t="s">
        <v>8</v>
      </c>
      <c r="D125" s="4" t="s">
        <v>124</v>
      </c>
      <c r="E125" s="12">
        <v>9.61</v>
      </c>
      <c r="F125" s="12">
        <v>9.61</v>
      </c>
      <c r="G125" s="13">
        <f t="shared" si="44"/>
        <v>0</v>
      </c>
      <c r="H125" s="7">
        <f t="shared" si="45"/>
        <v>0</v>
      </c>
      <c r="I125" s="8">
        <v>12.32</v>
      </c>
      <c r="J125" s="9">
        <f t="shared" si="46"/>
        <v>12.32</v>
      </c>
      <c r="K125" s="3">
        <f t="shared" si="47"/>
        <v>0</v>
      </c>
      <c r="L125" s="7">
        <f t="shared" si="48"/>
        <v>0</v>
      </c>
      <c r="M125" t="s">
        <v>121</v>
      </c>
      <c r="O125" s="3">
        <f>E125-'290710 - P1223'!F125</f>
        <v>0</v>
      </c>
      <c r="P125" s="30">
        <f>I125-'290710 - P1223'!J125</f>
        <v>0</v>
      </c>
    </row>
    <row r="126" spans="1:16" x14ac:dyDescent="0.25">
      <c r="A126">
        <v>124</v>
      </c>
      <c r="C126" t="s">
        <v>8</v>
      </c>
      <c r="D126" s="4" t="s">
        <v>125</v>
      </c>
      <c r="E126" s="12">
        <v>10.78</v>
      </c>
      <c r="F126" s="12">
        <v>10.78</v>
      </c>
      <c r="G126" s="13">
        <f t="shared" si="44"/>
        <v>0</v>
      </c>
      <c r="H126" s="7">
        <f t="shared" si="45"/>
        <v>0</v>
      </c>
      <c r="I126" s="8">
        <v>14.19</v>
      </c>
      <c r="J126" s="9">
        <f t="shared" si="46"/>
        <v>14.19</v>
      </c>
      <c r="K126" s="3">
        <f t="shared" si="47"/>
        <v>0</v>
      </c>
      <c r="L126" s="7">
        <f t="shared" si="48"/>
        <v>0</v>
      </c>
      <c r="M126" t="s">
        <v>121</v>
      </c>
      <c r="O126" s="3">
        <f>E126-'290710 - P1223'!F126</f>
        <v>0</v>
      </c>
      <c r="P126" s="30">
        <f>I126-'290710 - P1223'!J126</f>
        <v>0</v>
      </c>
    </row>
    <row r="127" spans="1:16" x14ac:dyDescent="0.25">
      <c r="A127">
        <v>125</v>
      </c>
      <c r="C127" t="s">
        <v>8</v>
      </c>
      <c r="D127" s="4" t="s">
        <v>126</v>
      </c>
      <c r="E127" s="12">
        <v>11.28</v>
      </c>
      <c r="F127" s="12">
        <v>11.28</v>
      </c>
      <c r="G127" s="6">
        <f t="shared" si="44"/>
        <v>0</v>
      </c>
      <c r="H127" s="7">
        <f t="shared" si="45"/>
        <v>0</v>
      </c>
      <c r="I127" s="8">
        <v>15.38</v>
      </c>
      <c r="J127" s="9">
        <f t="shared" si="46"/>
        <v>15.38</v>
      </c>
      <c r="K127" s="3">
        <f t="shared" si="47"/>
        <v>0</v>
      </c>
      <c r="L127" s="7">
        <f t="shared" si="48"/>
        <v>0</v>
      </c>
      <c r="M127" t="s">
        <v>121</v>
      </c>
      <c r="O127" s="3">
        <f>E127-'290710 - P1223'!F127</f>
        <v>0</v>
      </c>
      <c r="P127" s="30">
        <f>I127-'290710 - P1223'!J127</f>
        <v>0</v>
      </c>
    </row>
    <row r="128" spans="1:16" x14ac:dyDescent="0.25">
      <c r="A128">
        <v>126</v>
      </c>
      <c r="C128" t="s">
        <v>8</v>
      </c>
      <c r="D128" s="4" t="s">
        <v>127</v>
      </c>
      <c r="E128" s="12">
        <v>15.04</v>
      </c>
      <c r="F128" s="12">
        <v>15.04</v>
      </c>
      <c r="G128" s="6">
        <f t="shared" si="44"/>
        <v>0</v>
      </c>
      <c r="H128" s="7">
        <f t="shared" si="45"/>
        <v>0</v>
      </c>
      <c r="I128" s="8">
        <v>21.143359497645207</v>
      </c>
      <c r="J128" s="9">
        <f t="shared" si="46"/>
        <v>21.143359497645207</v>
      </c>
      <c r="K128" s="3">
        <f t="shared" si="47"/>
        <v>0</v>
      </c>
      <c r="L128" s="7">
        <f t="shared" si="48"/>
        <v>0</v>
      </c>
      <c r="M128" t="s">
        <v>121</v>
      </c>
      <c r="O128" s="3">
        <f>E128-'290710 - P1223'!F128</f>
        <v>0</v>
      </c>
      <c r="P128" s="30">
        <f>I128-'290710 - P1223'!J128</f>
        <v>0</v>
      </c>
    </row>
    <row r="129" spans="1:16" x14ac:dyDescent="0.25">
      <c r="A129">
        <v>127</v>
      </c>
      <c r="C129" t="s">
        <v>8</v>
      </c>
      <c r="D129" s="4" t="s">
        <v>128</v>
      </c>
      <c r="E129" s="12">
        <v>7.9352</v>
      </c>
      <c r="F129" s="12">
        <v>7.9352</v>
      </c>
      <c r="G129" s="6">
        <f t="shared" si="44"/>
        <v>0</v>
      </c>
      <c r="H129" s="7">
        <f t="shared" si="45"/>
        <v>0</v>
      </c>
      <c r="I129" s="8">
        <v>9.557599999999999</v>
      </c>
      <c r="J129" s="9">
        <f t="shared" si="46"/>
        <v>9.557599999999999</v>
      </c>
      <c r="K129" s="3">
        <f t="shared" si="47"/>
        <v>0</v>
      </c>
      <c r="L129" s="7">
        <f t="shared" si="48"/>
        <v>0</v>
      </c>
      <c r="M129" t="s">
        <v>121</v>
      </c>
      <c r="O129" s="3">
        <f>E129-'290710 - P1223'!F129</f>
        <v>0</v>
      </c>
      <c r="P129" s="30">
        <f>I129-'290710 - P1223'!J129</f>
        <v>0</v>
      </c>
    </row>
    <row r="130" spans="1:16" x14ac:dyDescent="0.25">
      <c r="A130">
        <v>128</v>
      </c>
      <c r="C130" t="s">
        <v>8</v>
      </c>
      <c r="D130" s="22" t="s">
        <v>504</v>
      </c>
      <c r="E130" s="12">
        <v>8.41</v>
      </c>
      <c r="F130" s="12">
        <v>8.41</v>
      </c>
      <c r="G130" s="6">
        <f t="shared" si="44"/>
        <v>0</v>
      </c>
      <c r="H130" s="7">
        <f t="shared" si="45"/>
        <v>0</v>
      </c>
      <c r="I130" s="8">
        <v>9.557599999999999</v>
      </c>
      <c r="J130" s="9">
        <f t="shared" si="46"/>
        <v>9.557599999999999</v>
      </c>
      <c r="K130" s="3">
        <f t="shared" si="47"/>
        <v>0</v>
      </c>
      <c r="L130" s="7">
        <f t="shared" si="48"/>
        <v>0</v>
      </c>
      <c r="M130" t="s">
        <v>121</v>
      </c>
      <c r="O130" s="3">
        <f>E130-'290710 - P1223'!F130</f>
        <v>0</v>
      </c>
      <c r="P130" s="30">
        <f>I130-'290710 - P1223'!J130</f>
        <v>0</v>
      </c>
    </row>
    <row r="131" spans="1:16" x14ac:dyDescent="0.25">
      <c r="A131">
        <v>129</v>
      </c>
      <c r="C131" t="s">
        <v>8</v>
      </c>
      <c r="D131" s="4" t="s">
        <v>129</v>
      </c>
      <c r="E131" s="12">
        <v>30.56</v>
      </c>
      <c r="F131" s="12">
        <v>30.56</v>
      </c>
      <c r="G131" s="6">
        <f t="shared" si="44"/>
        <v>0</v>
      </c>
      <c r="H131" s="7">
        <f t="shared" si="45"/>
        <v>0</v>
      </c>
      <c r="I131" s="8">
        <v>41.15</v>
      </c>
      <c r="J131" s="9">
        <f t="shared" si="46"/>
        <v>41.15</v>
      </c>
      <c r="K131" s="3">
        <f t="shared" si="47"/>
        <v>0</v>
      </c>
      <c r="L131" s="7">
        <f t="shared" si="48"/>
        <v>0</v>
      </c>
      <c r="M131" t="s">
        <v>121</v>
      </c>
      <c r="O131" s="3">
        <f>E131-'290710 - P1223'!F131</f>
        <v>0</v>
      </c>
      <c r="P131" s="30">
        <f>I131-'290710 - P1223'!J131</f>
        <v>0</v>
      </c>
    </row>
    <row r="132" spans="1:16" x14ac:dyDescent="0.25">
      <c r="A132">
        <v>130</v>
      </c>
      <c r="C132" t="s">
        <v>8</v>
      </c>
      <c r="D132" s="4" t="s">
        <v>130</v>
      </c>
      <c r="E132" s="14">
        <v>36.96</v>
      </c>
      <c r="F132" s="14">
        <v>36.96</v>
      </c>
      <c r="G132" s="6">
        <f t="shared" si="44"/>
        <v>0</v>
      </c>
      <c r="H132" s="7">
        <f t="shared" si="45"/>
        <v>0</v>
      </c>
      <c r="I132" s="8">
        <v>49.29</v>
      </c>
      <c r="J132" s="9">
        <f t="shared" si="46"/>
        <v>49.29</v>
      </c>
      <c r="K132" s="3">
        <f t="shared" si="47"/>
        <v>0</v>
      </c>
      <c r="L132" s="7">
        <f t="shared" si="48"/>
        <v>0</v>
      </c>
      <c r="M132" t="s">
        <v>121</v>
      </c>
      <c r="O132" s="3">
        <f>E132-'290710 - P1223'!F132</f>
        <v>0</v>
      </c>
      <c r="P132" s="30">
        <f>I132-'290710 - P1223'!J132</f>
        <v>0</v>
      </c>
    </row>
    <row r="133" spans="1:16" x14ac:dyDescent="0.25">
      <c r="A133">
        <v>131</v>
      </c>
      <c r="C133" t="s">
        <v>8</v>
      </c>
      <c r="D133" s="4" t="s">
        <v>131</v>
      </c>
      <c r="E133" s="12">
        <v>40.479999999999997</v>
      </c>
      <c r="F133" s="12">
        <v>40.479999999999997</v>
      </c>
      <c r="G133" s="6">
        <f t="shared" si="44"/>
        <v>0</v>
      </c>
      <c r="H133" s="7">
        <f t="shared" si="45"/>
        <v>0</v>
      </c>
      <c r="I133" s="8">
        <v>55.411200000000001</v>
      </c>
      <c r="J133" s="9">
        <f t="shared" si="46"/>
        <v>55.411200000000001</v>
      </c>
      <c r="K133" s="3">
        <f t="shared" si="47"/>
        <v>0</v>
      </c>
      <c r="L133" s="7">
        <f t="shared" si="48"/>
        <v>0</v>
      </c>
      <c r="M133" t="s">
        <v>121</v>
      </c>
      <c r="O133" s="3">
        <f>E133-'290710 - P1223'!F133</f>
        <v>0</v>
      </c>
      <c r="P133" s="30">
        <f>I133-'290710 - P1223'!J133</f>
        <v>0</v>
      </c>
    </row>
    <row r="134" spans="1:16" x14ac:dyDescent="0.25">
      <c r="A134">
        <v>132</v>
      </c>
      <c r="C134" t="s">
        <v>8</v>
      </c>
      <c r="D134" s="4" t="s">
        <v>132</v>
      </c>
      <c r="E134" s="12">
        <v>14.67</v>
      </c>
      <c r="F134" s="12">
        <v>14.67</v>
      </c>
      <c r="G134" s="6">
        <f t="shared" si="44"/>
        <v>0</v>
      </c>
      <c r="H134" s="7">
        <f t="shared" si="45"/>
        <v>0</v>
      </c>
      <c r="I134" s="8">
        <v>20.8</v>
      </c>
      <c r="J134" s="9">
        <f t="shared" si="46"/>
        <v>20.8</v>
      </c>
      <c r="K134" s="3">
        <f t="shared" si="47"/>
        <v>0</v>
      </c>
      <c r="L134" s="7">
        <f t="shared" si="48"/>
        <v>0</v>
      </c>
      <c r="M134" t="s">
        <v>121</v>
      </c>
      <c r="O134" s="3">
        <f>E134-'290710 - P1223'!F134</f>
        <v>0</v>
      </c>
      <c r="P134" s="30">
        <f>I134-'290710 - P1223'!J134</f>
        <v>0</v>
      </c>
    </row>
    <row r="135" spans="1:16" x14ac:dyDescent="0.25">
      <c r="A135">
        <v>133</v>
      </c>
      <c r="C135" t="s">
        <v>8</v>
      </c>
      <c r="D135" s="4" t="s">
        <v>133</v>
      </c>
      <c r="E135" s="12">
        <v>33.79</v>
      </c>
      <c r="F135" s="12">
        <v>33.79</v>
      </c>
      <c r="G135" s="6">
        <f t="shared" si="44"/>
        <v>0</v>
      </c>
      <c r="H135" s="7">
        <f t="shared" si="45"/>
        <v>0</v>
      </c>
      <c r="I135" s="8">
        <v>42.11</v>
      </c>
      <c r="J135" s="9">
        <f t="shared" si="46"/>
        <v>42.11</v>
      </c>
      <c r="K135" s="3">
        <f t="shared" si="47"/>
        <v>0</v>
      </c>
      <c r="L135" s="7">
        <f t="shared" si="48"/>
        <v>0</v>
      </c>
      <c r="M135" t="s">
        <v>121</v>
      </c>
      <c r="O135" s="3">
        <f>E135-'290710 - P1223'!F135</f>
        <v>0</v>
      </c>
      <c r="P135" s="30">
        <f>I135-'290710 - P1223'!J135</f>
        <v>0</v>
      </c>
    </row>
    <row r="136" spans="1:16" x14ac:dyDescent="0.25">
      <c r="A136">
        <v>134</v>
      </c>
      <c r="C136" t="s">
        <v>8</v>
      </c>
      <c r="D136" s="4" t="s">
        <v>134</v>
      </c>
      <c r="E136" s="12">
        <v>50.14</v>
      </c>
      <c r="F136" s="12">
        <v>50.14</v>
      </c>
      <c r="G136" s="6">
        <f t="shared" si="44"/>
        <v>0</v>
      </c>
      <c r="H136" s="7">
        <f t="shared" si="45"/>
        <v>0</v>
      </c>
      <c r="I136" s="8">
        <v>85.382382198952882</v>
      </c>
      <c r="J136" s="9">
        <f t="shared" si="46"/>
        <v>85.382382198952882</v>
      </c>
      <c r="K136" s="3">
        <f t="shared" si="47"/>
        <v>0</v>
      </c>
      <c r="L136" s="7">
        <f t="shared" si="48"/>
        <v>0</v>
      </c>
      <c r="M136" t="s">
        <v>121</v>
      </c>
      <c r="O136" s="3">
        <f>E136-'290710 - P1223'!F136</f>
        <v>0</v>
      </c>
      <c r="P136" s="30">
        <f>I136-'290710 - P1223'!J136</f>
        <v>0</v>
      </c>
    </row>
    <row r="137" spans="1:16" x14ac:dyDescent="0.25">
      <c r="A137">
        <v>135</v>
      </c>
      <c r="C137" t="s">
        <v>8</v>
      </c>
      <c r="D137" s="4" t="s">
        <v>135</v>
      </c>
      <c r="E137" s="12">
        <v>5.61</v>
      </c>
      <c r="F137" s="12">
        <v>5.61</v>
      </c>
      <c r="G137" s="6">
        <f t="shared" si="44"/>
        <v>0</v>
      </c>
      <c r="H137" s="7">
        <f t="shared" si="45"/>
        <v>0</v>
      </c>
      <c r="I137" s="8">
        <v>8.7200000000000006</v>
      </c>
      <c r="J137" s="9">
        <f t="shared" si="46"/>
        <v>8.7200000000000006</v>
      </c>
      <c r="K137" s="3">
        <f t="shared" si="47"/>
        <v>0</v>
      </c>
      <c r="L137" s="7">
        <f t="shared" si="48"/>
        <v>0</v>
      </c>
      <c r="M137" t="s">
        <v>121</v>
      </c>
      <c r="O137" s="3">
        <f>E137-'290710 - P1223'!F137</f>
        <v>0</v>
      </c>
      <c r="P137" s="30">
        <f>I137-'290710 - P1223'!J137</f>
        <v>0</v>
      </c>
    </row>
    <row r="138" spans="1:16" x14ac:dyDescent="0.25">
      <c r="A138">
        <v>136</v>
      </c>
      <c r="C138" t="s">
        <v>8</v>
      </c>
      <c r="D138" s="4" t="s">
        <v>136</v>
      </c>
      <c r="E138" s="12">
        <v>9.91</v>
      </c>
      <c r="F138" s="12">
        <v>9.91</v>
      </c>
      <c r="G138" s="6">
        <f t="shared" si="44"/>
        <v>0</v>
      </c>
      <c r="H138" s="7">
        <f t="shared" si="45"/>
        <v>0</v>
      </c>
      <c r="I138" s="8">
        <v>13.88</v>
      </c>
      <c r="J138" s="9">
        <f t="shared" si="46"/>
        <v>13.88</v>
      </c>
      <c r="K138" s="3">
        <f t="shared" si="47"/>
        <v>0</v>
      </c>
      <c r="L138" s="7">
        <f t="shared" si="48"/>
        <v>0</v>
      </c>
      <c r="M138" t="s">
        <v>121</v>
      </c>
      <c r="O138" s="3">
        <f>E138-'290710 - P1223'!F138</f>
        <v>0</v>
      </c>
      <c r="P138" s="30">
        <f>I138-'290710 - P1223'!J138</f>
        <v>0</v>
      </c>
    </row>
    <row r="139" spans="1:16" x14ac:dyDescent="0.25">
      <c r="A139">
        <v>137</v>
      </c>
      <c r="C139" t="s">
        <v>8</v>
      </c>
      <c r="D139" s="4" t="s">
        <v>137</v>
      </c>
      <c r="E139" s="12">
        <v>14.86</v>
      </c>
      <c r="F139" s="12">
        <v>14.86</v>
      </c>
      <c r="G139" s="6">
        <f t="shared" si="44"/>
        <v>0</v>
      </c>
      <c r="H139" s="7">
        <f t="shared" si="45"/>
        <v>0</v>
      </c>
      <c r="I139" s="8">
        <v>20.82</v>
      </c>
      <c r="J139" s="9">
        <f t="shared" si="46"/>
        <v>20.82</v>
      </c>
      <c r="K139" s="3">
        <f t="shared" si="47"/>
        <v>0</v>
      </c>
      <c r="L139" s="7">
        <f t="shared" si="48"/>
        <v>0</v>
      </c>
      <c r="M139" t="s">
        <v>121</v>
      </c>
      <c r="O139" s="3">
        <f>E139-'290710 - P1223'!F139</f>
        <v>0</v>
      </c>
      <c r="P139" s="30">
        <f>I139-'290710 - P1223'!J139</f>
        <v>0</v>
      </c>
    </row>
    <row r="140" spans="1:16" x14ac:dyDescent="0.25">
      <c r="A140">
        <v>138</v>
      </c>
      <c r="C140" t="s">
        <v>8</v>
      </c>
      <c r="D140" s="4" t="s">
        <v>138</v>
      </c>
      <c r="E140" s="12">
        <v>19.82</v>
      </c>
      <c r="F140" s="12">
        <v>19.82</v>
      </c>
      <c r="G140" s="6">
        <f t="shared" si="44"/>
        <v>0</v>
      </c>
      <c r="H140" s="7">
        <f t="shared" si="45"/>
        <v>0</v>
      </c>
      <c r="I140" s="8">
        <v>29.22</v>
      </c>
      <c r="J140" s="9">
        <f t="shared" si="46"/>
        <v>29.22</v>
      </c>
      <c r="K140" s="3">
        <f t="shared" si="47"/>
        <v>0</v>
      </c>
      <c r="L140" s="7">
        <f t="shared" si="48"/>
        <v>0</v>
      </c>
      <c r="M140" t="s">
        <v>121</v>
      </c>
      <c r="O140" s="3">
        <f>E140-'290710 - P1223'!F140</f>
        <v>0</v>
      </c>
      <c r="P140" s="30">
        <f>I140-'290710 - P1223'!J140</f>
        <v>0</v>
      </c>
    </row>
    <row r="141" spans="1:16" x14ac:dyDescent="0.25">
      <c r="A141">
        <v>139</v>
      </c>
      <c r="C141" t="s">
        <v>8</v>
      </c>
      <c r="D141" s="4" t="s">
        <v>139</v>
      </c>
      <c r="E141" s="12">
        <v>26.87</v>
      </c>
      <c r="F141" s="12">
        <v>26.87</v>
      </c>
      <c r="G141" s="6">
        <f>+F141-E141</f>
        <v>0</v>
      </c>
      <c r="H141" s="7">
        <f t="shared" si="45"/>
        <v>0</v>
      </c>
      <c r="I141" s="8">
        <v>41.82</v>
      </c>
      <c r="J141" s="9">
        <f t="shared" si="46"/>
        <v>41.82</v>
      </c>
      <c r="K141" s="3">
        <f t="shared" si="47"/>
        <v>0</v>
      </c>
      <c r="L141" s="7">
        <f t="shared" si="48"/>
        <v>0</v>
      </c>
      <c r="M141" t="s">
        <v>121</v>
      </c>
      <c r="O141" s="3">
        <f>E141-'290710 - P1223'!F141</f>
        <v>0</v>
      </c>
      <c r="P141" s="30">
        <f>I141-'290710 - P1223'!J141</f>
        <v>0</v>
      </c>
    </row>
    <row r="142" spans="1:16" x14ac:dyDescent="0.25">
      <c r="A142">
        <v>140</v>
      </c>
      <c r="C142" t="s">
        <v>8</v>
      </c>
      <c r="D142" s="4" t="s">
        <v>140</v>
      </c>
      <c r="E142" s="12">
        <v>32.24</v>
      </c>
      <c r="F142" s="12">
        <v>32.24</v>
      </c>
      <c r="G142" s="6">
        <f t="shared" si="44"/>
        <v>0</v>
      </c>
      <c r="H142" s="7">
        <f t="shared" si="45"/>
        <v>0</v>
      </c>
      <c r="I142" s="8">
        <v>50.19</v>
      </c>
      <c r="J142" s="9">
        <f t="shared" si="46"/>
        <v>50.19</v>
      </c>
      <c r="K142" s="3">
        <f t="shared" si="47"/>
        <v>0</v>
      </c>
      <c r="L142" s="7">
        <f t="shared" si="48"/>
        <v>0</v>
      </c>
      <c r="M142" t="s">
        <v>121</v>
      </c>
      <c r="O142" s="3">
        <f>E142-'290710 - P1223'!F142</f>
        <v>0</v>
      </c>
      <c r="P142" s="30">
        <f>I142-'290710 - P1223'!J142</f>
        <v>0</v>
      </c>
    </row>
    <row r="143" spans="1:16" x14ac:dyDescent="0.25">
      <c r="A143">
        <v>141</v>
      </c>
      <c r="C143" t="s">
        <v>8</v>
      </c>
      <c r="D143" s="4" t="s">
        <v>141</v>
      </c>
      <c r="E143" s="12">
        <v>7.21</v>
      </c>
      <c r="F143" s="12">
        <v>7.21</v>
      </c>
      <c r="G143" s="6">
        <f t="shared" si="44"/>
        <v>0</v>
      </c>
      <c r="H143" s="7">
        <f t="shared" si="45"/>
        <v>0</v>
      </c>
      <c r="I143" s="8">
        <v>10.28</v>
      </c>
      <c r="J143" s="9">
        <f t="shared" si="46"/>
        <v>10.28</v>
      </c>
      <c r="K143" s="3">
        <f t="shared" si="47"/>
        <v>0</v>
      </c>
      <c r="L143" s="7">
        <f t="shared" si="48"/>
        <v>0</v>
      </c>
      <c r="M143" t="s">
        <v>121</v>
      </c>
      <c r="O143" s="3">
        <f>E143-'290710 - P1223'!F143</f>
        <v>0</v>
      </c>
      <c r="P143" s="30">
        <f>I143-'290710 - P1223'!J143</f>
        <v>0</v>
      </c>
    </row>
    <row r="144" spans="1:16" x14ac:dyDescent="0.25">
      <c r="A144">
        <v>142</v>
      </c>
      <c r="C144" t="s">
        <v>8</v>
      </c>
      <c r="D144" s="4" t="s">
        <v>142</v>
      </c>
      <c r="E144" s="12">
        <v>11.16</v>
      </c>
      <c r="F144" s="12">
        <v>11.16</v>
      </c>
      <c r="G144" s="6">
        <f t="shared" si="44"/>
        <v>0</v>
      </c>
      <c r="H144" s="7">
        <f t="shared" si="45"/>
        <v>0</v>
      </c>
      <c r="I144" s="8">
        <v>15.63</v>
      </c>
      <c r="J144" s="9">
        <f t="shared" si="46"/>
        <v>15.63</v>
      </c>
      <c r="K144" s="3">
        <f t="shared" si="47"/>
        <v>0</v>
      </c>
      <c r="L144" s="7">
        <f t="shared" si="48"/>
        <v>0</v>
      </c>
      <c r="M144" t="s">
        <v>121</v>
      </c>
      <c r="O144" s="3">
        <f>E144-'290710 - P1223'!F144</f>
        <v>0</v>
      </c>
      <c r="P144" s="30">
        <f>I144-'290710 - P1223'!J144</f>
        <v>0</v>
      </c>
    </row>
    <row r="145" spans="1:16" x14ac:dyDescent="0.25">
      <c r="A145">
        <v>143</v>
      </c>
      <c r="C145" t="s">
        <v>8</v>
      </c>
      <c r="D145" s="4" t="s">
        <v>143</v>
      </c>
      <c r="E145" s="12">
        <v>16.739999999999998</v>
      </c>
      <c r="F145" s="12">
        <v>16.739999999999998</v>
      </c>
      <c r="G145" s="6">
        <f t="shared" si="44"/>
        <v>0</v>
      </c>
      <c r="H145" s="7">
        <f t="shared" si="45"/>
        <v>0</v>
      </c>
      <c r="I145" s="8">
        <v>23.44</v>
      </c>
      <c r="J145" s="9">
        <f t="shared" si="46"/>
        <v>23.44</v>
      </c>
      <c r="K145" s="3">
        <f t="shared" si="47"/>
        <v>0</v>
      </c>
      <c r="L145" s="7">
        <f t="shared" si="48"/>
        <v>0</v>
      </c>
      <c r="M145" t="s">
        <v>121</v>
      </c>
      <c r="O145" s="3">
        <f>E145-'290710 - P1223'!F145</f>
        <v>0</v>
      </c>
      <c r="P145" s="30">
        <f>I145-'290710 - P1223'!J145</f>
        <v>0</v>
      </c>
    </row>
    <row r="146" spans="1:16" x14ac:dyDescent="0.25">
      <c r="A146">
        <v>144</v>
      </c>
      <c r="C146" t="s">
        <v>8</v>
      </c>
      <c r="D146" s="4" t="s">
        <v>144</v>
      </c>
      <c r="E146" s="12">
        <v>22.31</v>
      </c>
      <c r="F146" s="12">
        <v>22.31</v>
      </c>
      <c r="G146" s="6">
        <f t="shared" si="44"/>
        <v>0</v>
      </c>
      <c r="H146" s="7">
        <f t="shared" si="45"/>
        <v>0</v>
      </c>
      <c r="I146" s="8">
        <v>32.9</v>
      </c>
      <c r="J146" s="9">
        <f t="shared" si="46"/>
        <v>32.9</v>
      </c>
      <c r="K146" s="3">
        <f t="shared" si="47"/>
        <v>0</v>
      </c>
      <c r="L146" s="7">
        <f t="shared" si="48"/>
        <v>0</v>
      </c>
      <c r="M146" t="s">
        <v>121</v>
      </c>
      <c r="O146" s="3">
        <f>E146-'290710 - P1223'!F146</f>
        <v>0</v>
      </c>
      <c r="P146" s="30">
        <f>I146-'290710 - P1223'!J146</f>
        <v>0</v>
      </c>
    </row>
    <row r="147" spans="1:16" x14ac:dyDescent="0.25">
      <c r="A147">
        <v>145</v>
      </c>
      <c r="C147" t="s">
        <v>8</v>
      </c>
      <c r="D147" s="4" t="s">
        <v>145</v>
      </c>
      <c r="E147" s="12">
        <v>31.21</v>
      </c>
      <c r="F147" s="12">
        <v>31.21</v>
      </c>
      <c r="G147" s="6">
        <f t="shared" si="44"/>
        <v>0</v>
      </c>
      <c r="H147" s="7">
        <f t="shared" si="45"/>
        <v>0</v>
      </c>
      <c r="I147" s="8">
        <v>48.55</v>
      </c>
      <c r="J147" s="9">
        <f t="shared" si="46"/>
        <v>48.55</v>
      </c>
      <c r="K147" s="3">
        <f t="shared" si="47"/>
        <v>0</v>
      </c>
      <c r="L147" s="7">
        <f t="shared" si="48"/>
        <v>0</v>
      </c>
      <c r="M147" t="s">
        <v>121</v>
      </c>
      <c r="O147" s="3">
        <f>E147-'290710 - P1223'!F147</f>
        <v>0</v>
      </c>
      <c r="P147" s="30">
        <f>I147-'290710 - P1223'!J147</f>
        <v>0</v>
      </c>
    </row>
    <row r="148" spans="1:16" x14ac:dyDescent="0.25">
      <c r="A148">
        <v>146</v>
      </c>
      <c r="C148" t="s">
        <v>8</v>
      </c>
      <c r="D148" s="4" t="s">
        <v>146</v>
      </c>
      <c r="E148" s="12">
        <v>37.46</v>
      </c>
      <c r="F148" s="12">
        <v>37.46</v>
      </c>
      <c r="G148" s="6">
        <f t="shared" si="44"/>
        <v>0</v>
      </c>
      <c r="H148" s="7">
        <f t="shared" si="45"/>
        <v>0</v>
      </c>
      <c r="I148" s="8">
        <v>58.25</v>
      </c>
      <c r="J148" s="9">
        <f t="shared" si="46"/>
        <v>58.25</v>
      </c>
      <c r="K148" s="3">
        <f t="shared" si="47"/>
        <v>0</v>
      </c>
      <c r="L148" s="7">
        <f t="shared" si="48"/>
        <v>0</v>
      </c>
      <c r="M148" t="s">
        <v>121</v>
      </c>
      <c r="O148" s="3">
        <f>E148-'290710 - P1223'!F148</f>
        <v>0</v>
      </c>
      <c r="P148" s="30">
        <f>I148-'290710 - P1223'!J148</f>
        <v>0</v>
      </c>
    </row>
    <row r="149" spans="1:16" x14ac:dyDescent="0.25">
      <c r="A149">
        <v>147</v>
      </c>
      <c r="C149" t="s">
        <v>8</v>
      </c>
      <c r="D149" s="4" t="s">
        <v>147</v>
      </c>
      <c r="E149" s="12">
        <v>6.49</v>
      </c>
      <c r="F149" s="12">
        <v>6.49</v>
      </c>
      <c r="G149" s="6">
        <f t="shared" si="44"/>
        <v>0</v>
      </c>
      <c r="H149" s="7">
        <f t="shared" si="45"/>
        <v>0</v>
      </c>
      <c r="I149" s="8">
        <v>10.62137397260274</v>
      </c>
      <c r="J149" s="9">
        <f t="shared" si="46"/>
        <v>10.62137397260274</v>
      </c>
      <c r="K149" s="3">
        <f t="shared" si="47"/>
        <v>0</v>
      </c>
      <c r="L149" s="7">
        <f t="shared" si="48"/>
        <v>0</v>
      </c>
      <c r="M149" t="s">
        <v>121</v>
      </c>
      <c r="O149" s="3">
        <f>E149-'290710 - P1223'!F149</f>
        <v>0</v>
      </c>
      <c r="P149" s="30">
        <f>I149-'290710 - P1223'!J149</f>
        <v>0</v>
      </c>
    </row>
    <row r="150" spans="1:16" x14ac:dyDescent="0.25">
      <c r="A150">
        <v>148</v>
      </c>
      <c r="C150" t="s">
        <v>8</v>
      </c>
      <c r="D150" s="4" t="s">
        <v>448</v>
      </c>
      <c r="E150" s="12">
        <v>6.97</v>
      </c>
      <c r="F150" s="12">
        <v>6.97</v>
      </c>
      <c r="G150" s="6">
        <f t="shared" si="44"/>
        <v>0</v>
      </c>
      <c r="H150" s="7">
        <f t="shared" si="45"/>
        <v>0</v>
      </c>
      <c r="I150" s="8">
        <v>8.7200000000000006</v>
      </c>
      <c r="J150" s="9">
        <f t="shared" si="46"/>
        <v>8.7200000000000006</v>
      </c>
      <c r="K150" s="3">
        <f t="shared" si="47"/>
        <v>0</v>
      </c>
      <c r="L150" s="7">
        <f t="shared" si="48"/>
        <v>0</v>
      </c>
      <c r="M150" t="s">
        <v>121</v>
      </c>
      <c r="O150" s="3">
        <f>E150-'290710 - P1223'!F150</f>
        <v>0</v>
      </c>
      <c r="P150" s="30">
        <f>I150-'290710 - P1223'!J150</f>
        <v>0</v>
      </c>
    </row>
    <row r="151" spans="1:16" x14ac:dyDescent="0.25">
      <c r="A151">
        <v>149</v>
      </c>
      <c r="C151" t="s">
        <v>8</v>
      </c>
      <c r="D151" s="4" t="s">
        <v>449</v>
      </c>
      <c r="E151" s="12">
        <v>8.33</v>
      </c>
      <c r="F151" s="12">
        <v>8.33</v>
      </c>
      <c r="G151" s="6">
        <f t="shared" si="44"/>
        <v>0</v>
      </c>
      <c r="H151" s="7">
        <f t="shared" si="45"/>
        <v>0</v>
      </c>
      <c r="I151" s="8">
        <v>10.42</v>
      </c>
      <c r="J151" s="9">
        <f t="shared" si="46"/>
        <v>10.42</v>
      </c>
      <c r="K151" s="3">
        <f t="shared" si="47"/>
        <v>0</v>
      </c>
      <c r="L151" s="7">
        <f t="shared" si="48"/>
        <v>0</v>
      </c>
      <c r="M151" t="s">
        <v>121</v>
      </c>
      <c r="O151" s="3">
        <f>E151-'290710 - P1223'!F151</f>
        <v>0</v>
      </c>
      <c r="P151" s="30">
        <f>I151-'290710 - P1223'!J151</f>
        <v>0</v>
      </c>
    </row>
    <row r="152" spans="1:16" x14ac:dyDescent="0.25">
      <c r="A152">
        <v>150</v>
      </c>
      <c r="C152" t="s">
        <v>8</v>
      </c>
      <c r="D152" s="4" t="s">
        <v>450</v>
      </c>
      <c r="E152" s="12">
        <v>12.49</v>
      </c>
      <c r="F152" s="12">
        <v>12.49</v>
      </c>
      <c r="G152" s="6">
        <f t="shared" si="44"/>
        <v>0</v>
      </c>
      <c r="H152" s="7">
        <f t="shared" si="45"/>
        <v>0</v>
      </c>
      <c r="I152" s="8">
        <v>15.62</v>
      </c>
      <c r="J152" s="9">
        <f t="shared" si="46"/>
        <v>15.62</v>
      </c>
      <c r="K152" s="3">
        <f t="shared" si="47"/>
        <v>0</v>
      </c>
      <c r="L152" s="7">
        <f t="shared" si="48"/>
        <v>0</v>
      </c>
      <c r="M152" t="s">
        <v>121</v>
      </c>
      <c r="O152" s="3">
        <f>E152-'290710 - P1223'!F152</f>
        <v>0</v>
      </c>
      <c r="P152" s="30">
        <f>I152-'290710 - P1223'!J152</f>
        <v>0</v>
      </c>
    </row>
    <row r="153" spans="1:16" x14ac:dyDescent="0.25">
      <c r="A153">
        <v>151</v>
      </c>
      <c r="C153" t="s">
        <v>8</v>
      </c>
      <c r="D153" s="4" t="s">
        <v>451</v>
      </c>
      <c r="E153" s="12">
        <v>16.27</v>
      </c>
      <c r="F153" s="12">
        <v>16.27</v>
      </c>
      <c r="G153" s="6">
        <f t="shared" si="44"/>
        <v>0</v>
      </c>
      <c r="H153" s="7">
        <f t="shared" si="45"/>
        <v>0</v>
      </c>
      <c r="I153" s="8">
        <v>21.41</v>
      </c>
      <c r="J153" s="9">
        <f t="shared" si="46"/>
        <v>21.41</v>
      </c>
      <c r="K153" s="3">
        <f t="shared" si="47"/>
        <v>0</v>
      </c>
      <c r="L153" s="7">
        <f t="shared" si="48"/>
        <v>0</v>
      </c>
      <c r="M153" t="s">
        <v>121</v>
      </c>
      <c r="O153" s="3">
        <f>E153-'290710 - P1223'!F153</f>
        <v>0</v>
      </c>
      <c r="P153" s="30">
        <f>I153-'290710 - P1223'!J153</f>
        <v>0</v>
      </c>
    </row>
    <row r="154" spans="1:16" x14ac:dyDescent="0.25">
      <c r="A154">
        <v>152</v>
      </c>
      <c r="C154" t="s">
        <v>8</v>
      </c>
      <c r="D154" s="4" t="s">
        <v>452</v>
      </c>
      <c r="E154" s="12">
        <v>20.329999999999998</v>
      </c>
      <c r="F154" s="12">
        <v>20.329999999999998</v>
      </c>
      <c r="G154" s="6">
        <f>+F154-E154</f>
        <v>0</v>
      </c>
      <c r="H154" s="7">
        <f t="shared" si="45"/>
        <v>0</v>
      </c>
      <c r="I154" s="8">
        <v>28.24</v>
      </c>
      <c r="J154" s="9">
        <f t="shared" si="46"/>
        <v>28.24</v>
      </c>
      <c r="K154" s="3">
        <f t="shared" si="47"/>
        <v>0</v>
      </c>
      <c r="L154" s="7">
        <f t="shared" si="48"/>
        <v>0</v>
      </c>
      <c r="M154" t="s">
        <v>121</v>
      </c>
      <c r="O154" s="3">
        <f>E154-'290710 - P1223'!F154</f>
        <v>0</v>
      </c>
      <c r="P154" s="30">
        <f>I154-'290710 - P1223'!J154</f>
        <v>0</v>
      </c>
    </row>
    <row r="155" spans="1:16" x14ac:dyDescent="0.25">
      <c r="A155">
        <v>153</v>
      </c>
      <c r="C155" t="s">
        <v>8</v>
      </c>
      <c r="D155" s="4" t="s">
        <v>453</v>
      </c>
      <c r="E155" s="12">
        <v>24.4</v>
      </c>
      <c r="F155" s="12">
        <v>24.4</v>
      </c>
      <c r="G155" s="6">
        <f t="shared" ref="G155" si="49">+F155-E155</f>
        <v>0</v>
      </c>
      <c r="H155" s="7">
        <f t="shared" si="45"/>
        <v>0</v>
      </c>
      <c r="I155" s="8">
        <v>33.89</v>
      </c>
      <c r="J155" s="9">
        <f t="shared" si="46"/>
        <v>33.89</v>
      </c>
      <c r="K155" s="3">
        <f t="shared" si="47"/>
        <v>0</v>
      </c>
      <c r="L155" s="7">
        <f t="shared" si="48"/>
        <v>0</v>
      </c>
      <c r="M155" t="s">
        <v>121</v>
      </c>
      <c r="O155" s="3">
        <f>E155-'290710 - P1223'!F155</f>
        <v>0</v>
      </c>
      <c r="P155" s="30">
        <f>I155-'290710 - P1223'!J155</f>
        <v>0</v>
      </c>
    </row>
    <row r="156" spans="1:16" x14ac:dyDescent="0.25">
      <c r="A156">
        <v>154</v>
      </c>
      <c r="D156" s="2" t="s">
        <v>148</v>
      </c>
      <c r="F156" s="15"/>
      <c r="H156" s="10">
        <f>AVERAGE(H123:H149)</f>
        <v>0</v>
      </c>
      <c r="I156"/>
    </row>
    <row r="157" spans="1:16" x14ac:dyDescent="0.25">
      <c r="A157">
        <v>155</v>
      </c>
      <c r="D157" s="2" t="s">
        <v>149</v>
      </c>
      <c r="I157"/>
      <c r="M157" t="s">
        <v>150</v>
      </c>
    </row>
    <row r="158" spans="1:16" x14ac:dyDescent="0.25">
      <c r="A158">
        <v>156</v>
      </c>
      <c r="C158" t="s">
        <v>8</v>
      </c>
      <c r="D158" s="4" t="s">
        <v>151</v>
      </c>
      <c r="E158" s="12">
        <v>37.49</v>
      </c>
      <c r="F158" s="12">
        <v>37.49</v>
      </c>
      <c r="G158" s="6">
        <f t="shared" ref="G158:G164" si="50">+F158-E158</f>
        <v>0</v>
      </c>
      <c r="H158" s="7">
        <f t="shared" ref="H158:H164" si="51">(F158-E158)/ABS(E158)</f>
        <v>0</v>
      </c>
      <c r="I158" s="12">
        <v>40.250769230769222</v>
      </c>
      <c r="J158" s="12">
        <f t="shared" ref="J158:J164" si="52">(I158*H158)+I158</f>
        <v>40.250769230769222</v>
      </c>
      <c r="K158" s="3">
        <f t="shared" ref="K158:K164" si="53">J158-I158</f>
        <v>0</v>
      </c>
      <c r="L158" s="7">
        <f t="shared" ref="L158:L164" si="54">(J158-I158)/ABS(I158)</f>
        <v>0</v>
      </c>
      <c r="M158" t="s">
        <v>150</v>
      </c>
      <c r="O158" s="3">
        <f>E158-'290710 - P1223'!F158</f>
        <v>0</v>
      </c>
      <c r="P158" s="30">
        <f>I158-'290710 - P1223'!J158</f>
        <v>0</v>
      </c>
    </row>
    <row r="159" spans="1:16" x14ac:dyDescent="0.25">
      <c r="A159">
        <v>157</v>
      </c>
      <c r="C159" t="s">
        <v>8</v>
      </c>
      <c r="D159" s="4" t="s">
        <v>152</v>
      </c>
      <c r="E159" s="12">
        <v>6.1</v>
      </c>
      <c r="F159" s="12">
        <v>6.1</v>
      </c>
      <c r="G159" s="6">
        <f t="shared" si="50"/>
        <v>0</v>
      </c>
      <c r="H159" s="7">
        <f t="shared" si="51"/>
        <v>0</v>
      </c>
      <c r="I159" s="12">
        <v>13.248680851063828</v>
      </c>
      <c r="J159" s="12">
        <f t="shared" si="52"/>
        <v>13.248680851063828</v>
      </c>
      <c r="K159" s="3">
        <f t="shared" si="53"/>
        <v>0</v>
      </c>
      <c r="L159" s="7">
        <f t="shared" si="54"/>
        <v>0</v>
      </c>
      <c r="M159" t="s">
        <v>150</v>
      </c>
      <c r="O159" s="3">
        <f>E159-'290710 - P1223'!F159</f>
        <v>0</v>
      </c>
      <c r="P159" s="30">
        <f>I159-'290710 - P1223'!J159</f>
        <v>0</v>
      </c>
    </row>
    <row r="160" spans="1:16" x14ac:dyDescent="0.25">
      <c r="A160">
        <v>158</v>
      </c>
      <c r="C160" t="s">
        <v>8</v>
      </c>
      <c r="D160" s="4" t="s">
        <v>153</v>
      </c>
      <c r="E160" s="12">
        <v>11.16</v>
      </c>
      <c r="F160" s="12">
        <v>11.16</v>
      </c>
      <c r="G160" s="6">
        <f t="shared" si="50"/>
        <v>0</v>
      </c>
      <c r="H160" s="7">
        <f t="shared" si="51"/>
        <v>0</v>
      </c>
      <c r="I160" s="12">
        <v>22.971018518518513</v>
      </c>
      <c r="J160" s="12">
        <f t="shared" si="52"/>
        <v>22.971018518518513</v>
      </c>
      <c r="K160" s="3">
        <f t="shared" si="53"/>
        <v>0</v>
      </c>
      <c r="L160" s="7">
        <f t="shared" si="54"/>
        <v>0</v>
      </c>
      <c r="M160" t="s">
        <v>150</v>
      </c>
      <c r="O160" s="3">
        <f>E160-'290710 - P1223'!F160</f>
        <v>0</v>
      </c>
      <c r="P160" s="30">
        <f>I160-'290710 - P1223'!J160</f>
        <v>0</v>
      </c>
    </row>
    <row r="161" spans="1:16" x14ac:dyDescent="0.25">
      <c r="A161">
        <v>159</v>
      </c>
      <c r="D161" s="4" t="s">
        <v>154</v>
      </c>
      <c r="E161" s="12">
        <v>6.8040000000000003</v>
      </c>
      <c r="F161" s="12">
        <v>6.8040000000000003</v>
      </c>
      <c r="G161" s="6">
        <f t="shared" si="50"/>
        <v>0</v>
      </c>
      <c r="H161" s="7">
        <f t="shared" si="51"/>
        <v>0</v>
      </c>
      <c r="I161" s="12">
        <v>22.285410234150319</v>
      </c>
      <c r="J161" s="12">
        <f t="shared" si="52"/>
        <v>22.285410234150319</v>
      </c>
      <c r="K161" s="3">
        <f t="shared" si="53"/>
        <v>0</v>
      </c>
      <c r="L161" s="7">
        <f t="shared" si="54"/>
        <v>0</v>
      </c>
      <c r="M161" t="s">
        <v>150</v>
      </c>
      <c r="O161" s="3">
        <f>E161-'290710 - P1223'!F161</f>
        <v>0</v>
      </c>
      <c r="P161" s="30">
        <f>I161-'290710 - P1223'!J161</f>
        <v>0</v>
      </c>
    </row>
    <row r="162" spans="1:16" x14ac:dyDescent="0.25">
      <c r="A162">
        <v>160</v>
      </c>
      <c r="C162" t="s">
        <v>8</v>
      </c>
      <c r="D162" s="4" t="s">
        <v>155</v>
      </c>
      <c r="E162" s="12">
        <v>18.05</v>
      </c>
      <c r="F162" s="12">
        <v>18.05</v>
      </c>
      <c r="G162" s="6">
        <f t="shared" si="50"/>
        <v>0</v>
      </c>
      <c r="H162" s="7">
        <f t="shared" si="51"/>
        <v>0</v>
      </c>
      <c r="I162" s="12">
        <v>28.933702479338844</v>
      </c>
      <c r="J162" s="12">
        <f t="shared" si="52"/>
        <v>28.933702479338844</v>
      </c>
      <c r="K162" s="3">
        <f t="shared" si="53"/>
        <v>0</v>
      </c>
      <c r="L162" s="7">
        <f t="shared" si="54"/>
        <v>0</v>
      </c>
      <c r="M162" t="s">
        <v>150</v>
      </c>
      <c r="O162" s="3">
        <f>E162-'290710 - P1223'!F162</f>
        <v>0</v>
      </c>
      <c r="P162" s="30">
        <f>I162-'290710 - P1223'!J162</f>
        <v>0</v>
      </c>
    </row>
    <row r="163" spans="1:16" x14ac:dyDescent="0.25">
      <c r="A163">
        <v>161</v>
      </c>
      <c r="D163" s="4" t="s">
        <v>156</v>
      </c>
      <c r="E163" s="12">
        <v>0.4</v>
      </c>
      <c r="F163" s="12">
        <v>0.4</v>
      </c>
      <c r="G163" s="6">
        <f t="shared" si="50"/>
        <v>0</v>
      </c>
      <c r="H163" s="7">
        <f t="shared" si="51"/>
        <v>0</v>
      </c>
      <c r="I163" s="12">
        <v>1.1076923076923078</v>
      </c>
      <c r="J163" s="12">
        <f t="shared" si="52"/>
        <v>1.1076923076923078</v>
      </c>
      <c r="K163" s="3">
        <f t="shared" si="53"/>
        <v>0</v>
      </c>
      <c r="L163" s="7">
        <f t="shared" si="54"/>
        <v>0</v>
      </c>
      <c r="M163" t="s">
        <v>150</v>
      </c>
      <c r="O163" s="3">
        <f>E163-'290710 - P1223'!F163</f>
        <v>0</v>
      </c>
      <c r="P163" s="30">
        <f>I163-'290710 - P1223'!J163</f>
        <v>0</v>
      </c>
    </row>
    <row r="164" spans="1:16" x14ac:dyDescent="0.25">
      <c r="A164">
        <v>162</v>
      </c>
      <c r="C164" t="s">
        <v>8</v>
      </c>
      <c r="D164" s="4" t="s">
        <v>157</v>
      </c>
      <c r="E164" s="12">
        <v>5.99</v>
      </c>
      <c r="F164" s="12">
        <v>5.99</v>
      </c>
      <c r="G164" s="6">
        <f t="shared" si="50"/>
        <v>0</v>
      </c>
      <c r="H164" s="7">
        <f t="shared" si="51"/>
        <v>0</v>
      </c>
      <c r="I164" s="12">
        <v>10.65</v>
      </c>
      <c r="J164" s="12">
        <f t="shared" si="52"/>
        <v>10.65</v>
      </c>
      <c r="K164" s="3">
        <f t="shared" si="53"/>
        <v>0</v>
      </c>
      <c r="L164" s="7">
        <f t="shared" si="54"/>
        <v>0</v>
      </c>
      <c r="M164" t="s">
        <v>150</v>
      </c>
      <c r="O164" s="3">
        <f>E164-'290710 - P1223'!F164</f>
        <v>0</v>
      </c>
      <c r="P164" s="30">
        <f>I164-'290710 - P1223'!J164</f>
        <v>0</v>
      </c>
    </row>
    <row r="165" spans="1:16" x14ac:dyDescent="0.25">
      <c r="A165">
        <v>163</v>
      </c>
      <c r="D165" s="2" t="s">
        <v>158</v>
      </c>
      <c r="H165" s="10">
        <f>AVERAGE(H158:H163)</f>
        <v>0</v>
      </c>
      <c r="I165"/>
    </row>
    <row r="166" spans="1:16" x14ac:dyDescent="0.25">
      <c r="A166">
        <v>164</v>
      </c>
      <c r="D166" s="2" t="s">
        <v>159</v>
      </c>
      <c r="I166"/>
    </row>
    <row r="167" spans="1:16" x14ac:dyDescent="0.25">
      <c r="A167">
        <v>165</v>
      </c>
      <c r="C167" t="s">
        <v>8</v>
      </c>
      <c r="D167" s="4" t="s">
        <v>160</v>
      </c>
      <c r="E167" s="5">
        <v>3.34</v>
      </c>
      <c r="F167" s="5">
        <v>3.34</v>
      </c>
      <c r="G167" s="6">
        <f t="shared" ref="G167:G191" si="55">+F167-E167</f>
        <v>0</v>
      </c>
      <c r="H167" s="7">
        <f t="shared" ref="H167:H191" si="56">(F167-E167)/ABS(E167)</f>
        <v>0</v>
      </c>
      <c r="I167" s="8">
        <v>6.1290657389972267</v>
      </c>
      <c r="J167" s="9">
        <f t="shared" ref="J167:J191" si="57">(I167*H167)+I167</f>
        <v>6.1290657389972267</v>
      </c>
      <c r="K167" s="3">
        <f t="shared" ref="K167:K191" si="58">J167-I167</f>
        <v>0</v>
      </c>
      <c r="L167" s="7">
        <f t="shared" ref="L167:L191" si="59">(J167-I167)/ABS(I167)</f>
        <v>0</v>
      </c>
      <c r="M167" t="s">
        <v>150</v>
      </c>
      <c r="O167" s="3">
        <f>E167-'290710 - P1223'!F167</f>
        <v>0</v>
      </c>
      <c r="P167" s="30">
        <f>I167-'290710 - P1223'!J167</f>
        <v>0</v>
      </c>
    </row>
    <row r="168" spans="1:16" x14ac:dyDescent="0.25">
      <c r="A168">
        <v>166</v>
      </c>
      <c r="C168" t="s">
        <v>8</v>
      </c>
      <c r="D168" s="4" t="s">
        <v>161</v>
      </c>
      <c r="E168" s="5">
        <v>4.17</v>
      </c>
      <c r="F168" s="5">
        <v>4.17</v>
      </c>
      <c r="G168" s="6">
        <f t="shared" si="55"/>
        <v>0</v>
      </c>
      <c r="H168" s="7">
        <f t="shared" si="56"/>
        <v>0</v>
      </c>
      <c r="I168" s="8">
        <v>8.8595399379795996</v>
      </c>
      <c r="J168" s="9">
        <f t="shared" si="57"/>
        <v>8.8595399379795996</v>
      </c>
      <c r="K168" s="3">
        <f t="shared" si="58"/>
        <v>0</v>
      </c>
      <c r="L168" s="7">
        <f t="shared" si="59"/>
        <v>0</v>
      </c>
      <c r="M168" t="s">
        <v>150</v>
      </c>
      <c r="O168" s="3">
        <f>E168-'290710 - P1223'!F168</f>
        <v>0</v>
      </c>
      <c r="P168" s="30">
        <f>I168-'290710 - P1223'!J168</f>
        <v>0</v>
      </c>
    </row>
    <row r="169" spans="1:16" x14ac:dyDescent="0.25">
      <c r="A169">
        <v>167</v>
      </c>
      <c r="C169" t="s">
        <v>8</v>
      </c>
      <c r="D169" s="4" t="s">
        <v>162</v>
      </c>
      <c r="E169" s="5">
        <v>4.6500000000000004</v>
      </c>
      <c r="F169" s="5">
        <v>4.6500000000000004</v>
      </c>
      <c r="G169" s="6">
        <f t="shared" si="55"/>
        <v>0</v>
      </c>
      <c r="H169" s="7">
        <f t="shared" si="56"/>
        <v>0</v>
      </c>
      <c r="I169" s="8">
        <v>6.5993171022995547</v>
      </c>
      <c r="J169" s="9">
        <f t="shared" si="57"/>
        <v>6.5993171022995547</v>
      </c>
      <c r="K169" s="3">
        <f t="shared" si="58"/>
        <v>0</v>
      </c>
      <c r="L169" s="7">
        <f t="shared" si="59"/>
        <v>0</v>
      </c>
      <c r="M169" t="s">
        <v>150</v>
      </c>
      <c r="O169" s="3">
        <f>E169-'290710 - P1223'!F169</f>
        <v>0</v>
      </c>
      <c r="P169" s="30">
        <f>I169-'290710 - P1223'!J169</f>
        <v>0</v>
      </c>
    </row>
    <row r="170" spans="1:16" x14ac:dyDescent="0.25">
      <c r="A170">
        <v>168</v>
      </c>
      <c r="C170" t="s">
        <v>8</v>
      </c>
      <c r="D170" s="4" t="s">
        <v>163</v>
      </c>
      <c r="E170" s="5">
        <v>15.35</v>
      </c>
      <c r="F170" s="5">
        <v>15.35</v>
      </c>
      <c r="G170" s="6">
        <f t="shared" si="55"/>
        <v>0</v>
      </c>
      <c r="H170" s="7">
        <f t="shared" si="56"/>
        <v>0</v>
      </c>
      <c r="I170" s="8">
        <v>22.942750812259177</v>
      </c>
      <c r="J170" s="9">
        <f t="shared" si="57"/>
        <v>22.942750812259177</v>
      </c>
      <c r="K170" s="3">
        <f t="shared" si="58"/>
        <v>0</v>
      </c>
      <c r="L170" s="7">
        <f t="shared" si="59"/>
        <v>0</v>
      </c>
      <c r="M170" t="s">
        <v>150</v>
      </c>
      <c r="O170" s="3">
        <f>E170-'290710 - P1223'!F170</f>
        <v>0</v>
      </c>
      <c r="P170" s="30">
        <f>I170-'290710 - P1223'!J170</f>
        <v>0</v>
      </c>
    </row>
    <row r="171" spans="1:16" x14ac:dyDescent="0.25">
      <c r="A171">
        <v>169</v>
      </c>
      <c r="C171" t="s">
        <v>8</v>
      </c>
      <c r="D171" s="4" t="s">
        <v>164</v>
      </c>
      <c r="E171" s="5">
        <v>1700</v>
      </c>
      <c r="F171" s="5">
        <v>1700</v>
      </c>
      <c r="G171" s="6">
        <f t="shared" si="55"/>
        <v>0</v>
      </c>
      <c r="H171" s="7">
        <f t="shared" si="56"/>
        <v>0</v>
      </c>
      <c r="I171" s="8">
        <v>45.101581324280765</v>
      </c>
      <c r="J171" s="9">
        <f t="shared" si="57"/>
        <v>45.101581324280765</v>
      </c>
      <c r="K171" s="3">
        <f t="shared" si="58"/>
        <v>0</v>
      </c>
      <c r="L171" s="7">
        <f t="shared" si="59"/>
        <v>0</v>
      </c>
      <c r="M171" t="s">
        <v>150</v>
      </c>
      <c r="O171" s="3">
        <f>E171-'290710 - P1223'!F171</f>
        <v>0</v>
      </c>
      <c r="P171" s="30">
        <f>I171-'290710 - P1223'!J171</f>
        <v>0</v>
      </c>
    </row>
    <row r="172" spans="1:16" x14ac:dyDescent="0.25">
      <c r="A172">
        <v>170</v>
      </c>
      <c r="C172" t="s">
        <v>8</v>
      </c>
      <c r="D172" s="4" t="s">
        <v>165</v>
      </c>
      <c r="E172" s="5">
        <v>1560</v>
      </c>
      <c r="F172" s="5">
        <v>1560</v>
      </c>
      <c r="G172" s="6">
        <f t="shared" si="55"/>
        <v>0</v>
      </c>
      <c r="H172" s="7">
        <f t="shared" si="56"/>
        <v>0</v>
      </c>
      <c r="I172" s="8">
        <v>2467.1012006861065</v>
      </c>
      <c r="J172" s="9">
        <f t="shared" si="57"/>
        <v>2467.1012006861065</v>
      </c>
      <c r="K172" s="3">
        <f t="shared" si="58"/>
        <v>0</v>
      </c>
      <c r="L172" s="7">
        <f t="shared" si="59"/>
        <v>0</v>
      </c>
      <c r="M172" t="s">
        <v>150</v>
      </c>
      <c r="O172" s="3">
        <f>E172-'290710 - P1223'!F172</f>
        <v>0</v>
      </c>
      <c r="P172" s="30">
        <f>I172-'290710 - P1223'!J172</f>
        <v>0</v>
      </c>
    </row>
    <row r="173" spans="1:16" x14ac:dyDescent="0.25">
      <c r="A173">
        <v>171</v>
      </c>
      <c r="C173" t="s">
        <v>8</v>
      </c>
      <c r="D173" s="4" t="s">
        <v>166</v>
      </c>
      <c r="E173" s="5">
        <v>18.45</v>
      </c>
      <c r="F173" s="5">
        <v>18.420000000000002</v>
      </c>
      <c r="G173" s="6">
        <f t="shared" si="55"/>
        <v>-2.9999999999997584E-2</v>
      </c>
      <c r="H173" s="7">
        <f t="shared" si="56"/>
        <v>-1.6260162601624707E-3</v>
      </c>
      <c r="I173" s="8">
        <v>32.646604897418932</v>
      </c>
      <c r="J173" s="9">
        <f t="shared" si="57"/>
        <v>32.593520987016632</v>
      </c>
      <c r="K173" s="3">
        <f t="shared" si="58"/>
        <v>-5.3083910402300205E-2</v>
      </c>
      <c r="L173" s="7">
        <f t="shared" si="59"/>
        <v>-1.6260162601623872E-3</v>
      </c>
      <c r="M173" t="s">
        <v>150</v>
      </c>
      <c r="O173" s="3">
        <f>E173-'290710 - P1223'!F173</f>
        <v>0</v>
      </c>
      <c r="P173" s="30">
        <f>I173-'290710 - P1223'!J173</f>
        <v>0</v>
      </c>
    </row>
    <row r="174" spans="1:16" x14ac:dyDescent="0.25">
      <c r="A174">
        <v>172</v>
      </c>
      <c r="C174" t="s">
        <v>8</v>
      </c>
      <c r="D174" s="4" t="s">
        <v>167</v>
      </c>
      <c r="E174" s="11">
        <v>4.0199999999999996</v>
      </c>
      <c r="F174" s="11">
        <v>4.0199999999999996</v>
      </c>
      <c r="G174" s="6">
        <f t="shared" si="55"/>
        <v>0</v>
      </c>
      <c r="H174" s="7">
        <f t="shared" si="56"/>
        <v>0</v>
      </c>
      <c r="I174" s="8">
        <v>15.098612891135524</v>
      </c>
      <c r="J174" s="9">
        <f t="shared" si="57"/>
        <v>15.098612891135524</v>
      </c>
      <c r="K174" s="3">
        <f t="shared" si="58"/>
        <v>0</v>
      </c>
      <c r="L174" s="7">
        <f t="shared" si="59"/>
        <v>0</v>
      </c>
      <c r="M174" t="s">
        <v>150</v>
      </c>
      <c r="O174" s="3">
        <f>E174-'290710 - P1223'!F174</f>
        <v>0</v>
      </c>
      <c r="P174" s="30">
        <f>I174-'290710 - P1223'!J174</f>
        <v>0</v>
      </c>
    </row>
    <row r="175" spans="1:16" x14ac:dyDescent="0.25">
      <c r="A175">
        <v>173</v>
      </c>
      <c r="C175" t="s">
        <v>8</v>
      </c>
      <c r="D175" s="4" t="s">
        <v>168</v>
      </c>
      <c r="E175" s="11">
        <v>0.59</v>
      </c>
      <c r="F175" s="11">
        <v>0.59</v>
      </c>
      <c r="G175" s="6">
        <f t="shared" si="55"/>
        <v>0</v>
      </c>
      <c r="H175" s="7">
        <f t="shared" si="56"/>
        <v>0</v>
      </c>
      <c r="I175" s="8">
        <v>2.1049549224666428</v>
      </c>
      <c r="J175" s="9">
        <f t="shared" si="57"/>
        <v>2.1049549224666428</v>
      </c>
      <c r="K175" s="3">
        <f t="shared" si="58"/>
        <v>0</v>
      </c>
      <c r="L175" s="7">
        <f t="shared" si="59"/>
        <v>0</v>
      </c>
      <c r="M175" t="s">
        <v>150</v>
      </c>
      <c r="O175" s="3">
        <f>E175-'290710 - P1223'!F175</f>
        <v>0</v>
      </c>
      <c r="P175" s="30">
        <f>I175-'290710 - P1223'!J175</f>
        <v>0</v>
      </c>
    </row>
    <row r="176" spans="1:16" x14ac:dyDescent="0.25">
      <c r="A176">
        <v>174</v>
      </c>
      <c r="C176" t="s">
        <v>8</v>
      </c>
      <c r="D176" s="4" t="s">
        <v>169</v>
      </c>
      <c r="E176" s="11">
        <v>0.63</v>
      </c>
      <c r="F176" s="11">
        <v>0.63</v>
      </c>
      <c r="G176" s="6">
        <f t="shared" si="55"/>
        <v>0</v>
      </c>
      <c r="H176" s="7">
        <f t="shared" si="56"/>
        <v>0</v>
      </c>
      <c r="I176" s="8">
        <v>1.9152</v>
      </c>
      <c r="J176" s="9">
        <f t="shared" si="57"/>
        <v>1.9152</v>
      </c>
      <c r="K176" s="3">
        <f t="shared" si="58"/>
        <v>0</v>
      </c>
      <c r="L176" s="7">
        <f t="shared" si="59"/>
        <v>0</v>
      </c>
      <c r="M176" t="s">
        <v>150</v>
      </c>
      <c r="O176" s="3">
        <f>E176-'290710 - P1223'!F176</f>
        <v>0</v>
      </c>
      <c r="P176" s="30">
        <f>I176-'290710 - P1223'!J176</f>
        <v>0</v>
      </c>
    </row>
    <row r="177" spans="1:16" x14ac:dyDescent="0.25">
      <c r="A177">
        <v>175</v>
      </c>
      <c r="C177" t="s">
        <v>8</v>
      </c>
      <c r="D177" s="4" t="s">
        <v>461</v>
      </c>
      <c r="E177" s="11">
        <v>25.5</v>
      </c>
      <c r="F177" s="11">
        <v>29</v>
      </c>
      <c r="G177" s="6">
        <f t="shared" si="55"/>
        <v>3.5</v>
      </c>
      <c r="H177" s="7">
        <f t="shared" si="56"/>
        <v>0.13725490196078433</v>
      </c>
      <c r="I177" s="8">
        <v>40</v>
      </c>
      <c r="J177" s="9">
        <f t="shared" si="57"/>
        <v>45.490196078431374</v>
      </c>
      <c r="K177" s="3">
        <f t="shared" si="58"/>
        <v>5.4901960784313744</v>
      </c>
      <c r="L177" s="7">
        <f t="shared" si="59"/>
        <v>0.13725490196078435</v>
      </c>
      <c r="M177" t="s">
        <v>150</v>
      </c>
      <c r="O177" s="3">
        <f>E177-'290710 - P1223'!F177</f>
        <v>0</v>
      </c>
      <c r="P177" s="30">
        <f>I177-'290710 - P1223'!J177</f>
        <v>0</v>
      </c>
    </row>
    <row r="178" spans="1:16" x14ac:dyDescent="0.25">
      <c r="A178">
        <v>176</v>
      </c>
      <c r="C178" t="s">
        <v>8</v>
      </c>
      <c r="D178" s="4" t="s">
        <v>170</v>
      </c>
      <c r="E178" s="11">
        <v>35.4</v>
      </c>
      <c r="F178" s="11">
        <v>35.4</v>
      </c>
      <c r="G178" s="6">
        <f t="shared" si="55"/>
        <v>0</v>
      </c>
      <c r="H178" s="7">
        <f t="shared" si="56"/>
        <v>0</v>
      </c>
      <c r="I178" s="8">
        <v>21.717791411042946</v>
      </c>
      <c r="J178" s="9">
        <f t="shared" si="57"/>
        <v>21.717791411042946</v>
      </c>
      <c r="K178" s="3">
        <f t="shared" si="58"/>
        <v>0</v>
      </c>
      <c r="L178" s="7">
        <f t="shared" si="59"/>
        <v>0</v>
      </c>
      <c r="M178" t="s">
        <v>150</v>
      </c>
      <c r="O178" s="3">
        <f>E178-'290710 - P1223'!F178</f>
        <v>0</v>
      </c>
      <c r="P178" s="30">
        <f>I178-'290710 - P1223'!J178</f>
        <v>0</v>
      </c>
    </row>
    <row r="179" spans="1:16" x14ac:dyDescent="0.25">
      <c r="A179">
        <v>177</v>
      </c>
      <c r="C179" t="s">
        <v>8</v>
      </c>
      <c r="D179" s="4" t="s">
        <v>171</v>
      </c>
      <c r="E179" s="11">
        <v>29.3</v>
      </c>
      <c r="F179" s="11">
        <v>29.3</v>
      </c>
      <c r="G179" s="6">
        <f t="shared" si="55"/>
        <v>0</v>
      </c>
      <c r="H179" s="7">
        <f t="shared" si="56"/>
        <v>0</v>
      </c>
      <c r="I179" s="8">
        <v>20</v>
      </c>
      <c r="J179" s="9">
        <f t="shared" si="57"/>
        <v>20</v>
      </c>
      <c r="K179" s="3">
        <f t="shared" si="58"/>
        <v>0</v>
      </c>
      <c r="L179" s="7">
        <f t="shared" si="59"/>
        <v>0</v>
      </c>
      <c r="M179" t="s">
        <v>150</v>
      </c>
      <c r="O179" s="3">
        <f>E179-'290710 - P1223'!F179</f>
        <v>0</v>
      </c>
      <c r="P179" s="30">
        <f>I179-'290710 - P1223'!J179</f>
        <v>0</v>
      </c>
    </row>
    <row r="180" spans="1:16" x14ac:dyDescent="0.25">
      <c r="A180">
        <v>178</v>
      </c>
      <c r="C180" t="s">
        <v>8</v>
      </c>
      <c r="D180" s="4" t="s">
        <v>172</v>
      </c>
      <c r="E180" s="11">
        <v>24.2</v>
      </c>
      <c r="F180" s="11">
        <v>24.2</v>
      </c>
      <c r="G180" s="6">
        <f t="shared" si="55"/>
        <v>0</v>
      </c>
      <c r="H180" s="7">
        <f t="shared" si="56"/>
        <v>0</v>
      </c>
      <c r="I180" s="8">
        <v>20</v>
      </c>
      <c r="J180" s="9">
        <f t="shared" si="57"/>
        <v>20</v>
      </c>
      <c r="K180" s="3">
        <f t="shared" si="58"/>
        <v>0</v>
      </c>
      <c r="L180" s="7">
        <f t="shared" si="59"/>
        <v>0</v>
      </c>
      <c r="M180" t="s">
        <v>150</v>
      </c>
      <c r="O180" s="3">
        <f>E180-'290710 - P1223'!F180</f>
        <v>0</v>
      </c>
      <c r="P180" s="30">
        <f>I180-'290710 - P1223'!J180</f>
        <v>0</v>
      </c>
    </row>
    <row r="181" spans="1:16" x14ac:dyDescent="0.25">
      <c r="A181">
        <v>179</v>
      </c>
      <c r="C181" t="s">
        <v>8</v>
      </c>
      <c r="D181" s="4" t="s">
        <v>173</v>
      </c>
      <c r="E181" s="12">
        <v>116</v>
      </c>
      <c r="F181" s="12">
        <v>116</v>
      </c>
      <c r="G181" s="6">
        <f t="shared" si="55"/>
        <v>0</v>
      </c>
      <c r="H181" s="7">
        <f t="shared" si="56"/>
        <v>0</v>
      </c>
      <c r="I181" s="8">
        <v>153.29999999999998</v>
      </c>
      <c r="J181" s="9">
        <f t="shared" si="57"/>
        <v>153.29999999999998</v>
      </c>
      <c r="K181" s="3">
        <f t="shared" si="58"/>
        <v>0</v>
      </c>
      <c r="L181" s="7">
        <f t="shared" si="59"/>
        <v>0</v>
      </c>
      <c r="M181" t="s">
        <v>121</v>
      </c>
      <c r="O181" s="3">
        <f>E181-'290710 - P1223'!F181</f>
        <v>0</v>
      </c>
      <c r="P181" s="30">
        <f>I181-'290710 - P1223'!J181</f>
        <v>0</v>
      </c>
    </row>
    <row r="182" spans="1:16" x14ac:dyDescent="0.25">
      <c r="A182">
        <v>180</v>
      </c>
      <c r="C182" t="s">
        <v>8</v>
      </c>
      <c r="D182" s="4" t="s">
        <v>174</v>
      </c>
      <c r="E182" s="12">
        <v>9.98</v>
      </c>
      <c r="F182" s="12">
        <v>9.98</v>
      </c>
      <c r="G182" s="6">
        <f t="shared" si="55"/>
        <v>0</v>
      </c>
      <c r="H182" s="7">
        <f t="shared" si="56"/>
        <v>0</v>
      </c>
      <c r="I182" s="8">
        <v>13.625326315789476</v>
      </c>
      <c r="J182" s="9">
        <f t="shared" si="57"/>
        <v>13.625326315789476</v>
      </c>
      <c r="K182" s="3">
        <f t="shared" si="58"/>
        <v>0</v>
      </c>
      <c r="L182" s="7">
        <f t="shared" si="59"/>
        <v>0</v>
      </c>
      <c r="M182" t="s">
        <v>121</v>
      </c>
      <c r="O182" s="3">
        <f>E182-'290710 - P1223'!F182</f>
        <v>0</v>
      </c>
      <c r="P182" s="30">
        <f>I182-'290710 - P1223'!J182</f>
        <v>0</v>
      </c>
    </row>
    <row r="183" spans="1:16" x14ac:dyDescent="0.25">
      <c r="A183">
        <v>181</v>
      </c>
      <c r="C183" t="s">
        <v>8</v>
      </c>
      <c r="D183" s="4" t="s">
        <v>175</v>
      </c>
      <c r="E183" s="12">
        <v>190.995</v>
      </c>
      <c r="F183" s="12">
        <v>190.995</v>
      </c>
      <c r="G183" s="6">
        <f t="shared" si="55"/>
        <v>0</v>
      </c>
      <c r="H183" s="7">
        <f t="shared" si="56"/>
        <v>0</v>
      </c>
      <c r="I183" s="8">
        <v>251</v>
      </c>
      <c r="J183" s="9">
        <f t="shared" si="57"/>
        <v>251</v>
      </c>
      <c r="K183" s="3">
        <f t="shared" si="58"/>
        <v>0</v>
      </c>
      <c r="L183" s="7">
        <f t="shared" si="59"/>
        <v>0</v>
      </c>
      <c r="M183" t="s">
        <v>121</v>
      </c>
      <c r="O183" s="3">
        <f>E183-'290710 - P1223'!F183</f>
        <v>0</v>
      </c>
      <c r="P183" s="30">
        <f>I183-'290710 - P1223'!J183</f>
        <v>0</v>
      </c>
    </row>
    <row r="184" spans="1:16" x14ac:dyDescent="0.25">
      <c r="A184">
        <v>182</v>
      </c>
      <c r="C184" t="s">
        <v>8</v>
      </c>
      <c r="D184" s="4" t="s">
        <v>176</v>
      </c>
      <c r="E184" s="12">
        <v>14.01</v>
      </c>
      <c r="F184" s="12">
        <v>14.01</v>
      </c>
      <c r="G184" s="6">
        <f t="shared" si="55"/>
        <v>0</v>
      </c>
      <c r="H184" s="7">
        <f t="shared" si="56"/>
        <v>0</v>
      </c>
      <c r="I184" s="8">
        <v>19.616308543063266</v>
      </c>
      <c r="J184" s="9">
        <f t="shared" si="57"/>
        <v>19.616308543063266</v>
      </c>
      <c r="K184" s="3">
        <f t="shared" si="58"/>
        <v>0</v>
      </c>
      <c r="L184" s="7">
        <f t="shared" si="59"/>
        <v>0</v>
      </c>
      <c r="M184" t="s">
        <v>121</v>
      </c>
      <c r="O184" s="3">
        <f>E184-'290710 - P1223'!F184</f>
        <v>0</v>
      </c>
      <c r="P184" s="30">
        <f>I184-'290710 - P1223'!J184</f>
        <v>0</v>
      </c>
    </row>
    <row r="185" spans="1:16" x14ac:dyDescent="0.25">
      <c r="A185">
        <v>183</v>
      </c>
      <c r="C185" t="s">
        <v>8</v>
      </c>
      <c r="D185" s="4" t="s">
        <v>177</v>
      </c>
      <c r="E185" s="12">
        <v>33.25</v>
      </c>
      <c r="F185" s="12">
        <v>33.25</v>
      </c>
      <c r="G185" s="6">
        <f t="shared" si="55"/>
        <v>0</v>
      </c>
      <c r="H185" s="7">
        <f t="shared" si="56"/>
        <v>0</v>
      </c>
      <c r="I185" s="8">
        <v>49.869393819571762</v>
      </c>
      <c r="J185" s="9">
        <f t="shared" si="57"/>
        <v>49.869393819571762</v>
      </c>
      <c r="K185" s="3">
        <f t="shared" si="58"/>
        <v>0</v>
      </c>
      <c r="L185" s="7">
        <f t="shared" si="59"/>
        <v>0</v>
      </c>
      <c r="M185" t="s">
        <v>121</v>
      </c>
      <c r="O185" s="3">
        <f>E185-'290710 - P1223'!F185</f>
        <v>0</v>
      </c>
      <c r="P185" s="30">
        <f>I185-'290710 - P1223'!J185</f>
        <v>0</v>
      </c>
    </row>
    <row r="186" spans="1:16" x14ac:dyDescent="0.25">
      <c r="A186">
        <v>184</v>
      </c>
      <c r="C186" t="s">
        <v>8</v>
      </c>
      <c r="D186" s="4" t="s">
        <v>178</v>
      </c>
      <c r="E186" s="12">
        <v>44.04</v>
      </c>
      <c r="F186" s="12">
        <v>44.04</v>
      </c>
      <c r="G186" s="6">
        <f t="shared" si="55"/>
        <v>0</v>
      </c>
      <c r="H186" s="7">
        <f t="shared" si="56"/>
        <v>0</v>
      </c>
      <c r="I186" s="8">
        <v>61.644476622337386</v>
      </c>
      <c r="J186" s="9">
        <f t="shared" si="57"/>
        <v>61.644476622337386</v>
      </c>
      <c r="K186" s="3">
        <f t="shared" si="58"/>
        <v>0</v>
      </c>
      <c r="L186" s="7">
        <f t="shared" si="59"/>
        <v>0</v>
      </c>
      <c r="M186" t="s">
        <v>121</v>
      </c>
      <c r="O186" s="3">
        <f>E186-'290710 - P1223'!F186</f>
        <v>0</v>
      </c>
      <c r="P186" s="30">
        <f>I186-'290710 - P1223'!J186</f>
        <v>0</v>
      </c>
    </row>
    <row r="187" spans="1:16" x14ac:dyDescent="0.25">
      <c r="A187">
        <v>185</v>
      </c>
      <c r="C187" t="s">
        <v>8</v>
      </c>
      <c r="D187" s="4" t="s">
        <v>179</v>
      </c>
      <c r="E187" s="12">
        <v>144.85</v>
      </c>
      <c r="F187" s="12">
        <v>144.85</v>
      </c>
      <c r="G187" s="6">
        <f t="shared" si="55"/>
        <v>0</v>
      </c>
      <c r="H187" s="7">
        <f t="shared" si="56"/>
        <v>0</v>
      </c>
      <c r="I187" s="8">
        <v>241.42</v>
      </c>
      <c r="J187" s="9">
        <f t="shared" si="57"/>
        <v>241.42</v>
      </c>
      <c r="K187" s="3">
        <f t="shared" si="58"/>
        <v>0</v>
      </c>
      <c r="L187" s="7">
        <f t="shared" si="59"/>
        <v>0</v>
      </c>
      <c r="M187" t="s">
        <v>121</v>
      </c>
      <c r="O187" s="3">
        <f>E187-'290710 - P1223'!F187</f>
        <v>0</v>
      </c>
      <c r="P187" s="30">
        <f>I187-'290710 - P1223'!J187</f>
        <v>0</v>
      </c>
    </row>
    <row r="188" spans="1:16" x14ac:dyDescent="0.25">
      <c r="A188">
        <v>186</v>
      </c>
      <c r="C188" t="s">
        <v>8</v>
      </c>
      <c r="D188" s="4" t="s">
        <v>180</v>
      </c>
      <c r="E188" s="11">
        <v>21.42</v>
      </c>
      <c r="F188" s="11">
        <v>21.42</v>
      </c>
      <c r="G188" s="6">
        <f t="shared" si="55"/>
        <v>0</v>
      </c>
      <c r="H188" s="7">
        <f t="shared" si="56"/>
        <v>0</v>
      </c>
      <c r="I188" s="8">
        <v>36.651079812206568</v>
      </c>
      <c r="J188" s="9">
        <f t="shared" si="57"/>
        <v>36.651079812206568</v>
      </c>
      <c r="K188" s="3">
        <f t="shared" si="58"/>
        <v>0</v>
      </c>
      <c r="L188" s="7">
        <f t="shared" si="59"/>
        <v>0</v>
      </c>
      <c r="M188" t="s">
        <v>150</v>
      </c>
      <c r="O188" s="3">
        <f>E188-'290710 - P1223'!F188</f>
        <v>0</v>
      </c>
      <c r="P188" s="30">
        <f>I188-'290710 - P1223'!J188</f>
        <v>0</v>
      </c>
    </row>
    <row r="189" spans="1:16" x14ac:dyDescent="0.25">
      <c r="A189">
        <v>187</v>
      </c>
      <c r="C189" t="s">
        <v>8</v>
      </c>
      <c r="D189" s="4" t="s">
        <v>181</v>
      </c>
      <c r="E189" s="11">
        <v>32.67</v>
      </c>
      <c r="F189" s="11">
        <v>32.67</v>
      </c>
      <c r="G189" s="6">
        <f t="shared" si="55"/>
        <v>0</v>
      </c>
      <c r="H189" s="7">
        <f t="shared" si="56"/>
        <v>0</v>
      </c>
      <c r="I189" s="8">
        <v>45.558072000000003</v>
      </c>
      <c r="J189" s="9">
        <f t="shared" si="57"/>
        <v>45.558072000000003</v>
      </c>
      <c r="K189" s="3">
        <f t="shared" si="58"/>
        <v>0</v>
      </c>
      <c r="L189" s="7">
        <f t="shared" si="59"/>
        <v>0</v>
      </c>
      <c r="M189" t="s">
        <v>150</v>
      </c>
      <c r="O189" s="3">
        <f>E189-'290710 - P1223'!F189</f>
        <v>0</v>
      </c>
      <c r="P189" s="30">
        <f>I189-'290710 - P1223'!J189</f>
        <v>0</v>
      </c>
    </row>
    <row r="190" spans="1:16" x14ac:dyDescent="0.25">
      <c r="A190">
        <v>188</v>
      </c>
      <c r="C190" t="s">
        <v>8</v>
      </c>
      <c r="D190" s="4" t="s">
        <v>182</v>
      </c>
      <c r="E190" s="11">
        <v>43</v>
      </c>
      <c r="F190" s="11">
        <v>43</v>
      </c>
      <c r="G190" s="13">
        <f t="shared" si="55"/>
        <v>0</v>
      </c>
      <c r="H190" s="7">
        <f t="shared" si="56"/>
        <v>0</v>
      </c>
      <c r="I190" s="8">
        <v>91.806916426512956</v>
      </c>
      <c r="J190" s="9">
        <f t="shared" si="57"/>
        <v>91.806916426512956</v>
      </c>
      <c r="K190" s="3">
        <f t="shared" si="58"/>
        <v>0</v>
      </c>
      <c r="L190" s="7">
        <f t="shared" si="59"/>
        <v>0</v>
      </c>
      <c r="M190" t="s">
        <v>150</v>
      </c>
      <c r="O190" s="3">
        <f>E190-'290710 - P1223'!F190</f>
        <v>0</v>
      </c>
      <c r="P190" s="30">
        <f>I190-'290710 - P1223'!J190</f>
        <v>0</v>
      </c>
    </row>
    <row r="191" spans="1:16" x14ac:dyDescent="0.25">
      <c r="A191">
        <v>189</v>
      </c>
      <c r="C191" t="s">
        <v>8</v>
      </c>
      <c r="D191" s="4" t="s">
        <v>183</v>
      </c>
      <c r="E191" s="11">
        <v>4.24</v>
      </c>
      <c r="F191" s="11">
        <v>4.24</v>
      </c>
      <c r="G191" s="6">
        <f t="shared" si="55"/>
        <v>0</v>
      </c>
      <c r="H191" s="7">
        <f t="shared" si="56"/>
        <v>0</v>
      </c>
      <c r="I191" s="8">
        <v>7.5095819935691317</v>
      </c>
      <c r="J191" s="9">
        <f t="shared" si="57"/>
        <v>7.5095819935691317</v>
      </c>
      <c r="K191" s="3">
        <f t="shared" si="58"/>
        <v>0</v>
      </c>
      <c r="L191" s="7">
        <f t="shared" si="59"/>
        <v>0</v>
      </c>
      <c r="M191" t="s">
        <v>150</v>
      </c>
      <c r="O191" s="3">
        <f>E191-'290710 - P1223'!F191</f>
        <v>0</v>
      </c>
      <c r="P191" s="30">
        <f>I191-'290710 - P1223'!J191</f>
        <v>0</v>
      </c>
    </row>
    <row r="192" spans="1:16" x14ac:dyDescent="0.25">
      <c r="A192">
        <v>190</v>
      </c>
      <c r="D192" s="2" t="s">
        <v>184</v>
      </c>
      <c r="H192" s="10">
        <f>AVERAGE(H167:H191)</f>
        <v>5.4251554280248734E-3</v>
      </c>
      <c r="I192"/>
    </row>
    <row r="193" spans="1:16" x14ac:dyDescent="0.25">
      <c r="A193">
        <v>191</v>
      </c>
      <c r="D193" s="2" t="s">
        <v>185</v>
      </c>
      <c r="I193"/>
    </row>
    <row r="194" spans="1:16" x14ac:dyDescent="0.25">
      <c r="A194">
        <v>192</v>
      </c>
      <c r="C194" t="s">
        <v>8</v>
      </c>
      <c r="D194" s="4" t="s">
        <v>186</v>
      </c>
      <c r="E194" s="12">
        <v>1.79</v>
      </c>
      <c r="F194" s="12">
        <v>1.79</v>
      </c>
      <c r="G194" s="6">
        <f t="shared" ref="G194:G241" si="60">+F194-E194</f>
        <v>0</v>
      </c>
      <c r="H194" s="7">
        <f t="shared" ref="H194:H241" si="61">(F194-E194)/ABS(E194)</f>
        <v>0</v>
      </c>
      <c r="I194" s="8">
        <v>2.3437962240000001</v>
      </c>
      <c r="J194" s="9">
        <f t="shared" ref="J194:J241" si="62">(I194*H194)+I194</f>
        <v>2.3437962240000001</v>
      </c>
      <c r="K194" s="3">
        <f t="shared" ref="K194:K241" si="63">J194-I194</f>
        <v>0</v>
      </c>
      <c r="L194" s="7">
        <f t="shared" ref="L194:L241" si="64">(J194-I194)/ABS(I194)</f>
        <v>0</v>
      </c>
      <c r="M194" t="s">
        <v>187</v>
      </c>
      <c r="O194" s="3">
        <f>E194-'290710 - P1223'!F194</f>
        <v>0</v>
      </c>
      <c r="P194" s="30">
        <f>I194-'290710 - P1223'!J194</f>
        <v>0</v>
      </c>
    </row>
    <row r="195" spans="1:16" x14ac:dyDescent="0.25">
      <c r="A195">
        <v>193</v>
      </c>
      <c r="C195" t="s">
        <v>8</v>
      </c>
      <c r="D195" s="4" t="s">
        <v>188</v>
      </c>
      <c r="E195" s="12">
        <v>0.46</v>
      </c>
      <c r="F195" s="12">
        <v>0.46</v>
      </c>
      <c r="G195" s="6">
        <f t="shared" si="60"/>
        <v>0</v>
      </c>
      <c r="H195" s="7">
        <f t="shared" si="61"/>
        <v>0</v>
      </c>
      <c r="I195" s="8">
        <v>0.70471188480000002</v>
      </c>
      <c r="J195" s="9">
        <f t="shared" si="62"/>
        <v>0.70471188480000002</v>
      </c>
      <c r="K195" s="3">
        <f t="shared" si="63"/>
        <v>0</v>
      </c>
      <c r="L195" s="7">
        <f t="shared" si="64"/>
        <v>0</v>
      </c>
      <c r="M195" t="s">
        <v>187</v>
      </c>
      <c r="O195" s="3">
        <f>E195-'290710 - P1223'!F195</f>
        <v>0</v>
      </c>
      <c r="P195" s="30">
        <f>I195-'290710 - P1223'!J195</f>
        <v>0</v>
      </c>
    </row>
    <row r="196" spans="1:16" x14ac:dyDescent="0.25">
      <c r="A196">
        <v>194</v>
      </c>
      <c r="C196" t="s">
        <v>8</v>
      </c>
      <c r="D196" s="4" t="s">
        <v>462</v>
      </c>
      <c r="E196" s="12">
        <v>0.6</v>
      </c>
      <c r="F196" s="12">
        <v>0.6</v>
      </c>
      <c r="G196" s="6">
        <f t="shared" si="60"/>
        <v>0</v>
      </c>
      <c r="H196" s="7">
        <f t="shared" si="61"/>
        <v>0</v>
      </c>
      <c r="I196" s="8">
        <v>1.04</v>
      </c>
      <c r="J196" s="9">
        <f t="shared" si="62"/>
        <v>1.04</v>
      </c>
      <c r="K196" s="3">
        <f t="shared" si="63"/>
        <v>0</v>
      </c>
      <c r="L196" s="7">
        <f t="shared" si="64"/>
        <v>0</v>
      </c>
      <c r="M196" t="s">
        <v>187</v>
      </c>
      <c r="O196" s="3">
        <f>E196-'290710 - P1223'!F196</f>
        <v>0</v>
      </c>
      <c r="P196" s="30">
        <f>I196-'290710 - P1223'!J196</f>
        <v>0</v>
      </c>
    </row>
    <row r="197" spans="1:16" x14ac:dyDescent="0.25">
      <c r="A197">
        <v>195</v>
      </c>
      <c r="C197" t="s">
        <v>8</v>
      </c>
      <c r="D197" s="4" t="s">
        <v>189</v>
      </c>
      <c r="E197" s="12">
        <v>17.88</v>
      </c>
      <c r="F197" s="12">
        <v>17.88</v>
      </c>
      <c r="G197" s="6">
        <f t="shared" si="60"/>
        <v>0</v>
      </c>
      <c r="H197" s="7">
        <f t="shared" si="61"/>
        <v>0</v>
      </c>
      <c r="I197" s="8">
        <v>35.219578060799989</v>
      </c>
      <c r="J197" s="9">
        <f t="shared" si="62"/>
        <v>35.219578060799989</v>
      </c>
      <c r="K197" s="3">
        <f t="shared" si="63"/>
        <v>0</v>
      </c>
      <c r="L197" s="7">
        <f t="shared" si="64"/>
        <v>0</v>
      </c>
      <c r="M197" t="s">
        <v>187</v>
      </c>
      <c r="O197" s="3">
        <f>E197-'290710 - P1223'!F197</f>
        <v>0</v>
      </c>
      <c r="P197" s="30">
        <f>I197-'290710 - P1223'!J197</f>
        <v>0</v>
      </c>
    </row>
    <row r="198" spans="1:16" x14ac:dyDescent="0.25">
      <c r="A198">
        <v>196</v>
      </c>
      <c r="C198" t="s">
        <v>8</v>
      </c>
      <c r="D198" s="4" t="s">
        <v>190</v>
      </c>
      <c r="E198" s="12">
        <v>36.299999999999997</v>
      </c>
      <c r="F198" s="12">
        <v>36.299999999999997</v>
      </c>
      <c r="G198" s="6">
        <f t="shared" si="60"/>
        <v>0</v>
      </c>
      <c r="H198" s="7">
        <f t="shared" si="61"/>
        <v>0</v>
      </c>
      <c r="I198" s="8">
        <v>82.49</v>
      </c>
      <c r="J198" s="9">
        <f t="shared" si="62"/>
        <v>82.49</v>
      </c>
      <c r="K198" s="3">
        <f t="shared" si="63"/>
        <v>0</v>
      </c>
      <c r="L198" s="7">
        <f t="shared" si="64"/>
        <v>0</v>
      </c>
      <c r="M198" t="s">
        <v>187</v>
      </c>
      <c r="O198" s="3">
        <f>E198-'290710 - P1223'!F198</f>
        <v>0</v>
      </c>
      <c r="P198" s="30">
        <f>I198-'290710 - P1223'!J198</f>
        <v>0</v>
      </c>
    </row>
    <row r="199" spans="1:16" x14ac:dyDescent="0.25">
      <c r="A199">
        <v>197</v>
      </c>
      <c r="C199" t="s">
        <v>8</v>
      </c>
      <c r="D199" s="4" t="s">
        <v>487</v>
      </c>
      <c r="E199" s="12">
        <v>5.18</v>
      </c>
      <c r="F199" s="12">
        <v>5.18</v>
      </c>
      <c r="G199" s="6">
        <f t="shared" si="60"/>
        <v>0</v>
      </c>
      <c r="H199" s="7">
        <f t="shared" si="61"/>
        <v>0</v>
      </c>
      <c r="I199" s="8">
        <v>7.13</v>
      </c>
      <c r="J199" s="9">
        <f t="shared" si="62"/>
        <v>7.13</v>
      </c>
      <c r="K199" s="3">
        <f t="shared" si="63"/>
        <v>0</v>
      </c>
      <c r="L199" s="7">
        <f t="shared" si="64"/>
        <v>0</v>
      </c>
      <c r="M199" t="s">
        <v>187</v>
      </c>
      <c r="O199" s="3">
        <f>E199-'290710 - P1223'!F199</f>
        <v>0</v>
      </c>
      <c r="P199" s="30">
        <f>I199-'290710 - P1223'!J199</f>
        <v>0</v>
      </c>
    </row>
    <row r="200" spans="1:16" x14ac:dyDescent="0.25">
      <c r="A200">
        <v>198</v>
      </c>
      <c r="C200" t="s">
        <v>8</v>
      </c>
      <c r="D200" s="4" t="s">
        <v>191</v>
      </c>
      <c r="E200" s="12">
        <v>8.2200000000000006</v>
      </c>
      <c r="F200" s="12">
        <v>8.2200000000000006</v>
      </c>
      <c r="G200" s="6">
        <f t="shared" si="60"/>
        <v>0</v>
      </c>
      <c r="H200" s="7">
        <f t="shared" si="61"/>
        <v>0</v>
      </c>
      <c r="I200" s="8">
        <v>18.68</v>
      </c>
      <c r="J200" s="9">
        <f t="shared" si="62"/>
        <v>18.68</v>
      </c>
      <c r="K200" s="3">
        <f t="shared" si="63"/>
        <v>0</v>
      </c>
      <c r="L200" s="7">
        <f t="shared" si="64"/>
        <v>0</v>
      </c>
      <c r="M200" t="s">
        <v>187</v>
      </c>
      <c r="O200" s="3">
        <f>E200-'290710 - P1223'!F200</f>
        <v>0</v>
      </c>
      <c r="P200" s="30">
        <f>I200-'290710 - P1223'!J200</f>
        <v>0</v>
      </c>
    </row>
    <row r="201" spans="1:16" x14ac:dyDescent="0.25">
      <c r="A201">
        <v>199</v>
      </c>
      <c r="C201" t="s">
        <v>8</v>
      </c>
      <c r="D201" s="4" t="s">
        <v>192</v>
      </c>
      <c r="E201" s="12">
        <v>137.77000000000001</v>
      </c>
      <c r="F201" s="12">
        <v>137.77000000000001</v>
      </c>
      <c r="G201" s="6">
        <f t="shared" si="60"/>
        <v>0</v>
      </c>
      <c r="H201" s="7">
        <f t="shared" si="61"/>
        <v>0</v>
      </c>
      <c r="I201" s="8">
        <v>207.19</v>
      </c>
      <c r="J201" s="9">
        <f t="shared" si="62"/>
        <v>207.19</v>
      </c>
      <c r="K201" s="3">
        <f t="shared" si="63"/>
        <v>0</v>
      </c>
      <c r="L201" s="7">
        <f t="shared" si="64"/>
        <v>0</v>
      </c>
      <c r="M201" t="s">
        <v>187</v>
      </c>
      <c r="O201" s="3">
        <f>E201-'290710 - P1223'!F201</f>
        <v>0</v>
      </c>
      <c r="P201" s="30">
        <f>I201-'290710 - P1223'!J201</f>
        <v>0</v>
      </c>
    </row>
    <row r="202" spans="1:16" x14ac:dyDescent="0.25">
      <c r="A202">
        <v>200</v>
      </c>
      <c r="C202" t="s">
        <v>8</v>
      </c>
      <c r="D202" s="4" t="s">
        <v>193</v>
      </c>
      <c r="E202" s="12">
        <v>123.36</v>
      </c>
      <c r="F202" s="12">
        <v>123.36</v>
      </c>
      <c r="G202" s="6">
        <f t="shared" si="60"/>
        <v>0</v>
      </c>
      <c r="H202" s="7">
        <f t="shared" si="61"/>
        <v>0</v>
      </c>
      <c r="I202" s="8">
        <v>168.12183306239999</v>
      </c>
      <c r="J202" s="9">
        <f t="shared" si="62"/>
        <v>168.12183306239999</v>
      </c>
      <c r="K202" s="3">
        <f t="shared" si="63"/>
        <v>0</v>
      </c>
      <c r="L202" s="7">
        <f t="shared" si="64"/>
        <v>0</v>
      </c>
      <c r="M202" t="s">
        <v>187</v>
      </c>
      <c r="O202" s="3">
        <f>E202-'290710 - P1223'!F202</f>
        <v>0</v>
      </c>
      <c r="P202" s="30">
        <f>I202-'290710 - P1223'!J202</f>
        <v>0</v>
      </c>
    </row>
    <row r="203" spans="1:16" x14ac:dyDescent="0.25">
      <c r="A203">
        <v>201</v>
      </c>
      <c r="C203" t="s">
        <v>8</v>
      </c>
      <c r="D203" s="4" t="s">
        <v>194</v>
      </c>
      <c r="E203" s="12">
        <v>36.909999999999997</v>
      </c>
      <c r="F203" s="12">
        <v>36.909999999999997</v>
      </c>
      <c r="G203" s="6">
        <f t="shared" si="60"/>
        <v>0</v>
      </c>
      <c r="H203" s="7">
        <f t="shared" si="61"/>
        <v>0</v>
      </c>
      <c r="I203" s="8">
        <v>77.662452940799994</v>
      </c>
      <c r="J203" s="9">
        <f t="shared" si="62"/>
        <v>77.662452940799994</v>
      </c>
      <c r="K203" s="3">
        <f t="shared" si="63"/>
        <v>0</v>
      </c>
      <c r="L203" s="7">
        <f t="shared" si="64"/>
        <v>0</v>
      </c>
      <c r="M203" t="s">
        <v>187</v>
      </c>
      <c r="O203" s="3">
        <f>E203-'290710 - P1223'!F203</f>
        <v>0</v>
      </c>
      <c r="P203" s="30">
        <f>I203-'290710 - P1223'!J203</f>
        <v>0</v>
      </c>
    </row>
    <row r="204" spans="1:16" x14ac:dyDescent="0.25">
      <c r="A204">
        <v>202</v>
      </c>
      <c r="C204" t="s">
        <v>8</v>
      </c>
      <c r="D204" s="4" t="s">
        <v>195</v>
      </c>
      <c r="E204" s="12">
        <v>25.49</v>
      </c>
      <c r="F204" s="12">
        <v>25.49</v>
      </c>
      <c r="G204" s="6">
        <f>+F204-E204</f>
        <v>0</v>
      </c>
      <c r="H204" s="7">
        <f>(F204-E204)/ABS(E204)</f>
        <v>0</v>
      </c>
      <c r="I204" s="8">
        <v>39.21</v>
      </c>
      <c r="J204" s="9">
        <f>(I204*H204)+I204</f>
        <v>39.21</v>
      </c>
      <c r="K204" s="3">
        <f>J204-I204</f>
        <v>0</v>
      </c>
      <c r="L204" s="7">
        <f>(J204-I204)/ABS(I204)</f>
        <v>0</v>
      </c>
      <c r="M204" t="s">
        <v>187</v>
      </c>
      <c r="O204" s="3">
        <f>E204-'290710 - P1223'!F204</f>
        <v>0</v>
      </c>
      <c r="P204" s="30">
        <f>I204-'290710 - P1223'!J204</f>
        <v>0</v>
      </c>
    </row>
    <row r="205" spans="1:16" x14ac:dyDescent="0.25">
      <c r="A205">
        <v>203</v>
      </c>
      <c r="C205" t="s">
        <v>8</v>
      </c>
      <c r="D205" s="4" t="s">
        <v>196</v>
      </c>
      <c r="E205" s="12">
        <v>5.72</v>
      </c>
      <c r="F205" s="12">
        <v>5.72</v>
      </c>
      <c r="G205" s="6">
        <f t="shared" si="60"/>
        <v>0</v>
      </c>
      <c r="H205" s="7">
        <f t="shared" si="61"/>
        <v>0</v>
      </c>
      <c r="I205" s="8">
        <v>8.6487367680000027</v>
      </c>
      <c r="J205" s="9">
        <f t="shared" si="62"/>
        <v>8.6487367680000027</v>
      </c>
      <c r="K205" s="3">
        <f t="shared" si="63"/>
        <v>0</v>
      </c>
      <c r="L205" s="7">
        <f t="shared" si="64"/>
        <v>0</v>
      </c>
      <c r="M205" t="s">
        <v>187</v>
      </c>
      <c r="O205" s="3">
        <f>E205-'290710 - P1223'!F205</f>
        <v>0</v>
      </c>
      <c r="P205" s="30">
        <f>I205-'290710 - P1223'!J205</f>
        <v>0</v>
      </c>
    </row>
    <row r="206" spans="1:16" x14ac:dyDescent="0.25">
      <c r="A206">
        <v>204</v>
      </c>
      <c r="C206" t="s">
        <v>8</v>
      </c>
      <c r="D206" s="4" t="s">
        <v>197</v>
      </c>
      <c r="E206" s="12">
        <v>21.44</v>
      </c>
      <c r="F206" s="12">
        <v>21.44</v>
      </c>
      <c r="G206" s="6">
        <f t="shared" si="60"/>
        <v>0</v>
      </c>
      <c r="H206" s="7">
        <f t="shared" si="61"/>
        <v>0</v>
      </c>
      <c r="I206" s="8">
        <v>57.90134784</v>
      </c>
      <c r="J206" s="9">
        <f t="shared" si="62"/>
        <v>57.90134784</v>
      </c>
      <c r="K206" s="3">
        <f t="shared" si="63"/>
        <v>0</v>
      </c>
      <c r="L206" s="7">
        <f t="shared" si="64"/>
        <v>0</v>
      </c>
      <c r="M206" t="s">
        <v>187</v>
      </c>
      <c r="O206" s="3">
        <f>E206-'290710 - P1223'!F206</f>
        <v>0</v>
      </c>
      <c r="P206" s="30">
        <f>I206-'290710 - P1223'!J206</f>
        <v>0</v>
      </c>
    </row>
    <row r="207" spans="1:16" x14ac:dyDescent="0.25">
      <c r="A207">
        <v>205</v>
      </c>
      <c r="C207" t="s">
        <v>8</v>
      </c>
      <c r="D207" s="4" t="s">
        <v>198</v>
      </c>
      <c r="E207" s="12">
        <v>8.5399999999999991</v>
      </c>
      <c r="F207" s="12">
        <v>8.5399999999999991</v>
      </c>
      <c r="G207" s="6">
        <f t="shared" si="60"/>
        <v>0</v>
      </c>
      <c r="H207" s="7">
        <f t="shared" si="61"/>
        <v>0</v>
      </c>
      <c r="I207" s="8">
        <v>17.61</v>
      </c>
      <c r="J207" s="9">
        <f t="shared" si="62"/>
        <v>17.61</v>
      </c>
      <c r="K207" s="3">
        <f t="shared" si="63"/>
        <v>0</v>
      </c>
      <c r="L207" s="7">
        <f t="shared" si="64"/>
        <v>0</v>
      </c>
      <c r="M207" t="s">
        <v>187</v>
      </c>
      <c r="O207" s="3">
        <f>E207-'290710 - P1223'!F207</f>
        <v>0</v>
      </c>
      <c r="P207" s="30">
        <f>I207-'290710 - P1223'!J207</f>
        <v>0</v>
      </c>
    </row>
    <row r="208" spans="1:16" x14ac:dyDescent="0.25">
      <c r="A208">
        <v>206</v>
      </c>
      <c r="C208" t="s">
        <v>8</v>
      </c>
      <c r="D208" s="4" t="s">
        <v>199</v>
      </c>
      <c r="E208" s="12">
        <v>2.2400000000000002</v>
      </c>
      <c r="F208" s="12">
        <v>2.2400000000000002</v>
      </c>
      <c r="G208" s="6">
        <f t="shared" si="60"/>
        <v>0</v>
      </c>
      <c r="H208" s="7">
        <f t="shared" si="61"/>
        <v>0</v>
      </c>
      <c r="I208" s="8">
        <v>3.2169142539130431</v>
      </c>
      <c r="J208" s="9">
        <f t="shared" si="62"/>
        <v>3.2169142539130431</v>
      </c>
      <c r="K208" s="3">
        <f t="shared" si="63"/>
        <v>0</v>
      </c>
      <c r="L208" s="7">
        <f t="shared" si="64"/>
        <v>0</v>
      </c>
      <c r="M208" t="s">
        <v>187</v>
      </c>
      <c r="O208" s="3">
        <f>E208-'290710 - P1223'!F208</f>
        <v>0</v>
      </c>
      <c r="P208" s="30">
        <f>I208-'290710 - P1223'!J208</f>
        <v>0</v>
      </c>
    </row>
    <row r="209" spans="1:16" x14ac:dyDescent="0.25">
      <c r="A209">
        <v>207</v>
      </c>
      <c r="C209" t="s">
        <v>8</v>
      </c>
      <c r="D209" s="4" t="s">
        <v>200</v>
      </c>
      <c r="E209" s="12">
        <v>12.54</v>
      </c>
      <c r="F209" s="12">
        <v>12.54</v>
      </c>
      <c r="G209" s="6">
        <f t="shared" si="60"/>
        <v>0</v>
      </c>
      <c r="H209" s="7">
        <f t="shared" si="61"/>
        <v>0</v>
      </c>
      <c r="I209" s="8">
        <v>18.163175635862068</v>
      </c>
      <c r="J209" s="9">
        <f t="shared" si="62"/>
        <v>18.163175635862068</v>
      </c>
      <c r="K209" s="3">
        <f t="shared" si="63"/>
        <v>0</v>
      </c>
      <c r="L209" s="7">
        <f t="shared" si="64"/>
        <v>0</v>
      </c>
      <c r="M209" t="s">
        <v>187</v>
      </c>
      <c r="O209" s="3">
        <f>E209-'290710 - P1223'!F209</f>
        <v>0</v>
      </c>
      <c r="P209" s="30">
        <f>I209-'290710 - P1223'!J209</f>
        <v>0</v>
      </c>
    </row>
    <row r="210" spans="1:16" x14ac:dyDescent="0.25">
      <c r="A210">
        <v>208</v>
      </c>
      <c r="C210" t="s">
        <v>8</v>
      </c>
      <c r="D210" s="4" t="s">
        <v>201</v>
      </c>
      <c r="E210" s="12">
        <v>13.2</v>
      </c>
      <c r="F210" s="12">
        <v>13.2</v>
      </c>
      <c r="G210" s="6">
        <f t="shared" si="60"/>
        <v>0</v>
      </c>
      <c r="H210" s="7">
        <f t="shared" si="61"/>
        <v>0</v>
      </c>
      <c r="I210" s="8">
        <v>33.770000000000003</v>
      </c>
      <c r="J210" s="9">
        <f t="shared" si="62"/>
        <v>33.770000000000003</v>
      </c>
      <c r="K210" s="3">
        <f t="shared" si="63"/>
        <v>0</v>
      </c>
      <c r="L210" s="7">
        <f t="shared" si="64"/>
        <v>0</v>
      </c>
      <c r="M210" t="s">
        <v>187</v>
      </c>
      <c r="O210" s="3">
        <f>E210-'290710 - P1223'!F210</f>
        <v>0</v>
      </c>
      <c r="P210" s="30">
        <f>I210-'290710 - P1223'!J210</f>
        <v>0</v>
      </c>
    </row>
    <row r="211" spans="1:16" x14ac:dyDescent="0.25">
      <c r="A211">
        <v>209</v>
      </c>
      <c r="C211" t="s">
        <v>8</v>
      </c>
      <c r="D211" s="4" t="s">
        <v>202</v>
      </c>
      <c r="E211" s="12">
        <v>20.100000000000001</v>
      </c>
      <c r="F211" s="12">
        <v>20.100000000000001</v>
      </c>
      <c r="G211" s="6">
        <f t="shared" si="60"/>
        <v>0</v>
      </c>
      <c r="H211" s="7">
        <f t="shared" si="61"/>
        <v>0</v>
      </c>
      <c r="I211" s="8">
        <v>54.326307840000005</v>
      </c>
      <c r="J211" s="9">
        <f t="shared" si="62"/>
        <v>54.326307840000005</v>
      </c>
      <c r="K211" s="3">
        <f t="shared" si="63"/>
        <v>0</v>
      </c>
      <c r="L211" s="7">
        <f t="shared" si="64"/>
        <v>0</v>
      </c>
      <c r="M211" t="s">
        <v>187</v>
      </c>
      <c r="O211" s="3">
        <f>E211-'290710 - P1223'!F211</f>
        <v>0</v>
      </c>
      <c r="P211" s="30">
        <f>I211-'290710 - P1223'!J211</f>
        <v>0</v>
      </c>
    </row>
    <row r="212" spans="1:16" x14ac:dyDescent="0.25">
      <c r="A212">
        <v>210</v>
      </c>
      <c r="C212" t="s">
        <v>8</v>
      </c>
      <c r="D212" s="4" t="s">
        <v>203</v>
      </c>
      <c r="E212" s="12">
        <v>38.64</v>
      </c>
      <c r="F212" s="12">
        <v>38.64</v>
      </c>
      <c r="G212" s="6">
        <f t="shared" si="60"/>
        <v>0</v>
      </c>
      <c r="H212" s="7">
        <f t="shared" si="61"/>
        <v>0</v>
      </c>
      <c r="I212" s="8">
        <v>85.68</v>
      </c>
      <c r="J212" s="9">
        <f t="shared" si="62"/>
        <v>85.68</v>
      </c>
      <c r="K212" s="3">
        <f t="shared" si="63"/>
        <v>0</v>
      </c>
      <c r="L212" s="7">
        <f t="shared" si="64"/>
        <v>0</v>
      </c>
      <c r="M212" t="s">
        <v>187</v>
      </c>
      <c r="O212" s="3">
        <f>E212-'290710 - P1223'!F212</f>
        <v>0</v>
      </c>
      <c r="P212" s="30">
        <f>I212-'290710 - P1223'!J212</f>
        <v>0</v>
      </c>
    </row>
    <row r="213" spans="1:16" x14ac:dyDescent="0.25">
      <c r="A213">
        <v>211</v>
      </c>
      <c r="C213" t="s">
        <v>8</v>
      </c>
      <c r="D213" s="4" t="s">
        <v>204</v>
      </c>
      <c r="E213" s="12">
        <v>17.16</v>
      </c>
      <c r="F213" s="12">
        <v>17.16</v>
      </c>
      <c r="G213" s="6">
        <f t="shared" si="60"/>
        <v>0</v>
      </c>
      <c r="H213" s="7">
        <f t="shared" si="61"/>
        <v>0</v>
      </c>
      <c r="I213" s="8">
        <v>26.391854075214955</v>
      </c>
      <c r="J213" s="9">
        <f t="shared" si="62"/>
        <v>26.391854075214955</v>
      </c>
      <c r="K213" s="3">
        <f t="shared" si="63"/>
        <v>0</v>
      </c>
      <c r="L213" s="7">
        <f t="shared" si="64"/>
        <v>0</v>
      </c>
      <c r="M213" t="s">
        <v>187</v>
      </c>
      <c r="O213" s="3">
        <f>E213-'290710 - P1223'!F213</f>
        <v>0</v>
      </c>
      <c r="P213" s="30">
        <f>I213-'290710 - P1223'!J213</f>
        <v>0</v>
      </c>
    </row>
    <row r="214" spans="1:16" x14ac:dyDescent="0.25">
      <c r="A214">
        <v>212</v>
      </c>
      <c r="C214" t="s">
        <v>8</v>
      </c>
      <c r="D214" s="4" t="s">
        <v>205</v>
      </c>
      <c r="E214" s="12">
        <v>30.07</v>
      </c>
      <c r="F214" s="12">
        <v>30.07</v>
      </c>
      <c r="G214" s="6">
        <f t="shared" si="60"/>
        <v>0</v>
      </c>
      <c r="H214" s="7">
        <f t="shared" si="61"/>
        <v>0</v>
      </c>
      <c r="I214" s="8">
        <v>35.416393485128204</v>
      </c>
      <c r="J214" s="9">
        <f t="shared" si="62"/>
        <v>35.416393485128204</v>
      </c>
      <c r="K214" s="3">
        <f t="shared" si="63"/>
        <v>0</v>
      </c>
      <c r="L214" s="7">
        <f t="shared" si="64"/>
        <v>0</v>
      </c>
      <c r="M214" t="s">
        <v>187</v>
      </c>
      <c r="O214" s="3">
        <f>E214-'290710 - P1223'!F214</f>
        <v>0</v>
      </c>
      <c r="P214" s="30">
        <f>I214-'290710 - P1223'!J214</f>
        <v>0</v>
      </c>
    </row>
    <row r="215" spans="1:16" x14ac:dyDescent="0.25">
      <c r="A215">
        <v>213</v>
      </c>
      <c r="C215" t="s">
        <v>8</v>
      </c>
      <c r="D215" s="4" t="s">
        <v>206</v>
      </c>
      <c r="E215" s="12">
        <v>30.42</v>
      </c>
      <c r="F215" s="12">
        <v>30.42</v>
      </c>
      <c r="G215" s="6">
        <f t="shared" si="60"/>
        <v>0</v>
      </c>
      <c r="H215" s="7">
        <f t="shared" si="61"/>
        <v>0</v>
      </c>
      <c r="I215" s="8">
        <v>42.49</v>
      </c>
      <c r="J215" s="9">
        <f t="shared" si="62"/>
        <v>42.49</v>
      </c>
      <c r="K215" s="3">
        <f t="shared" si="63"/>
        <v>0</v>
      </c>
      <c r="L215" s="7">
        <f t="shared" si="64"/>
        <v>0</v>
      </c>
      <c r="M215" t="s">
        <v>187</v>
      </c>
      <c r="O215" s="3">
        <f>E215-'290710 - P1223'!F215</f>
        <v>0</v>
      </c>
      <c r="P215" s="30">
        <f>I215-'290710 - P1223'!J215</f>
        <v>0</v>
      </c>
    </row>
    <row r="216" spans="1:16" x14ac:dyDescent="0.25">
      <c r="A216">
        <v>214</v>
      </c>
      <c r="C216" t="s">
        <v>8</v>
      </c>
      <c r="D216" s="4" t="s">
        <v>207</v>
      </c>
      <c r="E216" s="12">
        <v>2.4</v>
      </c>
      <c r="F216" s="12">
        <v>2.4</v>
      </c>
      <c r="G216" s="6">
        <f t="shared" si="60"/>
        <v>0</v>
      </c>
      <c r="H216" s="7">
        <f t="shared" si="61"/>
        <v>0</v>
      </c>
      <c r="I216" s="8">
        <v>4.84</v>
      </c>
      <c r="J216" s="9">
        <f t="shared" si="62"/>
        <v>4.84</v>
      </c>
      <c r="K216" s="3">
        <f t="shared" si="63"/>
        <v>0</v>
      </c>
      <c r="L216" s="7">
        <f t="shared" si="64"/>
        <v>0</v>
      </c>
      <c r="M216" t="s">
        <v>187</v>
      </c>
      <c r="O216" s="3">
        <f>E216-'290710 - P1223'!F216</f>
        <v>0</v>
      </c>
      <c r="P216" s="30">
        <f>I216-'290710 - P1223'!J216</f>
        <v>0</v>
      </c>
    </row>
    <row r="217" spans="1:16" x14ac:dyDescent="0.25">
      <c r="A217">
        <v>215</v>
      </c>
      <c r="C217" t="s">
        <v>8</v>
      </c>
      <c r="D217" s="4" t="s">
        <v>208</v>
      </c>
      <c r="E217" s="12">
        <v>3.66</v>
      </c>
      <c r="F217" s="12">
        <v>3.66</v>
      </c>
      <c r="G217" s="6">
        <f t="shared" si="60"/>
        <v>0</v>
      </c>
      <c r="H217" s="7">
        <f t="shared" si="61"/>
        <v>0</v>
      </c>
      <c r="I217" s="8">
        <v>5.4831979136563875</v>
      </c>
      <c r="J217" s="9">
        <f t="shared" si="62"/>
        <v>5.4831979136563875</v>
      </c>
      <c r="K217" s="3">
        <f t="shared" si="63"/>
        <v>0</v>
      </c>
      <c r="L217" s="7">
        <f t="shared" si="64"/>
        <v>0</v>
      </c>
      <c r="M217" t="s">
        <v>187</v>
      </c>
      <c r="O217" s="3">
        <f>E217-'290710 - P1223'!F217</f>
        <v>0</v>
      </c>
      <c r="P217" s="30">
        <f>I217-'290710 - P1223'!J217</f>
        <v>0</v>
      </c>
    </row>
    <row r="218" spans="1:16" x14ac:dyDescent="0.25">
      <c r="A218">
        <v>216</v>
      </c>
      <c r="C218" t="s">
        <v>8</v>
      </c>
      <c r="D218" s="4" t="s">
        <v>209</v>
      </c>
      <c r="E218" s="12">
        <v>3.26</v>
      </c>
      <c r="F218" s="12">
        <v>3.26</v>
      </c>
      <c r="G218" s="13">
        <f t="shared" si="60"/>
        <v>0</v>
      </c>
      <c r="H218" s="7">
        <f t="shared" si="61"/>
        <v>0</v>
      </c>
      <c r="I218" s="8">
        <v>5.48</v>
      </c>
      <c r="J218" s="9">
        <f t="shared" si="62"/>
        <v>5.48</v>
      </c>
      <c r="K218" s="3">
        <f t="shared" si="63"/>
        <v>0</v>
      </c>
      <c r="L218" s="7">
        <f t="shared" si="64"/>
        <v>0</v>
      </c>
      <c r="M218" t="s">
        <v>187</v>
      </c>
      <c r="O218" s="3">
        <f>E218-'290710 - P1223'!F218</f>
        <v>0</v>
      </c>
      <c r="P218" s="30">
        <f>I218-'290710 - P1223'!J218</f>
        <v>0</v>
      </c>
    </row>
    <row r="219" spans="1:16" x14ac:dyDescent="0.25">
      <c r="A219">
        <v>217</v>
      </c>
      <c r="C219" t="s">
        <v>8</v>
      </c>
      <c r="D219" s="4" t="s">
        <v>210</v>
      </c>
      <c r="E219" s="12">
        <v>4.46</v>
      </c>
      <c r="F219" s="12">
        <v>4.46</v>
      </c>
      <c r="G219" s="6">
        <f t="shared" si="60"/>
        <v>0</v>
      </c>
      <c r="H219" s="7">
        <f t="shared" si="61"/>
        <v>0</v>
      </c>
      <c r="I219" s="8">
        <v>6.8717173187003597</v>
      </c>
      <c r="J219" s="9">
        <f t="shared" si="62"/>
        <v>6.8717173187003597</v>
      </c>
      <c r="K219" s="3">
        <f t="shared" si="63"/>
        <v>0</v>
      </c>
      <c r="L219" s="7">
        <f t="shared" si="64"/>
        <v>0</v>
      </c>
      <c r="M219" t="s">
        <v>187</v>
      </c>
      <c r="O219" s="3">
        <f>E219-'290710 - P1223'!F219</f>
        <v>0</v>
      </c>
      <c r="P219" s="30">
        <f>I219-'290710 - P1223'!J219</f>
        <v>0</v>
      </c>
    </row>
    <row r="220" spans="1:16" x14ac:dyDescent="0.25">
      <c r="A220">
        <v>218</v>
      </c>
      <c r="C220" t="s">
        <v>8</v>
      </c>
      <c r="D220" s="4" t="s">
        <v>211</v>
      </c>
      <c r="E220" s="12">
        <v>1.78</v>
      </c>
      <c r="F220" s="12">
        <v>1.78</v>
      </c>
      <c r="G220" s="6">
        <f t="shared" si="60"/>
        <v>0</v>
      </c>
      <c r="H220" s="7">
        <f t="shared" si="61"/>
        <v>0</v>
      </c>
      <c r="I220" s="8">
        <v>3.6982813789090896</v>
      </c>
      <c r="J220" s="9">
        <f t="shared" si="62"/>
        <v>3.6982813789090896</v>
      </c>
      <c r="K220" s="3">
        <f t="shared" si="63"/>
        <v>0</v>
      </c>
      <c r="L220" s="7">
        <f t="shared" si="64"/>
        <v>0</v>
      </c>
      <c r="M220" t="s">
        <v>187</v>
      </c>
      <c r="O220" s="3">
        <f>E220-'290710 - P1223'!F220</f>
        <v>0</v>
      </c>
      <c r="P220" s="30">
        <f>I220-'290710 - P1223'!J220</f>
        <v>0</v>
      </c>
    </row>
    <row r="221" spans="1:16" x14ac:dyDescent="0.25">
      <c r="A221">
        <v>219</v>
      </c>
      <c r="C221" t="s">
        <v>8</v>
      </c>
      <c r="D221" s="4" t="s">
        <v>212</v>
      </c>
      <c r="E221" s="12">
        <v>2.66</v>
      </c>
      <c r="F221" s="12">
        <v>2.66</v>
      </c>
      <c r="G221" s="6">
        <f t="shared" si="60"/>
        <v>0</v>
      </c>
      <c r="H221" s="7">
        <f t="shared" si="61"/>
        <v>0</v>
      </c>
      <c r="I221" s="8">
        <v>4.4491697803636372</v>
      </c>
      <c r="J221" s="9">
        <f t="shared" si="62"/>
        <v>4.4491697803636372</v>
      </c>
      <c r="K221" s="3">
        <f t="shared" si="63"/>
        <v>0</v>
      </c>
      <c r="L221" s="7">
        <f t="shared" si="64"/>
        <v>0</v>
      </c>
      <c r="M221" t="s">
        <v>187</v>
      </c>
      <c r="O221" s="3">
        <f>E221-'290710 - P1223'!F221</f>
        <v>0</v>
      </c>
      <c r="P221" s="30">
        <f>I221-'290710 - P1223'!J221</f>
        <v>0</v>
      </c>
    </row>
    <row r="222" spans="1:16" x14ac:dyDescent="0.25">
      <c r="A222">
        <v>220</v>
      </c>
      <c r="C222" t="s">
        <v>8</v>
      </c>
      <c r="D222" s="4" t="s">
        <v>213</v>
      </c>
      <c r="E222" s="12">
        <v>2.85</v>
      </c>
      <c r="F222" s="12">
        <v>2.85</v>
      </c>
      <c r="G222" s="6">
        <f t="shared" si="60"/>
        <v>0</v>
      </c>
      <c r="H222" s="7">
        <f t="shared" si="61"/>
        <v>0</v>
      </c>
      <c r="I222" s="8">
        <v>7.25</v>
      </c>
      <c r="J222" s="9">
        <f t="shared" si="62"/>
        <v>7.25</v>
      </c>
      <c r="K222" s="3">
        <f t="shared" si="63"/>
        <v>0</v>
      </c>
      <c r="L222" s="7">
        <f t="shared" si="64"/>
        <v>0</v>
      </c>
      <c r="M222" t="s">
        <v>187</v>
      </c>
      <c r="O222" s="3">
        <f>E222-'290710 - P1223'!F222</f>
        <v>0</v>
      </c>
      <c r="P222" s="30">
        <f>I222-'290710 - P1223'!J222</f>
        <v>0</v>
      </c>
    </row>
    <row r="223" spans="1:16" x14ac:dyDescent="0.25">
      <c r="A223">
        <v>221</v>
      </c>
      <c r="C223" t="s">
        <v>8</v>
      </c>
      <c r="D223" s="4" t="s">
        <v>465</v>
      </c>
      <c r="E223" s="12">
        <v>2.5099999999999998</v>
      </c>
      <c r="F223" s="12">
        <v>2.5099999999999998</v>
      </c>
      <c r="G223" s="6">
        <f t="shared" si="60"/>
        <v>0</v>
      </c>
      <c r="H223" s="7">
        <f t="shared" si="61"/>
        <v>0</v>
      </c>
      <c r="I223" s="8">
        <v>4.32</v>
      </c>
      <c r="J223" s="9">
        <f t="shared" si="62"/>
        <v>4.32</v>
      </c>
      <c r="K223" s="3">
        <f t="shared" si="63"/>
        <v>0</v>
      </c>
      <c r="L223" s="7">
        <f t="shared" si="64"/>
        <v>0</v>
      </c>
      <c r="M223" t="s">
        <v>187</v>
      </c>
      <c r="O223" s="3">
        <f>E223-'290710 - P1223'!F223</f>
        <v>0</v>
      </c>
      <c r="P223" s="30">
        <f>I223-'290710 - P1223'!J223</f>
        <v>0</v>
      </c>
    </row>
    <row r="224" spans="1:16" x14ac:dyDescent="0.25">
      <c r="A224">
        <v>222</v>
      </c>
      <c r="C224" t="s">
        <v>8</v>
      </c>
      <c r="D224" s="4" t="s">
        <v>214</v>
      </c>
      <c r="E224" s="12">
        <v>2.69</v>
      </c>
      <c r="F224" s="12">
        <v>2.69</v>
      </c>
      <c r="G224" s="6">
        <f t="shared" si="60"/>
        <v>0</v>
      </c>
      <c r="H224" s="7">
        <f t="shared" si="61"/>
        <v>0</v>
      </c>
      <c r="I224" s="8">
        <v>4.49</v>
      </c>
      <c r="J224" s="9">
        <f t="shared" si="62"/>
        <v>4.49</v>
      </c>
      <c r="K224" s="3">
        <f t="shared" si="63"/>
        <v>0</v>
      </c>
      <c r="L224" s="7">
        <f t="shared" si="64"/>
        <v>0</v>
      </c>
      <c r="M224" t="s">
        <v>187</v>
      </c>
      <c r="O224" s="3">
        <f>E224-'290710 - P1223'!F224</f>
        <v>0</v>
      </c>
      <c r="P224" s="30">
        <f>I224-'290710 - P1223'!J224</f>
        <v>0</v>
      </c>
    </row>
    <row r="225" spans="1:16" x14ac:dyDescent="0.25">
      <c r="A225">
        <v>223</v>
      </c>
      <c r="C225" t="s">
        <v>8</v>
      </c>
      <c r="D225" s="4" t="s">
        <v>215</v>
      </c>
      <c r="E225" s="12">
        <v>0.45</v>
      </c>
      <c r="F225" s="12">
        <v>0.45</v>
      </c>
      <c r="G225" s="6">
        <f t="shared" si="60"/>
        <v>0</v>
      </c>
      <c r="H225" s="7">
        <f t="shared" si="61"/>
        <v>0</v>
      </c>
      <c r="I225" s="8">
        <v>0.70471188480000002</v>
      </c>
      <c r="J225" s="9">
        <f t="shared" si="62"/>
        <v>0.70471188480000002</v>
      </c>
      <c r="K225" s="3">
        <f t="shared" si="63"/>
        <v>0</v>
      </c>
      <c r="L225" s="7">
        <f t="shared" si="64"/>
        <v>0</v>
      </c>
      <c r="M225" t="s">
        <v>187</v>
      </c>
      <c r="O225" s="3">
        <f>E225-'290710 - P1223'!F225</f>
        <v>0</v>
      </c>
      <c r="P225" s="30">
        <f>I225-'290710 - P1223'!J225</f>
        <v>0</v>
      </c>
    </row>
    <row r="226" spans="1:16" x14ac:dyDescent="0.25">
      <c r="A226">
        <v>224</v>
      </c>
      <c r="C226" t="s">
        <v>8</v>
      </c>
      <c r="D226" s="4" t="s">
        <v>216</v>
      </c>
      <c r="E226" s="12">
        <v>1.1000000000000001</v>
      </c>
      <c r="F226" s="12">
        <v>1.1000000000000001</v>
      </c>
      <c r="G226" s="6">
        <f t="shared" si="60"/>
        <v>0</v>
      </c>
      <c r="H226" s="7">
        <f t="shared" si="61"/>
        <v>0</v>
      </c>
      <c r="I226" s="8">
        <v>1.23</v>
      </c>
      <c r="J226" s="9">
        <f t="shared" si="62"/>
        <v>1.23</v>
      </c>
      <c r="K226" s="3">
        <f t="shared" si="63"/>
        <v>0</v>
      </c>
      <c r="L226" s="7">
        <f t="shared" si="64"/>
        <v>0</v>
      </c>
      <c r="M226" t="s">
        <v>187</v>
      </c>
      <c r="O226" s="3">
        <f>E226-'290710 - P1223'!F226</f>
        <v>0</v>
      </c>
      <c r="P226" s="30">
        <f>I226-'290710 - P1223'!J226</f>
        <v>0</v>
      </c>
    </row>
    <row r="227" spans="1:16" x14ac:dyDescent="0.25">
      <c r="A227">
        <v>225</v>
      </c>
      <c r="C227" t="s">
        <v>8</v>
      </c>
      <c r="D227" s="4" t="s">
        <v>217</v>
      </c>
      <c r="E227" s="12">
        <v>1.1000000000000001</v>
      </c>
      <c r="F227" s="12">
        <v>1.1000000000000001</v>
      </c>
      <c r="G227" s="6">
        <f t="shared" si="60"/>
        <v>0</v>
      </c>
      <c r="H227" s="7">
        <f t="shared" si="61"/>
        <v>0</v>
      </c>
      <c r="I227" s="8">
        <v>1.8621752470588233</v>
      </c>
      <c r="J227" s="9">
        <f t="shared" si="62"/>
        <v>1.8621752470588233</v>
      </c>
      <c r="K227" s="3">
        <f t="shared" si="63"/>
        <v>0</v>
      </c>
      <c r="L227" s="7">
        <f t="shared" si="64"/>
        <v>0</v>
      </c>
      <c r="M227" t="s">
        <v>187</v>
      </c>
      <c r="O227" s="3">
        <f>E227-'290710 - P1223'!F227</f>
        <v>0</v>
      </c>
      <c r="P227" s="30">
        <f>I227-'290710 - P1223'!J227</f>
        <v>0</v>
      </c>
    </row>
    <row r="228" spans="1:16" x14ac:dyDescent="0.25">
      <c r="A228">
        <v>226</v>
      </c>
      <c r="C228" t="s">
        <v>8</v>
      </c>
      <c r="D228" s="4" t="s">
        <v>218</v>
      </c>
      <c r="E228" s="12">
        <v>1.28</v>
      </c>
      <c r="F228" s="12">
        <v>1.28</v>
      </c>
      <c r="G228" s="6">
        <f t="shared" si="60"/>
        <v>0</v>
      </c>
      <c r="H228" s="7">
        <f t="shared" si="61"/>
        <v>0</v>
      </c>
      <c r="I228" s="8">
        <v>2.3682151048101265</v>
      </c>
      <c r="J228" s="9">
        <f t="shared" si="62"/>
        <v>2.3682151048101265</v>
      </c>
      <c r="K228" s="3">
        <f t="shared" si="63"/>
        <v>0</v>
      </c>
      <c r="L228" s="7">
        <f t="shared" si="64"/>
        <v>0</v>
      </c>
      <c r="M228" t="s">
        <v>187</v>
      </c>
      <c r="O228" s="3">
        <f>E228-'290710 - P1223'!F228</f>
        <v>0</v>
      </c>
      <c r="P228" s="30">
        <f>I228-'290710 - P1223'!J228</f>
        <v>0</v>
      </c>
    </row>
    <row r="229" spans="1:16" x14ac:dyDescent="0.25">
      <c r="A229">
        <v>227</v>
      </c>
      <c r="C229" t="s">
        <v>8</v>
      </c>
      <c r="D229" s="4" t="s">
        <v>219</v>
      </c>
      <c r="E229" s="12">
        <v>2.64</v>
      </c>
      <c r="F229" s="12">
        <v>2.64</v>
      </c>
      <c r="G229" s="6">
        <f t="shared" si="60"/>
        <v>0</v>
      </c>
      <c r="H229" s="7">
        <f t="shared" si="61"/>
        <v>0</v>
      </c>
      <c r="I229" s="8">
        <v>5.58</v>
      </c>
      <c r="J229" s="9">
        <f t="shared" si="62"/>
        <v>5.58</v>
      </c>
      <c r="K229" s="3">
        <f t="shared" si="63"/>
        <v>0</v>
      </c>
      <c r="L229" s="7">
        <f t="shared" si="64"/>
        <v>0</v>
      </c>
      <c r="M229" t="s">
        <v>187</v>
      </c>
      <c r="O229" s="3">
        <f>E229-'290710 - P1223'!F229</f>
        <v>0</v>
      </c>
      <c r="P229" s="30">
        <f>I229-'290710 - P1223'!J229</f>
        <v>0</v>
      </c>
    </row>
    <row r="230" spans="1:16" x14ac:dyDescent="0.25">
      <c r="A230">
        <v>228</v>
      </c>
      <c r="C230" t="s">
        <v>8</v>
      </c>
      <c r="D230" s="4" t="s">
        <v>220</v>
      </c>
      <c r="E230" s="12">
        <v>0.09</v>
      </c>
      <c r="F230" s="12">
        <v>0.09</v>
      </c>
      <c r="G230" s="6">
        <f t="shared" si="60"/>
        <v>0</v>
      </c>
      <c r="H230" s="7">
        <f t="shared" si="61"/>
        <v>0</v>
      </c>
      <c r="I230" s="8">
        <v>0.19219415040000001</v>
      </c>
      <c r="J230" s="9">
        <f t="shared" si="62"/>
        <v>0.19219415040000001</v>
      </c>
      <c r="K230" s="3">
        <f t="shared" si="63"/>
        <v>0</v>
      </c>
      <c r="L230" s="7">
        <f t="shared" si="64"/>
        <v>0</v>
      </c>
      <c r="M230" t="s">
        <v>187</v>
      </c>
      <c r="O230" s="3">
        <f>E230-'290710 - P1223'!F230</f>
        <v>0</v>
      </c>
      <c r="P230" s="30">
        <f>I230-'290710 - P1223'!J230</f>
        <v>0</v>
      </c>
    </row>
    <row r="231" spans="1:16" x14ac:dyDescent="0.25">
      <c r="A231">
        <v>229</v>
      </c>
      <c r="C231" t="s">
        <v>8</v>
      </c>
      <c r="D231" s="4" t="s">
        <v>221</v>
      </c>
      <c r="E231" s="12">
        <v>1.01</v>
      </c>
      <c r="F231" s="12">
        <v>1.01</v>
      </c>
      <c r="G231" s="6">
        <f t="shared" si="60"/>
        <v>0</v>
      </c>
      <c r="H231" s="7">
        <f t="shared" si="61"/>
        <v>0</v>
      </c>
      <c r="I231" s="8">
        <v>1.6874188799999998</v>
      </c>
      <c r="J231" s="9">
        <f t="shared" si="62"/>
        <v>1.6874188799999998</v>
      </c>
      <c r="K231" s="3">
        <f t="shared" si="63"/>
        <v>0</v>
      </c>
      <c r="L231" s="7">
        <f t="shared" si="64"/>
        <v>0</v>
      </c>
      <c r="M231" t="s">
        <v>187</v>
      </c>
      <c r="O231" s="3">
        <f>E231-'290710 - P1223'!F231</f>
        <v>0</v>
      </c>
      <c r="P231" s="30">
        <f>I231-'290710 - P1223'!J231</f>
        <v>0</v>
      </c>
    </row>
    <row r="232" spans="1:16" x14ac:dyDescent="0.25">
      <c r="A232">
        <v>230</v>
      </c>
      <c r="C232" t="s">
        <v>8</v>
      </c>
      <c r="D232" s="4" t="s">
        <v>222</v>
      </c>
      <c r="E232" s="12">
        <v>0.06</v>
      </c>
      <c r="F232" s="12">
        <v>0.06</v>
      </c>
      <c r="G232" s="6">
        <f t="shared" si="60"/>
        <v>0</v>
      </c>
      <c r="H232" s="7">
        <f t="shared" si="61"/>
        <v>0</v>
      </c>
      <c r="I232" s="8">
        <v>2.29</v>
      </c>
      <c r="J232" s="9">
        <f t="shared" si="62"/>
        <v>2.29</v>
      </c>
      <c r="K232" s="3">
        <f t="shared" si="63"/>
        <v>0</v>
      </c>
      <c r="L232" s="7">
        <f t="shared" si="64"/>
        <v>0</v>
      </c>
      <c r="M232" t="s">
        <v>187</v>
      </c>
      <c r="O232" s="3">
        <f>E232-'290710 - P1223'!F232</f>
        <v>0</v>
      </c>
      <c r="P232" s="30">
        <f>I232-'290710 - P1223'!J232</f>
        <v>0</v>
      </c>
    </row>
    <row r="233" spans="1:16" x14ac:dyDescent="0.25">
      <c r="A233">
        <v>231</v>
      </c>
      <c r="C233" t="s">
        <v>8</v>
      </c>
      <c r="D233" s="4" t="s">
        <v>223</v>
      </c>
      <c r="E233" s="12">
        <v>4.1399999999999997</v>
      </c>
      <c r="F233" s="12">
        <v>4.1399999999999997</v>
      </c>
      <c r="G233" s="6">
        <f t="shared" si="60"/>
        <v>0</v>
      </c>
      <c r="H233" s="7">
        <f t="shared" si="61"/>
        <v>0</v>
      </c>
      <c r="I233" s="8">
        <v>6.49</v>
      </c>
      <c r="J233" s="9">
        <f t="shared" si="62"/>
        <v>6.49</v>
      </c>
      <c r="K233" s="3">
        <f t="shared" si="63"/>
        <v>0</v>
      </c>
      <c r="L233" s="7">
        <f t="shared" si="64"/>
        <v>0</v>
      </c>
      <c r="M233" t="s">
        <v>187</v>
      </c>
      <c r="O233" s="3">
        <f>E233-'290710 - P1223'!F233</f>
        <v>0</v>
      </c>
      <c r="P233" s="30">
        <f>I233-'290710 - P1223'!J233</f>
        <v>0</v>
      </c>
    </row>
    <row r="234" spans="1:16" x14ac:dyDescent="0.25">
      <c r="A234">
        <v>232</v>
      </c>
      <c r="C234" t="s">
        <v>8</v>
      </c>
      <c r="D234" s="4" t="s">
        <v>224</v>
      </c>
      <c r="E234" s="12">
        <v>24.6</v>
      </c>
      <c r="F234" s="12">
        <v>24.6</v>
      </c>
      <c r="G234" s="6">
        <f t="shared" si="60"/>
        <v>0</v>
      </c>
      <c r="H234" s="7">
        <f t="shared" si="61"/>
        <v>0</v>
      </c>
      <c r="I234" s="8">
        <v>37.85520480000001</v>
      </c>
      <c r="J234" s="9">
        <f t="shared" si="62"/>
        <v>37.85520480000001</v>
      </c>
      <c r="K234" s="3">
        <f t="shared" si="63"/>
        <v>0</v>
      </c>
      <c r="L234" s="7">
        <f t="shared" si="64"/>
        <v>0</v>
      </c>
      <c r="M234" t="s">
        <v>187</v>
      </c>
      <c r="O234" s="3">
        <f>E234-'290710 - P1223'!F234</f>
        <v>0</v>
      </c>
      <c r="P234" s="30">
        <f>I234-'290710 - P1223'!J234</f>
        <v>0</v>
      </c>
    </row>
    <row r="235" spans="1:16" x14ac:dyDescent="0.25">
      <c r="A235">
        <v>233</v>
      </c>
      <c r="C235" t="s">
        <v>8</v>
      </c>
      <c r="D235" s="4" t="s">
        <v>225</v>
      </c>
      <c r="E235" s="12">
        <v>8.41</v>
      </c>
      <c r="F235" s="12">
        <v>8.41</v>
      </c>
      <c r="G235" s="6">
        <f t="shared" si="60"/>
        <v>0</v>
      </c>
      <c r="H235" s="7">
        <f t="shared" si="61"/>
        <v>0</v>
      </c>
      <c r="I235" s="8">
        <v>17.605379996335873</v>
      </c>
      <c r="J235" s="9">
        <f t="shared" si="62"/>
        <v>17.605379996335873</v>
      </c>
      <c r="K235" s="3">
        <f t="shared" si="63"/>
        <v>0</v>
      </c>
      <c r="L235" s="7">
        <f t="shared" si="64"/>
        <v>0</v>
      </c>
      <c r="M235" t="s">
        <v>187</v>
      </c>
      <c r="O235" s="3">
        <f>E235-'290710 - P1223'!F235</f>
        <v>0</v>
      </c>
      <c r="P235" s="30">
        <f>I235-'290710 - P1223'!J235</f>
        <v>0</v>
      </c>
    </row>
    <row r="236" spans="1:16" x14ac:dyDescent="0.25">
      <c r="A236">
        <v>234</v>
      </c>
      <c r="C236" t="s">
        <v>8</v>
      </c>
      <c r="D236" s="4" t="s">
        <v>226</v>
      </c>
      <c r="E236" s="12">
        <v>19.87</v>
      </c>
      <c r="F236" s="12">
        <v>19.87</v>
      </c>
      <c r="G236" s="6">
        <f t="shared" si="60"/>
        <v>0</v>
      </c>
      <c r="H236" s="7">
        <f t="shared" si="61"/>
        <v>0</v>
      </c>
      <c r="I236" s="8">
        <v>37.722017205436892</v>
      </c>
      <c r="J236" s="9">
        <f t="shared" si="62"/>
        <v>37.722017205436892</v>
      </c>
      <c r="K236" s="3">
        <f t="shared" si="63"/>
        <v>0</v>
      </c>
      <c r="L236" s="7">
        <f t="shared" si="64"/>
        <v>0</v>
      </c>
      <c r="M236" t="s">
        <v>187</v>
      </c>
      <c r="O236" s="3">
        <f>E236-'290710 - P1223'!F236</f>
        <v>0</v>
      </c>
      <c r="P236" s="30">
        <f>I236-'290710 - P1223'!J236</f>
        <v>0</v>
      </c>
    </row>
    <row r="237" spans="1:16" x14ac:dyDescent="0.25">
      <c r="A237">
        <v>235</v>
      </c>
      <c r="C237" t="s">
        <v>8</v>
      </c>
      <c r="D237" s="4" t="s">
        <v>227</v>
      </c>
      <c r="E237" s="12">
        <v>19.89</v>
      </c>
      <c r="F237" s="12">
        <v>19.89</v>
      </c>
      <c r="G237" s="6">
        <f t="shared" si="60"/>
        <v>0</v>
      </c>
      <c r="H237" s="7">
        <f t="shared" si="61"/>
        <v>0</v>
      </c>
      <c r="I237" s="8">
        <v>39.222494967342996</v>
      </c>
      <c r="J237" s="9">
        <f t="shared" si="62"/>
        <v>39.222494967342996</v>
      </c>
      <c r="K237" s="3">
        <f t="shared" si="63"/>
        <v>0</v>
      </c>
      <c r="L237" s="7">
        <f t="shared" si="64"/>
        <v>0</v>
      </c>
      <c r="M237" t="s">
        <v>187</v>
      </c>
      <c r="O237" s="3">
        <f>E237-'290710 - P1223'!F237</f>
        <v>0</v>
      </c>
      <c r="P237" s="30">
        <f>I237-'290710 - P1223'!J237</f>
        <v>0</v>
      </c>
    </row>
    <row r="238" spans="1:16" x14ac:dyDescent="0.25">
      <c r="A238">
        <v>236</v>
      </c>
      <c r="C238" t="s">
        <v>8</v>
      </c>
      <c r="D238" s="4" t="s">
        <v>228</v>
      </c>
      <c r="E238" s="12">
        <v>4.71</v>
      </c>
      <c r="F238" s="12">
        <v>4.71</v>
      </c>
      <c r="G238" s="6">
        <f t="shared" si="60"/>
        <v>0</v>
      </c>
      <c r="H238" s="7">
        <f t="shared" si="61"/>
        <v>0</v>
      </c>
      <c r="I238" s="8">
        <v>11.98</v>
      </c>
      <c r="J238" s="9">
        <f t="shared" si="62"/>
        <v>11.98</v>
      </c>
      <c r="K238" s="3">
        <f t="shared" si="63"/>
        <v>0</v>
      </c>
      <c r="L238" s="7">
        <f t="shared" si="64"/>
        <v>0</v>
      </c>
      <c r="M238" t="s">
        <v>187</v>
      </c>
      <c r="O238" s="3">
        <f>E238-'290710 - P1223'!F238</f>
        <v>0</v>
      </c>
      <c r="P238" s="30">
        <f>I238-'290710 - P1223'!J238</f>
        <v>0</v>
      </c>
    </row>
    <row r="239" spans="1:16" x14ac:dyDescent="0.25">
      <c r="A239">
        <v>237</v>
      </c>
      <c r="C239" t="s">
        <v>8</v>
      </c>
      <c r="D239" s="4" t="s">
        <v>229</v>
      </c>
      <c r="E239" s="12">
        <v>51.79</v>
      </c>
      <c r="F239" s="12">
        <v>51.79</v>
      </c>
      <c r="G239" s="6">
        <f t="shared" si="60"/>
        <v>0</v>
      </c>
      <c r="H239" s="7">
        <f t="shared" si="61"/>
        <v>0</v>
      </c>
      <c r="I239" s="8">
        <v>79.680000000000007</v>
      </c>
      <c r="J239" s="9">
        <f t="shared" si="62"/>
        <v>79.680000000000007</v>
      </c>
      <c r="K239" s="3">
        <f t="shared" si="63"/>
        <v>0</v>
      </c>
      <c r="L239" s="7">
        <f t="shared" si="64"/>
        <v>0</v>
      </c>
      <c r="M239" t="s">
        <v>187</v>
      </c>
      <c r="O239" s="3">
        <f>E239-'290710 - P1223'!F239</f>
        <v>0</v>
      </c>
      <c r="P239" s="30">
        <f>I239-'290710 - P1223'!J239</f>
        <v>0</v>
      </c>
    </row>
    <row r="240" spans="1:16" x14ac:dyDescent="0.25">
      <c r="A240">
        <v>238</v>
      </c>
      <c r="C240" t="s">
        <v>8</v>
      </c>
      <c r="D240" s="4" t="s">
        <v>230</v>
      </c>
      <c r="E240" s="12">
        <v>9.76</v>
      </c>
      <c r="F240" s="12">
        <v>9.76</v>
      </c>
      <c r="G240" s="6">
        <f t="shared" si="60"/>
        <v>0</v>
      </c>
      <c r="H240" s="7">
        <f t="shared" si="61"/>
        <v>0</v>
      </c>
      <c r="I240" s="8">
        <v>19.82</v>
      </c>
      <c r="J240" s="9">
        <f t="shared" si="62"/>
        <v>19.82</v>
      </c>
      <c r="K240" s="3">
        <f t="shared" si="63"/>
        <v>0</v>
      </c>
      <c r="L240" s="7">
        <f t="shared" si="64"/>
        <v>0</v>
      </c>
      <c r="M240" t="s">
        <v>187</v>
      </c>
      <c r="O240" s="3">
        <f>E240-'290710 - P1223'!F240</f>
        <v>0</v>
      </c>
      <c r="P240" s="30">
        <f>I240-'290710 - P1223'!J240</f>
        <v>0</v>
      </c>
    </row>
    <row r="241" spans="1:16" x14ac:dyDescent="0.25">
      <c r="A241">
        <v>239</v>
      </c>
      <c r="C241" t="s">
        <v>8</v>
      </c>
      <c r="D241" s="4" t="s">
        <v>231</v>
      </c>
      <c r="E241" s="12">
        <v>2.87</v>
      </c>
      <c r="F241" s="12">
        <v>2.87</v>
      </c>
      <c r="G241" s="6">
        <f t="shared" si="60"/>
        <v>0</v>
      </c>
      <c r="H241" s="7">
        <f t="shared" si="61"/>
        <v>0</v>
      </c>
      <c r="I241" s="8">
        <v>5.82</v>
      </c>
      <c r="J241" s="9">
        <f t="shared" si="62"/>
        <v>5.82</v>
      </c>
      <c r="K241" s="3">
        <f t="shared" si="63"/>
        <v>0</v>
      </c>
      <c r="L241" s="7">
        <f t="shared" si="64"/>
        <v>0</v>
      </c>
      <c r="M241" t="s">
        <v>187</v>
      </c>
      <c r="O241" s="3">
        <f>E241-'290710 - P1223'!F241</f>
        <v>0</v>
      </c>
      <c r="P241" s="30">
        <f>I241-'290710 - P1223'!J241</f>
        <v>0</v>
      </c>
    </row>
    <row r="242" spans="1:16" x14ac:dyDescent="0.25">
      <c r="A242">
        <v>240</v>
      </c>
      <c r="D242" s="2" t="s">
        <v>232</v>
      </c>
      <c r="H242" s="10">
        <f>AVERAGE(H194:H237)</f>
        <v>0</v>
      </c>
      <c r="I242"/>
    </row>
    <row r="243" spans="1:16" x14ac:dyDescent="0.25">
      <c r="A243">
        <v>241</v>
      </c>
      <c r="D243" s="2" t="s">
        <v>233</v>
      </c>
      <c r="I243"/>
      <c r="M243" t="s">
        <v>234</v>
      </c>
      <c r="O243" s="3">
        <f>E243-'290710 - P1223'!F243</f>
        <v>0</v>
      </c>
      <c r="P243" s="30">
        <f>I243-'290710 - P1223'!J243</f>
        <v>0</v>
      </c>
    </row>
    <row r="244" spans="1:16" x14ac:dyDescent="0.25">
      <c r="A244">
        <v>242</v>
      </c>
      <c r="C244" t="s">
        <v>8</v>
      </c>
      <c r="D244" s="4" t="s">
        <v>235</v>
      </c>
      <c r="E244" s="12">
        <v>19.32</v>
      </c>
      <c r="F244" s="12">
        <v>19.32</v>
      </c>
      <c r="G244" s="6">
        <f t="shared" ref="G244:G248" si="65">+F244-E244</f>
        <v>0</v>
      </c>
      <c r="H244" s="7">
        <f t="shared" ref="H244:H248" si="66">(F244-E244)/ABS(E244)</f>
        <v>0</v>
      </c>
      <c r="I244" s="8">
        <v>43.363738242210459</v>
      </c>
      <c r="J244" s="9">
        <f t="shared" ref="J244:J248" si="67">(I244*H244)+I244</f>
        <v>43.363738242210459</v>
      </c>
      <c r="K244" s="3">
        <f t="shared" ref="K244:K248" si="68">J244-I244</f>
        <v>0</v>
      </c>
      <c r="L244" s="7">
        <f t="shared" ref="L244:L248" si="69">(J244-I244)/ABS(I244)</f>
        <v>0</v>
      </c>
      <c r="M244" t="s">
        <v>234</v>
      </c>
      <c r="O244" s="3">
        <f>E244-'290710 - P1223'!F244</f>
        <v>0</v>
      </c>
      <c r="P244" s="30">
        <f>I244-'290710 - P1223'!J244</f>
        <v>0</v>
      </c>
    </row>
    <row r="245" spans="1:16" x14ac:dyDescent="0.25">
      <c r="A245">
        <v>243</v>
      </c>
      <c r="C245" t="s">
        <v>8</v>
      </c>
      <c r="D245" s="4" t="s">
        <v>236</v>
      </c>
      <c r="E245" s="12">
        <v>25.76</v>
      </c>
      <c r="F245" s="12">
        <v>25.76</v>
      </c>
      <c r="G245" s="6">
        <f t="shared" si="65"/>
        <v>0</v>
      </c>
      <c r="H245" s="7">
        <f t="shared" si="66"/>
        <v>0</v>
      </c>
      <c r="I245" s="8">
        <v>54.72</v>
      </c>
      <c r="J245" s="9">
        <f t="shared" si="67"/>
        <v>54.72</v>
      </c>
      <c r="K245" s="3">
        <f t="shared" si="68"/>
        <v>0</v>
      </c>
      <c r="L245" s="7">
        <f t="shared" si="69"/>
        <v>0</v>
      </c>
      <c r="M245" t="s">
        <v>234</v>
      </c>
      <c r="O245" s="3">
        <f>E245-'290710 - P1223'!F245</f>
        <v>0</v>
      </c>
      <c r="P245" s="30">
        <f>I245-'290710 - P1223'!J245</f>
        <v>0</v>
      </c>
    </row>
    <row r="246" spans="1:16" x14ac:dyDescent="0.25">
      <c r="A246">
        <v>244</v>
      </c>
      <c r="C246" t="s">
        <v>8</v>
      </c>
      <c r="D246" s="4" t="s">
        <v>237</v>
      </c>
      <c r="E246" s="12">
        <v>26.28</v>
      </c>
      <c r="F246" s="12">
        <v>26.28</v>
      </c>
      <c r="G246" s="6">
        <f t="shared" si="65"/>
        <v>0</v>
      </c>
      <c r="H246" s="7">
        <f t="shared" si="66"/>
        <v>0</v>
      </c>
      <c r="I246" s="8">
        <v>41.047300934300516</v>
      </c>
      <c r="J246" s="9">
        <f t="shared" si="67"/>
        <v>41.047300934300516</v>
      </c>
      <c r="K246" s="3">
        <f t="shared" si="68"/>
        <v>0</v>
      </c>
      <c r="L246" s="7">
        <f t="shared" si="69"/>
        <v>0</v>
      </c>
      <c r="M246" t="s">
        <v>234</v>
      </c>
      <c r="O246" s="3">
        <f>E246-'290710 - P1223'!F246</f>
        <v>0</v>
      </c>
      <c r="P246" s="30">
        <f>I246-'290710 - P1223'!J246</f>
        <v>0</v>
      </c>
    </row>
    <row r="247" spans="1:16" x14ac:dyDescent="0.25">
      <c r="A247">
        <v>245</v>
      </c>
      <c r="C247" t="s">
        <v>8</v>
      </c>
      <c r="D247" s="4" t="s">
        <v>238</v>
      </c>
      <c r="E247" s="12">
        <v>35.04</v>
      </c>
      <c r="F247" s="12">
        <v>35.04</v>
      </c>
      <c r="G247" s="6">
        <f t="shared" si="65"/>
        <v>0</v>
      </c>
      <c r="H247" s="7">
        <f t="shared" si="66"/>
        <v>0</v>
      </c>
      <c r="I247" s="8">
        <v>54.724364707150258</v>
      </c>
      <c r="J247" s="9">
        <f t="shared" si="67"/>
        <v>54.724364707150258</v>
      </c>
      <c r="K247" s="3">
        <f t="shared" si="68"/>
        <v>0</v>
      </c>
      <c r="L247" s="7">
        <f t="shared" si="69"/>
        <v>0</v>
      </c>
      <c r="M247" t="s">
        <v>234</v>
      </c>
      <c r="O247" s="3">
        <f>E247-'290710 - P1223'!F247</f>
        <v>0</v>
      </c>
      <c r="P247" s="30">
        <f>I247-'290710 - P1223'!J247</f>
        <v>0</v>
      </c>
    </row>
    <row r="248" spans="1:16" x14ac:dyDescent="0.25">
      <c r="A248">
        <v>246</v>
      </c>
      <c r="C248" t="s">
        <v>8</v>
      </c>
      <c r="D248" s="4" t="s">
        <v>239</v>
      </c>
      <c r="E248" s="12">
        <v>43.8</v>
      </c>
      <c r="F248" s="12">
        <v>43.8</v>
      </c>
      <c r="G248" s="6">
        <f t="shared" si="65"/>
        <v>0</v>
      </c>
      <c r="H248" s="7">
        <f t="shared" si="66"/>
        <v>0</v>
      </c>
      <c r="I248" s="8">
        <v>68.401428479999993</v>
      </c>
      <c r="J248" s="9">
        <f t="shared" si="67"/>
        <v>68.401428479999993</v>
      </c>
      <c r="K248" s="3">
        <f t="shared" si="68"/>
        <v>0</v>
      </c>
      <c r="L248" s="7">
        <f t="shared" si="69"/>
        <v>0</v>
      </c>
      <c r="M248" t="s">
        <v>234</v>
      </c>
      <c r="O248" s="3">
        <f>E248-'290710 - P1223'!F248</f>
        <v>0</v>
      </c>
      <c r="P248" s="30">
        <f>I248-'290710 - P1223'!J248</f>
        <v>0</v>
      </c>
    </row>
    <row r="249" spans="1:16" x14ac:dyDescent="0.25">
      <c r="A249">
        <v>247</v>
      </c>
      <c r="D249" s="2" t="s">
        <v>240</v>
      </c>
      <c r="H249" s="10">
        <f>AVERAGE(H244:H248)</f>
        <v>0</v>
      </c>
      <c r="I249"/>
    </row>
    <row r="250" spans="1:16" x14ac:dyDescent="0.25">
      <c r="A250">
        <v>248</v>
      </c>
      <c r="D250" s="2" t="s">
        <v>241</v>
      </c>
      <c r="I250"/>
    </row>
    <row r="251" spans="1:16" x14ac:dyDescent="0.25">
      <c r="A251">
        <v>249</v>
      </c>
      <c r="C251" t="s">
        <v>8</v>
      </c>
      <c r="D251" s="4" t="s">
        <v>242</v>
      </c>
      <c r="E251" s="12">
        <v>8.2200000000000006</v>
      </c>
      <c r="F251" s="11">
        <v>8.2200000000000006</v>
      </c>
      <c r="G251" s="6">
        <f t="shared" ref="G251:G295" si="70">+F251-E251</f>
        <v>0</v>
      </c>
      <c r="H251" s="7">
        <f t="shared" ref="H251:H295" si="71">(F251-E251)/ABS(E251)</f>
        <v>0</v>
      </c>
      <c r="I251" s="8">
        <v>28.54202272220985</v>
      </c>
      <c r="J251" s="9">
        <f t="shared" ref="J251:J295" si="72">(I251*H251)+I251</f>
        <v>28.54202272220985</v>
      </c>
      <c r="K251" s="3">
        <f t="shared" ref="K251:K295" si="73">J251-I251</f>
        <v>0</v>
      </c>
      <c r="L251" s="7">
        <f t="shared" ref="L251:L295" si="74">(J251-I251)/ABS(I251)</f>
        <v>0</v>
      </c>
      <c r="M251" t="s">
        <v>150</v>
      </c>
      <c r="O251" s="3">
        <f>E251-'290710 - P1223'!F251</f>
        <v>0</v>
      </c>
      <c r="P251" s="30">
        <f>I251-'290710 - P1223'!J251</f>
        <v>0</v>
      </c>
    </row>
    <row r="252" spans="1:16" x14ac:dyDescent="0.25">
      <c r="A252">
        <v>250</v>
      </c>
      <c r="C252" t="s">
        <v>8</v>
      </c>
      <c r="D252" s="4" t="s">
        <v>243</v>
      </c>
      <c r="E252" s="12">
        <v>7.68</v>
      </c>
      <c r="F252" s="11">
        <v>7.68</v>
      </c>
      <c r="G252" s="6">
        <f t="shared" si="70"/>
        <v>0</v>
      </c>
      <c r="H252" s="7">
        <f t="shared" si="71"/>
        <v>0</v>
      </c>
      <c r="I252" s="8">
        <v>16.421831032972253</v>
      </c>
      <c r="J252" s="9">
        <f t="shared" si="72"/>
        <v>16.421831032972253</v>
      </c>
      <c r="K252" s="3">
        <f t="shared" si="73"/>
        <v>0</v>
      </c>
      <c r="L252" s="7">
        <f t="shared" si="74"/>
        <v>0</v>
      </c>
      <c r="M252" t="s">
        <v>150</v>
      </c>
      <c r="O252" s="3">
        <f>E252-'290710 - P1223'!F252</f>
        <v>0</v>
      </c>
      <c r="P252" s="30">
        <f>I252-'290710 - P1223'!J252</f>
        <v>0</v>
      </c>
    </row>
    <row r="253" spans="1:16" x14ac:dyDescent="0.25">
      <c r="A253">
        <v>251</v>
      </c>
      <c r="C253" t="s">
        <v>8</v>
      </c>
      <c r="D253" s="4" t="s">
        <v>244</v>
      </c>
      <c r="E253" s="12">
        <v>54.2</v>
      </c>
      <c r="F253" s="12">
        <v>54.2</v>
      </c>
      <c r="G253" s="6">
        <f t="shared" si="70"/>
        <v>0</v>
      </c>
      <c r="H253" s="7">
        <f t="shared" si="71"/>
        <v>0</v>
      </c>
      <c r="I253" s="8">
        <v>77.863720000000001</v>
      </c>
      <c r="J253" s="9">
        <f t="shared" si="72"/>
        <v>77.863720000000001</v>
      </c>
      <c r="K253" s="3">
        <f t="shared" si="73"/>
        <v>0</v>
      </c>
      <c r="L253" s="7">
        <f t="shared" si="74"/>
        <v>0</v>
      </c>
      <c r="M253" t="s">
        <v>150</v>
      </c>
      <c r="O253" s="3">
        <f>E253-'290710 - P1223'!F253</f>
        <v>0</v>
      </c>
      <c r="P253" s="30">
        <f>I253-'290710 - P1223'!J253</f>
        <v>0</v>
      </c>
    </row>
    <row r="254" spans="1:16" x14ac:dyDescent="0.25">
      <c r="A254">
        <v>252</v>
      </c>
      <c r="C254" t="s">
        <v>8</v>
      </c>
      <c r="D254" s="4" t="s">
        <v>245</v>
      </c>
      <c r="E254" s="12">
        <v>3.52</v>
      </c>
      <c r="F254" s="12">
        <v>3.52</v>
      </c>
      <c r="G254" s="6">
        <f t="shared" si="70"/>
        <v>0</v>
      </c>
      <c r="H254" s="7">
        <f t="shared" si="71"/>
        <v>0</v>
      </c>
      <c r="I254" s="8">
        <v>7.3066666666666666</v>
      </c>
      <c r="J254" s="9">
        <f t="shared" si="72"/>
        <v>7.3066666666666666</v>
      </c>
      <c r="K254" s="3">
        <f t="shared" si="73"/>
        <v>0</v>
      </c>
      <c r="L254" s="7">
        <f t="shared" si="74"/>
        <v>0</v>
      </c>
      <c r="M254" t="s">
        <v>150</v>
      </c>
      <c r="O254" s="3">
        <f>E254-'290710 - P1223'!F254</f>
        <v>0</v>
      </c>
      <c r="P254" s="30">
        <f>I254-'290710 - P1223'!J254</f>
        <v>0</v>
      </c>
    </row>
    <row r="255" spans="1:16" x14ac:dyDescent="0.25">
      <c r="A255">
        <v>253</v>
      </c>
      <c r="C255" t="s">
        <v>8</v>
      </c>
      <c r="D255" s="4" t="s">
        <v>246</v>
      </c>
      <c r="E255" s="12">
        <v>7.34</v>
      </c>
      <c r="F255" s="11">
        <v>7.34</v>
      </c>
      <c r="G255" s="6">
        <f t="shared" si="70"/>
        <v>0</v>
      </c>
      <c r="H255" s="7">
        <f t="shared" si="71"/>
        <v>0</v>
      </c>
      <c r="I255" s="8">
        <v>27.961904761904762</v>
      </c>
      <c r="J255" s="9">
        <f t="shared" si="72"/>
        <v>27.961904761904762</v>
      </c>
      <c r="K255" s="3">
        <f t="shared" si="73"/>
        <v>0</v>
      </c>
      <c r="L255" s="7">
        <f t="shared" si="74"/>
        <v>0</v>
      </c>
      <c r="M255" t="s">
        <v>150</v>
      </c>
      <c r="O255" s="3">
        <f>E255-'290710 - P1223'!F255</f>
        <v>0</v>
      </c>
      <c r="P255" s="30">
        <f>I255-'290710 - P1223'!J255</f>
        <v>0</v>
      </c>
    </row>
    <row r="256" spans="1:16" x14ac:dyDescent="0.25">
      <c r="A256">
        <v>254</v>
      </c>
      <c r="C256" t="s">
        <v>8</v>
      </c>
      <c r="D256" s="4" t="s">
        <v>247</v>
      </c>
      <c r="E256" s="12">
        <v>13.75</v>
      </c>
      <c r="F256" s="12">
        <v>13.75</v>
      </c>
      <c r="G256" s="6">
        <f t="shared" si="70"/>
        <v>0</v>
      </c>
      <c r="H256" s="7">
        <f t="shared" si="71"/>
        <v>0</v>
      </c>
      <c r="I256" s="8">
        <v>17.348837209302324</v>
      </c>
      <c r="J256" s="9">
        <f t="shared" si="72"/>
        <v>17.348837209302324</v>
      </c>
      <c r="K256" s="3">
        <f t="shared" si="73"/>
        <v>0</v>
      </c>
      <c r="L256" s="7">
        <f t="shared" si="74"/>
        <v>0</v>
      </c>
      <c r="M256" t="s">
        <v>150</v>
      </c>
      <c r="O256" s="3">
        <f>E256-'290710 - P1223'!F256</f>
        <v>0</v>
      </c>
      <c r="P256" s="30">
        <f>I256-'290710 - P1223'!J256</f>
        <v>0</v>
      </c>
    </row>
    <row r="257" spans="1:16" x14ac:dyDescent="0.25">
      <c r="A257">
        <v>255</v>
      </c>
      <c r="C257" t="s">
        <v>8</v>
      </c>
      <c r="D257" s="4" t="s">
        <v>248</v>
      </c>
      <c r="E257" s="12">
        <v>10.25</v>
      </c>
      <c r="F257" s="12">
        <v>10.25</v>
      </c>
      <c r="G257" s="6">
        <f t="shared" si="70"/>
        <v>0</v>
      </c>
      <c r="H257" s="7">
        <f t="shared" si="71"/>
        <v>0</v>
      </c>
      <c r="I257" s="8">
        <v>13.461538461538462</v>
      </c>
      <c r="J257" s="9">
        <f t="shared" si="72"/>
        <v>13.461538461538462</v>
      </c>
      <c r="K257" s="3">
        <f t="shared" si="73"/>
        <v>0</v>
      </c>
      <c r="L257" s="7">
        <f t="shared" si="74"/>
        <v>0</v>
      </c>
      <c r="M257" t="s">
        <v>150</v>
      </c>
      <c r="O257" s="3">
        <f>E257-'290710 - P1223'!F257</f>
        <v>0</v>
      </c>
      <c r="P257" s="30">
        <f>I257-'290710 - P1223'!J257</f>
        <v>0</v>
      </c>
    </row>
    <row r="258" spans="1:16" x14ac:dyDescent="0.25">
      <c r="A258">
        <v>256</v>
      </c>
      <c r="C258" t="s">
        <v>8</v>
      </c>
      <c r="D258" s="4" t="s">
        <v>249</v>
      </c>
      <c r="E258" s="12">
        <v>5.75</v>
      </c>
      <c r="F258" s="12">
        <v>5.75</v>
      </c>
      <c r="G258" s="6">
        <f t="shared" si="70"/>
        <v>0</v>
      </c>
      <c r="H258" s="7">
        <f t="shared" si="71"/>
        <v>0</v>
      </c>
      <c r="I258" s="8">
        <v>15.717408000000002</v>
      </c>
      <c r="J258" s="9">
        <f t="shared" si="72"/>
        <v>15.717408000000002</v>
      </c>
      <c r="K258" s="3">
        <f t="shared" si="73"/>
        <v>0</v>
      </c>
      <c r="L258" s="7">
        <f t="shared" si="74"/>
        <v>0</v>
      </c>
      <c r="M258" t="s">
        <v>187</v>
      </c>
      <c r="O258" s="3">
        <f>E258-'290710 - P1223'!F258</f>
        <v>0</v>
      </c>
      <c r="P258" s="30">
        <f>I258-'290710 - P1223'!J258</f>
        <v>0</v>
      </c>
    </row>
    <row r="259" spans="1:16" x14ac:dyDescent="0.25">
      <c r="A259">
        <v>257</v>
      </c>
      <c r="C259" t="s">
        <v>8</v>
      </c>
      <c r="D259" s="4" t="s">
        <v>250</v>
      </c>
      <c r="E259" s="12">
        <v>18.22</v>
      </c>
      <c r="F259" s="5">
        <v>18.22</v>
      </c>
      <c r="G259" s="6">
        <f t="shared" si="70"/>
        <v>0</v>
      </c>
      <c r="H259" s="7">
        <f t="shared" si="71"/>
        <v>0</v>
      </c>
      <c r="I259" s="8">
        <v>36.44</v>
      </c>
      <c r="J259" s="9">
        <f t="shared" si="72"/>
        <v>36.44</v>
      </c>
      <c r="K259" s="3">
        <f t="shared" si="73"/>
        <v>0</v>
      </c>
      <c r="L259" s="7">
        <f t="shared" si="74"/>
        <v>0</v>
      </c>
      <c r="M259" t="s">
        <v>150</v>
      </c>
      <c r="O259" s="3">
        <f>E259-'290710 - P1223'!F259</f>
        <v>0</v>
      </c>
      <c r="P259" s="30">
        <f>I259-'290710 - P1223'!J259</f>
        <v>0</v>
      </c>
    </row>
    <row r="260" spans="1:16" x14ac:dyDescent="0.25">
      <c r="A260">
        <v>258</v>
      </c>
      <c r="C260" t="s">
        <v>8</v>
      </c>
      <c r="D260" s="4" t="s">
        <v>251</v>
      </c>
      <c r="E260" s="12">
        <v>2.21</v>
      </c>
      <c r="F260" s="5">
        <v>2.21</v>
      </c>
      <c r="G260" s="6">
        <f t="shared" si="70"/>
        <v>0</v>
      </c>
      <c r="H260" s="7">
        <f t="shared" si="71"/>
        <v>0</v>
      </c>
      <c r="I260" s="8">
        <v>4.5939072847682123</v>
      </c>
      <c r="J260" s="9">
        <f t="shared" si="72"/>
        <v>4.5939072847682123</v>
      </c>
      <c r="K260" s="3">
        <f t="shared" si="73"/>
        <v>0</v>
      </c>
      <c r="L260" s="7">
        <f t="shared" si="74"/>
        <v>0</v>
      </c>
      <c r="M260" t="s">
        <v>150</v>
      </c>
      <c r="O260" s="3">
        <f>E260-'290710 - P1223'!F260</f>
        <v>0</v>
      </c>
      <c r="P260" s="30">
        <f>I260-'290710 - P1223'!J260</f>
        <v>0</v>
      </c>
    </row>
    <row r="261" spans="1:16" x14ac:dyDescent="0.25">
      <c r="A261">
        <v>259</v>
      </c>
      <c r="C261" t="s">
        <v>8</v>
      </c>
      <c r="D261" s="4" t="s">
        <v>252</v>
      </c>
      <c r="E261" s="12">
        <v>3.3</v>
      </c>
      <c r="F261" s="5">
        <v>3.3</v>
      </c>
      <c r="G261" s="6">
        <f t="shared" si="70"/>
        <v>0</v>
      </c>
      <c r="H261" s="7">
        <f t="shared" si="71"/>
        <v>0</v>
      </c>
      <c r="I261" s="8">
        <v>7.177170731707319</v>
      </c>
      <c r="J261" s="9">
        <f t="shared" si="72"/>
        <v>7.177170731707319</v>
      </c>
      <c r="K261" s="3">
        <f t="shared" si="73"/>
        <v>0</v>
      </c>
      <c r="L261" s="7">
        <f t="shared" si="74"/>
        <v>0</v>
      </c>
      <c r="M261" t="s">
        <v>150</v>
      </c>
      <c r="O261" s="3">
        <f>E261-'290710 - P1223'!F261</f>
        <v>0</v>
      </c>
      <c r="P261" s="30">
        <f>I261-'290710 - P1223'!J261</f>
        <v>0</v>
      </c>
    </row>
    <row r="262" spans="1:16" x14ac:dyDescent="0.25">
      <c r="A262">
        <v>260</v>
      </c>
      <c r="C262" t="s">
        <v>8</v>
      </c>
      <c r="D262" s="4" t="s">
        <v>253</v>
      </c>
      <c r="E262" s="12">
        <v>123.23</v>
      </c>
      <c r="F262" s="12">
        <v>123.23</v>
      </c>
      <c r="G262" s="6">
        <f t="shared" si="70"/>
        <v>0</v>
      </c>
      <c r="H262" s="7">
        <f t="shared" si="71"/>
        <v>0</v>
      </c>
      <c r="I262" s="8">
        <v>262.95999999999998</v>
      </c>
      <c r="J262" s="9">
        <f t="shared" si="72"/>
        <v>262.95999999999998</v>
      </c>
      <c r="K262" s="3">
        <f t="shared" si="73"/>
        <v>0</v>
      </c>
      <c r="L262" s="7">
        <f t="shared" si="74"/>
        <v>0</v>
      </c>
      <c r="M262" t="s">
        <v>150</v>
      </c>
      <c r="O262" s="3">
        <f>E262-'290710 - P1223'!F262</f>
        <v>0</v>
      </c>
      <c r="P262" s="30">
        <f>I262-'290710 - P1223'!J262</f>
        <v>0</v>
      </c>
    </row>
    <row r="263" spans="1:16" x14ac:dyDescent="0.25">
      <c r="A263">
        <v>261</v>
      </c>
      <c r="C263" t="s">
        <v>8</v>
      </c>
      <c r="D263" s="4" t="s">
        <v>254</v>
      </c>
      <c r="E263" s="12">
        <v>121.84</v>
      </c>
      <c r="F263" s="12">
        <v>121.84</v>
      </c>
      <c r="G263" s="6">
        <f t="shared" si="70"/>
        <v>0</v>
      </c>
      <c r="H263" s="7">
        <f t="shared" si="71"/>
        <v>0</v>
      </c>
      <c r="I263" s="8">
        <v>219.99</v>
      </c>
      <c r="J263" s="9">
        <f t="shared" si="72"/>
        <v>219.99</v>
      </c>
      <c r="K263" s="3">
        <f t="shared" si="73"/>
        <v>0</v>
      </c>
      <c r="L263" s="7">
        <f t="shared" si="74"/>
        <v>0</v>
      </c>
      <c r="M263" t="s">
        <v>150</v>
      </c>
      <c r="O263" s="3">
        <f>E263-'290710 - P1223'!F263</f>
        <v>0</v>
      </c>
      <c r="P263" s="30">
        <f>I263-'290710 - P1223'!J263</f>
        <v>0</v>
      </c>
    </row>
    <row r="264" spans="1:16" x14ac:dyDescent="0.25">
      <c r="A264">
        <v>262</v>
      </c>
      <c r="C264" t="s">
        <v>8</v>
      </c>
      <c r="D264" s="4" t="s">
        <v>255</v>
      </c>
      <c r="E264" s="5">
        <v>10.8</v>
      </c>
      <c r="F264" s="5">
        <v>10.8</v>
      </c>
      <c r="G264" s="6">
        <f t="shared" si="70"/>
        <v>0</v>
      </c>
      <c r="H264" s="7">
        <f t="shared" si="71"/>
        <v>0</v>
      </c>
      <c r="I264" s="8">
        <v>23.043154761904759</v>
      </c>
      <c r="J264" s="9">
        <f t="shared" si="72"/>
        <v>23.043154761904759</v>
      </c>
      <c r="K264" s="3">
        <f t="shared" si="73"/>
        <v>0</v>
      </c>
      <c r="L264" s="7">
        <f t="shared" si="74"/>
        <v>0</v>
      </c>
      <c r="M264" s="7" t="s">
        <v>150</v>
      </c>
      <c r="O264" s="3">
        <f>E264-'290710 - P1223'!F264</f>
        <v>0</v>
      </c>
      <c r="P264" s="30">
        <f>I264-'290710 - P1223'!J264</f>
        <v>0</v>
      </c>
    </row>
    <row r="265" spans="1:16" x14ac:dyDescent="0.25">
      <c r="A265">
        <v>263</v>
      </c>
      <c r="C265" t="s">
        <v>8</v>
      </c>
      <c r="D265" s="4" t="s">
        <v>256</v>
      </c>
      <c r="E265" s="5">
        <v>12.96</v>
      </c>
      <c r="F265" s="5">
        <v>12.96</v>
      </c>
      <c r="G265" s="6">
        <f t="shared" si="70"/>
        <v>0</v>
      </c>
      <c r="H265" s="7">
        <f t="shared" si="71"/>
        <v>0</v>
      </c>
      <c r="I265" s="8">
        <v>30.49</v>
      </c>
      <c r="J265" s="9">
        <f t="shared" si="72"/>
        <v>30.49</v>
      </c>
      <c r="K265" s="3">
        <f t="shared" si="73"/>
        <v>0</v>
      </c>
      <c r="L265" s="7">
        <f t="shared" si="74"/>
        <v>0</v>
      </c>
      <c r="M265" s="7" t="s">
        <v>150</v>
      </c>
      <c r="O265" s="3">
        <f>E265-'290710 - P1223'!F265</f>
        <v>0</v>
      </c>
      <c r="P265" s="30">
        <f>I265-'290710 - P1223'!J265</f>
        <v>0</v>
      </c>
    </row>
    <row r="266" spans="1:16" x14ac:dyDescent="0.25">
      <c r="A266">
        <v>264</v>
      </c>
      <c r="C266" t="s">
        <v>8</v>
      </c>
      <c r="D266" s="4" t="s">
        <v>257</v>
      </c>
      <c r="E266" s="5">
        <v>10.8</v>
      </c>
      <c r="F266" s="5">
        <v>10.8</v>
      </c>
      <c r="G266" s="6">
        <f t="shared" si="70"/>
        <v>0</v>
      </c>
      <c r="H266" s="7">
        <f t="shared" si="71"/>
        <v>0</v>
      </c>
      <c r="I266" s="8">
        <v>23.043154761904759</v>
      </c>
      <c r="J266" s="9">
        <f t="shared" si="72"/>
        <v>23.043154761904759</v>
      </c>
      <c r="K266" s="3">
        <f t="shared" si="73"/>
        <v>0</v>
      </c>
      <c r="L266" s="7">
        <f t="shared" si="74"/>
        <v>0</v>
      </c>
      <c r="M266" t="s">
        <v>150</v>
      </c>
      <c r="O266" s="3">
        <f>E266-'290710 - P1223'!F266</f>
        <v>0</v>
      </c>
      <c r="P266" s="30">
        <f>I266-'290710 - P1223'!J266</f>
        <v>0</v>
      </c>
    </row>
    <row r="267" spans="1:16" x14ac:dyDescent="0.25">
      <c r="A267">
        <v>265</v>
      </c>
      <c r="C267" t="s">
        <v>8</v>
      </c>
      <c r="D267" s="4" t="s">
        <v>258</v>
      </c>
      <c r="E267" s="5">
        <v>3.44</v>
      </c>
      <c r="F267" s="5">
        <v>3.44</v>
      </c>
      <c r="G267" s="6">
        <f t="shared" si="70"/>
        <v>0</v>
      </c>
      <c r="H267" s="7">
        <f t="shared" si="71"/>
        <v>0</v>
      </c>
      <c r="I267" s="8">
        <v>6.5289583333333336</v>
      </c>
      <c r="J267" s="9">
        <f t="shared" si="72"/>
        <v>6.5289583333333336</v>
      </c>
      <c r="K267" s="3">
        <f t="shared" si="73"/>
        <v>0</v>
      </c>
      <c r="L267" s="7">
        <f t="shared" si="74"/>
        <v>0</v>
      </c>
      <c r="M267" t="s">
        <v>150</v>
      </c>
      <c r="O267" s="3">
        <f>E267-'290710 - P1223'!F267</f>
        <v>0</v>
      </c>
      <c r="P267" s="30">
        <f>I267-'290710 - P1223'!J267</f>
        <v>0</v>
      </c>
    </row>
    <row r="268" spans="1:16" x14ac:dyDescent="0.25">
      <c r="A268">
        <v>266</v>
      </c>
      <c r="C268" t="s">
        <v>8</v>
      </c>
      <c r="D268" s="4" t="s">
        <v>259</v>
      </c>
      <c r="E268" s="5">
        <v>2.64</v>
      </c>
      <c r="F268" s="5">
        <v>2.64</v>
      </c>
      <c r="G268" s="6">
        <f t="shared" si="70"/>
        <v>0</v>
      </c>
      <c r="H268" s="7">
        <f t="shared" si="71"/>
        <v>0</v>
      </c>
      <c r="I268" s="8">
        <v>5.9648076923076916</v>
      </c>
      <c r="J268" s="9">
        <f t="shared" si="72"/>
        <v>5.9648076923076916</v>
      </c>
      <c r="K268" s="3">
        <f t="shared" si="73"/>
        <v>0</v>
      </c>
      <c r="L268" s="7">
        <f t="shared" si="74"/>
        <v>0</v>
      </c>
      <c r="M268" t="s">
        <v>150</v>
      </c>
      <c r="O268" s="3">
        <f>E268-'290710 - P1223'!F268</f>
        <v>0</v>
      </c>
      <c r="P268" s="30">
        <f>I268-'290710 - P1223'!J268</f>
        <v>0</v>
      </c>
    </row>
    <row r="269" spans="1:16" x14ac:dyDescent="0.25">
      <c r="A269">
        <v>267</v>
      </c>
      <c r="C269" t="s">
        <v>8</v>
      </c>
      <c r="D269" s="4" t="s">
        <v>260</v>
      </c>
      <c r="E269" s="5">
        <v>2.64</v>
      </c>
      <c r="F269" s="5">
        <v>2.64</v>
      </c>
      <c r="G269" s="6">
        <f t="shared" si="70"/>
        <v>0</v>
      </c>
      <c r="H269" s="7">
        <f t="shared" si="71"/>
        <v>0</v>
      </c>
      <c r="I269" s="8">
        <v>4.9814285714285704</v>
      </c>
      <c r="J269" s="9">
        <f t="shared" si="72"/>
        <v>4.9814285714285704</v>
      </c>
      <c r="K269" s="3">
        <f t="shared" si="73"/>
        <v>0</v>
      </c>
      <c r="L269" s="7">
        <f t="shared" si="74"/>
        <v>0</v>
      </c>
      <c r="M269" t="s">
        <v>150</v>
      </c>
      <c r="O269" s="3">
        <f>E269-'290710 - P1223'!F269</f>
        <v>0</v>
      </c>
      <c r="P269" s="30">
        <f>I269-'290710 - P1223'!J269</f>
        <v>0</v>
      </c>
    </row>
    <row r="270" spans="1:16" x14ac:dyDescent="0.25">
      <c r="A270">
        <v>268</v>
      </c>
      <c r="C270" t="s">
        <v>8</v>
      </c>
      <c r="D270" s="4" t="s">
        <v>261</v>
      </c>
      <c r="E270" s="5">
        <v>3.6</v>
      </c>
      <c r="F270" s="5">
        <v>3.6</v>
      </c>
      <c r="G270" s="6">
        <f t="shared" si="70"/>
        <v>0</v>
      </c>
      <c r="H270" s="7">
        <f t="shared" si="71"/>
        <v>0</v>
      </c>
      <c r="I270" s="8">
        <v>6.3735069444444443</v>
      </c>
      <c r="J270" s="9">
        <f t="shared" si="72"/>
        <v>6.3735069444444443</v>
      </c>
      <c r="K270" s="3">
        <f t="shared" si="73"/>
        <v>0</v>
      </c>
      <c r="L270" s="7">
        <f t="shared" si="74"/>
        <v>0</v>
      </c>
      <c r="M270" t="s">
        <v>150</v>
      </c>
      <c r="O270" s="3">
        <f>E270-'290710 - P1223'!F270</f>
        <v>0</v>
      </c>
      <c r="P270" s="30">
        <f>I270-'290710 - P1223'!J270</f>
        <v>0</v>
      </c>
    </row>
    <row r="271" spans="1:16" x14ac:dyDescent="0.25">
      <c r="A271">
        <v>269</v>
      </c>
      <c r="C271" t="s">
        <v>8</v>
      </c>
      <c r="D271" s="4" t="s">
        <v>262</v>
      </c>
      <c r="E271" s="5">
        <v>3.2</v>
      </c>
      <c r="F271" s="5">
        <v>3.2</v>
      </c>
      <c r="G271" s="6">
        <f t="shared" si="70"/>
        <v>0</v>
      </c>
      <c r="H271" s="7">
        <f t="shared" si="71"/>
        <v>0</v>
      </c>
      <c r="I271" s="8">
        <v>9.5772187500000001</v>
      </c>
      <c r="J271" s="9">
        <f t="shared" si="72"/>
        <v>9.5772187500000001</v>
      </c>
      <c r="K271" s="3">
        <f t="shared" si="73"/>
        <v>0</v>
      </c>
      <c r="L271" s="7">
        <f t="shared" si="74"/>
        <v>0</v>
      </c>
      <c r="M271" t="s">
        <v>150</v>
      </c>
      <c r="O271" s="3">
        <f>E271-'290710 - P1223'!F271</f>
        <v>0</v>
      </c>
      <c r="P271" s="30">
        <f>I271-'290710 - P1223'!J271</f>
        <v>0</v>
      </c>
    </row>
    <row r="272" spans="1:16" x14ac:dyDescent="0.25">
      <c r="A272">
        <v>270</v>
      </c>
      <c r="C272" t="s">
        <v>8</v>
      </c>
      <c r="D272" s="4" t="s">
        <v>263</v>
      </c>
      <c r="E272" s="5">
        <v>3.2</v>
      </c>
      <c r="F272" s="5">
        <v>3.2</v>
      </c>
      <c r="G272" s="6">
        <f t="shared" si="70"/>
        <v>0</v>
      </c>
      <c r="H272" s="7">
        <f t="shared" si="71"/>
        <v>0</v>
      </c>
      <c r="I272" s="8">
        <v>6.3735069444444443</v>
      </c>
      <c r="J272" s="9">
        <f t="shared" si="72"/>
        <v>6.3735069444444443</v>
      </c>
      <c r="K272" s="3">
        <f t="shared" si="73"/>
        <v>0</v>
      </c>
      <c r="L272" s="7">
        <f t="shared" si="74"/>
        <v>0</v>
      </c>
      <c r="M272" t="s">
        <v>150</v>
      </c>
      <c r="O272" s="3">
        <f>E272-'290710 - P1223'!F272</f>
        <v>0</v>
      </c>
      <c r="P272" s="30">
        <f>I272-'290710 - P1223'!J272</f>
        <v>0</v>
      </c>
    </row>
    <row r="273" spans="1:16" x14ac:dyDescent="0.25">
      <c r="A273">
        <v>271</v>
      </c>
      <c r="C273" t="s">
        <v>8</v>
      </c>
      <c r="D273" s="4" t="s">
        <v>264</v>
      </c>
      <c r="E273" s="12">
        <v>34.130000000000003</v>
      </c>
      <c r="F273" s="11">
        <v>34.130000000000003</v>
      </c>
      <c r="G273" s="6">
        <f t="shared" si="70"/>
        <v>0</v>
      </c>
      <c r="H273" s="7">
        <f t="shared" si="71"/>
        <v>0</v>
      </c>
      <c r="I273" s="8">
        <v>83.99904491032467</v>
      </c>
      <c r="J273" s="9">
        <f t="shared" si="72"/>
        <v>83.99904491032467</v>
      </c>
      <c r="K273" s="3">
        <f t="shared" si="73"/>
        <v>0</v>
      </c>
      <c r="L273" s="7">
        <f t="shared" si="74"/>
        <v>0</v>
      </c>
      <c r="M273" t="s">
        <v>150</v>
      </c>
      <c r="O273" s="3">
        <f>E273-'290710 - P1223'!F273</f>
        <v>0</v>
      </c>
      <c r="P273" s="30">
        <f>I273-'290710 - P1223'!J273</f>
        <v>0</v>
      </c>
    </row>
    <row r="274" spans="1:16" x14ac:dyDescent="0.25">
      <c r="A274">
        <v>272</v>
      </c>
      <c r="C274" t="s">
        <v>8</v>
      </c>
      <c r="D274" s="4" t="s">
        <v>265</v>
      </c>
      <c r="E274" s="12">
        <v>40.14</v>
      </c>
      <c r="F274" s="11">
        <v>40.14</v>
      </c>
      <c r="G274" s="6">
        <f t="shared" si="70"/>
        <v>0</v>
      </c>
      <c r="H274" s="7">
        <f t="shared" si="71"/>
        <v>0</v>
      </c>
      <c r="I274" s="8">
        <v>100.73811614890289</v>
      </c>
      <c r="J274" s="9">
        <f t="shared" si="72"/>
        <v>100.73811614890289</v>
      </c>
      <c r="K274" s="3">
        <f t="shared" si="73"/>
        <v>0</v>
      </c>
      <c r="L274" s="7">
        <f t="shared" si="74"/>
        <v>0</v>
      </c>
      <c r="M274" t="s">
        <v>150</v>
      </c>
      <c r="O274" s="3">
        <f>E274-'290710 - P1223'!F274</f>
        <v>0</v>
      </c>
      <c r="P274" s="30">
        <f>I274-'290710 - P1223'!J274</f>
        <v>0</v>
      </c>
    </row>
    <row r="275" spans="1:16" x14ac:dyDescent="0.25">
      <c r="A275">
        <v>273</v>
      </c>
      <c r="C275" t="s">
        <v>8</v>
      </c>
      <c r="D275" s="4" t="s">
        <v>266</v>
      </c>
      <c r="E275" s="12">
        <v>0.71</v>
      </c>
      <c r="F275" s="11">
        <v>0.71</v>
      </c>
      <c r="G275" s="6">
        <f t="shared" si="70"/>
        <v>0</v>
      </c>
      <c r="H275" s="7">
        <f t="shared" si="71"/>
        <v>0</v>
      </c>
      <c r="I275" s="8">
        <v>1.3974603174603173</v>
      </c>
      <c r="J275" s="9">
        <f t="shared" si="72"/>
        <v>1.3974603174603173</v>
      </c>
      <c r="K275" s="3">
        <f t="shared" si="73"/>
        <v>0</v>
      </c>
      <c r="L275" s="7">
        <f t="shared" si="74"/>
        <v>0</v>
      </c>
      <c r="M275" t="s">
        <v>150</v>
      </c>
      <c r="O275" s="3">
        <f>E275-'290710 - P1223'!F275</f>
        <v>0</v>
      </c>
      <c r="P275" s="30">
        <f>I275-'290710 - P1223'!J275</f>
        <v>0</v>
      </c>
    </row>
    <row r="276" spans="1:16" x14ac:dyDescent="0.25">
      <c r="A276">
        <v>274</v>
      </c>
      <c r="C276" t="s">
        <v>8</v>
      </c>
      <c r="D276" s="4" t="s">
        <v>267</v>
      </c>
      <c r="E276" s="12">
        <v>15.02</v>
      </c>
      <c r="F276" s="11">
        <v>15.02</v>
      </c>
      <c r="G276" s="6">
        <f t="shared" si="70"/>
        <v>0</v>
      </c>
      <c r="H276" s="7">
        <f t="shared" si="71"/>
        <v>0</v>
      </c>
      <c r="I276" s="8">
        <v>39.554925957158105</v>
      </c>
      <c r="J276" s="9">
        <f t="shared" si="72"/>
        <v>39.554925957158105</v>
      </c>
      <c r="K276" s="3">
        <f t="shared" si="73"/>
        <v>0</v>
      </c>
      <c r="L276" s="7">
        <f t="shared" si="74"/>
        <v>0</v>
      </c>
      <c r="M276" t="s">
        <v>150</v>
      </c>
      <c r="O276" s="3">
        <f>E276-'290710 - P1223'!F276</f>
        <v>0</v>
      </c>
      <c r="P276" s="30">
        <f>I276-'290710 - P1223'!J276</f>
        <v>0</v>
      </c>
    </row>
    <row r="277" spans="1:16" x14ac:dyDescent="0.25">
      <c r="A277">
        <v>275</v>
      </c>
      <c r="C277" t="s">
        <v>8</v>
      </c>
      <c r="D277" s="4" t="s">
        <v>268</v>
      </c>
      <c r="E277" s="12">
        <v>12.5</v>
      </c>
      <c r="F277" s="11">
        <v>12.5</v>
      </c>
      <c r="G277" s="6">
        <f t="shared" si="70"/>
        <v>0</v>
      </c>
      <c r="H277" s="7">
        <f t="shared" si="71"/>
        <v>0</v>
      </c>
      <c r="I277" s="8">
        <v>21.214819136522753</v>
      </c>
      <c r="J277" s="9">
        <f t="shared" si="72"/>
        <v>21.214819136522753</v>
      </c>
      <c r="K277" s="3">
        <f t="shared" si="73"/>
        <v>0</v>
      </c>
      <c r="L277" s="7">
        <f t="shared" si="74"/>
        <v>0</v>
      </c>
      <c r="M277" t="s">
        <v>187</v>
      </c>
      <c r="O277" s="3">
        <f>E277-'290710 - P1223'!F277</f>
        <v>0</v>
      </c>
      <c r="P277" s="30">
        <f>I277-'290710 - P1223'!J277</f>
        <v>0</v>
      </c>
    </row>
    <row r="278" spans="1:16" x14ac:dyDescent="0.25">
      <c r="A278">
        <v>276</v>
      </c>
      <c r="C278" t="s">
        <v>8</v>
      </c>
      <c r="D278" s="4" t="s">
        <v>269</v>
      </c>
      <c r="E278" s="12">
        <v>12</v>
      </c>
      <c r="F278" s="12">
        <v>12</v>
      </c>
      <c r="G278" s="6">
        <f>+F278-E278</f>
        <v>0</v>
      </c>
      <c r="H278" s="7">
        <f>(F278-E278)/ABS(E278)</f>
        <v>0</v>
      </c>
      <c r="I278" s="8">
        <v>18.47</v>
      </c>
      <c r="J278" s="9">
        <f>(I278*H278)+I278</f>
        <v>18.47</v>
      </c>
      <c r="K278" s="3">
        <f>J278-I278</f>
        <v>0</v>
      </c>
      <c r="L278" s="7">
        <f>(J278-I278)/ABS(I278)</f>
        <v>0</v>
      </c>
      <c r="M278" t="s">
        <v>187</v>
      </c>
      <c r="O278" s="3">
        <f>E278-'290710 - P1223'!F278</f>
        <v>0</v>
      </c>
      <c r="P278" s="30">
        <f>I278-'290710 - P1223'!J278</f>
        <v>0</v>
      </c>
    </row>
    <row r="279" spans="1:16" x14ac:dyDescent="0.25">
      <c r="A279">
        <v>277</v>
      </c>
      <c r="C279" t="s">
        <v>8</v>
      </c>
      <c r="D279" s="4" t="s">
        <v>270</v>
      </c>
      <c r="E279" s="12">
        <v>8.9499999999999993</v>
      </c>
      <c r="F279" s="11">
        <v>8.9499999999999993</v>
      </c>
      <c r="G279" s="6">
        <f t="shared" si="70"/>
        <v>0</v>
      </c>
      <c r="H279" s="7">
        <f t="shared" si="71"/>
        <v>0</v>
      </c>
      <c r="I279" s="8">
        <v>29.456687862360731</v>
      </c>
      <c r="J279" s="9">
        <f t="shared" si="72"/>
        <v>29.456687862360731</v>
      </c>
      <c r="K279" s="3">
        <f t="shared" si="73"/>
        <v>0</v>
      </c>
      <c r="L279" s="7">
        <f t="shared" si="74"/>
        <v>0</v>
      </c>
      <c r="M279" t="s">
        <v>187</v>
      </c>
      <c r="O279" s="3">
        <f>E279-'290710 - P1223'!F279</f>
        <v>0</v>
      </c>
      <c r="P279" s="30">
        <f>I279-'290710 - P1223'!J279</f>
        <v>0</v>
      </c>
    </row>
    <row r="280" spans="1:16" x14ac:dyDescent="0.25">
      <c r="A280">
        <v>278</v>
      </c>
      <c r="C280" t="s">
        <v>8</v>
      </c>
      <c r="D280" s="4" t="s">
        <v>271</v>
      </c>
      <c r="E280" s="16">
        <v>46.13</v>
      </c>
      <c r="F280" s="12">
        <v>46.13</v>
      </c>
      <c r="G280" s="6">
        <f t="shared" si="70"/>
        <v>0</v>
      </c>
      <c r="H280" s="7">
        <f t="shared" si="71"/>
        <v>0</v>
      </c>
      <c r="I280" s="8">
        <v>71.680000000000007</v>
      </c>
      <c r="J280" s="9">
        <f t="shared" si="72"/>
        <v>71.680000000000007</v>
      </c>
      <c r="K280" s="3">
        <f t="shared" si="73"/>
        <v>0</v>
      </c>
      <c r="L280" s="7">
        <f t="shared" si="74"/>
        <v>0</v>
      </c>
      <c r="M280" t="s">
        <v>187</v>
      </c>
      <c r="O280" s="3">
        <f>E280-'290710 - P1223'!F280</f>
        <v>0</v>
      </c>
      <c r="P280" s="30">
        <f>I280-'290710 - P1223'!J280</f>
        <v>0</v>
      </c>
    </row>
    <row r="281" spans="1:16" x14ac:dyDescent="0.25">
      <c r="A281">
        <v>279</v>
      </c>
      <c r="C281" t="s">
        <v>8</v>
      </c>
      <c r="D281" s="4" t="s">
        <v>272</v>
      </c>
      <c r="E281" s="5">
        <v>5.85</v>
      </c>
      <c r="F281" s="5">
        <v>5.85</v>
      </c>
      <c r="G281" s="6">
        <f t="shared" si="70"/>
        <v>0</v>
      </c>
      <c r="H281" s="7">
        <f t="shared" si="71"/>
        <v>0</v>
      </c>
      <c r="I281" s="8">
        <v>6.9</v>
      </c>
      <c r="J281" s="9">
        <f t="shared" si="72"/>
        <v>6.9</v>
      </c>
      <c r="K281" s="3">
        <f t="shared" si="73"/>
        <v>0</v>
      </c>
      <c r="L281" s="7">
        <f t="shared" si="74"/>
        <v>0</v>
      </c>
      <c r="M281" t="s">
        <v>150</v>
      </c>
      <c r="O281" s="3">
        <f>E281-'290710 - P1223'!F281</f>
        <v>0</v>
      </c>
      <c r="P281" s="30">
        <f>I281-'290710 - P1223'!J281</f>
        <v>0</v>
      </c>
    </row>
    <row r="282" spans="1:16" x14ac:dyDescent="0.25">
      <c r="A282">
        <v>280</v>
      </c>
      <c r="C282" t="s">
        <v>8</v>
      </c>
      <c r="D282" s="4" t="s">
        <v>273</v>
      </c>
      <c r="E282" s="5">
        <v>6.93</v>
      </c>
      <c r="F282" s="5">
        <v>6.93</v>
      </c>
      <c r="G282" s="6">
        <f t="shared" si="70"/>
        <v>0</v>
      </c>
      <c r="H282" s="7">
        <f t="shared" si="71"/>
        <v>0</v>
      </c>
      <c r="I282" s="8">
        <v>13.99</v>
      </c>
      <c r="J282" s="9">
        <f t="shared" si="72"/>
        <v>13.99</v>
      </c>
      <c r="K282" s="3">
        <f t="shared" si="73"/>
        <v>0</v>
      </c>
      <c r="L282" s="7">
        <f t="shared" si="74"/>
        <v>0</v>
      </c>
      <c r="M282" t="s">
        <v>150</v>
      </c>
      <c r="O282" s="3">
        <f>E282-'290710 - P1223'!F282</f>
        <v>0</v>
      </c>
      <c r="P282" s="30">
        <f>I282-'290710 - P1223'!J282</f>
        <v>0</v>
      </c>
    </row>
    <row r="283" spans="1:16" x14ac:dyDescent="0.25">
      <c r="A283">
        <v>281</v>
      </c>
      <c r="C283" t="s">
        <v>8</v>
      </c>
      <c r="D283" s="4" t="s">
        <v>274</v>
      </c>
      <c r="E283" s="5">
        <v>6.93</v>
      </c>
      <c r="F283" s="5">
        <v>6.93</v>
      </c>
      <c r="G283" s="6">
        <f t="shared" si="70"/>
        <v>0</v>
      </c>
      <c r="H283" s="7">
        <f t="shared" si="71"/>
        <v>0</v>
      </c>
      <c r="I283" s="8">
        <v>7.9</v>
      </c>
      <c r="J283" s="9">
        <f t="shared" si="72"/>
        <v>7.9</v>
      </c>
      <c r="K283" s="3">
        <f t="shared" si="73"/>
        <v>0</v>
      </c>
      <c r="L283" s="7">
        <f t="shared" si="74"/>
        <v>0</v>
      </c>
      <c r="M283" t="s">
        <v>150</v>
      </c>
      <c r="O283" s="3">
        <f>E283-'290710 - P1223'!F283</f>
        <v>0</v>
      </c>
      <c r="P283" s="30">
        <f>I283-'290710 - P1223'!J283</f>
        <v>0</v>
      </c>
    </row>
    <row r="284" spans="1:16" x14ac:dyDescent="0.25">
      <c r="A284">
        <v>282</v>
      </c>
      <c r="C284" t="s">
        <v>8</v>
      </c>
      <c r="D284" s="4" t="s">
        <v>275</v>
      </c>
      <c r="E284" s="12">
        <v>2.56</v>
      </c>
      <c r="F284" s="11">
        <v>2.56</v>
      </c>
      <c r="G284" s="6">
        <f t="shared" si="70"/>
        <v>0</v>
      </c>
      <c r="H284" s="7">
        <f t="shared" si="71"/>
        <v>0</v>
      </c>
      <c r="I284" s="8">
        <v>8.0228714375055841</v>
      </c>
      <c r="J284" s="9">
        <f t="shared" si="72"/>
        <v>8.0228714375055841</v>
      </c>
      <c r="K284" s="3">
        <f t="shared" si="73"/>
        <v>0</v>
      </c>
      <c r="L284" s="7">
        <f t="shared" si="74"/>
        <v>0</v>
      </c>
      <c r="M284" t="s">
        <v>150</v>
      </c>
      <c r="O284" s="3">
        <f>E284-'290710 - P1223'!F284</f>
        <v>0</v>
      </c>
      <c r="P284" s="30">
        <f>I284-'290710 - P1223'!J284</f>
        <v>0</v>
      </c>
    </row>
    <row r="285" spans="1:16" x14ac:dyDescent="0.25">
      <c r="A285">
        <v>283</v>
      </c>
      <c r="C285" t="s">
        <v>8</v>
      </c>
      <c r="D285" s="4" t="s">
        <v>276</v>
      </c>
      <c r="E285" s="12">
        <v>3.71</v>
      </c>
      <c r="F285" s="11">
        <v>3.71</v>
      </c>
      <c r="G285" s="6">
        <f t="shared" si="70"/>
        <v>0</v>
      </c>
      <c r="H285" s="7">
        <f t="shared" si="71"/>
        <v>0</v>
      </c>
      <c r="I285" s="8">
        <v>9.2527255216693405</v>
      </c>
      <c r="J285" s="9">
        <f t="shared" si="72"/>
        <v>9.2527255216693405</v>
      </c>
      <c r="K285" s="3">
        <f t="shared" si="73"/>
        <v>0</v>
      </c>
      <c r="L285" s="7">
        <f t="shared" si="74"/>
        <v>0</v>
      </c>
      <c r="M285" t="s">
        <v>150</v>
      </c>
      <c r="O285" s="3">
        <f>E285-'290710 - P1223'!F285</f>
        <v>0</v>
      </c>
      <c r="P285" s="30">
        <f>I285-'290710 - P1223'!J285</f>
        <v>0</v>
      </c>
    </row>
    <row r="286" spans="1:16" x14ac:dyDescent="0.25">
      <c r="A286">
        <v>284</v>
      </c>
      <c r="C286" t="s">
        <v>277</v>
      </c>
      <c r="D286" s="4" t="s">
        <v>278</v>
      </c>
      <c r="E286" s="11">
        <v>76.17</v>
      </c>
      <c r="F286" s="11">
        <v>76.17</v>
      </c>
      <c r="G286" s="6">
        <f t="shared" si="70"/>
        <v>0</v>
      </c>
      <c r="H286" s="7">
        <f t="shared" si="71"/>
        <v>0</v>
      </c>
      <c r="I286" s="8">
        <v>129.08106565176024</v>
      </c>
      <c r="J286" s="9">
        <f t="shared" si="72"/>
        <v>129.08106565176024</v>
      </c>
      <c r="K286" s="3">
        <f t="shared" si="73"/>
        <v>0</v>
      </c>
      <c r="L286" s="7">
        <f t="shared" si="74"/>
        <v>0</v>
      </c>
      <c r="M286" t="s">
        <v>150</v>
      </c>
      <c r="O286" s="3">
        <f>E286-'290710 - P1223'!F286</f>
        <v>0</v>
      </c>
      <c r="P286" s="30">
        <f>I286-'290710 - P1223'!J286</f>
        <v>0</v>
      </c>
    </row>
    <row r="287" spans="1:16" x14ac:dyDescent="0.25">
      <c r="A287">
        <v>285</v>
      </c>
      <c r="C287" t="s">
        <v>8</v>
      </c>
      <c r="D287" s="4" t="s">
        <v>279</v>
      </c>
      <c r="E287" s="12">
        <v>3.47</v>
      </c>
      <c r="F287" s="12">
        <v>3.47</v>
      </c>
      <c r="G287" s="6">
        <f t="shared" si="70"/>
        <v>0</v>
      </c>
      <c r="H287" s="7">
        <f t="shared" si="71"/>
        <v>0</v>
      </c>
      <c r="I287" s="8">
        <v>9.272871621621622</v>
      </c>
      <c r="J287" s="9">
        <f t="shared" si="72"/>
        <v>9.272871621621622</v>
      </c>
      <c r="K287" s="3">
        <f t="shared" si="73"/>
        <v>0</v>
      </c>
      <c r="L287" s="7">
        <f t="shared" si="74"/>
        <v>0</v>
      </c>
      <c r="M287" t="s">
        <v>150</v>
      </c>
      <c r="O287" s="3">
        <f>E287-'290710 - P1223'!F287</f>
        <v>0</v>
      </c>
      <c r="P287" s="30">
        <f>I287-'290710 - P1223'!J287</f>
        <v>0</v>
      </c>
    </row>
    <row r="288" spans="1:16" x14ac:dyDescent="0.25">
      <c r="A288">
        <v>286</v>
      </c>
      <c r="C288" t="s">
        <v>8</v>
      </c>
      <c r="D288" s="4" t="s">
        <v>280</v>
      </c>
      <c r="E288" s="12">
        <v>3.03</v>
      </c>
      <c r="F288" s="12">
        <v>3.03</v>
      </c>
      <c r="G288" s="6">
        <f t="shared" si="70"/>
        <v>0</v>
      </c>
      <c r="H288" s="7">
        <f t="shared" si="71"/>
        <v>0</v>
      </c>
      <c r="I288" s="8">
        <v>6.4226640926640925</v>
      </c>
      <c r="J288" s="9">
        <f t="shared" si="72"/>
        <v>6.4226640926640925</v>
      </c>
      <c r="K288" s="3">
        <f t="shared" si="73"/>
        <v>0</v>
      </c>
      <c r="L288" s="7">
        <f t="shared" si="74"/>
        <v>0</v>
      </c>
      <c r="M288" t="s">
        <v>150</v>
      </c>
      <c r="O288" s="3">
        <f>E288-'290710 - P1223'!F288</f>
        <v>0</v>
      </c>
      <c r="P288" s="30">
        <f>I288-'290710 - P1223'!J288</f>
        <v>0</v>
      </c>
    </row>
    <row r="289" spans="1:16" x14ac:dyDescent="0.25">
      <c r="A289">
        <v>287</v>
      </c>
      <c r="C289" t="s">
        <v>8</v>
      </c>
      <c r="D289" s="4" t="s">
        <v>281</v>
      </c>
      <c r="E289" s="12">
        <v>12.95</v>
      </c>
      <c r="F289" s="12">
        <v>12.95</v>
      </c>
      <c r="G289" s="6">
        <f t="shared" si="70"/>
        <v>0</v>
      </c>
      <c r="H289" s="7">
        <f t="shared" si="71"/>
        <v>0</v>
      </c>
      <c r="I289" s="8">
        <v>25.9</v>
      </c>
      <c r="J289" s="9">
        <f t="shared" si="72"/>
        <v>25.9</v>
      </c>
      <c r="K289" s="3">
        <f t="shared" si="73"/>
        <v>0</v>
      </c>
      <c r="L289" s="7">
        <f t="shared" si="74"/>
        <v>0</v>
      </c>
      <c r="M289" t="s">
        <v>150</v>
      </c>
      <c r="O289" s="3">
        <f>E289-'290710 - P1223'!F289</f>
        <v>0</v>
      </c>
      <c r="P289" s="30">
        <f>I289-'290710 - P1223'!J289</f>
        <v>0</v>
      </c>
    </row>
    <row r="290" spans="1:16" x14ac:dyDescent="0.25">
      <c r="A290">
        <v>288</v>
      </c>
      <c r="C290" t="s">
        <v>8</v>
      </c>
      <c r="D290" s="4" t="s">
        <v>282</v>
      </c>
      <c r="E290" s="12">
        <v>9.27</v>
      </c>
      <c r="F290" s="12">
        <v>9.27</v>
      </c>
      <c r="G290" s="6">
        <f t="shared" si="70"/>
        <v>0</v>
      </c>
      <c r="H290" s="7">
        <f t="shared" si="71"/>
        <v>0</v>
      </c>
      <c r="I290" s="8">
        <v>18.54</v>
      </c>
      <c r="J290" s="9">
        <f t="shared" si="72"/>
        <v>18.54</v>
      </c>
      <c r="K290" s="3">
        <f t="shared" si="73"/>
        <v>0</v>
      </c>
      <c r="L290" s="7">
        <f t="shared" si="74"/>
        <v>0</v>
      </c>
      <c r="M290" t="s">
        <v>150</v>
      </c>
      <c r="O290" s="3">
        <f>E290-'290710 - P1223'!F290</f>
        <v>0</v>
      </c>
      <c r="P290" s="30">
        <f>I290-'290710 - P1223'!J290</f>
        <v>0</v>
      </c>
    </row>
    <row r="291" spans="1:16" x14ac:dyDescent="0.25">
      <c r="A291">
        <v>289</v>
      </c>
      <c r="C291" t="s">
        <v>8</v>
      </c>
      <c r="D291" s="4" t="s">
        <v>283</v>
      </c>
      <c r="E291" s="12">
        <v>4.38</v>
      </c>
      <c r="F291" s="12">
        <v>4.38</v>
      </c>
      <c r="G291" s="6">
        <f t="shared" si="70"/>
        <v>0</v>
      </c>
      <c r="H291" s="7">
        <f t="shared" si="71"/>
        <v>0</v>
      </c>
      <c r="I291" s="8">
        <v>19.878299999999999</v>
      </c>
      <c r="J291" s="9">
        <f t="shared" si="72"/>
        <v>19.878299999999999</v>
      </c>
      <c r="K291" s="3">
        <f t="shared" si="73"/>
        <v>0</v>
      </c>
      <c r="L291" s="7">
        <f t="shared" si="74"/>
        <v>0</v>
      </c>
      <c r="M291" t="s">
        <v>150</v>
      </c>
      <c r="O291" s="3">
        <f>E291-'290710 - P1223'!F291</f>
        <v>0</v>
      </c>
      <c r="P291" s="30">
        <f>I291-'290710 - P1223'!J291</f>
        <v>0</v>
      </c>
    </row>
    <row r="292" spans="1:16" x14ac:dyDescent="0.25">
      <c r="A292">
        <v>290</v>
      </c>
      <c r="C292" t="s">
        <v>8</v>
      </c>
      <c r="D292" s="4" t="s">
        <v>284</v>
      </c>
      <c r="E292" s="12">
        <v>7.78</v>
      </c>
      <c r="F292" s="12">
        <v>7.78</v>
      </c>
      <c r="G292" s="6">
        <f t="shared" si="70"/>
        <v>0</v>
      </c>
      <c r="H292" s="7">
        <f t="shared" si="71"/>
        <v>0</v>
      </c>
      <c r="I292" s="8">
        <v>20.218751857355123</v>
      </c>
      <c r="J292" s="9">
        <f t="shared" si="72"/>
        <v>20.218751857355123</v>
      </c>
      <c r="K292" s="3">
        <f t="shared" si="73"/>
        <v>0</v>
      </c>
      <c r="L292" s="7">
        <f t="shared" si="74"/>
        <v>0</v>
      </c>
      <c r="M292" t="s">
        <v>150</v>
      </c>
      <c r="O292" s="3">
        <f>E292-'290710 - P1223'!F292</f>
        <v>0</v>
      </c>
      <c r="P292" s="30">
        <f>I292-'290710 - P1223'!J292</f>
        <v>0</v>
      </c>
    </row>
    <row r="293" spans="1:16" x14ac:dyDescent="0.25">
      <c r="A293">
        <v>291</v>
      </c>
      <c r="C293" t="s">
        <v>8</v>
      </c>
      <c r="D293" s="4" t="s">
        <v>285</v>
      </c>
      <c r="E293" s="12">
        <v>0.98</v>
      </c>
      <c r="F293" s="12">
        <v>0.98</v>
      </c>
      <c r="G293" s="6">
        <f t="shared" si="70"/>
        <v>0</v>
      </c>
      <c r="H293" s="7">
        <f t="shared" si="71"/>
        <v>0</v>
      </c>
      <c r="I293" s="8">
        <v>2.0746808510638299</v>
      </c>
      <c r="J293" s="9">
        <f t="shared" si="72"/>
        <v>2.0746808510638299</v>
      </c>
      <c r="K293" s="3">
        <f t="shared" si="73"/>
        <v>0</v>
      </c>
      <c r="L293" s="7">
        <f t="shared" si="74"/>
        <v>0</v>
      </c>
      <c r="M293" t="s">
        <v>150</v>
      </c>
      <c r="O293" s="3">
        <f>E293-'290710 - P1223'!F293</f>
        <v>0</v>
      </c>
      <c r="P293" s="30">
        <f>I293-'290710 - P1223'!J293</f>
        <v>0</v>
      </c>
    </row>
    <row r="294" spans="1:16" x14ac:dyDescent="0.25">
      <c r="A294">
        <v>292</v>
      </c>
      <c r="C294" t="s">
        <v>8</v>
      </c>
      <c r="D294" s="4" t="s">
        <v>286</v>
      </c>
      <c r="E294" s="12">
        <v>0.56999999999999995</v>
      </c>
      <c r="F294" s="12">
        <v>0.56999999999999995</v>
      </c>
      <c r="G294" s="6">
        <f t="shared" si="70"/>
        <v>0</v>
      </c>
      <c r="H294" s="7">
        <f t="shared" si="71"/>
        <v>0</v>
      </c>
      <c r="I294" s="8">
        <v>1.29</v>
      </c>
      <c r="J294" s="9">
        <f t="shared" si="72"/>
        <v>1.29</v>
      </c>
      <c r="K294" s="3">
        <f t="shared" si="73"/>
        <v>0</v>
      </c>
      <c r="L294" s="7">
        <f t="shared" si="74"/>
        <v>0</v>
      </c>
      <c r="M294" t="s">
        <v>150</v>
      </c>
      <c r="O294" s="3">
        <f>E294-'290710 - P1223'!F294</f>
        <v>0</v>
      </c>
      <c r="P294" s="30">
        <f>I294-'290710 - P1223'!J294</f>
        <v>0</v>
      </c>
    </row>
    <row r="295" spans="1:16" x14ac:dyDescent="0.25">
      <c r="A295">
        <v>293</v>
      </c>
      <c r="C295" t="s">
        <v>8</v>
      </c>
      <c r="D295" s="4" t="s">
        <v>287</v>
      </c>
      <c r="E295" s="12">
        <v>3.2</v>
      </c>
      <c r="F295" s="12">
        <v>3.2</v>
      </c>
      <c r="G295" s="6">
        <f t="shared" si="70"/>
        <v>0</v>
      </c>
      <c r="H295" s="7">
        <f t="shared" si="71"/>
        <v>0</v>
      </c>
      <c r="I295" s="8">
        <v>9.2899999999999991</v>
      </c>
      <c r="J295" s="9">
        <f t="shared" si="72"/>
        <v>9.2899999999999991</v>
      </c>
      <c r="K295" s="3">
        <f t="shared" si="73"/>
        <v>0</v>
      </c>
      <c r="L295" s="7">
        <f t="shared" si="74"/>
        <v>0</v>
      </c>
      <c r="M295" t="s">
        <v>150</v>
      </c>
      <c r="O295" s="3">
        <f>E295-'290710 - P1223'!F295</f>
        <v>0</v>
      </c>
      <c r="P295" s="30">
        <f>I295-'290710 - P1223'!J295</f>
        <v>0</v>
      </c>
    </row>
    <row r="296" spans="1:16" x14ac:dyDescent="0.25">
      <c r="A296">
        <v>294</v>
      </c>
      <c r="D296" s="2" t="s">
        <v>288</v>
      </c>
      <c r="H296" s="10">
        <f>AVERAGE(H251:H290)</f>
        <v>0</v>
      </c>
      <c r="I296"/>
    </row>
    <row r="297" spans="1:16" x14ac:dyDescent="0.25">
      <c r="A297">
        <v>295</v>
      </c>
      <c r="D297" s="2" t="s">
        <v>289</v>
      </c>
      <c r="I297"/>
      <c r="M297" t="s">
        <v>187</v>
      </c>
    </row>
    <row r="298" spans="1:16" x14ac:dyDescent="0.25">
      <c r="A298">
        <v>296</v>
      </c>
      <c r="B298" t="s">
        <v>468</v>
      </c>
      <c r="C298" t="s">
        <v>291</v>
      </c>
      <c r="D298" s="4" t="s">
        <v>292</v>
      </c>
      <c r="E298" s="12">
        <v>83.45</v>
      </c>
      <c r="F298" s="12">
        <v>83.45</v>
      </c>
      <c r="G298" s="6">
        <f t="shared" ref="G298:G331" si="75">+F298-E298</f>
        <v>0</v>
      </c>
      <c r="H298" s="7">
        <f t="shared" ref="H298:H331" si="76">(F298-E298)/ABS(E298)</f>
        <v>0</v>
      </c>
      <c r="I298" s="8">
        <v>116.82130707692306</v>
      </c>
      <c r="J298" s="9">
        <f t="shared" ref="J298:J331" si="77">(I298*H298)+I298</f>
        <v>116.82130707692306</v>
      </c>
      <c r="K298" s="3">
        <f t="shared" ref="K298:K331" si="78">J298-I298</f>
        <v>0</v>
      </c>
      <c r="L298" s="7">
        <f t="shared" ref="L298:L331" si="79">(J298-I298)/ABS(I298)</f>
        <v>0</v>
      </c>
      <c r="M298" t="s">
        <v>187</v>
      </c>
      <c r="O298" s="3">
        <f>E298-'290710 - P1223'!F298</f>
        <v>0</v>
      </c>
      <c r="P298" s="30">
        <f>I298-'290710 - P1223'!J298</f>
        <v>0</v>
      </c>
    </row>
    <row r="299" spans="1:16" x14ac:dyDescent="0.25">
      <c r="A299">
        <v>297</v>
      </c>
      <c r="B299" t="s">
        <v>471</v>
      </c>
      <c r="C299" t="s">
        <v>291</v>
      </c>
      <c r="D299" s="4" t="s">
        <v>293</v>
      </c>
      <c r="E299" s="12">
        <v>17.16</v>
      </c>
      <c r="F299" s="12">
        <v>17.16</v>
      </c>
      <c r="G299" s="6">
        <f t="shared" si="75"/>
        <v>0</v>
      </c>
      <c r="H299" s="7">
        <f t="shared" si="76"/>
        <v>0</v>
      </c>
      <c r="I299" s="8">
        <v>23.58</v>
      </c>
      <c r="J299" s="9">
        <f t="shared" si="77"/>
        <v>23.58</v>
      </c>
      <c r="K299" s="3">
        <f t="shared" si="78"/>
        <v>0</v>
      </c>
      <c r="L299" s="7">
        <f t="shared" si="79"/>
        <v>0</v>
      </c>
      <c r="M299" t="s">
        <v>187</v>
      </c>
      <c r="O299" s="3">
        <f>E299-'290710 - P1223'!F299</f>
        <v>0</v>
      </c>
      <c r="P299" s="30">
        <f>I299-'290710 - P1223'!J299</f>
        <v>0</v>
      </c>
    </row>
    <row r="300" spans="1:16" x14ac:dyDescent="0.25">
      <c r="A300">
        <v>298</v>
      </c>
      <c r="B300" t="s">
        <v>468</v>
      </c>
      <c r="C300" t="s">
        <v>291</v>
      </c>
      <c r="D300" s="4" t="s">
        <v>295</v>
      </c>
      <c r="E300" s="12">
        <v>20.45</v>
      </c>
      <c r="F300" s="12">
        <v>20.45</v>
      </c>
      <c r="G300" s="6">
        <f t="shared" si="75"/>
        <v>0</v>
      </c>
      <c r="H300" s="7">
        <f t="shared" si="76"/>
        <v>0</v>
      </c>
      <c r="I300" s="8">
        <v>28.117117241379304</v>
      </c>
      <c r="J300" s="9">
        <f t="shared" si="77"/>
        <v>28.117117241379304</v>
      </c>
      <c r="K300" s="3">
        <f t="shared" si="78"/>
        <v>0</v>
      </c>
      <c r="L300" s="7">
        <f t="shared" si="79"/>
        <v>0</v>
      </c>
      <c r="M300" t="s">
        <v>187</v>
      </c>
      <c r="O300" s="3">
        <f>E300-'290710 - P1223'!F300</f>
        <v>0</v>
      </c>
      <c r="P300" s="30">
        <f>I300-'290710 - P1223'!J300</f>
        <v>0</v>
      </c>
    </row>
    <row r="301" spans="1:16" x14ac:dyDescent="0.25">
      <c r="A301">
        <v>299</v>
      </c>
      <c r="B301" t="s">
        <v>471</v>
      </c>
      <c r="C301" t="s">
        <v>291</v>
      </c>
      <c r="D301" s="4" t="s">
        <v>296</v>
      </c>
      <c r="E301" s="12">
        <v>35.15</v>
      </c>
      <c r="F301" s="12">
        <v>35.15</v>
      </c>
      <c r="G301" s="6">
        <f t="shared" si="75"/>
        <v>0</v>
      </c>
      <c r="H301" s="7">
        <f t="shared" si="76"/>
        <v>0</v>
      </c>
      <c r="I301" s="8">
        <v>48.263872071910107</v>
      </c>
      <c r="J301" s="9">
        <f t="shared" si="77"/>
        <v>48.263872071910107</v>
      </c>
      <c r="K301" s="3">
        <f t="shared" si="78"/>
        <v>0</v>
      </c>
      <c r="L301" s="7">
        <f t="shared" si="79"/>
        <v>0</v>
      </c>
      <c r="M301" t="s">
        <v>187</v>
      </c>
      <c r="O301" s="3">
        <f>E301-'290710 - P1223'!F301</f>
        <v>0</v>
      </c>
      <c r="P301" s="30">
        <f>I301-'290710 - P1223'!J301</f>
        <v>0</v>
      </c>
    </row>
    <row r="302" spans="1:16" x14ac:dyDescent="0.25">
      <c r="A302">
        <v>300</v>
      </c>
      <c r="B302" t="s">
        <v>472</v>
      </c>
      <c r="C302" t="s">
        <v>291</v>
      </c>
      <c r="D302" s="4" t="s">
        <v>297</v>
      </c>
      <c r="E302" s="12">
        <v>7.16</v>
      </c>
      <c r="F302" s="12">
        <v>7.16</v>
      </c>
      <c r="G302" s="6">
        <f t="shared" si="75"/>
        <v>0</v>
      </c>
      <c r="H302" s="7">
        <f t="shared" si="76"/>
        <v>0</v>
      </c>
      <c r="I302" s="8">
        <v>9.85</v>
      </c>
      <c r="J302" s="9">
        <f t="shared" si="77"/>
        <v>9.85</v>
      </c>
      <c r="K302" s="3">
        <f t="shared" si="78"/>
        <v>0</v>
      </c>
      <c r="L302" s="7">
        <f t="shared" si="79"/>
        <v>0</v>
      </c>
      <c r="M302" t="s">
        <v>187</v>
      </c>
      <c r="O302" s="3">
        <f>E302-'290710 - P1223'!F302</f>
        <v>0</v>
      </c>
      <c r="P302" s="30">
        <f>I302-'290710 - P1223'!J302</f>
        <v>0</v>
      </c>
    </row>
    <row r="303" spans="1:16" x14ac:dyDescent="0.25">
      <c r="A303">
        <v>301</v>
      </c>
      <c r="B303" t="s">
        <v>486</v>
      </c>
      <c r="C303" t="s">
        <v>291</v>
      </c>
      <c r="D303" s="4" t="s">
        <v>298</v>
      </c>
      <c r="E303" s="12">
        <v>0.49</v>
      </c>
      <c r="F303" s="12">
        <v>0.49</v>
      </c>
      <c r="G303" s="6">
        <f t="shared" si="75"/>
        <v>0</v>
      </c>
      <c r="H303" s="7">
        <f t="shared" si="76"/>
        <v>0</v>
      </c>
      <c r="I303" s="8">
        <v>0.69</v>
      </c>
      <c r="J303" s="9">
        <f t="shared" si="77"/>
        <v>0.69</v>
      </c>
      <c r="K303" s="3">
        <f t="shared" si="78"/>
        <v>0</v>
      </c>
      <c r="L303" s="7">
        <f t="shared" si="79"/>
        <v>0</v>
      </c>
      <c r="M303" t="s">
        <v>187</v>
      </c>
      <c r="O303" s="3">
        <f>E303-'290710 - P1223'!F303</f>
        <v>0</v>
      </c>
      <c r="P303" s="30">
        <f>I303-'290710 - P1223'!J303</f>
        <v>0</v>
      </c>
    </row>
    <row r="304" spans="1:16" x14ac:dyDescent="0.25">
      <c r="A304">
        <v>302</v>
      </c>
      <c r="B304" t="s">
        <v>471</v>
      </c>
      <c r="C304" t="s">
        <v>291</v>
      </c>
      <c r="D304" s="4" t="s">
        <v>299</v>
      </c>
      <c r="E304" s="12">
        <v>21.81</v>
      </c>
      <c r="F304" s="12">
        <v>21.81</v>
      </c>
      <c r="G304" s="6">
        <f t="shared" si="75"/>
        <v>0</v>
      </c>
      <c r="H304" s="7">
        <f t="shared" si="76"/>
        <v>0</v>
      </c>
      <c r="I304" s="8">
        <v>29.968966617429842</v>
      </c>
      <c r="J304" s="9">
        <f t="shared" si="77"/>
        <v>29.968966617429842</v>
      </c>
      <c r="K304" s="3">
        <f t="shared" si="78"/>
        <v>0</v>
      </c>
      <c r="L304" s="7">
        <f t="shared" si="79"/>
        <v>0</v>
      </c>
      <c r="M304" t="s">
        <v>187</v>
      </c>
      <c r="O304" s="3">
        <f>E304-'290710 - P1223'!F304</f>
        <v>0</v>
      </c>
      <c r="P304" s="30">
        <f>I304-'290710 - P1223'!J304</f>
        <v>0</v>
      </c>
    </row>
    <row r="305" spans="1:16" x14ac:dyDescent="0.25">
      <c r="A305">
        <v>303</v>
      </c>
      <c r="B305" s="28" t="s">
        <v>471</v>
      </c>
      <c r="C305" t="s">
        <v>291</v>
      </c>
      <c r="D305" s="4" t="s">
        <v>300</v>
      </c>
      <c r="E305" s="12">
        <v>2.2000000000000002</v>
      </c>
      <c r="F305" s="12">
        <v>2.2000000000000002</v>
      </c>
      <c r="G305" s="6">
        <f t="shared" si="75"/>
        <v>0</v>
      </c>
      <c r="H305" s="7">
        <f t="shared" si="76"/>
        <v>0</v>
      </c>
      <c r="I305" s="8">
        <v>3.0480105109489042</v>
      </c>
      <c r="J305" s="9">
        <f t="shared" si="77"/>
        <v>3.0480105109489042</v>
      </c>
      <c r="K305" s="3">
        <f t="shared" si="78"/>
        <v>0</v>
      </c>
      <c r="L305" s="7">
        <f t="shared" si="79"/>
        <v>0</v>
      </c>
      <c r="M305" t="s">
        <v>187</v>
      </c>
      <c r="O305" s="3">
        <f>E305-'290710 - P1223'!F305</f>
        <v>0</v>
      </c>
      <c r="P305" s="30">
        <f>I305-'290710 - P1223'!J305</f>
        <v>0</v>
      </c>
    </row>
    <row r="306" spans="1:16" x14ac:dyDescent="0.25">
      <c r="A306">
        <v>304</v>
      </c>
      <c r="B306" t="s">
        <v>471</v>
      </c>
      <c r="C306" t="s">
        <v>291</v>
      </c>
      <c r="D306" s="4" t="s">
        <v>301</v>
      </c>
      <c r="E306" s="12">
        <v>2.73</v>
      </c>
      <c r="F306" s="12">
        <v>2.73</v>
      </c>
      <c r="G306" s="6">
        <f t="shared" si="75"/>
        <v>0</v>
      </c>
      <c r="H306" s="7">
        <f t="shared" si="76"/>
        <v>0</v>
      </c>
      <c r="I306" s="8">
        <v>3.751827692307693</v>
      </c>
      <c r="J306" s="9">
        <f t="shared" si="77"/>
        <v>3.751827692307693</v>
      </c>
      <c r="K306" s="3">
        <f t="shared" si="78"/>
        <v>0</v>
      </c>
      <c r="L306" s="7">
        <f t="shared" si="79"/>
        <v>0</v>
      </c>
      <c r="M306" t="s">
        <v>187</v>
      </c>
      <c r="O306" s="3">
        <f>E306-'290710 - P1223'!F306</f>
        <v>0</v>
      </c>
      <c r="P306" s="30">
        <f>I306-'290710 - P1223'!J306</f>
        <v>0</v>
      </c>
    </row>
    <row r="307" spans="1:16" x14ac:dyDescent="0.25">
      <c r="A307">
        <v>305</v>
      </c>
      <c r="B307" t="s">
        <v>469</v>
      </c>
      <c r="C307" t="s">
        <v>291</v>
      </c>
      <c r="D307" s="4" t="s">
        <v>302</v>
      </c>
      <c r="E307" s="12">
        <v>0.9</v>
      </c>
      <c r="F307" s="12">
        <v>0.9</v>
      </c>
      <c r="G307" s="6">
        <f t="shared" si="75"/>
        <v>0</v>
      </c>
      <c r="H307" s="7">
        <f t="shared" si="76"/>
        <v>0</v>
      </c>
      <c r="I307" s="8">
        <v>1.7875199999999998</v>
      </c>
      <c r="J307" s="9">
        <f t="shared" si="77"/>
        <v>1.7875199999999998</v>
      </c>
      <c r="K307" s="3">
        <f t="shared" si="78"/>
        <v>0</v>
      </c>
      <c r="L307" s="7">
        <f t="shared" si="79"/>
        <v>0</v>
      </c>
      <c r="M307" t="s">
        <v>187</v>
      </c>
      <c r="O307" s="3">
        <f>E307-'290710 - P1223'!F307</f>
        <v>0</v>
      </c>
      <c r="P307" s="30">
        <f>I307-'290710 - P1223'!J307</f>
        <v>0</v>
      </c>
    </row>
    <row r="308" spans="1:16" x14ac:dyDescent="0.25">
      <c r="A308">
        <v>306</v>
      </c>
      <c r="B308" t="s">
        <v>303</v>
      </c>
      <c r="C308" t="s">
        <v>291</v>
      </c>
      <c r="D308" s="4" t="s">
        <v>304</v>
      </c>
      <c r="E308" s="12">
        <v>66.48</v>
      </c>
      <c r="F308" s="12">
        <v>66.48</v>
      </c>
      <c r="G308" s="6">
        <f t="shared" si="75"/>
        <v>0</v>
      </c>
      <c r="H308" s="7">
        <f t="shared" si="76"/>
        <v>0</v>
      </c>
      <c r="I308" s="8">
        <v>91.32</v>
      </c>
      <c r="J308" s="9">
        <f t="shared" si="77"/>
        <v>91.32</v>
      </c>
      <c r="K308" s="3">
        <f t="shared" si="78"/>
        <v>0</v>
      </c>
      <c r="L308" s="7">
        <f t="shared" si="79"/>
        <v>0</v>
      </c>
      <c r="M308" t="s">
        <v>187</v>
      </c>
      <c r="O308" s="3">
        <f>E308-'290710 - P1223'!F308</f>
        <v>0</v>
      </c>
      <c r="P308" s="30">
        <f>I308-'290710 - P1223'!J308</f>
        <v>0</v>
      </c>
    </row>
    <row r="309" spans="1:16" x14ac:dyDescent="0.25">
      <c r="A309">
        <v>307</v>
      </c>
      <c r="B309" t="s">
        <v>305</v>
      </c>
      <c r="C309" t="s">
        <v>291</v>
      </c>
      <c r="D309" s="4" t="s">
        <v>306</v>
      </c>
      <c r="E309" s="12">
        <v>26.81</v>
      </c>
      <c r="F309" s="12">
        <v>26.81</v>
      </c>
      <c r="G309" s="13">
        <f t="shared" si="75"/>
        <v>0</v>
      </c>
      <c r="H309" s="7">
        <f t="shared" si="76"/>
        <v>0</v>
      </c>
      <c r="I309" s="8">
        <v>41.25</v>
      </c>
      <c r="J309" s="9">
        <f t="shared" si="77"/>
        <v>41.25</v>
      </c>
      <c r="K309" s="3">
        <f t="shared" si="78"/>
        <v>0</v>
      </c>
      <c r="L309" s="7">
        <f t="shared" si="79"/>
        <v>0</v>
      </c>
      <c r="M309" t="s">
        <v>187</v>
      </c>
      <c r="O309" s="3">
        <f>E309-'290710 - P1223'!F309</f>
        <v>0</v>
      </c>
      <c r="P309" s="30">
        <f>I309-'290710 - P1223'!J309</f>
        <v>0</v>
      </c>
    </row>
    <row r="310" spans="1:16" x14ac:dyDescent="0.25">
      <c r="A310">
        <v>308</v>
      </c>
      <c r="B310" t="s">
        <v>303</v>
      </c>
      <c r="C310" t="s">
        <v>291</v>
      </c>
      <c r="D310" s="4" t="s">
        <v>307</v>
      </c>
      <c r="E310" s="12">
        <v>38.020000000000003</v>
      </c>
      <c r="F310" s="12">
        <v>38.020000000000003</v>
      </c>
      <c r="G310" s="6">
        <f t="shared" si="75"/>
        <v>0</v>
      </c>
      <c r="H310" s="7">
        <f t="shared" si="76"/>
        <v>0</v>
      </c>
      <c r="I310" s="8">
        <v>52.23</v>
      </c>
      <c r="J310" s="9">
        <f t="shared" si="77"/>
        <v>52.23</v>
      </c>
      <c r="K310" s="3">
        <f t="shared" si="78"/>
        <v>0</v>
      </c>
      <c r="L310" s="7">
        <f t="shared" si="79"/>
        <v>0</v>
      </c>
      <c r="M310" t="s">
        <v>187</v>
      </c>
      <c r="O310" s="3">
        <f>E310-'290710 - P1223'!F310</f>
        <v>0</v>
      </c>
      <c r="P310" s="30">
        <f>I310-'290710 - P1223'!J310</f>
        <v>0</v>
      </c>
    </row>
    <row r="311" spans="1:16" x14ac:dyDescent="0.25">
      <c r="A311">
        <v>309</v>
      </c>
      <c r="B311" t="s">
        <v>303</v>
      </c>
      <c r="C311" t="s">
        <v>291</v>
      </c>
      <c r="D311" s="4" t="s">
        <v>308</v>
      </c>
      <c r="E311" s="12">
        <v>95.36</v>
      </c>
      <c r="F311" s="12">
        <v>95.36</v>
      </c>
      <c r="G311" s="6">
        <f t="shared" si="75"/>
        <v>0</v>
      </c>
      <c r="H311" s="7">
        <f t="shared" si="76"/>
        <v>0</v>
      </c>
      <c r="I311" s="8">
        <v>130.96011922503726</v>
      </c>
      <c r="J311" s="9">
        <f t="shared" si="77"/>
        <v>130.96011922503726</v>
      </c>
      <c r="K311" s="3">
        <f t="shared" si="78"/>
        <v>0</v>
      </c>
      <c r="L311" s="7">
        <f t="shared" si="79"/>
        <v>0</v>
      </c>
      <c r="M311" t="s">
        <v>187</v>
      </c>
      <c r="O311" s="3">
        <f>E311-'290710 - P1223'!F311</f>
        <v>0</v>
      </c>
      <c r="P311" s="30">
        <f>I311-'290710 - P1223'!J311</f>
        <v>0</v>
      </c>
    </row>
    <row r="312" spans="1:16" x14ac:dyDescent="0.25">
      <c r="A312">
        <v>310</v>
      </c>
      <c r="B312" t="s">
        <v>303</v>
      </c>
      <c r="C312" t="s">
        <v>291</v>
      </c>
      <c r="D312" s="4" t="s">
        <v>309</v>
      </c>
      <c r="E312" s="12">
        <v>15.89</v>
      </c>
      <c r="F312" s="12">
        <v>15.89</v>
      </c>
      <c r="G312" s="6">
        <f t="shared" si="75"/>
        <v>0</v>
      </c>
      <c r="H312" s="7">
        <f t="shared" si="76"/>
        <v>0</v>
      </c>
      <c r="I312" s="8">
        <v>21.821258516129031</v>
      </c>
      <c r="J312" s="9">
        <f t="shared" si="77"/>
        <v>21.821258516129031</v>
      </c>
      <c r="K312" s="3">
        <f t="shared" si="78"/>
        <v>0</v>
      </c>
      <c r="L312" s="7">
        <f t="shared" si="79"/>
        <v>0</v>
      </c>
      <c r="M312" t="s">
        <v>187</v>
      </c>
      <c r="O312" s="3">
        <f>E312-'290710 - P1223'!F312</f>
        <v>0</v>
      </c>
      <c r="P312" s="30">
        <f>I312-'290710 - P1223'!J312</f>
        <v>0</v>
      </c>
    </row>
    <row r="313" spans="1:16" x14ac:dyDescent="0.25">
      <c r="A313">
        <v>311</v>
      </c>
      <c r="B313" t="s">
        <v>303</v>
      </c>
      <c r="C313" t="s">
        <v>291</v>
      </c>
      <c r="D313" s="4" t="s">
        <v>310</v>
      </c>
      <c r="E313" s="12">
        <v>8.59</v>
      </c>
      <c r="F313" s="12">
        <v>8.59</v>
      </c>
      <c r="G313" s="6">
        <f t="shared" si="75"/>
        <v>0</v>
      </c>
      <c r="H313" s="7">
        <f t="shared" si="76"/>
        <v>0</v>
      </c>
      <c r="I313" s="8">
        <v>11.8</v>
      </c>
      <c r="J313" s="9">
        <f t="shared" si="77"/>
        <v>11.8</v>
      </c>
      <c r="K313" s="3">
        <f t="shared" si="78"/>
        <v>0</v>
      </c>
      <c r="L313" s="7">
        <f t="shared" si="79"/>
        <v>0</v>
      </c>
      <c r="M313" t="s">
        <v>187</v>
      </c>
      <c r="O313" s="3">
        <f>E313-'290710 - P1223'!F313</f>
        <v>0</v>
      </c>
      <c r="P313" s="30">
        <f>I313-'290710 - P1223'!J313</f>
        <v>0</v>
      </c>
    </row>
    <row r="314" spans="1:16" x14ac:dyDescent="0.25">
      <c r="A314">
        <v>312</v>
      </c>
      <c r="B314" t="s">
        <v>319</v>
      </c>
      <c r="C314" t="s">
        <v>291</v>
      </c>
      <c r="D314" s="4" t="s">
        <v>311</v>
      </c>
      <c r="E314" s="12">
        <v>11.51</v>
      </c>
      <c r="F314" s="12">
        <v>11.51</v>
      </c>
      <c r="G314" s="6">
        <f t="shared" si="75"/>
        <v>0</v>
      </c>
      <c r="H314" s="7">
        <f t="shared" si="76"/>
        <v>0</v>
      </c>
      <c r="I314" s="8">
        <v>21.72</v>
      </c>
      <c r="J314" s="9">
        <f t="shared" si="77"/>
        <v>21.72</v>
      </c>
      <c r="K314" s="3">
        <f t="shared" si="78"/>
        <v>0</v>
      </c>
      <c r="L314" s="7">
        <f t="shared" si="79"/>
        <v>0</v>
      </c>
      <c r="M314" t="s">
        <v>187</v>
      </c>
      <c r="O314" s="3">
        <f>E314-'290710 - P1223'!F314</f>
        <v>0</v>
      </c>
      <c r="P314" s="30">
        <f>I314-'290710 - P1223'!J314</f>
        <v>0</v>
      </c>
    </row>
    <row r="315" spans="1:16" x14ac:dyDescent="0.25">
      <c r="A315">
        <v>313</v>
      </c>
      <c r="B315" t="s">
        <v>303</v>
      </c>
      <c r="C315" t="s">
        <v>291</v>
      </c>
      <c r="D315" s="4" t="s">
        <v>312</v>
      </c>
      <c r="E315" s="12">
        <v>175</v>
      </c>
      <c r="F315" s="12">
        <v>175</v>
      </c>
      <c r="G315" s="6">
        <f t="shared" si="75"/>
        <v>0</v>
      </c>
      <c r="H315" s="7">
        <f t="shared" si="76"/>
        <v>0</v>
      </c>
      <c r="I315" s="8">
        <v>284.09826122118881</v>
      </c>
      <c r="J315" s="9">
        <f t="shared" si="77"/>
        <v>284.09826122118881</v>
      </c>
      <c r="K315" s="3">
        <f t="shared" si="78"/>
        <v>0</v>
      </c>
      <c r="L315" s="7">
        <f t="shared" si="79"/>
        <v>0</v>
      </c>
      <c r="M315" t="s">
        <v>187</v>
      </c>
      <c r="O315" s="3">
        <f>E315-'290710 - P1223'!F315</f>
        <v>0</v>
      </c>
      <c r="P315" s="30">
        <f>I315-'290710 - P1223'!J315</f>
        <v>0</v>
      </c>
    </row>
    <row r="316" spans="1:16" x14ac:dyDescent="0.25">
      <c r="A316">
        <v>314</v>
      </c>
      <c r="B316" t="s">
        <v>470</v>
      </c>
      <c r="C316" t="s">
        <v>291</v>
      </c>
      <c r="D316" s="4" t="s">
        <v>313</v>
      </c>
      <c r="E316" s="12">
        <v>175</v>
      </c>
      <c r="F316" s="12">
        <v>175</v>
      </c>
      <c r="G316" s="6">
        <f t="shared" si="75"/>
        <v>0</v>
      </c>
      <c r="H316" s="7">
        <f t="shared" si="76"/>
        <v>0</v>
      </c>
      <c r="I316" s="8">
        <v>284.09826122118881</v>
      </c>
      <c r="J316" s="9">
        <f t="shared" si="77"/>
        <v>284.09826122118881</v>
      </c>
      <c r="K316" s="3">
        <f t="shared" si="78"/>
        <v>0</v>
      </c>
      <c r="L316" s="7">
        <f t="shared" si="79"/>
        <v>0</v>
      </c>
      <c r="M316" t="s">
        <v>187</v>
      </c>
      <c r="O316" s="3">
        <f>E316-'290710 - P1223'!F316</f>
        <v>0</v>
      </c>
      <c r="P316" s="30">
        <f>I316-'290710 - P1223'!J316</f>
        <v>0</v>
      </c>
    </row>
    <row r="317" spans="1:16" x14ac:dyDescent="0.25">
      <c r="A317">
        <v>315</v>
      </c>
      <c r="B317" t="s">
        <v>303</v>
      </c>
      <c r="C317" t="s">
        <v>291</v>
      </c>
      <c r="D317" s="4" t="s">
        <v>314</v>
      </c>
      <c r="E317" s="12">
        <v>20.73</v>
      </c>
      <c r="F317" s="12">
        <v>20.73</v>
      </c>
      <c r="G317" s="6">
        <f t="shared" si="75"/>
        <v>0</v>
      </c>
      <c r="H317" s="7">
        <f t="shared" si="76"/>
        <v>0</v>
      </c>
      <c r="I317" s="8">
        <v>33.65</v>
      </c>
      <c r="J317" s="9">
        <f t="shared" si="77"/>
        <v>33.65</v>
      </c>
      <c r="K317" s="3">
        <f t="shared" si="78"/>
        <v>0</v>
      </c>
      <c r="L317" s="7">
        <f t="shared" si="79"/>
        <v>0</v>
      </c>
      <c r="M317" t="s">
        <v>187</v>
      </c>
      <c r="O317" s="3">
        <f>E317-'290710 - P1223'!F317</f>
        <v>0</v>
      </c>
      <c r="P317" s="30">
        <f>I317-'290710 - P1223'!J317</f>
        <v>0</v>
      </c>
    </row>
    <row r="318" spans="1:16" x14ac:dyDescent="0.25">
      <c r="A318">
        <v>316</v>
      </c>
      <c r="B318" t="s">
        <v>470</v>
      </c>
      <c r="C318" t="s">
        <v>291</v>
      </c>
      <c r="D318" s="4" t="s">
        <v>315</v>
      </c>
      <c r="E318" s="12">
        <v>11.34</v>
      </c>
      <c r="F318" s="12">
        <v>11.34</v>
      </c>
      <c r="G318" s="6">
        <f t="shared" si="75"/>
        <v>0</v>
      </c>
      <c r="H318" s="7">
        <f t="shared" si="76"/>
        <v>0</v>
      </c>
      <c r="I318" s="8">
        <v>17.673479758926415</v>
      </c>
      <c r="J318" s="9">
        <f t="shared" si="77"/>
        <v>17.673479758926415</v>
      </c>
      <c r="K318" s="3">
        <f t="shared" si="78"/>
        <v>0</v>
      </c>
      <c r="L318" s="7">
        <f t="shared" si="79"/>
        <v>0</v>
      </c>
      <c r="M318" t="s">
        <v>187</v>
      </c>
      <c r="O318" s="3">
        <f>E318-'290710 - P1223'!F318</f>
        <v>0</v>
      </c>
      <c r="P318" s="30">
        <f>I318-'290710 - P1223'!J318</f>
        <v>0</v>
      </c>
    </row>
    <row r="319" spans="1:16" x14ac:dyDescent="0.25">
      <c r="A319">
        <v>317</v>
      </c>
      <c r="B319" t="s">
        <v>473</v>
      </c>
      <c r="C319" t="s">
        <v>291</v>
      </c>
      <c r="D319" s="4" t="s">
        <v>316</v>
      </c>
      <c r="E319" s="12">
        <v>36.4</v>
      </c>
      <c r="F319" s="12">
        <v>36.4</v>
      </c>
      <c r="G319" s="6">
        <f t="shared" si="75"/>
        <v>0</v>
      </c>
      <c r="H319" s="7">
        <f t="shared" si="76"/>
        <v>0</v>
      </c>
      <c r="I319" s="8">
        <v>56</v>
      </c>
      <c r="J319" s="9">
        <f t="shared" si="77"/>
        <v>56</v>
      </c>
      <c r="K319" s="3">
        <f t="shared" si="78"/>
        <v>0</v>
      </c>
      <c r="L319" s="7">
        <f t="shared" si="79"/>
        <v>0</v>
      </c>
      <c r="M319" t="s">
        <v>187</v>
      </c>
      <c r="O319" s="3">
        <f>E319-'290710 - P1223'!F319</f>
        <v>0</v>
      </c>
      <c r="P319" s="30">
        <f>I319-'290710 - P1223'!J319</f>
        <v>0</v>
      </c>
    </row>
    <row r="320" spans="1:16" x14ac:dyDescent="0.25">
      <c r="A320">
        <v>318</v>
      </c>
      <c r="B320" t="s">
        <v>470</v>
      </c>
      <c r="C320" t="s">
        <v>291</v>
      </c>
      <c r="D320" s="4" t="s">
        <v>317</v>
      </c>
      <c r="E320" s="12">
        <v>32.81</v>
      </c>
      <c r="F320" s="12">
        <v>32.81</v>
      </c>
      <c r="G320" s="6">
        <f t="shared" si="75"/>
        <v>0</v>
      </c>
      <c r="H320" s="7">
        <f t="shared" si="76"/>
        <v>0</v>
      </c>
      <c r="I320" s="8">
        <v>85.12</v>
      </c>
      <c r="J320" s="9">
        <f t="shared" si="77"/>
        <v>85.12</v>
      </c>
      <c r="K320" s="3">
        <f t="shared" si="78"/>
        <v>0</v>
      </c>
      <c r="L320" s="7">
        <f t="shared" si="79"/>
        <v>0</v>
      </c>
      <c r="M320" t="s">
        <v>187</v>
      </c>
      <c r="O320" s="3">
        <f>E320-'290710 - P1223'!F320</f>
        <v>0</v>
      </c>
      <c r="P320" s="30">
        <f>I320-'290710 - P1223'!J320</f>
        <v>0</v>
      </c>
    </row>
    <row r="321" spans="1:16" x14ac:dyDescent="0.25">
      <c r="A321">
        <v>319</v>
      </c>
      <c r="B321" t="s">
        <v>473</v>
      </c>
      <c r="C321" t="s">
        <v>291</v>
      </c>
      <c r="D321" s="4" t="s">
        <v>318</v>
      </c>
      <c r="E321" s="12">
        <v>21.15</v>
      </c>
      <c r="F321" s="12">
        <v>21.15</v>
      </c>
      <c r="G321" s="6">
        <f t="shared" si="75"/>
        <v>0</v>
      </c>
      <c r="H321" s="7">
        <f t="shared" si="76"/>
        <v>0</v>
      </c>
      <c r="I321" s="8">
        <v>32.590000000000003</v>
      </c>
      <c r="J321" s="9">
        <f t="shared" si="77"/>
        <v>32.590000000000003</v>
      </c>
      <c r="K321" s="3">
        <f t="shared" si="78"/>
        <v>0</v>
      </c>
      <c r="L321" s="7">
        <f t="shared" si="79"/>
        <v>0</v>
      </c>
      <c r="M321" t="s">
        <v>187</v>
      </c>
      <c r="O321" s="3">
        <f>E321-'290710 - P1223'!F321</f>
        <v>0</v>
      </c>
      <c r="P321" s="30">
        <f>I321-'290710 - P1223'!J321</f>
        <v>0</v>
      </c>
    </row>
    <row r="322" spans="1:16" x14ac:dyDescent="0.25">
      <c r="A322">
        <v>320</v>
      </c>
      <c r="B322" t="s">
        <v>319</v>
      </c>
      <c r="C322" t="s">
        <v>291</v>
      </c>
      <c r="D322" s="4" t="s">
        <v>320</v>
      </c>
      <c r="E322" s="12">
        <v>1.34</v>
      </c>
      <c r="F322" s="12">
        <v>1.34</v>
      </c>
      <c r="G322" s="6">
        <f t="shared" si="75"/>
        <v>0</v>
      </c>
      <c r="H322" s="7">
        <f t="shared" si="76"/>
        <v>0</v>
      </c>
      <c r="I322" s="8">
        <v>2.5299999999999998</v>
      </c>
      <c r="J322" s="9">
        <f t="shared" si="77"/>
        <v>2.5299999999999998</v>
      </c>
      <c r="K322" s="3">
        <f t="shared" si="78"/>
        <v>0</v>
      </c>
      <c r="L322" s="7">
        <f t="shared" si="79"/>
        <v>0</v>
      </c>
      <c r="M322" t="s">
        <v>187</v>
      </c>
      <c r="O322" s="3">
        <f>E322-'290710 - P1223'!F322</f>
        <v>0</v>
      </c>
      <c r="P322" s="30">
        <f>I322-'290710 - P1223'!J322</f>
        <v>0</v>
      </c>
    </row>
    <row r="323" spans="1:16" x14ac:dyDescent="0.25">
      <c r="A323">
        <v>321</v>
      </c>
      <c r="B323" t="s">
        <v>473</v>
      </c>
      <c r="C323" t="s">
        <v>291</v>
      </c>
      <c r="D323" s="4" t="s">
        <v>321</v>
      </c>
      <c r="E323" s="12">
        <v>1.7</v>
      </c>
      <c r="F323" s="12">
        <v>1.7</v>
      </c>
      <c r="G323" s="6">
        <f t="shared" si="75"/>
        <v>0</v>
      </c>
      <c r="H323" s="7">
        <f t="shared" si="76"/>
        <v>0</v>
      </c>
      <c r="I323" s="8">
        <v>2.62</v>
      </c>
      <c r="J323" s="9">
        <f t="shared" si="77"/>
        <v>2.62</v>
      </c>
      <c r="K323" s="3">
        <f t="shared" si="78"/>
        <v>0</v>
      </c>
      <c r="L323" s="7">
        <f t="shared" si="79"/>
        <v>0</v>
      </c>
      <c r="M323" t="s">
        <v>187</v>
      </c>
      <c r="O323" s="3">
        <f>E323-'290710 - P1223'!F323</f>
        <v>0</v>
      </c>
      <c r="P323" s="30">
        <f>I323-'290710 - P1223'!J323</f>
        <v>0</v>
      </c>
    </row>
    <row r="324" spans="1:16" x14ac:dyDescent="0.25">
      <c r="A324">
        <v>322</v>
      </c>
      <c r="B324" t="s">
        <v>474</v>
      </c>
      <c r="C324" t="s">
        <v>291</v>
      </c>
      <c r="D324" s="4" t="s">
        <v>323</v>
      </c>
      <c r="E324" s="16">
        <v>35.229999999999997</v>
      </c>
      <c r="F324" s="12">
        <v>35.229999999999997</v>
      </c>
      <c r="G324" s="6">
        <f t="shared" si="75"/>
        <v>0</v>
      </c>
      <c r="H324" s="7">
        <f t="shared" si="76"/>
        <v>0</v>
      </c>
      <c r="I324" s="8">
        <v>54.21</v>
      </c>
      <c r="J324" s="9">
        <f t="shared" si="77"/>
        <v>54.21</v>
      </c>
      <c r="K324" s="3">
        <f t="shared" si="78"/>
        <v>0</v>
      </c>
      <c r="L324" s="7">
        <f t="shared" si="79"/>
        <v>0</v>
      </c>
      <c r="M324" t="s">
        <v>187</v>
      </c>
      <c r="O324" s="3">
        <f>E324-'290710 - P1223'!F324</f>
        <v>0</v>
      </c>
      <c r="P324" s="30">
        <f>I324-'290710 - P1223'!J324</f>
        <v>0</v>
      </c>
    </row>
    <row r="325" spans="1:16" x14ac:dyDescent="0.25">
      <c r="A325">
        <v>323</v>
      </c>
      <c r="B325" t="s">
        <v>474</v>
      </c>
      <c r="C325" t="s">
        <v>291</v>
      </c>
      <c r="D325" s="4" t="s">
        <v>324</v>
      </c>
      <c r="E325" s="16">
        <v>19.350000000000001</v>
      </c>
      <c r="F325" s="12">
        <v>19.350000000000001</v>
      </c>
      <c r="G325" s="6">
        <f t="shared" si="75"/>
        <v>0</v>
      </c>
      <c r="H325" s="7">
        <f t="shared" si="76"/>
        <v>0</v>
      </c>
      <c r="I325" s="8">
        <v>34.01</v>
      </c>
      <c r="J325" s="9">
        <f t="shared" si="77"/>
        <v>34.01</v>
      </c>
      <c r="K325" s="3">
        <f t="shared" si="78"/>
        <v>0</v>
      </c>
      <c r="L325" s="7">
        <f t="shared" si="79"/>
        <v>0</v>
      </c>
      <c r="M325" t="s">
        <v>187</v>
      </c>
      <c r="O325" s="3">
        <f>E325-'290710 - P1223'!F325</f>
        <v>0</v>
      </c>
      <c r="P325" s="30">
        <f>I325-'290710 - P1223'!J325</f>
        <v>0</v>
      </c>
    </row>
    <row r="326" spans="1:16" x14ac:dyDescent="0.25">
      <c r="A326">
        <v>324</v>
      </c>
      <c r="B326" t="s">
        <v>474</v>
      </c>
      <c r="C326" t="s">
        <v>291</v>
      </c>
      <c r="D326" s="4" t="s">
        <v>325</v>
      </c>
      <c r="E326" s="16">
        <v>13.97</v>
      </c>
      <c r="F326" s="12">
        <v>13.97</v>
      </c>
      <c r="G326" s="6">
        <f t="shared" si="75"/>
        <v>0</v>
      </c>
      <c r="H326" s="7">
        <f t="shared" si="76"/>
        <v>0</v>
      </c>
      <c r="I326" s="8">
        <v>21.5</v>
      </c>
      <c r="J326" s="9">
        <f t="shared" si="77"/>
        <v>21.5</v>
      </c>
      <c r="K326" s="3">
        <f t="shared" si="78"/>
        <v>0</v>
      </c>
      <c r="L326" s="7">
        <f t="shared" si="79"/>
        <v>0</v>
      </c>
      <c r="M326" t="s">
        <v>187</v>
      </c>
      <c r="O326" s="3">
        <f>E326-'290710 - P1223'!F326</f>
        <v>0</v>
      </c>
      <c r="P326" s="30">
        <f>I326-'290710 - P1223'!J326</f>
        <v>0</v>
      </c>
    </row>
    <row r="327" spans="1:16" x14ac:dyDescent="0.25">
      <c r="A327">
        <v>325</v>
      </c>
      <c r="B327" t="s">
        <v>474</v>
      </c>
      <c r="C327" t="s">
        <v>291</v>
      </c>
      <c r="D327" s="4" t="s">
        <v>326</v>
      </c>
      <c r="E327" s="16">
        <v>4.5599999999999996</v>
      </c>
      <c r="F327" s="12">
        <v>4.5599999999999996</v>
      </c>
      <c r="G327" s="6">
        <f t="shared" si="75"/>
        <v>0</v>
      </c>
      <c r="H327" s="7">
        <f t="shared" si="76"/>
        <v>0</v>
      </c>
      <c r="I327" s="8">
        <v>9.14</v>
      </c>
      <c r="J327" s="9">
        <f t="shared" si="77"/>
        <v>9.14</v>
      </c>
      <c r="K327" s="3">
        <f t="shared" si="78"/>
        <v>0</v>
      </c>
      <c r="L327" s="7">
        <f t="shared" si="79"/>
        <v>0</v>
      </c>
      <c r="M327" t="s">
        <v>187</v>
      </c>
      <c r="O327" s="3">
        <f>E327-'290710 - P1223'!F327</f>
        <v>0</v>
      </c>
      <c r="P327" s="30">
        <f>I327-'290710 - P1223'!J327</f>
        <v>0</v>
      </c>
    </row>
    <row r="328" spans="1:16" x14ac:dyDescent="0.25">
      <c r="A328">
        <v>326</v>
      </c>
      <c r="B328" t="s">
        <v>475</v>
      </c>
      <c r="C328" t="s">
        <v>291</v>
      </c>
      <c r="D328" s="4" t="s">
        <v>327</v>
      </c>
      <c r="E328" s="16">
        <v>3.49</v>
      </c>
      <c r="F328" s="12">
        <v>3.49</v>
      </c>
      <c r="G328" s="6">
        <f t="shared" si="75"/>
        <v>0</v>
      </c>
      <c r="H328" s="7">
        <f t="shared" si="76"/>
        <v>0</v>
      </c>
      <c r="I328" s="8">
        <v>6.59</v>
      </c>
      <c r="J328" s="9">
        <f t="shared" si="77"/>
        <v>6.59</v>
      </c>
      <c r="K328" s="3">
        <f t="shared" si="78"/>
        <v>0</v>
      </c>
      <c r="L328" s="7">
        <f t="shared" si="79"/>
        <v>0</v>
      </c>
      <c r="M328" t="s">
        <v>187</v>
      </c>
      <c r="O328" s="3">
        <f>E328-'290710 - P1223'!F328</f>
        <v>0</v>
      </c>
      <c r="P328" s="30">
        <f>I328-'290710 - P1223'!J328</f>
        <v>0</v>
      </c>
    </row>
    <row r="329" spans="1:16" x14ac:dyDescent="0.25">
      <c r="A329">
        <v>327</v>
      </c>
      <c r="B329" t="s">
        <v>474</v>
      </c>
      <c r="C329" t="s">
        <v>291</v>
      </c>
      <c r="D329" s="4" t="s">
        <v>328</v>
      </c>
      <c r="E329" s="16">
        <v>5.68</v>
      </c>
      <c r="F329" s="12">
        <v>5.68</v>
      </c>
      <c r="G329" s="6">
        <f t="shared" si="75"/>
        <v>0</v>
      </c>
      <c r="H329" s="7">
        <f t="shared" si="76"/>
        <v>0</v>
      </c>
      <c r="I329" s="8">
        <v>8.77</v>
      </c>
      <c r="J329" s="9">
        <f t="shared" si="77"/>
        <v>8.77</v>
      </c>
      <c r="K329" s="3">
        <f t="shared" si="78"/>
        <v>0</v>
      </c>
      <c r="L329" s="7">
        <f t="shared" si="79"/>
        <v>0</v>
      </c>
      <c r="M329" t="s">
        <v>187</v>
      </c>
      <c r="O329" s="3">
        <f>E329-'290710 - P1223'!F329</f>
        <v>0</v>
      </c>
      <c r="P329" s="30">
        <f>I329-'290710 - P1223'!J329</f>
        <v>0</v>
      </c>
    </row>
    <row r="330" spans="1:16" x14ac:dyDescent="0.25">
      <c r="A330">
        <v>328</v>
      </c>
      <c r="B330" t="s">
        <v>473</v>
      </c>
      <c r="C330" t="s">
        <v>291</v>
      </c>
      <c r="D330" s="4" t="s">
        <v>329</v>
      </c>
      <c r="E330" s="16">
        <v>5.22</v>
      </c>
      <c r="F330" s="12">
        <v>5.22</v>
      </c>
      <c r="G330" s="6">
        <f t="shared" si="75"/>
        <v>0</v>
      </c>
      <c r="H330" s="7">
        <f t="shared" si="76"/>
        <v>0</v>
      </c>
      <c r="I330" s="8">
        <v>8.0399999999999991</v>
      </c>
      <c r="J330" s="9">
        <f t="shared" si="77"/>
        <v>8.0399999999999991</v>
      </c>
      <c r="K330" s="3">
        <f t="shared" si="78"/>
        <v>0</v>
      </c>
      <c r="L330" s="7">
        <f t="shared" si="79"/>
        <v>0</v>
      </c>
      <c r="M330" t="s">
        <v>187</v>
      </c>
      <c r="O330" s="3">
        <f>E330-'290710 - P1223'!F330</f>
        <v>0</v>
      </c>
      <c r="P330" s="30">
        <f>I330-'290710 - P1223'!J330</f>
        <v>0</v>
      </c>
    </row>
    <row r="331" spans="1:16" x14ac:dyDescent="0.25">
      <c r="A331">
        <v>329</v>
      </c>
      <c r="B331" t="s">
        <v>474</v>
      </c>
      <c r="C331" t="s">
        <v>291</v>
      </c>
      <c r="D331" s="4" t="s">
        <v>330</v>
      </c>
      <c r="E331" s="16">
        <v>34.32</v>
      </c>
      <c r="F331" s="12">
        <v>34.32</v>
      </c>
      <c r="G331" s="6">
        <f t="shared" si="75"/>
        <v>0</v>
      </c>
      <c r="H331" s="7">
        <f t="shared" si="76"/>
        <v>0</v>
      </c>
      <c r="I331" s="8">
        <v>52.8</v>
      </c>
      <c r="J331" s="9">
        <f t="shared" si="77"/>
        <v>52.8</v>
      </c>
      <c r="K331" s="3">
        <f t="shared" si="78"/>
        <v>0</v>
      </c>
      <c r="L331" s="7">
        <f t="shared" si="79"/>
        <v>0</v>
      </c>
      <c r="M331" t="s">
        <v>187</v>
      </c>
      <c r="O331" s="3">
        <f>E331-'290710 - P1223'!F331</f>
        <v>0</v>
      </c>
      <c r="P331" s="30">
        <f>I331-'290710 - P1223'!J331</f>
        <v>0</v>
      </c>
    </row>
    <row r="332" spans="1:16" x14ac:dyDescent="0.25">
      <c r="A332">
        <v>330</v>
      </c>
      <c r="B332" t="s">
        <v>474</v>
      </c>
      <c r="C332" t="s">
        <v>291</v>
      </c>
      <c r="D332" s="4" t="s">
        <v>331</v>
      </c>
      <c r="E332" s="16">
        <v>2.96</v>
      </c>
      <c r="F332" s="12">
        <v>2.96</v>
      </c>
      <c r="G332" s="6">
        <f>+F332-E332</f>
        <v>0</v>
      </c>
      <c r="H332" s="7">
        <f>(F332-E332)/ABS(E332)</f>
        <v>0</v>
      </c>
      <c r="I332" s="8">
        <v>4.5599999999999996</v>
      </c>
      <c r="J332" s="9">
        <f>(I332*H332)+I332</f>
        <v>4.5599999999999996</v>
      </c>
      <c r="K332" s="3">
        <f>J332-I332</f>
        <v>0</v>
      </c>
      <c r="L332" s="7">
        <f>(J332-I332)/ABS(I332)</f>
        <v>0</v>
      </c>
      <c r="M332" t="s">
        <v>187</v>
      </c>
      <c r="O332" s="3">
        <f>E332-'290710 - P1223'!F332</f>
        <v>0</v>
      </c>
      <c r="P332" s="30">
        <f>I332-'290710 - P1223'!J332</f>
        <v>0</v>
      </c>
    </row>
    <row r="333" spans="1:16" x14ac:dyDescent="0.25">
      <c r="A333">
        <v>331</v>
      </c>
      <c r="B333" t="s">
        <v>473</v>
      </c>
      <c r="C333" t="s">
        <v>291</v>
      </c>
      <c r="D333" s="4" t="s">
        <v>332</v>
      </c>
      <c r="E333" s="12">
        <v>197</v>
      </c>
      <c r="F333" s="12">
        <v>197</v>
      </c>
      <c r="G333" s="6">
        <f t="shared" ref="G333:G345" si="80">+F333-E333</f>
        <v>0</v>
      </c>
      <c r="H333" s="7">
        <f t="shared" ref="H333:H345" si="81">(F333-E333)/ABS(E333)</f>
        <v>0</v>
      </c>
      <c r="I333" s="8">
        <v>303.08</v>
      </c>
      <c r="J333" s="9">
        <f t="shared" ref="J333:J345" si="82">(I333*H333)+I333</f>
        <v>303.08</v>
      </c>
      <c r="K333" s="3">
        <f t="shared" ref="K333:K345" si="83">J333-I333</f>
        <v>0</v>
      </c>
      <c r="L333" s="7">
        <f t="shared" ref="L333:L345" si="84">(J333-I333)/ABS(I333)</f>
        <v>0</v>
      </c>
      <c r="M333" t="s">
        <v>187</v>
      </c>
      <c r="O333" s="3">
        <f>E333-'290710 - P1223'!F333</f>
        <v>0</v>
      </c>
      <c r="P333" s="30">
        <f>I333-'290710 - P1223'!J333</f>
        <v>0</v>
      </c>
    </row>
    <row r="334" spans="1:16" x14ac:dyDescent="0.25">
      <c r="A334">
        <v>332</v>
      </c>
      <c r="B334" t="s">
        <v>319</v>
      </c>
      <c r="C334" t="s">
        <v>291</v>
      </c>
      <c r="D334" s="4" t="s">
        <v>333</v>
      </c>
      <c r="E334" s="12">
        <v>83</v>
      </c>
      <c r="F334" s="12">
        <v>83</v>
      </c>
      <c r="G334" s="6">
        <f t="shared" si="80"/>
        <v>0</v>
      </c>
      <c r="H334" s="7">
        <f t="shared" si="81"/>
        <v>0</v>
      </c>
      <c r="I334" s="8">
        <v>100.7</v>
      </c>
      <c r="J334" s="9">
        <f t="shared" si="82"/>
        <v>100.7</v>
      </c>
      <c r="K334" s="3">
        <f t="shared" si="83"/>
        <v>0</v>
      </c>
      <c r="L334" s="7">
        <f t="shared" si="84"/>
        <v>0</v>
      </c>
      <c r="M334" t="s">
        <v>187</v>
      </c>
      <c r="O334" s="3">
        <f>E334-'290710 - P1223'!F334</f>
        <v>0</v>
      </c>
      <c r="P334" s="30">
        <f>I334-'290710 - P1223'!J334</f>
        <v>0</v>
      </c>
    </row>
    <row r="335" spans="1:16" x14ac:dyDescent="0.25">
      <c r="A335">
        <v>333</v>
      </c>
      <c r="B335" t="s">
        <v>305</v>
      </c>
      <c r="C335" t="s">
        <v>291</v>
      </c>
      <c r="D335" s="4" t="s">
        <v>334</v>
      </c>
      <c r="E335" s="12">
        <v>10</v>
      </c>
      <c r="F335" s="12">
        <v>10</v>
      </c>
      <c r="G335" s="6">
        <f t="shared" si="80"/>
        <v>0</v>
      </c>
      <c r="H335" s="7">
        <f t="shared" si="81"/>
        <v>0</v>
      </c>
      <c r="I335" s="8">
        <v>15.39</v>
      </c>
      <c r="J335" s="9">
        <f t="shared" si="82"/>
        <v>15.39</v>
      </c>
      <c r="K335" s="3">
        <f t="shared" si="83"/>
        <v>0</v>
      </c>
      <c r="L335" s="7">
        <f t="shared" si="84"/>
        <v>0</v>
      </c>
      <c r="M335" t="s">
        <v>187</v>
      </c>
      <c r="O335" s="3">
        <f>E335-'290710 - P1223'!F335</f>
        <v>0</v>
      </c>
      <c r="P335" s="30">
        <f>I335-'290710 - P1223'!J335</f>
        <v>0</v>
      </c>
    </row>
    <row r="336" spans="1:16" x14ac:dyDescent="0.25">
      <c r="A336">
        <v>334</v>
      </c>
      <c r="B336" t="s">
        <v>476</v>
      </c>
      <c r="C336" t="s">
        <v>291</v>
      </c>
      <c r="D336" s="4" t="s">
        <v>335</v>
      </c>
      <c r="E336" s="12">
        <v>2.5099999999999998</v>
      </c>
      <c r="F336" s="12">
        <v>2.5099999999999998</v>
      </c>
      <c r="G336" s="6">
        <f t="shared" si="80"/>
        <v>0</v>
      </c>
      <c r="H336" s="7">
        <f t="shared" si="81"/>
        <v>0</v>
      </c>
      <c r="I336" s="8">
        <v>5.14</v>
      </c>
      <c r="J336" s="9">
        <f t="shared" si="82"/>
        <v>5.14</v>
      </c>
      <c r="K336" s="3">
        <f t="shared" si="83"/>
        <v>0</v>
      </c>
      <c r="L336" s="7">
        <f t="shared" si="84"/>
        <v>0</v>
      </c>
      <c r="M336" t="s">
        <v>187</v>
      </c>
      <c r="O336" s="3">
        <f>E336-'290710 - P1223'!F336</f>
        <v>0</v>
      </c>
      <c r="P336" s="30">
        <f>I336-'290710 - P1223'!J336</f>
        <v>0</v>
      </c>
    </row>
    <row r="337" spans="1:16" x14ac:dyDescent="0.25">
      <c r="A337">
        <v>335</v>
      </c>
      <c r="B337" t="s">
        <v>477</v>
      </c>
      <c r="C337" t="s">
        <v>291</v>
      </c>
      <c r="D337" s="4" t="s">
        <v>336</v>
      </c>
      <c r="E337" s="12">
        <v>5.44</v>
      </c>
      <c r="F337" s="12">
        <v>5.44</v>
      </c>
      <c r="G337" s="6">
        <f t="shared" si="80"/>
        <v>0</v>
      </c>
      <c r="H337" s="7">
        <f t="shared" si="81"/>
        <v>0</v>
      </c>
      <c r="I337" s="8">
        <v>9.49</v>
      </c>
      <c r="J337" s="9">
        <f t="shared" si="82"/>
        <v>9.49</v>
      </c>
      <c r="K337" s="3">
        <f t="shared" si="83"/>
        <v>0</v>
      </c>
      <c r="L337" s="7">
        <f t="shared" si="84"/>
        <v>0</v>
      </c>
      <c r="M337" t="s">
        <v>187</v>
      </c>
      <c r="O337" s="3">
        <f>E337-'290710 - P1223'!F337</f>
        <v>0</v>
      </c>
      <c r="P337" s="30">
        <f>I337-'290710 - P1223'!J337</f>
        <v>0</v>
      </c>
    </row>
    <row r="338" spans="1:16" x14ac:dyDescent="0.25">
      <c r="A338">
        <v>336</v>
      </c>
      <c r="B338" t="s">
        <v>463</v>
      </c>
      <c r="C338" t="s">
        <v>291</v>
      </c>
      <c r="D338" s="4" t="s">
        <v>337</v>
      </c>
      <c r="E338" s="12">
        <v>115.32</v>
      </c>
      <c r="F338" s="12">
        <v>115.32</v>
      </c>
      <c r="G338" s="6">
        <f t="shared" si="80"/>
        <v>0</v>
      </c>
      <c r="H338" s="7">
        <f t="shared" si="81"/>
        <v>0</v>
      </c>
      <c r="I338" s="8">
        <v>177.42</v>
      </c>
      <c r="J338" s="9">
        <f t="shared" si="82"/>
        <v>177.42</v>
      </c>
      <c r="K338" s="3">
        <f t="shared" si="83"/>
        <v>0</v>
      </c>
      <c r="L338" s="7">
        <f t="shared" si="84"/>
        <v>0</v>
      </c>
      <c r="M338" t="s">
        <v>187</v>
      </c>
      <c r="O338" s="3">
        <f>E338-'290710 - P1223'!F338</f>
        <v>0</v>
      </c>
      <c r="P338" s="30">
        <f>I338-'290710 - P1223'!J338</f>
        <v>0</v>
      </c>
    </row>
    <row r="339" spans="1:16" x14ac:dyDescent="0.25">
      <c r="A339">
        <v>337</v>
      </c>
      <c r="B339" t="s">
        <v>463</v>
      </c>
      <c r="C339" t="s">
        <v>291</v>
      </c>
      <c r="D339" s="4" t="s">
        <v>338</v>
      </c>
      <c r="E339" s="12">
        <v>0.89</v>
      </c>
      <c r="F339" s="12">
        <v>0.89</v>
      </c>
      <c r="G339" s="6">
        <f t="shared" si="80"/>
        <v>0</v>
      </c>
      <c r="H339" s="7">
        <f t="shared" si="81"/>
        <v>0</v>
      </c>
      <c r="I339" s="8">
        <v>1.37</v>
      </c>
      <c r="J339" s="9">
        <f t="shared" si="82"/>
        <v>1.37</v>
      </c>
      <c r="K339" s="3">
        <f t="shared" si="83"/>
        <v>0</v>
      </c>
      <c r="L339" s="7">
        <f t="shared" si="84"/>
        <v>0</v>
      </c>
      <c r="M339" t="s">
        <v>187</v>
      </c>
      <c r="O339" s="3">
        <f>E339-'290710 - P1223'!F339</f>
        <v>0</v>
      </c>
      <c r="P339" s="30">
        <f>I339-'290710 - P1223'!J339</f>
        <v>0</v>
      </c>
    </row>
    <row r="340" spans="1:16" x14ac:dyDescent="0.25">
      <c r="A340">
        <v>338</v>
      </c>
      <c r="B340" t="s">
        <v>463</v>
      </c>
      <c r="C340" t="s">
        <v>291</v>
      </c>
      <c r="D340" s="4" t="s">
        <v>339</v>
      </c>
      <c r="E340" s="12">
        <v>33.590000000000003</v>
      </c>
      <c r="F340" s="12">
        <v>33.590000000000003</v>
      </c>
      <c r="G340" s="6">
        <f t="shared" si="80"/>
        <v>0</v>
      </c>
      <c r="H340" s="7">
        <f t="shared" si="81"/>
        <v>0</v>
      </c>
      <c r="I340" s="8">
        <v>51.68</v>
      </c>
      <c r="J340" s="9">
        <f t="shared" si="82"/>
        <v>51.68</v>
      </c>
      <c r="K340" s="3">
        <f t="shared" si="83"/>
        <v>0</v>
      </c>
      <c r="L340" s="7">
        <f t="shared" si="84"/>
        <v>0</v>
      </c>
      <c r="M340" t="s">
        <v>187</v>
      </c>
      <c r="O340" s="3">
        <f>E340-'290710 - P1223'!F340</f>
        <v>0</v>
      </c>
      <c r="P340" s="30">
        <f>I340-'290710 - P1223'!J340</f>
        <v>0</v>
      </c>
    </row>
    <row r="341" spans="1:16" x14ac:dyDescent="0.25">
      <c r="A341">
        <v>339</v>
      </c>
      <c r="B341" t="s">
        <v>463</v>
      </c>
      <c r="C341" t="s">
        <v>291</v>
      </c>
      <c r="D341" s="4" t="s">
        <v>464</v>
      </c>
      <c r="E341" s="12">
        <v>14.78</v>
      </c>
      <c r="F341" s="12">
        <v>14.78</v>
      </c>
      <c r="G341" s="6">
        <f t="shared" si="80"/>
        <v>0</v>
      </c>
      <c r="H341" s="7">
        <f t="shared" si="81"/>
        <v>0</v>
      </c>
      <c r="I341" s="8">
        <v>22.74</v>
      </c>
      <c r="J341" s="9">
        <f t="shared" si="82"/>
        <v>22.74</v>
      </c>
      <c r="K341" s="3">
        <f t="shared" si="83"/>
        <v>0</v>
      </c>
      <c r="L341" s="7">
        <f t="shared" si="84"/>
        <v>0</v>
      </c>
      <c r="M341" t="s">
        <v>187</v>
      </c>
      <c r="O341" s="3">
        <f>E341-'290710 - P1223'!F341</f>
        <v>0</v>
      </c>
      <c r="P341" s="30">
        <f>I341-'290710 - P1223'!J341</f>
        <v>0</v>
      </c>
    </row>
    <row r="342" spans="1:16" x14ac:dyDescent="0.25">
      <c r="A342">
        <v>340</v>
      </c>
      <c r="B342" t="s">
        <v>463</v>
      </c>
      <c r="C342" t="s">
        <v>291</v>
      </c>
      <c r="D342" s="4" t="s">
        <v>466</v>
      </c>
      <c r="E342" s="12">
        <v>2.21</v>
      </c>
      <c r="F342" s="12">
        <v>2.21</v>
      </c>
      <c r="G342" s="6">
        <f t="shared" si="80"/>
        <v>0</v>
      </c>
      <c r="H342" s="7">
        <f t="shared" si="81"/>
        <v>0</v>
      </c>
      <c r="I342" s="8">
        <v>3.8</v>
      </c>
      <c r="J342" s="9">
        <f t="shared" si="82"/>
        <v>3.8</v>
      </c>
      <c r="K342" s="3">
        <f t="shared" si="83"/>
        <v>0</v>
      </c>
      <c r="L342" s="7">
        <f t="shared" si="84"/>
        <v>0</v>
      </c>
      <c r="M342" t="s">
        <v>187</v>
      </c>
      <c r="O342" s="3">
        <f>E342-'290710 - P1223'!F342</f>
        <v>0</v>
      </c>
      <c r="P342" s="30">
        <f>I342-'290710 - P1223'!J342</f>
        <v>0</v>
      </c>
    </row>
    <row r="343" spans="1:16" x14ac:dyDescent="0.25">
      <c r="A343">
        <v>341</v>
      </c>
      <c r="B343" t="s">
        <v>463</v>
      </c>
      <c r="C343" t="s">
        <v>291</v>
      </c>
      <c r="D343" s="4" t="s">
        <v>467</v>
      </c>
      <c r="E343" s="12">
        <v>30.62</v>
      </c>
      <c r="F343" s="12">
        <v>30.62</v>
      </c>
      <c r="G343" s="6">
        <f t="shared" si="80"/>
        <v>0</v>
      </c>
      <c r="H343" s="7">
        <f t="shared" si="81"/>
        <v>0</v>
      </c>
      <c r="I343" s="8">
        <v>52.76</v>
      </c>
      <c r="J343" s="9">
        <f t="shared" si="82"/>
        <v>52.76</v>
      </c>
      <c r="K343" s="3">
        <f t="shared" si="83"/>
        <v>0</v>
      </c>
      <c r="L343" s="7">
        <f t="shared" si="84"/>
        <v>0</v>
      </c>
      <c r="M343" t="s">
        <v>187</v>
      </c>
      <c r="O343" s="3">
        <f>E343-'290710 - P1223'!F343</f>
        <v>0</v>
      </c>
      <c r="P343" s="30">
        <f>I343-'290710 - P1223'!J343</f>
        <v>0</v>
      </c>
    </row>
    <row r="344" spans="1:16" x14ac:dyDescent="0.25">
      <c r="A344">
        <v>342</v>
      </c>
      <c r="B344" t="s">
        <v>485</v>
      </c>
      <c r="C344" t="s">
        <v>291</v>
      </c>
      <c r="D344" s="4" t="s">
        <v>488</v>
      </c>
      <c r="E344" s="12">
        <v>147</v>
      </c>
      <c r="F344" s="12">
        <v>147</v>
      </c>
      <c r="G344" s="6">
        <f t="shared" si="80"/>
        <v>0</v>
      </c>
      <c r="H344" s="7">
        <f t="shared" si="81"/>
        <v>0</v>
      </c>
      <c r="I344" s="8">
        <v>226.16</v>
      </c>
      <c r="J344" s="9">
        <f t="shared" si="82"/>
        <v>226.16</v>
      </c>
      <c r="K344" s="3">
        <f t="shared" si="83"/>
        <v>0</v>
      </c>
      <c r="L344" s="7">
        <f t="shared" si="84"/>
        <v>0</v>
      </c>
      <c r="M344" t="s">
        <v>187</v>
      </c>
      <c r="O344" s="3">
        <f>E344-'290710 - P1223'!F344</f>
        <v>0</v>
      </c>
      <c r="P344" s="30">
        <f>I344-'290710 - P1223'!J344</f>
        <v>0</v>
      </c>
    </row>
    <row r="345" spans="1:16" x14ac:dyDescent="0.25">
      <c r="A345">
        <v>343</v>
      </c>
      <c r="B345" t="s">
        <v>290</v>
      </c>
      <c r="C345" t="s">
        <v>291</v>
      </c>
      <c r="D345" s="4" t="s">
        <v>489</v>
      </c>
      <c r="E345" s="12">
        <v>66.349999999999994</v>
      </c>
      <c r="F345" s="12">
        <v>66.349999999999994</v>
      </c>
      <c r="G345" s="6">
        <f t="shared" si="80"/>
        <v>0</v>
      </c>
      <c r="H345" s="7">
        <f t="shared" si="81"/>
        <v>0</v>
      </c>
      <c r="I345" s="8">
        <v>102.08</v>
      </c>
      <c r="J345" s="9">
        <f t="shared" si="82"/>
        <v>102.08</v>
      </c>
      <c r="K345" s="3">
        <f t="shared" si="83"/>
        <v>0</v>
      </c>
      <c r="L345" s="7">
        <f t="shared" si="84"/>
        <v>0</v>
      </c>
      <c r="M345" t="s">
        <v>187</v>
      </c>
      <c r="O345" s="3">
        <f>E345-'290710 - P1223'!F345</f>
        <v>0</v>
      </c>
      <c r="P345" s="30">
        <f>I345-'290710 - P1223'!J345</f>
        <v>0</v>
      </c>
    </row>
    <row r="346" spans="1:16" x14ac:dyDescent="0.25">
      <c r="A346">
        <v>344</v>
      </c>
      <c r="D346" s="2" t="s">
        <v>340</v>
      </c>
      <c r="H346" s="10">
        <f>AVERAGE(H298:H343)</f>
        <v>0</v>
      </c>
      <c r="I346"/>
    </row>
    <row r="347" spans="1:16" x14ac:dyDescent="0.25">
      <c r="A347">
        <v>345</v>
      </c>
      <c r="D347" s="2" t="s">
        <v>341</v>
      </c>
      <c r="I347"/>
      <c r="M347" t="s">
        <v>7</v>
      </c>
    </row>
    <row r="348" spans="1:16" x14ac:dyDescent="0.25">
      <c r="A348">
        <v>346</v>
      </c>
      <c r="D348" s="2" t="s">
        <v>342</v>
      </c>
      <c r="I348"/>
      <c r="O348" s="3">
        <f>E348-'290710 - P1223'!F348</f>
        <v>0</v>
      </c>
      <c r="P348" s="30">
        <f>I348-'290710 - P1223'!J348</f>
        <v>0</v>
      </c>
    </row>
    <row r="349" spans="1:16" x14ac:dyDescent="0.25">
      <c r="A349">
        <v>347</v>
      </c>
      <c r="B349" t="s">
        <v>470</v>
      </c>
      <c r="C349" s="28" t="s">
        <v>454</v>
      </c>
      <c r="D349" s="4" t="s">
        <v>497</v>
      </c>
      <c r="E349" s="11">
        <v>1430</v>
      </c>
      <c r="F349" s="11">
        <v>1430</v>
      </c>
      <c r="G349" s="6">
        <f t="shared" ref="G349:G356" si="85">+F349-E349</f>
        <v>0</v>
      </c>
      <c r="H349" s="7">
        <f t="shared" ref="H349:H356" si="86">(F349-E349)/ABS(E349)</f>
        <v>0</v>
      </c>
      <c r="I349" s="8">
        <v>118.24570098910753</v>
      </c>
      <c r="J349" s="9">
        <f t="shared" ref="J349:J356" si="87">(I349*H349)+I349</f>
        <v>118.24570098910753</v>
      </c>
      <c r="K349" s="3">
        <f t="shared" ref="K349:K356" si="88">J349-I349</f>
        <v>0</v>
      </c>
      <c r="L349" s="7">
        <f t="shared" ref="L349:L356" si="89">(J349-I349)/ABS(I349)</f>
        <v>0</v>
      </c>
      <c r="M349" t="s">
        <v>7</v>
      </c>
      <c r="O349" s="3">
        <f>E349-'290710 - P1223'!F349</f>
        <v>0</v>
      </c>
      <c r="P349" s="30">
        <f>I349-'290710 - P1223'!J349</f>
        <v>4.3794704070039785</v>
      </c>
    </row>
    <row r="350" spans="1:16" x14ac:dyDescent="0.25">
      <c r="A350">
        <v>348</v>
      </c>
      <c r="B350" t="s">
        <v>290</v>
      </c>
      <c r="C350" s="28" t="s">
        <v>344</v>
      </c>
      <c r="D350" s="4" t="s">
        <v>345</v>
      </c>
      <c r="E350" s="11">
        <v>4.93</v>
      </c>
      <c r="F350" s="11">
        <v>4.93</v>
      </c>
      <c r="G350" s="6">
        <f t="shared" si="85"/>
        <v>0</v>
      </c>
      <c r="H350" s="7">
        <f t="shared" si="86"/>
        <v>0</v>
      </c>
      <c r="I350" s="8">
        <v>10.18301417057406</v>
      </c>
      <c r="J350" s="9">
        <f t="shared" si="87"/>
        <v>10.18301417057406</v>
      </c>
      <c r="K350" s="3">
        <f t="shared" si="88"/>
        <v>0</v>
      </c>
      <c r="L350" s="7">
        <f t="shared" si="89"/>
        <v>0</v>
      </c>
      <c r="M350" t="s">
        <v>7</v>
      </c>
      <c r="O350" s="3">
        <f>E350-'290710 - P1223'!F350</f>
        <v>0</v>
      </c>
      <c r="P350" s="30">
        <f>I350-'290710 - P1223'!J350</f>
        <v>0</v>
      </c>
    </row>
    <row r="351" spans="1:16" x14ac:dyDescent="0.25">
      <c r="A351">
        <v>349</v>
      </c>
      <c r="B351" t="s">
        <v>463</v>
      </c>
      <c r="C351" s="28" t="s">
        <v>344</v>
      </c>
      <c r="D351" s="4" t="s">
        <v>346</v>
      </c>
      <c r="E351" s="11">
        <v>6.5</v>
      </c>
      <c r="F351" s="11">
        <v>6.5</v>
      </c>
      <c r="G351" s="6">
        <f t="shared" si="85"/>
        <v>0</v>
      </c>
      <c r="H351" s="7">
        <f t="shared" si="86"/>
        <v>0</v>
      </c>
      <c r="I351" s="8">
        <v>11.46</v>
      </c>
      <c r="J351" s="9">
        <f t="shared" si="87"/>
        <v>11.46</v>
      </c>
      <c r="K351" s="3">
        <f t="shared" si="88"/>
        <v>0</v>
      </c>
      <c r="L351" s="7">
        <f t="shared" si="89"/>
        <v>0</v>
      </c>
      <c r="M351" t="s">
        <v>7</v>
      </c>
      <c r="O351" s="3">
        <f>E351-'290710 - P1223'!F351</f>
        <v>0</v>
      </c>
      <c r="P351" s="30">
        <f>I351-'290710 - P1223'!J351</f>
        <v>0</v>
      </c>
    </row>
    <row r="352" spans="1:16" x14ac:dyDescent="0.25">
      <c r="A352">
        <v>350</v>
      </c>
      <c r="B352" t="s">
        <v>463</v>
      </c>
      <c r="C352" s="28" t="s">
        <v>347</v>
      </c>
      <c r="D352" s="4" t="s">
        <v>348</v>
      </c>
      <c r="E352" s="11">
        <v>4.7699999999999996</v>
      </c>
      <c r="F352" s="11">
        <v>4.7699999999999996</v>
      </c>
      <c r="G352" s="6">
        <f t="shared" si="85"/>
        <v>0</v>
      </c>
      <c r="H352" s="7">
        <f t="shared" si="86"/>
        <v>0</v>
      </c>
      <c r="I352" s="8">
        <v>6.82</v>
      </c>
      <c r="J352" s="9">
        <f t="shared" si="87"/>
        <v>6.82</v>
      </c>
      <c r="K352" s="3">
        <f t="shared" si="88"/>
        <v>0</v>
      </c>
      <c r="L352" s="7">
        <f t="shared" si="89"/>
        <v>0</v>
      </c>
      <c r="M352" t="s">
        <v>7</v>
      </c>
      <c r="O352" s="3">
        <f>E352-'290710 - P1223'!F352</f>
        <v>0</v>
      </c>
      <c r="P352" s="30">
        <f>I352-'290710 - P1223'!J352</f>
        <v>0</v>
      </c>
    </row>
    <row r="353" spans="1:16" x14ac:dyDescent="0.25">
      <c r="A353">
        <v>351</v>
      </c>
      <c r="B353" t="s">
        <v>463</v>
      </c>
      <c r="C353" s="28" t="s">
        <v>347</v>
      </c>
      <c r="D353" s="4" t="s">
        <v>349</v>
      </c>
      <c r="E353" s="11">
        <v>104</v>
      </c>
      <c r="F353" s="11">
        <v>104</v>
      </c>
      <c r="G353" s="6">
        <f t="shared" si="85"/>
        <v>0</v>
      </c>
      <c r="H353" s="7">
        <f t="shared" si="86"/>
        <v>0</v>
      </c>
      <c r="I353" s="8">
        <v>159.78</v>
      </c>
      <c r="J353" s="9">
        <f t="shared" si="87"/>
        <v>159.78</v>
      </c>
      <c r="K353" s="3">
        <f t="shared" si="88"/>
        <v>0</v>
      </c>
      <c r="L353" s="7">
        <f t="shared" si="89"/>
        <v>0</v>
      </c>
      <c r="M353" t="s">
        <v>7</v>
      </c>
      <c r="O353" s="3">
        <f>E353-'290710 - P1223'!F353</f>
        <v>0</v>
      </c>
      <c r="P353" s="30">
        <f>I353-'290710 - P1223'!J353</f>
        <v>0</v>
      </c>
    </row>
    <row r="354" spans="1:16" x14ac:dyDescent="0.25">
      <c r="A354">
        <v>352</v>
      </c>
      <c r="B354" t="s">
        <v>445</v>
      </c>
      <c r="C354" s="28" t="s">
        <v>343</v>
      </c>
      <c r="D354" s="4" t="s">
        <v>446</v>
      </c>
      <c r="E354" s="11">
        <v>49.22</v>
      </c>
      <c r="F354" s="11">
        <v>49.22</v>
      </c>
      <c r="G354" s="6">
        <f t="shared" si="85"/>
        <v>0</v>
      </c>
      <c r="H354" s="7">
        <f t="shared" si="86"/>
        <v>0</v>
      </c>
      <c r="I354" s="8">
        <v>65.413333333333341</v>
      </c>
      <c r="J354" s="9">
        <f t="shared" si="87"/>
        <v>65.413333333333341</v>
      </c>
      <c r="K354" s="3">
        <f t="shared" si="88"/>
        <v>0</v>
      </c>
      <c r="L354" s="7">
        <f t="shared" si="89"/>
        <v>0</v>
      </c>
      <c r="M354" t="s">
        <v>7</v>
      </c>
      <c r="O354" s="3">
        <f>E354-'290710 - P1223'!F354</f>
        <v>0</v>
      </c>
      <c r="P354" s="30">
        <f>I354-'290710 - P1223'!J354</f>
        <v>0</v>
      </c>
    </row>
    <row r="355" spans="1:16" x14ac:dyDescent="0.25">
      <c r="A355">
        <v>353</v>
      </c>
      <c r="B355" t="s">
        <v>303</v>
      </c>
      <c r="C355" s="28" t="s">
        <v>343</v>
      </c>
      <c r="D355" s="4" t="s">
        <v>350</v>
      </c>
      <c r="E355" s="11">
        <v>28.21</v>
      </c>
      <c r="F355" s="11">
        <v>28.21</v>
      </c>
      <c r="G355" s="6">
        <f t="shared" si="85"/>
        <v>0</v>
      </c>
      <c r="H355" s="7">
        <f t="shared" si="86"/>
        <v>0</v>
      </c>
      <c r="I355" s="8">
        <v>60.400819101768519</v>
      </c>
      <c r="J355" s="9">
        <f t="shared" si="87"/>
        <v>60.400819101768519</v>
      </c>
      <c r="K355" s="3">
        <f t="shared" si="88"/>
        <v>0</v>
      </c>
      <c r="L355" s="7">
        <f t="shared" si="89"/>
        <v>0</v>
      </c>
      <c r="M355" t="s">
        <v>7</v>
      </c>
      <c r="O355" s="3">
        <f>E355-'290710 - P1223'!F355</f>
        <v>0</v>
      </c>
      <c r="P355" s="30">
        <f>I355-'290710 - P1223'!J355</f>
        <v>0</v>
      </c>
    </row>
    <row r="356" spans="1:16" x14ac:dyDescent="0.25">
      <c r="A356">
        <v>354</v>
      </c>
      <c r="B356" t="s">
        <v>303</v>
      </c>
      <c r="C356" s="28" t="s">
        <v>351</v>
      </c>
      <c r="D356" s="4" t="s">
        <v>352</v>
      </c>
      <c r="E356" s="11">
        <v>20.36</v>
      </c>
      <c r="F356" s="11">
        <v>20.36</v>
      </c>
      <c r="G356" s="6">
        <f t="shared" si="85"/>
        <v>0</v>
      </c>
      <c r="H356" s="7">
        <f t="shared" si="86"/>
        <v>0</v>
      </c>
      <c r="I356" s="8">
        <v>33.75</v>
      </c>
      <c r="J356" s="9">
        <f t="shared" si="87"/>
        <v>33.75</v>
      </c>
      <c r="K356" s="3">
        <f t="shared" si="88"/>
        <v>0</v>
      </c>
      <c r="L356" s="7">
        <f t="shared" si="89"/>
        <v>0</v>
      </c>
      <c r="M356" t="s">
        <v>7</v>
      </c>
      <c r="O356" s="3">
        <f>E356-'290710 - P1223'!F356</f>
        <v>0</v>
      </c>
      <c r="P356" s="30">
        <f>I356-'290710 - P1223'!J356</f>
        <v>0</v>
      </c>
    </row>
    <row r="357" spans="1:16" x14ac:dyDescent="0.25">
      <c r="A357">
        <v>355</v>
      </c>
      <c r="C357" s="28"/>
      <c r="D357" s="2" t="s">
        <v>353</v>
      </c>
      <c r="I357"/>
    </row>
    <row r="358" spans="1:16" x14ac:dyDescent="0.25">
      <c r="A358">
        <v>356</v>
      </c>
      <c r="B358" t="s">
        <v>294</v>
      </c>
      <c r="C358" s="28" t="s">
        <v>354</v>
      </c>
      <c r="D358" s="4" t="s">
        <v>355</v>
      </c>
      <c r="E358" s="12">
        <v>5.98</v>
      </c>
      <c r="F358" s="12">
        <v>5.98</v>
      </c>
      <c r="G358" s="6">
        <f>+F358-E358</f>
        <v>0</v>
      </c>
      <c r="H358" s="7">
        <f>(F358-E358)/ABS(E358)</f>
        <v>0</v>
      </c>
      <c r="I358" s="12">
        <v>10.64931506849315</v>
      </c>
      <c r="J358" s="12">
        <f>(I358*H358)+I358</f>
        <v>10.64931506849315</v>
      </c>
      <c r="K358" s="3">
        <f>J358-I358</f>
        <v>0</v>
      </c>
      <c r="L358" s="7">
        <f>(J358-I358)/ABS(I358)</f>
        <v>0</v>
      </c>
      <c r="M358" t="s">
        <v>150</v>
      </c>
      <c r="O358" s="3">
        <f>E358-'290710 - P1223'!F358</f>
        <v>0</v>
      </c>
      <c r="P358" s="30">
        <f>I358-'290710 - P1223'!J358</f>
        <v>0</v>
      </c>
    </row>
    <row r="359" spans="1:16" x14ac:dyDescent="0.25">
      <c r="A359">
        <v>357</v>
      </c>
      <c r="C359" s="28"/>
      <c r="D359" s="2" t="s">
        <v>356</v>
      </c>
      <c r="I359"/>
    </row>
    <row r="360" spans="1:16" x14ac:dyDescent="0.25">
      <c r="A360">
        <v>358</v>
      </c>
      <c r="B360" t="s">
        <v>502</v>
      </c>
      <c r="C360" s="28" t="s">
        <v>454</v>
      </c>
      <c r="D360" s="4" t="s">
        <v>503</v>
      </c>
      <c r="E360" s="11">
        <v>1754</v>
      </c>
      <c r="F360" s="11">
        <v>1581</v>
      </c>
      <c r="G360" s="13">
        <f t="shared" ref="G360:G394" si="90">+F360-E360</f>
        <v>-173</v>
      </c>
      <c r="H360" s="7">
        <f t="shared" ref="H360:H394" si="91">(F360-E360)/ABS(E360)</f>
        <v>-9.8631698973774232E-2</v>
      </c>
      <c r="I360" s="9">
        <v>83.5202093596059</v>
      </c>
      <c r="J360" s="8">
        <f t="shared" ref="J360:J394" si="92">(I360*H360)+I360</f>
        <v>75.282469211822644</v>
      </c>
      <c r="K360" s="3">
        <f t="shared" ref="K360:K394" si="93">J360-I360</f>
        <v>-8.2377401477832564</v>
      </c>
      <c r="L360" s="7">
        <f t="shared" ref="L360:L394" si="94">(J360-I360)/ABS(I360)</f>
        <v>-9.8631698973774301E-2</v>
      </c>
      <c r="M360" t="s">
        <v>7</v>
      </c>
      <c r="O360" s="3">
        <f>E360-'290710 - P1223'!F360</f>
        <v>0</v>
      </c>
      <c r="P360" s="30">
        <f>I360-'290710 - P1223'!J360</f>
        <v>0</v>
      </c>
    </row>
    <row r="361" spans="1:16" x14ac:dyDescent="0.25">
      <c r="A361">
        <v>359</v>
      </c>
      <c r="B361" t="s">
        <v>290</v>
      </c>
      <c r="C361" s="28" t="s">
        <v>454</v>
      </c>
      <c r="D361" s="4" t="s">
        <v>498</v>
      </c>
      <c r="E361" s="11">
        <v>1670</v>
      </c>
      <c r="F361" s="11">
        <v>1670</v>
      </c>
      <c r="G361" s="13">
        <f t="shared" si="90"/>
        <v>0</v>
      </c>
      <c r="H361" s="7">
        <f t="shared" si="91"/>
        <v>0</v>
      </c>
      <c r="I361" s="8">
        <v>40.460441510876777</v>
      </c>
      <c r="J361" s="9">
        <f t="shared" si="92"/>
        <v>40.460441510876777</v>
      </c>
      <c r="K361" s="3">
        <f t="shared" si="93"/>
        <v>0</v>
      </c>
      <c r="L361" s="7">
        <f t="shared" si="94"/>
        <v>0</v>
      </c>
      <c r="M361" t="s">
        <v>7</v>
      </c>
      <c r="O361" s="3">
        <f>E361-'290710 - P1223'!F361</f>
        <v>0</v>
      </c>
      <c r="P361" s="30">
        <f>I361-'290710 - P1223'!J361</f>
        <v>0</v>
      </c>
    </row>
    <row r="362" spans="1:16" x14ac:dyDescent="0.25">
      <c r="A362">
        <v>360</v>
      </c>
      <c r="B362" t="s">
        <v>290</v>
      </c>
      <c r="C362" s="28" t="s">
        <v>454</v>
      </c>
      <c r="D362" s="4" t="s">
        <v>495</v>
      </c>
      <c r="E362" s="11">
        <v>76.16</v>
      </c>
      <c r="F362" s="11">
        <v>76.16</v>
      </c>
      <c r="G362" s="13">
        <f t="shared" si="90"/>
        <v>0</v>
      </c>
      <c r="H362" s="7">
        <f t="shared" si="91"/>
        <v>0</v>
      </c>
      <c r="I362" s="8">
        <v>118.41812494751909</v>
      </c>
      <c r="J362" s="9">
        <f t="shared" si="92"/>
        <v>118.41812494751909</v>
      </c>
      <c r="K362" s="3">
        <f t="shared" si="93"/>
        <v>0</v>
      </c>
      <c r="L362" s="7">
        <f t="shared" si="94"/>
        <v>0</v>
      </c>
      <c r="M362" t="s">
        <v>7</v>
      </c>
      <c r="O362" s="3">
        <f>E362-'290710 - P1223'!F362</f>
        <v>0</v>
      </c>
      <c r="P362" s="30">
        <f>I362-'290710 - P1223'!J362</f>
        <v>0</v>
      </c>
    </row>
    <row r="363" spans="1:16" x14ac:dyDescent="0.25">
      <c r="A363">
        <v>361</v>
      </c>
      <c r="B363" t="s">
        <v>290</v>
      </c>
      <c r="C363" s="28" t="s">
        <v>454</v>
      </c>
      <c r="D363" s="4" t="s">
        <v>496</v>
      </c>
      <c r="E363" s="11">
        <v>1840</v>
      </c>
      <c r="F363" s="11">
        <v>1840</v>
      </c>
      <c r="G363" s="13">
        <f t="shared" si="90"/>
        <v>0</v>
      </c>
      <c r="H363" s="7">
        <f t="shared" si="91"/>
        <v>0</v>
      </c>
      <c r="I363" s="8">
        <v>246.84337380502768</v>
      </c>
      <c r="J363" s="9">
        <f t="shared" si="92"/>
        <v>246.84337380502768</v>
      </c>
      <c r="K363" s="3">
        <f t="shared" si="93"/>
        <v>0</v>
      </c>
      <c r="L363" s="7">
        <f t="shared" si="94"/>
        <v>0</v>
      </c>
      <c r="M363" t="s">
        <v>7</v>
      </c>
      <c r="O363" s="3">
        <f>E363-'290710 - P1223'!F363</f>
        <v>0</v>
      </c>
      <c r="P363" s="30">
        <f>I363-'290710 - P1223'!J363</f>
        <v>0</v>
      </c>
    </row>
    <row r="364" spans="1:16" x14ac:dyDescent="0.25">
      <c r="A364">
        <v>362</v>
      </c>
      <c r="B364" t="s">
        <v>483</v>
      </c>
      <c r="C364" s="28" t="s">
        <v>351</v>
      </c>
      <c r="D364" s="4" t="s">
        <v>357</v>
      </c>
      <c r="E364" s="11">
        <v>2709</v>
      </c>
      <c r="F364" s="11">
        <v>2709</v>
      </c>
      <c r="G364" s="13">
        <f t="shared" si="90"/>
        <v>0</v>
      </c>
      <c r="H364" s="7">
        <f t="shared" si="91"/>
        <v>0</v>
      </c>
      <c r="I364" s="8">
        <v>5.1687034714890512</v>
      </c>
      <c r="J364" s="9">
        <f t="shared" si="92"/>
        <v>5.1687034714890512</v>
      </c>
      <c r="K364" s="3">
        <f t="shared" si="93"/>
        <v>0</v>
      </c>
      <c r="L364" s="7">
        <f t="shared" si="94"/>
        <v>0</v>
      </c>
      <c r="M364" t="s">
        <v>7</v>
      </c>
      <c r="O364" s="3">
        <f>E364-'290710 - P1223'!F364</f>
        <v>0</v>
      </c>
      <c r="P364" s="30">
        <f>I364-'290710 - P1223'!J364</f>
        <v>0</v>
      </c>
    </row>
    <row r="365" spans="1:16" x14ac:dyDescent="0.25">
      <c r="A365">
        <v>363</v>
      </c>
      <c r="B365" t="s">
        <v>484</v>
      </c>
      <c r="C365" s="28" t="s">
        <v>351</v>
      </c>
      <c r="D365" s="4" t="s">
        <v>358</v>
      </c>
      <c r="E365" s="11">
        <v>2709</v>
      </c>
      <c r="F365" s="11">
        <v>2709</v>
      </c>
      <c r="G365" s="13">
        <f t="shared" si="90"/>
        <v>0</v>
      </c>
      <c r="H365" s="7">
        <f t="shared" si="91"/>
        <v>0</v>
      </c>
      <c r="I365" s="8">
        <v>8.0702736339232413</v>
      </c>
      <c r="J365" s="9">
        <f t="shared" si="92"/>
        <v>8.0702736339232413</v>
      </c>
      <c r="K365" s="3">
        <f t="shared" si="93"/>
        <v>0</v>
      </c>
      <c r="L365" s="7">
        <f t="shared" si="94"/>
        <v>0</v>
      </c>
      <c r="M365" t="s">
        <v>7</v>
      </c>
      <c r="O365" s="3">
        <f>E365-'290710 - P1223'!F365</f>
        <v>0</v>
      </c>
      <c r="P365" s="30">
        <f>I365-'290710 - P1223'!J365</f>
        <v>0</v>
      </c>
    </row>
    <row r="366" spans="1:16" x14ac:dyDescent="0.25">
      <c r="A366">
        <v>364</v>
      </c>
      <c r="B366" t="s">
        <v>290</v>
      </c>
      <c r="C366" s="28" t="s">
        <v>351</v>
      </c>
      <c r="D366" s="4" t="s">
        <v>359</v>
      </c>
      <c r="E366" s="11">
        <v>2709</v>
      </c>
      <c r="F366" s="11">
        <v>2709</v>
      </c>
      <c r="G366" s="13">
        <f t="shared" si="90"/>
        <v>0</v>
      </c>
      <c r="H366" s="7">
        <f t="shared" si="91"/>
        <v>0</v>
      </c>
      <c r="I366" s="8">
        <v>11.040593760943526</v>
      </c>
      <c r="J366" s="9">
        <f t="shared" si="92"/>
        <v>11.040593760943526</v>
      </c>
      <c r="K366" s="3">
        <f t="shared" si="93"/>
        <v>0</v>
      </c>
      <c r="L366" s="7">
        <f t="shared" si="94"/>
        <v>0</v>
      </c>
      <c r="M366" t="s">
        <v>7</v>
      </c>
      <c r="O366" s="3">
        <f>E366-'290710 - P1223'!F366</f>
        <v>0</v>
      </c>
      <c r="P366" s="30">
        <f>I366-'290710 - P1223'!J366</f>
        <v>0</v>
      </c>
    </row>
    <row r="367" spans="1:16" x14ac:dyDescent="0.25">
      <c r="A367">
        <v>365</v>
      </c>
      <c r="B367" t="s">
        <v>476</v>
      </c>
      <c r="C367" s="28" t="s">
        <v>351</v>
      </c>
      <c r="D367" s="4" t="s">
        <v>360</v>
      </c>
      <c r="E367" s="11">
        <v>3148</v>
      </c>
      <c r="F367" s="11">
        <v>3148</v>
      </c>
      <c r="G367" s="13">
        <f t="shared" si="90"/>
        <v>0</v>
      </c>
      <c r="H367" s="7">
        <f t="shared" si="91"/>
        <v>0</v>
      </c>
      <c r="I367" s="8">
        <v>14.3</v>
      </c>
      <c r="J367" s="9">
        <f t="shared" si="92"/>
        <v>14.3</v>
      </c>
      <c r="K367" s="3">
        <f t="shared" si="93"/>
        <v>0</v>
      </c>
      <c r="L367" s="7">
        <f t="shared" si="94"/>
        <v>0</v>
      </c>
      <c r="M367" t="s">
        <v>7</v>
      </c>
      <c r="O367" s="3">
        <f>E367-'290710 - P1223'!F367</f>
        <v>0</v>
      </c>
      <c r="P367" s="30">
        <f>I367-'290710 - P1223'!J367</f>
        <v>0</v>
      </c>
    </row>
    <row r="368" spans="1:16" x14ac:dyDescent="0.25">
      <c r="A368">
        <v>366</v>
      </c>
      <c r="B368" t="s">
        <v>478</v>
      </c>
      <c r="C368" s="28" t="s">
        <v>351</v>
      </c>
      <c r="D368" s="4" t="s">
        <v>361</v>
      </c>
      <c r="E368" s="11">
        <v>3065</v>
      </c>
      <c r="F368" s="11">
        <v>3065</v>
      </c>
      <c r="G368" s="13">
        <f t="shared" si="90"/>
        <v>0</v>
      </c>
      <c r="H368" s="7">
        <f t="shared" si="91"/>
        <v>0</v>
      </c>
      <c r="I368" s="8">
        <v>19.904756025519848</v>
      </c>
      <c r="J368" s="9">
        <f t="shared" si="92"/>
        <v>19.904756025519848</v>
      </c>
      <c r="K368" s="3">
        <f t="shared" si="93"/>
        <v>0</v>
      </c>
      <c r="L368" s="7">
        <f t="shared" si="94"/>
        <v>0</v>
      </c>
      <c r="M368" t="s">
        <v>7</v>
      </c>
      <c r="O368" s="3">
        <f>E368-'290710 - P1223'!F368</f>
        <v>0</v>
      </c>
      <c r="P368" s="30">
        <f>I368-'290710 - P1223'!J368</f>
        <v>0</v>
      </c>
    </row>
    <row r="369" spans="1:16" x14ac:dyDescent="0.25">
      <c r="A369">
        <v>367</v>
      </c>
      <c r="B369" t="s">
        <v>445</v>
      </c>
      <c r="C369" s="28" t="s">
        <v>351</v>
      </c>
      <c r="D369" s="4" t="s">
        <v>362</v>
      </c>
      <c r="E369" s="11">
        <v>3065</v>
      </c>
      <c r="F369" s="11">
        <v>3065</v>
      </c>
      <c r="G369" s="13">
        <f t="shared" si="90"/>
        <v>0</v>
      </c>
      <c r="H369" s="7">
        <f t="shared" si="91"/>
        <v>0</v>
      </c>
      <c r="I369" s="8">
        <v>23.00692071335494</v>
      </c>
      <c r="J369" s="9">
        <f t="shared" si="92"/>
        <v>23.00692071335494</v>
      </c>
      <c r="K369" s="3">
        <f t="shared" si="93"/>
        <v>0</v>
      </c>
      <c r="L369" s="7">
        <f t="shared" si="94"/>
        <v>0</v>
      </c>
      <c r="M369" t="s">
        <v>7</v>
      </c>
      <c r="O369" s="3">
        <f>E369-'290710 - P1223'!F369</f>
        <v>0</v>
      </c>
      <c r="P369" s="30">
        <f>I369-'290710 - P1223'!J369</f>
        <v>0</v>
      </c>
    </row>
    <row r="370" spans="1:16" x14ac:dyDescent="0.25">
      <c r="A370">
        <v>368</v>
      </c>
      <c r="B370" t="s">
        <v>478</v>
      </c>
      <c r="C370" s="28" t="s">
        <v>351</v>
      </c>
      <c r="D370" s="4" t="s">
        <v>363</v>
      </c>
      <c r="E370" s="11">
        <v>3135</v>
      </c>
      <c r="F370" s="11">
        <v>3135</v>
      </c>
      <c r="G370" s="13">
        <f t="shared" si="90"/>
        <v>0</v>
      </c>
      <c r="H370" s="7">
        <f t="shared" si="91"/>
        <v>0</v>
      </c>
      <c r="I370" s="8">
        <v>26.876311326468805</v>
      </c>
      <c r="J370" s="9">
        <f t="shared" si="92"/>
        <v>26.876311326468805</v>
      </c>
      <c r="K370" s="3">
        <f t="shared" si="93"/>
        <v>0</v>
      </c>
      <c r="L370" s="7">
        <f t="shared" si="94"/>
        <v>0</v>
      </c>
      <c r="M370" t="s">
        <v>7</v>
      </c>
      <c r="O370" s="3">
        <f>E370-'290710 - P1223'!F370</f>
        <v>0</v>
      </c>
      <c r="P370" s="30">
        <f>I370-'290710 - P1223'!J370</f>
        <v>0</v>
      </c>
    </row>
    <row r="371" spans="1:16" x14ac:dyDescent="0.25">
      <c r="A371">
        <v>369</v>
      </c>
      <c r="B371" t="s">
        <v>481</v>
      </c>
      <c r="C371" s="28" t="s">
        <v>351</v>
      </c>
      <c r="D371" s="4" t="s">
        <v>364</v>
      </c>
      <c r="E371" s="11">
        <v>2931</v>
      </c>
      <c r="F371" s="11">
        <v>2931</v>
      </c>
      <c r="G371" s="13">
        <f t="shared" si="90"/>
        <v>0</v>
      </c>
      <c r="H371" s="7">
        <f t="shared" si="91"/>
        <v>0</v>
      </c>
      <c r="I371" s="8">
        <v>5.5842827924987404</v>
      </c>
      <c r="J371" s="9">
        <f t="shared" si="92"/>
        <v>5.5842827924987404</v>
      </c>
      <c r="K371" s="3">
        <f t="shared" si="93"/>
        <v>0</v>
      </c>
      <c r="L371" s="7">
        <f t="shared" si="94"/>
        <v>0</v>
      </c>
      <c r="M371" t="s">
        <v>7</v>
      </c>
      <c r="O371" s="3">
        <f>E371-'290710 - P1223'!F371</f>
        <v>0</v>
      </c>
      <c r="P371" s="30">
        <f>I371-'290710 - P1223'!J371</f>
        <v>0</v>
      </c>
    </row>
    <row r="372" spans="1:16" x14ac:dyDescent="0.25">
      <c r="A372">
        <v>370</v>
      </c>
      <c r="B372" t="s">
        <v>479</v>
      </c>
      <c r="C372" t="s">
        <v>365</v>
      </c>
      <c r="D372" s="4" t="s">
        <v>366</v>
      </c>
      <c r="E372" s="11">
        <v>3205</v>
      </c>
      <c r="F372" s="11">
        <v>3205</v>
      </c>
      <c r="G372" s="13">
        <f t="shared" si="90"/>
        <v>0</v>
      </c>
      <c r="H372" s="7">
        <f t="shared" si="91"/>
        <v>0</v>
      </c>
      <c r="I372" s="8">
        <v>12.576720322698609</v>
      </c>
      <c r="J372" s="9">
        <f t="shared" si="92"/>
        <v>12.576720322698609</v>
      </c>
      <c r="K372" s="3">
        <f t="shared" si="93"/>
        <v>0</v>
      </c>
      <c r="L372" s="7">
        <f t="shared" si="94"/>
        <v>0</v>
      </c>
      <c r="M372" t="s">
        <v>7</v>
      </c>
      <c r="O372" s="3">
        <f>E372-'290710 - P1223'!F372</f>
        <v>0</v>
      </c>
      <c r="P372" s="30">
        <f>I372-'290710 - P1223'!J372</f>
        <v>0</v>
      </c>
    </row>
    <row r="373" spans="1:16" x14ac:dyDescent="0.25">
      <c r="A373">
        <v>371</v>
      </c>
      <c r="B373" t="s">
        <v>470</v>
      </c>
      <c r="C373" t="s">
        <v>365</v>
      </c>
      <c r="D373" s="4" t="s">
        <v>367</v>
      </c>
      <c r="E373" s="11">
        <v>2952</v>
      </c>
      <c r="F373" s="11">
        <v>2952</v>
      </c>
      <c r="G373" s="13">
        <f t="shared" si="90"/>
        <v>0</v>
      </c>
      <c r="H373" s="7">
        <f t="shared" si="91"/>
        <v>0</v>
      </c>
      <c r="I373" s="8">
        <v>24.324911704207679</v>
      </c>
      <c r="J373" s="9">
        <f t="shared" si="92"/>
        <v>24.324911704207679</v>
      </c>
      <c r="K373" s="3">
        <f t="shared" si="93"/>
        <v>0</v>
      </c>
      <c r="L373" s="7">
        <f t="shared" si="94"/>
        <v>0</v>
      </c>
      <c r="M373" t="s">
        <v>7</v>
      </c>
      <c r="O373" s="3">
        <f>E373-'290710 - P1223'!F373</f>
        <v>0</v>
      </c>
      <c r="P373" s="30">
        <f>I373-'290710 - P1223'!J373</f>
        <v>0</v>
      </c>
    </row>
    <row r="374" spans="1:16" x14ac:dyDescent="0.25">
      <c r="A374">
        <v>372</v>
      </c>
      <c r="B374" t="s">
        <v>303</v>
      </c>
      <c r="C374" t="s">
        <v>365</v>
      </c>
      <c r="D374" s="4" t="s">
        <v>368</v>
      </c>
      <c r="E374" s="11">
        <v>2702</v>
      </c>
      <c r="F374" s="11">
        <v>2702</v>
      </c>
      <c r="G374" s="13">
        <f t="shared" si="90"/>
        <v>0</v>
      </c>
      <c r="H374" s="7">
        <f t="shared" si="91"/>
        <v>0</v>
      </c>
      <c r="I374" s="8">
        <v>40.51093209547124</v>
      </c>
      <c r="J374" s="9">
        <f>(I374*H374)+I374</f>
        <v>40.51093209547124</v>
      </c>
      <c r="K374" s="3">
        <f t="shared" si="93"/>
        <v>0</v>
      </c>
      <c r="L374" s="7">
        <f t="shared" si="94"/>
        <v>0</v>
      </c>
      <c r="M374" t="s">
        <v>7</v>
      </c>
      <c r="O374" s="3">
        <f>E374-'290710 - P1223'!F374</f>
        <v>0</v>
      </c>
      <c r="P374" s="30">
        <f>I374-'290710 - P1223'!J374</f>
        <v>0</v>
      </c>
    </row>
    <row r="375" spans="1:16" x14ac:dyDescent="0.25">
      <c r="A375">
        <v>373</v>
      </c>
      <c r="B375" t="s">
        <v>290</v>
      </c>
      <c r="C375" t="s">
        <v>365</v>
      </c>
      <c r="D375" s="4" t="s">
        <v>369</v>
      </c>
      <c r="E375" s="11">
        <v>2702</v>
      </c>
      <c r="F375" s="11">
        <v>2702</v>
      </c>
      <c r="G375" s="13">
        <f t="shared" si="90"/>
        <v>0</v>
      </c>
      <c r="H375" s="7">
        <f t="shared" si="91"/>
        <v>0</v>
      </c>
      <c r="I375" s="8">
        <v>50.641879791355422</v>
      </c>
      <c r="J375" s="9">
        <f t="shared" si="92"/>
        <v>50.641879791355422</v>
      </c>
      <c r="K375" s="3">
        <f t="shared" si="93"/>
        <v>0</v>
      </c>
      <c r="L375" s="7">
        <f t="shared" si="94"/>
        <v>0</v>
      </c>
      <c r="M375" t="s">
        <v>7</v>
      </c>
      <c r="O375" s="3">
        <f>E375-'290710 - P1223'!F375</f>
        <v>0</v>
      </c>
      <c r="P375" s="30">
        <f>I375-'290710 - P1223'!J375</f>
        <v>0</v>
      </c>
    </row>
    <row r="376" spans="1:16" x14ac:dyDescent="0.25">
      <c r="A376">
        <v>374</v>
      </c>
      <c r="B376" t="s">
        <v>470</v>
      </c>
      <c r="C376" t="s">
        <v>365</v>
      </c>
      <c r="D376" s="4" t="s">
        <v>370</v>
      </c>
      <c r="E376" s="11">
        <v>2702</v>
      </c>
      <c r="F376" s="11">
        <v>2702</v>
      </c>
      <c r="G376" s="13">
        <f t="shared" si="90"/>
        <v>0</v>
      </c>
      <c r="H376" s="7">
        <f t="shared" si="91"/>
        <v>0</v>
      </c>
      <c r="I376" s="8">
        <v>60.769079441442358</v>
      </c>
      <c r="J376" s="9">
        <f t="shared" si="92"/>
        <v>60.769079441442358</v>
      </c>
      <c r="K376" s="3">
        <f t="shared" si="93"/>
        <v>0</v>
      </c>
      <c r="L376" s="7">
        <f t="shared" si="94"/>
        <v>0</v>
      </c>
      <c r="M376" t="s">
        <v>7</v>
      </c>
      <c r="O376" s="3">
        <f>E376-'290710 - P1223'!F376</f>
        <v>0</v>
      </c>
      <c r="P376" s="30">
        <f>I376-'290710 - P1223'!J376</f>
        <v>0</v>
      </c>
    </row>
    <row r="377" spans="1:16" x14ac:dyDescent="0.25">
      <c r="A377">
        <v>375</v>
      </c>
      <c r="B377" t="s">
        <v>479</v>
      </c>
      <c r="C377" t="s">
        <v>365</v>
      </c>
      <c r="D377" s="4" t="s">
        <v>371</v>
      </c>
      <c r="E377" s="11">
        <v>3868</v>
      </c>
      <c r="F377" s="11">
        <v>3868</v>
      </c>
      <c r="G377" s="13">
        <f t="shared" si="90"/>
        <v>0</v>
      </c>
      <c r="H377" s="7">
        <f t="shared" si="91"/>
        <v>0</v>
      </c>
      <c r="I377" s="8">
        <v>63.401973632327376</v>
      </c>
      <c r="J377" s="9">
        <f t="shared" si="92"/>
        <v>63.401973632327376</v>
      </c>
      <c r="K377" s="3">
        <f t="shared" si="93"/>
        <v>0</v>
      </c>
      <c r="L377" s="7">
        <f t="shared" si="94"/>
        <v>0</v>
      </c>
      <c r="M377" t="s">
        <v>7</v>
      </c>
      <c r="O377" s="3">
        <f>E377-'290710 - P1223'!F377</f>
        <v>0</v>
      </c>
      <c r="P377" s="30">
        <f>I377-'290710 - P1223'!J377</f>
        <v>0</v>
      </c>
    </row>
    <row r="378" spans="1:16" x14ac:dyDescent="0.25">
      <c r="A378">
        <v>376</v>
      </c>
      <c r="B378" t="s">
        <v>479</v>
      </c>
      <c r="C378" t="s">
        <v>365</v>
      </c>
      <c r="D378" s="4" t="s">
        <v>372</v>
      </c>
      <c r="E378" s="11">
        <v>3928</v>
      </c>
      <c r="F378" s="11">
        <v>3928</v>
      </c>
      <c r="G378" s="13">
        <f t="shared" si="90"/>
        <v>0</v>
      </c>
      <c r="H378" s="7">
        <f t="shared" si="91"/>
        <v>0</v>
      </c>
      <c r="I378" s="8">
        <v>80.721941958125299</v>
      </c>
      <c r="J378" s="9">
        <f t="shared" si="92"/>
        <v>80.721941958125299</v>
      </c>
      <c r="K378" s="3">
        <f t="shared" si="93"/>
        <v>0</v>
      </c>
      <c r="L378" s="7">
        <f t="shared" si="94"/>
        <v>0</v>
      </c>
      <c r="M378" t="s">
        <v>7</v>
      </c>
      <c r="O378" s="3">
        <f>E378-'290710 - P1223'!F378</f>
        <v>0</v>
      </c>
      <c r="P378" s="30">
        <f>I378-'290710 - P1223'!J378</f>
        <v>0</v>
      </c>
    </row>
    <row r="379" spans="1:16" x14ac:dyDescent="0.25">
      <c r="A379">
        <v>377</v>
      </c>
      <c r="B379" t="s">
        <v>473</v>
      </c>
      <c r="C379" t="s">
        <v>365</v>
      </c>
      <c r="D379" s="4" t="s">
        <v>373</v>
      </c>
      <c r="E379" s="11">
        <v>3928</v>
      </c>
      <c r="F379" s="11">
        <v>3928</v>
      </c>
      <c r="G379" s="13">
        <f t="shared" si="90"/>
        <v>0</v>
      </c>
      <c r="H379" s="7">
        <f t="shared" si="91"/>
        <v>0</v>
      </c>
      <c r="I379" s="8">
        <v>100.90409723646053</v>
      </c>
      <c r="J379" s="9">
        <f t="shared" si="92"/>
        <v>100.90409723646053</v>
      </c>
      <c r="K379" s="3">
        <f t="shared" si="93"/>
        <v>0</v>
      </c>
      <c r="L379" s="7">
        <f t="shared" si="94"/>
        <v>0</v>
      </c>
      <c r="M379" t="s">
        <v>7</v>
      </c>
      <c r="O379" s="3">
        <f>E379-'290710 - P1223'!F379</f>
        <v>0</v>
      </c>
      <c r="P379" s="30">
        <f>I379-'290710 - P1223'!J379</f>
        <v>0</v>
      </c>
    </row>
    <row r="380" spans="1:16" x14ac:dyDescent="0.25">
      <c r="A380">
        <v>378</v>
      </c>
      <c r="B380" t="s">
        <v>470</v>
      </c>
      <c r="C380" t="s">
        <v>365</v>
      </c>
      <c r="D380" s="4" t="s">
        <v>374</v>
      </c>
      <c r="E380" s="11">
        <v>3928</v>
      </c>
      <c r="F380" s="11">
        <v>3928</v>
      </c>
      <c r="G380" s="13">
        <f t="shared" si="90"/>
        <v>0</v>
      </c>
      <c r="H380" s="7">
        <f t="shared" si="91"/>
        <v>0</v>
      </c>
      <c r="I380" s="8">
        <v>121.08871182445142</v>
      </c>
      <c r="J380" s="9">
        <f t="shared" si="92"/>
        <v>121.08871182445142</v>
      </c>
      <c r="K380" s="3">
        <f t="shared" si="93"/>
        <v>0</v>
      </c>
      <c r="L380" s="7">
        <f t="shared" si="94"/>
        <v>0</v>
      </c>
      <c r="M380" t="s">
        <v>7</v>
      </c>
      <c r="O380" s="3">
        <f>E380-'290710 - P1223'!F380</f>
        <v>0</v>
      </c>
      <c r="P380" s="30">
        <f>I380-'290710 - P1223'!J380</f>
        <v>0</v>
      </c>
    </row>
    <row r="381" spans="1:16" x14ac:dyDescent="0.25">
      <c r="A381">
        <v>379</v>
      </c>
      <c r="B381" t="s">
        <v>470</v>
      </c>
      <c r="C381" t="s">
        <v>365</v>
      </c>
      <c r="D381" s="4" t="s">
        <v>375</v>
      </c>
      <c r="E381" s="11">
        <v>3700</v>
      </c>
      <c r="F381" s="11">
        <v>3700</v>
      </c>
      <c r="G381" s="13">
        <f t="shared" si="90"/>
        <v>0</v>
      </c>
      <c r="H381" s="7">
        <f t="shared" si="91"/>
        <v>0</v>
      </c>
      <c r="I381" s="8">
        <v>119.12776534176258</v>
      </c>
      <c r="J381" s="9">
        <f t="shared" si="92"/>
        <v>119.12776534176258</v>
      </c>
      <c r="K381" s="3">
        <f t="shared" si="93"/>
        <v>0</v>
      </c>
      <c r="L381" s="7">
        <f t="shared" si="94"/>
        <v>0</v>
      </c>
      <c r="M381" t="s">
        <v>7</v>
      </c>
      <c r="O381" s="3">
        <f>E381-'290710 - P1223'!F381</f>
        <v>0</v>
      </c>
      <c r="P381" s="30">
        <f>I381-'290710 - P1223'!J381</f>
        <v>0</v>
      </c>
    </row>
    <row r="382" spans="1:16" x14ac:dyDescent="0.25">
      <c r="A382">
        <v>380</v>
      </c>
      <c r="B382" t="s">
        <v>290</v>
      </c>
      <c r="C382" t="s">
        <v>365</v>
      </c>
      <c r="D382" s="4" t="s">
        <v>376</v>
      </c>
      <c r="E382" s="11">
        <v>3700</v>
      </c>
      <c r="F382" s="11">
        <v>3700</v>
      </c>
      <c r="G382" s="13">
        <f t="shared" si="90"/>
        <v>0</v>
      </c>
      <c r="H382" s="7">
        <f t="shared" si="91"/>
        <v>0</v>
      </c>
      <c r="I382" s="8">
        <v>208.45869530604656</v>
      </c>
      <c r="J382" s="9">
        <f t="shared" si="92"/>
        <v>208.45869530604656</v>
      </c>
      <c r="K382" s="3">
        <f t="shared" si="93"/>
        <v>0</v>
      </c>
      <c r="L382" s="7">
        <f t="shared" si="94"/>
        <v>0</v>
      </c>
      <c r="M382" t="s">
        <v>7</v>
      </c>
      <c r="O382" s="3">
        <f>E382-'290710 - P1223'!F382</f>
        <v>0</v>
      </c>
      <c r="P382" s="30">
        <f>I382-'290710 - P1223'!J382</f>
        <v>0</v>
      </c>
    </row>
    <row r="383" spans="1:16" x14ac:dyDescent="0.25">
      <c r="A383">
        <v>381</v>
      </c>
      <c r="B383" t="s">
        <v>303</v>
      </c>
      <c r="C383" t="s">
        <v>365</v>
      </c>
      <c r="D383" s="4" t="s">
        <v>377</v>
      </c>
      <c r="E383" s="11">
        <v>5269</v>
      </c>
      <c r="F383" s="11">
        <v>5269</v>
      </c>
      <c r="G383" s="13">
        <f t="shared" si="90"/>
        <v>0</v>
      </c>
      <c r="H383" s="7">
        <f t="shared" si="91"/>
        <v>0</v>
      </c>
      <c r="I383" s="8">
        <v>195.32781627941307</v>
      </c>
      <c r="J383" s="9">
        <f t="shared" si="92"/>
        <v>195.32781627941307</v>
      </c>
      <c r="K383" s="3">
        <f t="shared" si="93"/>
        <v>0</v>
      </c>
      <c r="L383" s="7">
        <f t="shared" si="94"/>
        <v>0</v>
      </c>
      <c r="M383" t="s">
        <v>7</v>
      </c>
      <c r="O383" s="3">
        <f>E383-'290710 - P1223'!F383</f>
        <v>0</v>
      </c>
      <c r="P383" s="30">
        <f>I383-'290710 - P1223'!J383</f>
        <v>0</v>
      </c>
    </row>
    <row r="384" spans="1:16" x14ac:dyDescent="0.25">
      <c r="A384">
        <v>382</v>
      </c>
      <c r="B384" t="s">
        <v>303</v>
      </c>
      <c r="C384" t="s">
        <v>365</v>
      </c>
      <c r="D384" s="4" t="s">
        <v>378</v>
      </c>
      <c r="E384" s="11">
        <v>5395</v>
      </c>
      <c r="F384" s="11">
        <v>5395</v>
      </c>
      <c r="G384" s="13">
        <f t="shared" si="90"/>
        <v>0</v>
      </c>
      <c r="H384" s="7">
        <f t="shared" si="91"/>
        <v>0</v>
      </c>
      <c r="I384" s="8">
        <v>519.78770475648537</v>
      </c>
      <c r="J384" s="9">
        <f t="shared" si="92"/>
        <v>519.78770475648537</v>
      </c>
      <c r="K384" s="3">
        <f t="shared" si="93"/>
        <v>0</v>
      </c>
      <c r="L384" s="7">
        <f t="shared" si="94"/>
        <v>0</v>
      </c>
      <c r="M384" t="s">
        <v>7</v>
      </c>
      <c r="O384" s="3">
        <f>E384-'290710 - P1223'!F384</f>
        <v>0</v>
      </c>
      <c r="P384" s="30">
        <f>I384-'290710 - P1223'!J384</f>
        <v>0</v>
      </c>
    </row>
    <row r="385" spans="1:16" x14ac:dyDescent="0.25">
      <c r="A385">
        <v>383</v>
      </c>
      <c r="B385" t="s">
        <v>290</v>
      </c>
      <c r="C385" t="s">
        <v>365</v>
      </c>
      <c r="D385" s="4" t="s">
        <v>379</v>
      </c>
      <c r="E385" s="11">
        <v>5200</v>
      </c>
      <c r="F385" s="11">
        <v>5200</v>
      </c>
      <c r="G385" s="13">
        <f t="shared" si="90"/>
        <v>0</v>
      </c>
      <c r="H385" s="7">
        <f t="shared" si="91"/>
        <v>0</v>
      </c>
      <c r="I385" s="8">
        <v>341.80468131321027</v>
      </c>
      <c r="J385" s="9">
        <f t="shared" si="92"/>
        <v>341.80468131321027</v>
      </c>
      <c r="K385" s="3">
        <f t="shared" si="93"/>
        <v>0</v>
      </c>
      <c r="L385" s="7">
        <f t="shared" si="94"/>
        <v>0</v>
      </c>
      <c r="M385" t="s">
        <v>7</v>
      </c>
      <c r="O385" s="3">
        <f>E385-'290710 - P1223'!F385</f>
        <v>0</v>
      </c>
      <c r="P385" s="30">
        <f>I385-'290710 - P1223'!J385</f>
        <v>0</v>
      </c>
    </row>
    <row r="386" spans="1:16" x14ac:dyDescent="0.25">
      <c r="A386">
        <v>384</v>
      </c>
      <c r="B386" t="s">
        <v>485</v>
      </c>
      <c r="C386" t="s">
        <v>343</v>
      </c>
      <c r="D386" s="4" t="s">
        <v>380</v>
      </c>
      <c r="E386" s="12">
        <v>8.6</v>
      </c>
      <c r="F386" s="12">
        <v>8.6</v>
      </c>
      <c r="G386" s="13">
        <f t="shared" si="90"/>
        <v>0</v>
      </c>
      <c r="H386" s="7">
        <f t="shared" si="91"/>
        <v>0</v>
      </c>
      <c r="I386" s="8">
        <v>10.406656000000002</v>
      </c>
      <c r="J386" s="9">
        <f t="shared" si="92"/>
        <v>10.406656000000002</v>
      </c>
      <c r="K386" s="3">
        <f t="shared" si="93"/>
        <v>0</v>
      </c>
      <c r="L386" s="7">
        <f t="shared" si="94"/>
        <v>0</v>
      </c>
      <c r="M386" t="s">
        <v>121</v>
      </c>
      <c r="O386" s="3">
        <f>E386-'290710 - P1223'!F386</f>
        <v>0</v>
      </c>
      <c r="P386" s="30">
        <f>I386-'290710 - P1223'!J386</f>
        <v>0</v>
      </c>
    </row>
    <row r="387" spans="1:16" x14ac:dyDescent="0.25">
      <c r="A387">
        <v>385</v>
      </c>
      <c r="B387" t="s">
        <v>290</v>
      </c>
      <c r="C387" t="s">
        <v>343</v>
      </c>
      <c r="D387" s="4" t="s">
        <v>381</v>
      </c>
      <c r="E387" s="12">
        <v>16.510000000000002</v>
      </c>
      <c r="F387" s="12">
        <v>16.510000000000002</v>
      </c>
      <c r="G387" s="13">
        <f t="shared" si="90"/>
        <v>0</v>
      </c>
      <c r="H387" s="7">
        <f t="shared" si="91"/>
        <v>0</v>
      </c>
      <c r="I387" s="8">
        <v>19.966543999999999</v>
      </c>
      <c r="J387" s="9">
        <f t="shared" si="92"/>
        <v>19.966543999999999</v>
      </c>
      <c r="K387" s="3">
        <f t="shared" si="93"/>
        <v>0</v>
      </c>
      <c r="L387" s="7">
        <f t="shared" si="94"/>
        <v>0</v>
      </c>
      <c r="M387" t="s">
        <v>121</v>
      </c>
      <c r="O387" s="3">
        <f>E387-'290710 - P1223'!F387</f>
        <v>0</v>
      </c>
      <c r="P387" s="30">
        <f>I387-'290710 - P1223'!J387</f>
        <v>0</v>
      </c>
    </row>
    <row r="388" spans="1:16" x14ac:dyDescent="0.25">
      <c r="A388">
        <v>386</v>
      </c>
      <c r="B388" t="s">
        <v>481</v>
      </c>
      <c r="C388" s="28" t="s">
        <v>382</v>
      </c>
      <c r="D388" s="4" t="s">
        <v>383</v>
      </c>
      <c r="E388" s="14">
        <v>112.02</v>
      </c>
      <c r="F388" s="14">
        <v>112.02</v>
      </c>
      <c r="G388" s="6">
        <f t="shared" si="90"/>
        <v>0</v>
      </c>
      <c r="H388" s="7">
        <f t="shared" si="91"/>
        <v>0</v>
      </c>
      <c r="I388" s="8">
        <v>334.74445542845763</v>
      </c>
      <c r="J388" s="9">
        <f t="shared" si="92"/>
        <v>334.74445542845763</v>
      </c>
      <c r="K388" s="3">
        <f t="shared" si="93"/>
        <v>0</v>
      </c>
      <c r="L388" s="7">
        <f t="shared" si="94"/>
        <v>0</v>
      </c>
      <c r="M388" t="s">
        <v>121</v>
      </c>
      <c r="O388" s="3">
        <f>E388-'290710 - P1223'!F388</f>
        <v>0</v>
      </c>
      <c r="P388" s="30">
        <f>I388-'290710 - P1223'!J388</f>
        <v>0</v>
      </c>
    </row>
    <row r="389" spans="1:16" x14ac:dyDescent="0.25">
      <c r="A389">
        <v>387</v>
      </c>
      <c r="B389" t="s">
        <v>482</v>
      </c>
      <c r="C389" s="28" t="s">
        <v>343</v>
      </c>
      <c r="D389" s="4" t="s">
        <v>384</v>
      </c>
      <c r="E389" s="11">
        <v>35.4</v>
      </c>
      <c r="F389" s="11">
        <v>35.4</v>
      </c>
      <c r="G389" s="6">
        <f t="shared" si="90"/>
        <v>0</v>
      </c>
      <c r="H389" s="7">
        <f t="shared" si="91"/>
        <v>0</v>
      </c>
      <c r="I389" s="8">
        <v>53.73333333333332</v>
      </c>
      <c r="J389" s="9">
        <f t="shared" si="92"/>
        <v>53.73333333333332</v>
      </c>
      <c r="K389" s="3">
        <f t="shared" si="93"/>
        <v>0</v>
      </c>
      <c r="L389" s="7">
        <f t="shared" si="94"/>
        <v>0</v>
      </c>
      <c r="M389" t="s">
        <v>150</v>
      </c>
      <c r="O389" s="3">
        <f>E389-'290710 - P1223'!F389</f>
        <v>0</v>
      </c>
      <c r="P389" s="30">
        <f>I389-'290710 - P1223'!J389</f>
        <v>0</v>
      </c>
    </row>
    <row r="390" spans="1:16" x14ac:dyDescent="0.25">
      <c r="A390">
        <v>388</v>
      </c>
      <c r="B390" t="s">
        <v>476</v>
      </c>
      <c r="C390" s="28" t="s">
        <v>385</v>
      </c>
      <c r="D390" s="4" t="s">
        <v>386</v>
      </c>
      <c r="E390" s="11">
        <v>70.2</v>
      </c>
      <c r="F390" s="11">
        <v>70.2</v>
      </c>
      <c r="G390" s="6">
        <f t="shared" si="90"/>
        <v>0</v>
      </c>
      <c r="H390" s="7">
        <f t="shared" si="91"/>
        <v>0</v>
      </c>
      <c r="I390" s="8">
        <v>114.84819573542534</v>
      </c>
      <c r="J390" s="9">
        <f t="shared" si="92"/>
        <v>114.84819573542534</v>
      </c>
      <c r="K390" s="3">
        <f t="shared" si="93"/>
        <v>0</v>
      </c>
      <c r="L390" s="7">
        <f t="shared" si="94"/>
        <v>0</v>
      </c>
      <c r="M390" t="s">
        <v>150</v>
      </c>
      <c r="O390" s="3">
        <f>E390-'290710 - P1223'!F390</f>
        <v>0</v>
      </c>
      <c r="P390" s="30">
        <f>I390-'290710 - P1223'!J390</f>
        <v>0</v>
      </c>
    </row>
    <row r="391" spans="1:16" x14ac:dyDescent="0.25">
      <c r="A391">
        <v>389</v>
      </c>
      <c r="B391" t="s">
        <v>445</v>
      </c>
      <c r="C391" s="28" t="s">
        <v>351</v>
      </c>
      <c r="D391" s="4" t="s">
        <v>500</v>
      </c>
      <c r="E391" s="11">
        <v>208</v>
      </c>
      <c r="F391" s="11">
        <v>208</v>
      </c>
      <c r="G391" s="6">
        <f t="shared" si="90"/>
        <v>0</v>
      </c>
      <c r="H391" s="7">
        <f t="shared" si="91"/>
        <v>0</v>
      </c>
      <c r="I391" s="8">
        <v>297.15636363636361</v>
      </c>
      <c r="J391" s="9">
        <f t="shared" si="92"/>
        <v>297.15636363636361</v>
      </c>
      <c r="K391" s="3">
        <f t="shared" si="93"/>
        <v>0</v>
      </c>
      <c r="L391" s="7">
        <f t="shared" si="94"/>
        <v>0</v>
      </c>
      <c r="M391" t="s">
        <v>150</v>
      </c>
      <c r="O391" s="3">
        <f>E391-'290710 - P1223'!F391</f>
        <v>0</v>
      </c>
      <c r="P391" s="30">
        <f>I391-'290710 - P1223'!J391</f>
        <v>0</v>
      </c>
    </row>
    <row r="392" spans="1:16" x14ac:dyDescent="0.25">
      <c r="A392">
        <v>390</v>
      </c>
      <c r="B392" t="s">
        <v>387</v>
      </c>
      <c r="C392" s="28" t="s">
        <v>351</v>
      </c>
      <c r="D392" s="4" t="s">
        <v>388</v>
      </c>
      <c r="E392" s="12">
        <v>13.11</v>
      </c>
      <c r="F392" s="12">
        <v>13.11</v>
      </c>
      <c r="G392" s="6">
        <f t="shared" si="90"/>
        <v>0</v>
      </c>
      <c r="H392" s="7">
        <f t="shared" si="91"/>
        <v>0</v>
      </c>
      <c r="I392" s="8">
        <v>15.06</v>
      </c>
      <c r="J392" s="9">
        <f t="shared" si="92"/>
        <v>15.06</v>
      </c>
      <c r="K392" s="3">
        <f t="shared" si="93"/>
        <v>0</v>
      </c>
      <c r="L392" s="7">
        <f t="shared" si="94"/>
        <v>0</v>
      </c>
      <c r="M392" t="s">
        <v>150</v>
      </c>
      <c r="O392" s="3">
        <f>E392-'290710 - P1223'!F392</f>
        <v>0</v>
      </c>
      <c r="P392" s="30">
        <f>I392-'290710 - P1223'!J392</f>
        <v>0</v>
      </c>
    </row>
    <row r="393" spans="1:16" x14ac:dyDescent="0.25">
      <c r="A393">
        <v>391</v>
      </c>
      <c r="B393" t="s">
        <v>387</v>
      </c>
      <c r="C393" s="28" t="s">
        <v>351</v>
      </c>
      <c r="D393" s="4" t="s">
        <v>389</v>
      </c>
      <c r="E393" s="12">
        <v>27.99</v>
      </c>
      <c r="F393" s="12">
        <v>27.99</v>
      </c>
      <c r="G393" s="6">
        <f t="shared" si="90"/>
        <v>0</v>
      </c>
      <c r="H393" s="7">
        <f t="shared" si="91"/>
        <v>0</v>
      </c>
      <c r="I393" s="8">
        <v>32.15</v>
      </c>
      <c r="J393" s="9">
        <f t="shared" si="92"/>
        <v>32.15</v>
      </c>
      <c r="K393" s="3">
        <f t="shared" si="93"/>
        <v>0</v>
      </c>
      <c r="L393" s="7">
        <f t="shared" si="94"/>
        <v>0</v>
      </c>
      <c r="M393" t="s">
        <v>150</v>
      </c>
      <c r="O393" s="3">
        <f>E393-'290710 - P1223'!F393</f>
        <v>0</v>
      </c>
      <c r="P393" s="30">
        <f>I393-'290710 - P1223'!J393</f>
        <v>0</v>
      </c>
    </row>
    <row r="394" spans="1:16" x14ac:dyDescent="0.25">
      <c r="A394">
        <v>392</v>
      </c>
      <c r="B394" t="s">
        <v>387</v>
      </c>
      <c r="C394" s="28" t="s">
        <v>351</v>
      </c>
      <c r="D394" s="4" t="s">
        <v>390</v>
      </c>
      <c r="E394" s="12">
        <v>24.27</v>
      </c>
      <c r="F394" s="12">
        <v>24.27</v>
      </c>
      <c r="G394" s="6">
        <f t="shared" si="90"/>
        <v>0</v>
      </c>
      <c r="H394" s="7">
        <f t="shared" si="91"/>
        <v>0</v>
      </c>
      <c r="I394" s="8">
        <v>27.88</v>
      </c>
      <c r="J394" s="9">
        <f t="shared" si="92"/>
        <v>27.88</v>
      </c>
      <c r="K394" s="3">
        <f t="shared" si="93"/>
        <v>0</v>
      </c>
      <c r="L394" s="7">
        <f t="shared" si="94"/>
        <v>0</v>
      </c>
      <c r="M394" t="s">
        <v>150</v>
      </c>
      <c r="O394" s="3">
        <f>E394-'290710 - P1223'!F394</f>
        <v>0</v>
      </c>
      <c r="P394" s="30">
        <f>I394-'290710 - P1223'!J394</f>
        <v>0</v>
      </c>
    </row>
    <row r="395" spans="1:16" x14ac:dyDescent="0.25">
      <c r="A395">
        <v>393</v>
      </c>
      <c r="C395" s="28"/>
      <c r="D395" s="2" t="s">
        <v>391</v>
      </c>
      <c r="M395" t="s">
        <v>150</v>
      </c>
    </row>
    <row r="396" spans="1:16" x14ac:dyDescent="0.25">
      <c r="A396">
        <v>394</v>
      </c>
      <c r="B396" t="s">
        <v>322</v>
      </c>
      <c r="C396" s="28" t="s">
        <v>354</v>
      </c>
      <c r="D396" s="4" t="s">
        <v>392</v>
      </c>
      <c r="E396" s="12">
        <v>3.7791000000000001</v>
      </c>
      <c r="F396" s="12">
        <v>3.7791000000000001</v>
      </c>
      <c r="G396" s="6">
        <f t="shared" ref="G396:G413" si="95">+F396-E396</f>
        <v>0</v>
      </c>
      <c r="H396" s="7">
        <f t="shared" ref="H396:H413" si="96">(F396-E396)/ABS(E396)</f>
        <v>0</v>
      </c>
      <c r="I396" s="8">
        <v>7.5582000000000003</v>
      </c>
      <c r="J396" s="9">
        <f t="shared" ref="J396:J413" si="97">(I396*H396)+I396</f>
        <v>7.5582000000000003</v>
      </c>
      <c r="K396" s="3">
        <f t="shared" ref="K396:K413" si="98">J396-I396</f>
        <v>0</v>
      </c>
      <c r="L396" s="7">
        <f t="shared" ref="L396:L413" si="99">(J396-I396)/ABS(I396)</f>
        <v>0</v>
      </c>
      <c r="M396" t="s">
        <v>150</v>
      </c>
      <c r="O396" s="3">
        <f>E396-'290710 - P1223'!F396</f>
        <v>0</v>
      </c>
      <c r="P396" s="30">
        <f>I396-'290710 - P1223'!J396</f>
        <v>0</v>
      </c>
    </row>
    <row r="397" spans="1:16" x14ac:dyDescent="0.25">
      <c r="A397">
        <v>395</v>
      </c>
      <c r="B397" t="s">
        <v>476</v>
      </c>
      <c r="C397" s="28" t="s">
        <v>354</v>
      </c>
      <c r="D397" s="4" t="s">
        <v>393</v>
      </c>
      <c r="E397" s="12">
        <v>1.81</v>
      </c>
      <c r="F397" s="12">
        <v>1.81</v>
      </c>
      <c r="G397" s="6">
        <f t="shared" si="95"/>
        <v>0</v>
      </c>
      <c r="H397" s="7">
        <f t="shared" si="96"/>
        <v>0</v>
      </c>
      <c r="I397" s="8">
        <v>3.62</v>
      </c>
      <c r="J397" s="9">
        <f t="shared" si="97"/>
        <v>3.62</v>
      </c>
      <c r="K397" s="3">
        <f t="shared" si="98"/>
        <v>0</v>
      </c>
      <c r="L397" s="7">
        <f t="shared" si="99"/>
        <v>0</v>
      </c>
      <c r="M397" t="s">
        <v>150</v>
      </c>
      <c r="O397" s="3">
        <f>E397-'290710 - P1223'!F397</f>
        <v>0</v>
      </c>
      <c r="P397" s="30">
        <f>I397-'290710 - P1223'!J397</f>
        <v>0</v>
      </c>
    </row>
    <row r="398" spans="1:16" x14ac:dyDescent="0.25">
      <c r="A398">
        <v>396</v>
      </c>
      <c r="B398" t="s">
        <v>480</v>
      </c>
      <c r="C398" s="28" t="s">
        <v>354</v>
      </c>
      <c r="D398" s="4" t="s">
        <v>394</v>
      </c>
      <c r="E398" s="12">
        <v>3.01</v>
      </c>
      <c r="F398" s="12">
        <v>3.01</v>
      </c>
      <c r="G398" s="6">
        <f t="shared" si="95"/>
        <v>0</v>
      </c>
      <c r="H398" s="7">
        <f t="shared" si="96"/>
        <v>0</v>
      </c>
      <c r="I398" s="8">
        <v>6.02</v>
      </c>
      <c r="J398" s="9">
        <f t="shared" si="97"/>
        <v>6.02</v>
      </c>
      <c r="K398" s="3">
        <f t="shared" si="98"/>
        <v>0</v>
      </c>
      <c r="L398" s="7">
        <f t="shared" si="99"/>
        <v>0</v>
      </c>
      <c r="M398" t="s">
        <v>150</v>
      </c>
      <c r="O398" s="3">
        <f>E398-'290710 - P1223'!F398</f>
        <v>0</v>
      </c>
      <c r="P398" s="30">
        <f>I398-'290710 - P1223'!J398</f>
        <v>0</v>
      </c>
    </row>
    <row r="399" spans="1:16" x14ac:dyDescent="0.25">
      <c r="A399">
        <v>397</v>
      </c>
      <c r="B399" t="s">
        <v>470</v>
      </c>
      <c r="C399" s="28" t="s">
        <v>354</v>
      </c>
      <c r="D399" s="4" t="s">
        <v>395</v>
      </c>
      <c r="E399" s="12">
        <v>27.08</v>
      </c>
      <c r="F399" s="12">
        <v>27.08</v>
      </c>
      <c r="G399" s="6">
        <f t="shared" si="95"/>
        <v>0</v>
      </c>
      <c r="H399" s="7">
        <f t="shared" si="96"/>
        <v>0</v>
      </c>
      <c r="I399" s="8">
        <v>54.16</v>
      </c>
      <c r="J399" s="9">
        <f t="shared" si="97"/>
        <v>54.16</v>
      </c>
      <c r="K399" s="3">
        <f t="shared" si="98"/>
        <v>0</v>
      </c>
      <c r="L399" s="7">
        <f t="shared" si="99"/>
        <v>0</v>
      </c>
      <c r="M399" t="s">
        <v>150</v>
      </c>
      <c r="O399" s="3">
        <f>E399-'290710 - P1223'!F399</f>
        <v>0</v>
      </c>
      <c r="P399" s="30">
        <f>I399-'290710 - P1223'!J399</f>
        <v>0</v>
      </c>
    </row>
    <row r="400" spans="1:16" x14ac:dyDescent="0.25">
      <c r="A400">
        <v>398</v>
      </c>
      <c r="B400" t="s">
        <v>303</v>
      </c>
      <c r="C400" s="28" t="s">
        <v>354</v>
      </c>
      <c r="D400" s="4" t="s">
        <v>396</v>
      </c>
      <c r="E400" s="12">
        <v>18.07</v>
      </c>
      <c r="F400" s="12">
        <v>18.07</v>
      </c>
      <c r="G400" s="6">
        <f t="shared" si="95"/>
        <v>0</v>
      </c>
      <c r="H400" s="7">
        <f t="shared" si="96"/>
        <v>0</v>
      </c>
      <c r="I400" s="8">
        <v>32.273257621040045</v>
      </c>
      <c r="J400" s="9">
        <f t="shared" si="97"/>
        <v>32.273257621040045</v>
      </c>
      <c r="K400" s="3">
        <f t="shared" si="98"/>
        <v>0</v>
      </c>
      <c r="L400" s="7">
        <f t="shared" si="99"/>
        <v>0</v>
      </c>
      <c r="M400" t="s">
        <v>150</v>
      </c>
      <c r="O400" s="3">
        <f>E400-'290710 - P1223'!F400</f>
        <v>0</v>
      </c>
      <c r="P400" s="30">
        <f>I400-'290710 - P1223'!J400</f>
        <v>0</v>
      </c>
    </row>
    <row r="401" spans="1:16" x14ac:dyDescent="0.25">
      <c r="A401">
        <v>399</v>
      </c>
      <c r="B401" t="s">
        <v>303</v>
      </c>
      <c r="C401" s="28" t="s">
        <v>354</v>
      </c>
      <c r="D401" s="4" t="s">
        <v>397</v>
      </c>
      <c r="E401" s="12">
        <v>11.92</v>
      </c>
      <c r="F401" s="12">
        <v>11.92</v>
      </c>
      <c r="G401" s="6">
        <f t="shared" si="95"/>
        <v>0</v>
      </c>
      <c r="H401" s="7">
        <f t="shared" si="96"/>
        <v>0</v>
      </c>
      <c r="I401" s="8">
        <v>23.863213242453746</v>
      </c>
      <c r="J401" s="9">
        <f t="shared" si="97"/>
        <v>23.863213242453746</v>
      </c>
      <c r="K401" s="3">
        <f t="shared" si="98"/>
        <v>0</v>
      </c>
      <c r="L401" s="7">
        <f t="shared" si="99"/>
        <v>0</v>
      </c>
      <c r="M401" t="s">
        <v>150</v>
      </c>
      <c r="O401" s="3">
        <f>E401-'290710 - P1223'!F401</f>
        <v>0</v>
      </c>
      <c r="P401" s="30">
        <f>I401-'290710 - P1223'!J401</f>
        <v>0</v>
      </c>
    </row>
    <row r="402" spans="1:16" x14ac:dyDescent="0.25">
      <c r="A402">
        <v>400</v>
      </c>
      <c r="B402" t="s">
        <v>303</v>
      </c>
      <c r="C402" s="28" t="s">
        <v>354</v>
      </c>
      <c r="D402" s="4" t="s">
        <v>398</v>
      </c>
      <c r="E402" s="12">
        <v>12.97</v>
      </c>
      <c r="F402" s="12">
        <v>12.97</v>
      </c>
      <c r="G402" s="6">
        <f t="shared" si="95"/>
        <v>0</v>
      </c>
      <c r="H402" s="7">
        <f t="shared" si="96"/>
        <v>0</v>
      </c>
      <c r="I402" s="8">
        <v>25.96322291853178</v>
      </c>
      <c r="J402" s="9">
        <f t="shared" si="97"/>
        <v>25.96322291853178</v>
      </c>
      <c r="K402" s="3">
        <f t="shared" si="98"/>
        <v>0</v>
      </c>
      <c r="L402" s="7">
        <f t="shared" si="99"/>
        <v>0</v>
      </c>
      <c r="M402" t="s">
        <v>150</v>
      </c>
      <c r="O402" s="3">
        <f>E402-'290710 - P1223'!F402</f>
        <v>0</v>
      </c>
      <c r="P402" s="30">
        <f>I402-'290710 - P1223'!J402</f>
        <v>0</v>
      </c>
    </row>
    <row r="403" spans="1:16" x14ac:dyDescent="0.25">
      <c r="A403">
        <v>401</v>
      </c>
      <c r="B403" t="s">
        <v>475</v>
      </c>
      <c r="C403" s="28" t="s">
        <v>354</v>
      </c>
      <c r="D403" s="4" t="s">
        <v>399</v>
      </c>
      <c r="E403" s="12">
        <v>51.3</v>
      </c>
      <c r="F403" s="12">
        <v>51.3</v>
      </c>
      <c r="G403" s="6">
        <f t="shared" si="95"/>
        <v>0</v>
      </c>
      <c r="H403" s="7">
        <f t="shared" si="96"/>
        <v>0</v>
      </c>
      <c r="I403" s="8">
        <v>102.6</v>
      </c>
      <c r="J403" s="9">
        <f t="shared" si="97"/>
        <v>102.6</v>
      </c>
      <c r="K403" s="3">
        <f t="shared" si="98"/>
        <v>0</v>
      </c>
      <c r="L403" s="7">
        <f t="shared" si="99"/>
        <v>0</v>
      </c>
      <c r="M403" t="s">
        <v>150</v>
      </c>
      <c r="O403" s="3">
        <f>E403-'290710 - P1223'!F403</f>
        <v>0</v>
      </c>
      <c r="P403" s="30">
        <f>I403-'290710 - P1223'!J403</f>
        <v>0</v>
      </c>
    </row>
    <row r="404" spans="1:16" x14ac:dyDescent="0.25">
      <c r="A404">
        <v>402</v>
      </c>
      <c r="B404" t="s">
        <v>479</v>
      </c>
      <c r="C404" s="28" t="s">
        <v>354</v>
      </c>
      <c r="D404" s="4" t="s">
        <v>400</v>
      </c>
      <c r="E404" s="12">
        <v>21.37</v>
      </c>
      <c r="F404" s="12">
        <v>21.37</v>
      </c>
      <c r="G404" s="6">
        <f t="shared" si="95"/>
        <v>0</v>
      </c>
      <c r="H404" s="7">
        <f t="shared" si="96"/>
        <v>0</v>
      </c>
      <c r="I404" s="8">
        <v>42.74</v>
      </c>
      <c r="J404" s="9">
        <f t="shared" si="97"/>
        <v>42.74</v>
      </c>
      <c r="K404" s="3">
        <f t="shared" si="98"/>
        <v>0</v>
      </c>
      <c r="L404" s="7">
        <f t="shared" si="99"/>
        <v>0</v>
      </c>
      <c r="M404" t="s">
        <v>150</v>
      </c>
      <c r="O404" s="3">
        <f>E404-'290710 - P1223'!F404</f>
        <v>0</v>
      </c>
      <c r="P404" s="30">
        <f>I404-'290710 - P1223'!J404</f>
        <v>0</v>
      </c>
    </row>
    <row r="405" spans="1:16" x14ac:dyDescent="0.25">
      <c r="A405">
        <v>403</v>
      </c>
      <c r="B405" t="s">
        <v>476</v>
      </c>
      <c r="C405" s="28" t="s">
        <v>354</v>
      </c>
      <c r="D405" s="4" t="s">
        <v>401</v>
      </c>
      <c r="E405" s="12">
        <v>37.51</v>
      </c>
      <c r="F405" s="12">
        <v>37.51</v>
      </c>
      <c r="G405" s="6">
        <f t="shared" si="95"/>
        <v>0</v>
      </c>
      <c r="H405" s="7">
        <f t="shared" si="96"/>
        <v>0</v>
      </c>
      <c r="I405" s="8">
        <v>75.02</v>
      </c>
      <c r="J405" s="9">
        <f t="shared" si="97"/>
        <v>75.02</v>
      </c>
      <c r="K405" s="3">
        <f t="shared" si="98"/>
        <v>0</v>
      </c>
      <c r="L405" s="7">
        <f t="shared" si="99"/>
        <v>0</v>
      </c>
      <c r="M405" t="s">
        <v>150</v>
      </c>
      <c r="O405" s="3">
        <f>E405-'290710 - P1223'!F405</f>
        <v>0</v>
      </c>
      <c r="P405" s="30">
        <f>I405-'290710 - P1223'!J405</f>
        <v>0</v>
      </c>
    </row>
    <row r="406" spans="1:16" x14ac:dyDescent="0.25">
      <c r="A406">
        <v>404</v>
      </c>
      <c r="B406" t="s">
        <v>476</v>
      </c>
      <c r="C406" s="28" t="s">
        <v>354</v>
      </c>
      <c r="D406" s="4" t="s">
        <v>402</v>
      </c>
      <c r="E406" s="12">
        <v>1.79</v>
      </c>
      <c r="F406" s="12">
        <v>1.79</v>
      </c>
      <c r="G406" s="6">
        <f t="shared" si="95"/>
        <v>0</v>
      </c>
      <c r="H406" s="7">
        <f t="shared" si="96"/>
        <v>0</v>
      </c>
      <c r="I406" s="8">
        <v>4</v>
      </c>
      <c r="J406" s="9">
        <f t="shared" si="97"/>
        <v>4</v>
      </c>
      <c r="K406" s="3">
        <f t="shared" si="98"/>
        <v>0</v>
      </c>
      <c r="L406" s="7">
        <f t="shared" si="99"/>
        <v>0</v>
      </c>
      <c r="M406" t="s">
        <v>150</v>
      </c>
      <c r="O406" s="3">
        <f>E406-'290710 - P1223'!F406</f>
        <v>0</v>
      </c>
      <c r="P406" s="30">
        <f>I406-'290710 - P1223'!J406</f>
        <v>0</v>
      </c>
    </row>
    <row r="407" spans="1:16" x14ac:dyDescent="0.25">
      <c r="A407">
        <v>405</v>
      </c>
      <c r="B407" t="s">
        <v>476</v>
      </c>
      <c r="C407" s="28" t="s">
        <v>354</v>
      </c>
      <c r="D407" s="4" t="s">
        <v>403</v>
      </c>
      <c r="E407" s="12">
        <v>2.4700000000000002</v>
      </c>
      <c r="F407" s="12">
        <v>2.4700000000000002</v>
      </c>
      <c r="G407" s="6">
        <f t="shared" si="95"/>
        <v>0</v>
      </c>
      <c r="H407" s="7">
        <f t="shared" si="96"/>
        <v>0</v>
      </c>
      <c r="I407" s="8">
        <v>5</v>
      </c>
      <c r="J407" s="9">
        <f t="shared" si="97"/>
        <v>5</v>
      </c>
      <c r="K407" s="3">
        <f t="shared" si="98"/>
        <v>0</v>
      </c>
      <c r="L407" s="7">
        <f t="shared" si="99"/>
        <v>0</v>
      </c>
      <c r="M407" t="s">
        <v>150</v>
      </c>
      <c r="O407" s="3">
        <f>E407-'290710 - P1223'!F407</f>
        <v>0</v>
      </c>
      <c r="P407" s="30">
        <f>I407-'290710 - P1223'!J407</f>
        <v>0</v>
      </c>
    </row>
    <row r="408" spans="1:16" x14ac:dyDescent="0.25">
      <c r="A408">
        <v>406</v>
      </c>
      <c r="B408" t="s">
        <v>474</v>
      </c>
      <c r="C408" s="28" t="s">
        <v>354</v>
      </c>
      <c r="D408" s="4" t="s">
        <v>404</v>
      </c>
      <c r="E408" s="12">
        <v>6.48</v>
      </c>
      <c r="F408" s="12">
        <v>6.48</v>
      </c>
      <c r="G408" s="6">
        <f t="shared" si="95"/>
        <v>0</v>
      </c>
      <c r="H408" s="7">
        <f t="shared" si="96"/>
        <v>0</v>
      </c>
      <c r="I408" s="8">
        <v>12.96</v>
      </c>
      <c r="J408" s="9">
        <f t="shared" si="97"/>
        <v>12.96</v>
      </c>
      <c r="K408" s="3">
        <f t="shared" si="98"/>
        <v>0</v>
      </c>
      <c r="L408" s="7">
        <f t="shared" si="99"/>
        <v>0</v>
      </c>
      <c r="M408" t="s">
        <v>150</v>
      </c>
      <c r="O408" s="3">
        <f>E408-'290710 - P1223'!F408</f>
        <v>0</v>
      </c>
      <c r="P408" s="30">
        <f>I408-'290710 - P1223'!J408</f>
        <v>0</v>
      </c>
    </row>
    <row r="409" spans="1:16" x14ac:dyDescent="0.25">
      <c r="A409">
        <v>407</v>
      </c>
      <c r="B409" t="s">
        <v>474</v>
      </c>
      <c r="C409" s="28" t="s">
        <v>354</v>
      </c>
      <c r="D409" s="4" t="s">
        <v>405</v>
      </c>
      <c r="E409" s="12">
        <v>10.78</v>
      </c>
      <c r="F409" s="12">
        <v>10.78</v>
      </c>
      <c r="G409" s="6">
        <f t="shared" si="95"/>
        <v>0</v>
      </c>
      <c r="H409" s="7">
        <f t="shared" si="96"/>
        <v>0</v>
      </c>
      <c r="I409" s="8">
        <v>21.56</v>
      </c>
      <c r="J409" s="9">
        <f t="shared" si="97"/>
        <v>21.56</v>
      </c>
      <c r="K409" s="3">
        <f t="shared" si="98"/>
        <v>0</v>
      </c>
      <c r="L409" s="7">
        <f t="shared" si="99"/>
        <v>0</v>
      </c>
      <c r="M409" t="s">
        <v>150</v>
      </c>
      <c r="O409" s="3">
        <f>E409-'290710 - P1223'!F409</f>
        <v>0</v>
      </c>
      <c r="P409" s="30">
        <f>I409-'290710 - P1223'!J409</f>
        <v>0</v>
      </c>
    </row>
    <row r="410" spans="1:16" x14ac:dyDescent="0.25">
      <c r="A410">
        <v>408</v>
      </c>
      <c r="B410" t="s">
        <v>474</v>
      </c>
      <c r="C410" s="28" t="s">
        <v>354</v>
      </c>
      <c r="D410" s="4" t="s">
        <v>406</v>
      </c>
      <c r="E410" s="12">
        <v>13.22</v>
      </c>
      <c r="F410" s="12">
        <v>13.22</v>
      </c>
      <c r="G410" s="6">
        <f t="shared" si="95"/>
        <v>0</v>
      </c>
      <c r="H410" s="7">
        <f t="shared" si="96"/>
        <v>0</v>
      </c>
      <c r="I410" s="8">
        <v>26.44</v>
      </c>
      <c r="J410" s="9">
        <f t="shared" si="97"/>
        <v>26.44</v>
      </c>
      <c r="K410" s="3">
        <f t="shared" si="98"/>
        <v>0</v>
      </c>
      <c r="L410" s="7">
        <f t="shared" si="99"/>
        <v>0</v>
      </c>
      <c r="M410" t="s">
        <v>150</v>
      </c>
      <c r="O410" s="3">
        <f>E410-'290710 - P1223'!F410</f>
        <v>0</v>
      </c>
      <c r="P410" s="30">
        <f>I410-'290710 - P1223'!J410</f>
        <v>0</v>
      </c>
    </row>
    <row r="411" spans="1:16" x14ac:dyDescent="0.25">
      <c r="A411">
        <v>409</v>
      </c>
      <c r="B411" t="s">
        <v>476</v>
      </c>
      <c r="C411" s="28" t="s">
        <v>354</v>
      </c>
      <c r="D411" s="4" t="s">
        <v>407</v>
      </c>
      <c r="E411" s="12">
        <v>14.72</v>
      </c>
      <c r="F411" s="12">
        <v>14.72</v>
      </c>
      <c r="G411" s="6">
        <f t="shared" si="95"/>
        <v>0</v>
      </c>
      <c r="H411" s="7">
        <f t="shared" si="96"/>
        <v>0</v>
      </c>
      <c r="I411" s="8">
        <v>29.44</v>
      </c>
      <c r="J411" s="9">
        <f t="shared" si="97"/>
        <v>29.44</v>
      </c>
      <c r="K411" s="3">
        <f t="shared" si="98"/>
        <v>0</v>
      </c>
      <c r="L411" s="7">
        <f t="shared" si="99"/>
        <v>0</v>
      </c>
      <c r="M411" t="s">
        <v>150</v>
      </c>
      <c r="O411" s="3">
        <f>E411-'290710 - P1223'!F411</f>
        <v>0</v>
      </c>
      <c r="P411" s="30">
        <f>I411-'290710 - P1223'!J411</f>
        <v>0</v>
      </c>
    </row>
    <row r="412" spans="1:16" x14ac:dyDescent="0.25">
      <c r="A412">
        <v>410</v>
      </c>
      <c r="B412" t="s">
        <v>476</v>
      </c>
      <c r="C412" s="28" t="s">
        <v>354</v>
      </c>
      <c r="D412" s="4" t="s">
        <v>408</v>
      </c>
      <c r="E412" s="12">
        <v>3.74</v>
      </c>
      <c r="F412" s="12">
        <v>3.74</v>
      </c>
      <c r="G412" s="6">
        <f t="shared" si="95"/>
        <v>0</v>
      </c>
      <c r="H412" s="7">
        <f t="shared" si="96"/>
        <v>0</v>
      </c>
      <c r="I412" s="8">
        <v>7.48</v>
      </c>
      <c r="J412" s="9">
        <f t="shared" si="97"/>
        <v>7.48</v>
      </c>
      <c r="K412" s="3">
        <f t="shared" si="98"/>
        <v>0</v>
      </c>
      <c r="L412" s="7">
        <f t="shared" si="99"/>
        <v>0</v>
      </c>
      <c r="M412" t="s">
        <v>150</v>
      </c>
      <c r="O412" s="3">
        <f>E412-'290710 - P1223'!F412</f>
        <v>0</v>
      </c>
      <c r="P412" s="30">
        <f>I412-'290710 - P1223'!J412</f>
        <v>0</v>
      </c>
    </row>
    <row r="413" spans="1:16" x14ac:dyDescent="0.25">
      <c r="A413">
        <v>411</v>
      </c>
      <c r="B413" t="s">
        <v>476</v>
      </c>
      <c r="C413" s="28" t="s">
        <v>354</v>
      </c>
      <c r="D413" s="4" t="s">
        <v>409</v>
      </c>
      <c r="E413" s="12">
        <v>5.12</v>
      </c>
      <c r="F413" s="12">
        <v>5.12</v>
      </c>
      <c r="G413" s="6">
        <f t="shared" si="95"/>
        <v>0</v>
      </c>
      <c r="H413" s="7">
        <f t="shared" si="96"/>
        <v>0</v>
      </c>
      <c r="I413" s="8">
        <v>10.24</v>
      </c>
      <c r="J413" s="9">
        <f t="shared" si="97"/>
        <v>10.24</v>
      </c>
      <c r="K413" s="3">
        <f t="shared" si="98"/>
        <v>0</v>
      </c>
      <c r="L413" s="7">
        <f t="shared" si="99"/>
        <v>0</v>
      </c>
      <c r="M413" t="s">
        <v>150</v>
      </c>
      <c r="O413" s="3">
        <f>E413-'290710 - P1223'!F413</f>
        <v>0</v>
      </c>
      <c r="P413" s="30">
        <f>I413-'290710 - P1223'!J413</f>
        <v>0</v>
      </c>
    </row>
    <row r="414" spans="1:16" x14ac:dyDescent="0.25">
      <c r="A414">
        <v>412</v>
      </c>
      <c r="D414" s="2" t="s">
        <v>410</v>
      </c>
      <c r="H414" s="10">
        <f>AVERAGE(H349:H410)</f>
        <v>-1.6717237114199023E-3</v>
      </c>
    </row>
    <row r="415" spans="1:16" x14ac:dyDescent="0.25">
      <c r="D415" s="2" t="s">
        <v>411</v>
      </c>
    </row>
    <row r="416" spans="1:16" x14ac:dyDescent="0.25">
      <c r="D416" s="17" t="s">
        <v>412</v>
      </c>
      <c r="E416" s="5">
        <v>515</v>
      </c>
      <c r="F416" s="5">
        <v>523</v>
      </c>
      <c r="G416" s="6">
        <f t="shared" ref="G416:G425" si="100">+F416-E416</f>
        <v>8</v>
      </c>
      <c r="H416" s="7">
        <f t="shared" ref="H416:H425" si="101">(F416-E416)/ABS(E416)</f>
        <v>1.5533980582524271E-2</v>
      </c>
      <c r="J416" s="3"/>
      <c r="K416" s="3"/>
      <c r="L416" s="7"/>
    </row>
    <row r="417" spans="1:16" x14ac:dyDescent="0.25">
      <c r="D417" s="17" t="s">
        <v>413</v>
      </c>
      <c r="E417" s="5">
        <v>460</v>
      </c>
      <c r="F417" s="5">
        <v>470</v>
      </c>
      <c r="G417" s="6">
        <f t="shared" si="100"/>
        <v>10</v>
      </c>
      <c r="H417" s="7">
        <f t="shared" si="101"/>
        <v>2.1739130434782608E-2</v>
      </c>
      <c r="J417" s="3"/>
      <c r="K417" s="3"/>
      <c r="L417" s="7"/>
    </row>
    <row r="418" spans="1:16" x14ac:dyDescent="0.25">
      <c r="D418" s="17" t="s">
        <v>414</v>
      </c>
      <c r="E418" s="5">
        <v>843</v>
      </c>
      <c r="F418" s="5">
        <v>848</v>
      </c>
      <c r="G418" s="6">
        <f t="shared" si="100"/>
        <v>5</v>
      </c>
      <c r="H418" s="7">
        <f t="shared" si="101"/>
        <v>5.9311981020166073E-3</v>
      </c>
      <c r="J418" s="3"/>
      <c r="K418" s="3"/>
      <c r="L418" s="7"/>
    </row>
    <row r="419" spans="1:16" x14ac:dyDescent="0.25">
      <c r="D419" s="4" t="s">
        <v>415</v>
      </c>
      <c r="E419" s="5">
        <v>749</v>
      </c>
      <c r="F419" s="5">
        <v>739</v>
      </c>
      <c r="G419" s="6">
        <f t="shared" si="100"/>
        <v>-10</v>
      </c>
      <c r="H419" s="7">
        <f t="shared" si="101"/>
        <v>-1.335113484646195E-2</v>
      </c>
      <c r="J419" s="3"/>
      <c r="K419" s="3"/>
      <c r="L419" s="7"/>
    </row>
    <row r="420" spans="1:16" x14ac:dyDescent="0.25">
      <c r="D420" s="4" t="s">
        <v>416</v>
      </c>
      <c r="E420" s="5">
        <v>599</v>
      </c>
      <c r="F420" s="5">
        <v>599</v>
      </c>
      <c r="G420" s="6">
        <f t="shared" si="100"/>
        <v>0</v>
      </c>
      <c r="H420" s="7">
        <f t="shared" si="101"/>
        <v>0</v>
      </c>
      <c r="J420" s="3"/>
      <c r="K420" s="3"/>
      <c r="L420" s="7"/>
    </row>
    <row r="421" spans="1:16" x14ac:dyDescent="0.25">
      <c r="D421" s="4" t="s">
        <v>417</v>
      </c>
      <c r="E421" s="5">
        <v>1475</v>
      </c>
      <c r="F421" s="5">
        <v>1485</v>
      </c>
      <c r="G421" s="6">
        <f t="shared" si="100"/>
        <v>10</v>
      </c>
      <c r="H421" s="7">
        <f t="shared" si="101"/>
        <v>6.7796610169491523E-3</v>
      </c>
      <c r="J421" s="3"/>
      <c r="K421" s="3"/>
      <c r="L421" s="7"/>
    </row>
    <row r="422" spans="1:16" x14ac:dyDescent="0.25">
      <c r="D422" s="4" t="s">
        <v>418</v>
      </c>
      <c r="E422" s="5">
        <v>1460</v>
      </c>
      <c r="F422" s="5">
        <v>1445</v>
      </c>
      <c r="G422" s="6">
        <f t="shared" si="100"/>
        <v>-15</v>
      </c>
      <c r="H422" s="7">
        <f t="shared" si="101"/>
        <v>-1.0273972602739725E-2</v>
      </c>
      <c r="J422" s="3"/>
      <c r="K422" s="3"/>
      <c r="L422" s="7"/>
    </row>
    <row r="423" spans="1:16" x14ac:dyDescent="0.25">
      <c r="D423" s="4" t="s">
        <v>419</v>
      </c>
      <c r="E423" s="5">
        <v>844</v>
      </c>
      <c r="F423" s="5">
        <v>849</v>
      </c>
      <c r="G423" s="6">
        <f t="shared" si="100"/>
        <v>5</v>
      </c>
      <c r="H423" s="7">
        <f t="shared" si="101"/>
        <v>5.9241706161137437E-3</v>
      </c>
      <c r="J423" s="3"/>
      <c r="K423" s="3"/>
      <c r="L423" s="7"/>
    </row>
    <row r="424" spans="1:16" x14ac:dyDescent="0.25">
      <c r="D424" s="4" t="s">
        <v>420</v>
      </c>
      <c r="E424" s="5">
        <v>759</v>
      </c>
      <c r="F424" s="5">
        <v>764</v>
      </c>
      <c r="G424" s="6">
        <f t="shared" si="100"/>
        <v>5</v>
      </c>
      <c r="H424" s="7">
        <f t="shared" si="101"/>
        <v>6.587615283267457E-3</v>
      </c>
      <c r="J424" s="3"/>
      <c r="K424" s="3"/>
      <c r="L424" s="7"/>
    </row>
    <row r="425" spans="1:16" x14ac:dyDescent="0.25">
      <c r="D425" s="4" t="s">
        <v>421</v>
      </c>
      <c r="E425" s="5">
        <v>1017</v>
      </c>
      <c r="F425" s="5">
        <v>1022</v>
      </c>
      <c r="G425" s="6">
        <f t="shared" si="100"/>
        <v>5</v>
      </c>
      <c r="H425" s="7">
        <f t="shared" si="101"/>
        <v>4.9164208456243851E-3</v>
      </c>
      <c r="J425" s="3"/>
      <c r="K425" s="3"/>
      <c r="L425" s="7"/>
    </row>
    <row r="426" spans="1:16" s="3" customFormat="1" x14ac:dyDescent="0.25">
      <c r="A426"/>
      <c r="B426"/>
      <c r="C426"/>
      <c r="D426" s="2" t="s">
        <v>422</v>
      </c>
      <c r="H426" s="10">
        <f>AVERAGE(H416:H425)</f>
        <v>4.3787069432076548E-3</v>
      </c>
      <c r="J426"/>
      <c r="K426"/>
      <c r="L426"/>
      <c r="M426"/>
      <c r="N426"/>
      <c r="P426" s="30"/>
    </row>
  </sheetData>
  <autoFilter ref="A1:M426" xr:uid="{00000000-0009-0000-0000-000001000000}"/>
  <pageMargins left="0.7" right="0.7" top="0.75" bottom="0.75" header="0.3" footer="0.3"/>
  <pageSetup orientation="portrait" horizontalDpi="1200" verticalDpi="12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0345-66FD-4277-82E7-5557ACA48D1B}">
  <dimension ref="A1:P426"/>
  <sheetViews>
    <sheetView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4" bestFit="1" customWidth="1"/>
    <col min="2" max="2" width="14.85546875" customWidth="1"/>
    <col min="3" max="3" width="9" customWidth="1"/>
    <col min="4" max="4" width="76.7109375" customWidth="1"/>
    <col min="5" max="5" width="28.42578125" style="3" customWidth="1"/>
    <col min="6" max="6" width="29.5703125" style="3" customWidth="1"/>
    <col min="7" max="7" width="8.28515625" style="3" customWidth="1"/>
    <col min="8" max="8" width="7.7109375" style="3" customWidth="1"/>
    <col min="9" max="9" width="28.42578125" style="3" customWidth="1"/>
    <col min="10" max="10" width="29.5703125" customWidth="1"/>
    <col min="16" max="16" width="9.140625" style="30"/>
  </cols>
  <sheetData>
    <row r="1" spans="1:16" x14ac:dyDescent="0.25">
      <c r="E1" s="1" t="s">
        <v>0</v>
      </c>
      <c r="F1" s="1" t="s">
        <v>0</v>
      </c>
      <c r="G1" s="1"/>
      <c r="H1" s="1"/>
      <c r="I1" s="1" t="s">
        <v>1</v>
      </c>
      <c r="J1" s="1" t="s">
        <v>1</v>
      </c>
      <c r="M1" t="s">
        <v>2</v>
      </c>
    </row>
    <row r="2" spans="1:16" x14ac:dyDescent="0.25">
      <c r="B2" t="s">
        <v>3</v>
      </c>
      <c r="C2" t="s">
        <v>4</v>
      </c>
      <c r="D2" t="s">
        <v>5</v>
      </c>
      <c r="E2" s="1" t="s">
        <v>506</v>
      </c>
      <c r="F2" s="1" t="s">
        <v>509</v>
      </c>
      <c r="G2" s="1"/>
      <c r="H2" s="1"/>
      <c r="I2" s="1" t="s">
        <v>506</v>
      </c>
      <c r="J2" s="1" t="s">
        <v>509</v>
      </c>
    </row>
    <row r="3" spans="1:16" x14ac:dyDescent="0.25">
      <c r="A3">
        <v>1</v>
      </c>
      <c r="D3" s="2" t="s">
        <v>6</v>
      </c>
      <c r="M3" t="s">
        <v>7</v>
      </c>
    </row>
    <row r="4" spans="1:16" x14ac:dyDescent="0.25">
      <c r="A4">
        <v>2</v>
      </c>
      <c r="C4" t="s">
        <v>8</v>
      </c>
      <c r="D4" s="4" t="s">
        <v>9</v>
      </c>
      <c r="E4" s="5">
        <v>771</v>
      </c>
      <c r="F4" s="5">
        <v>701</v>
      </c>
      <c r="G4" s="6">
        <f t="shared" ref="G4:G23" si="0">+F4-E4</f>
        <v>-70</v>
      </c>
      <c r="H4" s="7">
        <f t="shared" ref="H4:H23" si="1">(F4-E4)/ABS(E4)</f>
        <v>-9.0791180285343706E-2</v>
      </c>
      <c r="I4" s="8">
        <v>930.02433371958296</v>
      </c>
      <c r="J4" s="9">
        <f t="shared" ref="J4:J23" si="2">(I4*H4)+I4</f>
        <v>845.58632676709158</v>
      </c>
      <c r="K4" s="3">
        <f t="shared" ref="K4:K23" si="3">J4-I4</f>
        <v>-84.438006952491378</v>
      </c>
      <c r="L4" s="7">
        <f t="shared" ref="L4:L23" si="4">(J4-I4)/ABS(I4)</f>
        <v>-9.0791180285343775E-2</v>
      </c>
      <c r="M4" t="s">
        <v>7</v>
      </c>
      <c r="O4" s="3" t="e">
        <f>E4-#REF!</f>
        <v>#REF!</v>
      </c>
      <c r="P4" s="30" t="e">
        <f>I4-#REF!</f>
        <v>#REF!</v>
      </c>
    </row>
    <row r="5" spans="1:16" x14ac:dyDescent="0.25">
      <c r="A5">
        <v>3</v>
      </c>
      <c r="D5" s="4" t="s">
        <v>10</v>
      </c>
      <c r="E5" s="8">
        <f>E4</f>
        <v>771</v>
      </c>
      <c r="F5" s="8">
        <f>F4</f>
        <v>701</v>
      </c>
      <c r="G5" s="6">
        <f t="shared" si="0"/>
        <v>-70</v>
      </c>
      <c r="H5" s="7">
        <f t="shared" si="1"/>
        <v>-9.0791180285343706E-2</v>
      </c>
      <c r="I5" s="8">
        <v>930.02433371958296</v>
      </c>
      <c r="J5" s="9">
        <f t="shared" si="2"/>
        <v>845.58632676709158</v>
      </c>
      <c r="K5" s="3">
        <f t="shared" si="3"/>
        <v>-84.438006952491378</v>
      </c>
      <c r="L5" s="7">
        <f t="shared" si="4"/>
        <v>-9.0791180285343775E-2</v>
      </c>
      <c r="M5" t="s">
        <v>7</v>
      </c>
      <c r="O5" s="3" t="e">
        <f>E5-#REF!</f>
        <v>#REF!</v>
      </c>
      <c r="P5" s="30" t="e">
        <f>I5-#REF!</f>
        <v>#REF!</v>
      </c>
    </row>
    <row r="6" spans="1:16" x14ac:dyDescent="0.25">
      <c r="A6">
        <v>4</v>
      </c>
      <c r="D6" s="4" t="s">
        <v>11</v>
      </c>
      <c r="E6" s="8">
        <f>E4</f>
        <v>771</v>
      </c>
      <c r="F6" s="8">
        <f>F4</f>
        <v>701</v>
      </c>
      <c r="G6" s="6">
        <f t="shared" si="0"/>
        <v>-70</v>
      </c>
      <c r="H6" s="7">
        <f t="shared" si="1"/>
        <v>-9.0791180285343706E-2</v>
      </c>
      <c r="I6" s="8">
        <v>930.02433371958296</v>
      </c>
      <c r="J6" s="9">
        <f t="shared" si="2"/>
        <v>845.58632676709158</v>
      </c>
      <c r="K6" s="3">
        <f t="shared" si="3"/>
        <v>-84.438006952491378</v>
      </c>
      <c r="L6" s="7">
        <f t="shared" si="4"/>
        <v>-9.0791180285343775E-2</v>
      </c>
      <c r="M6" t="s">
        <v>7</v>
      </c>
      <c r="O6" s="3" t="e">
        <f>E6-#REF!</f>
        <v>#REF!</v>
      </c>
      <c r="P6" s="30" t="e">
        <f>I6-#REF!</f>
        <v>#REF!</v>
      </c>
    </row>
    <row r="7" spans="1:16" x14ac:dyDescent="0.25">
      <c r="A7">
        <v>5</v>
      </c>
      <c r="C7" t="s">
        <v>8</v>
      </c>
      <c r="D7" s="4" t="s">
        <v>12</v>
      </c>
      <c r="E7" s="5">
        <v>611</v>
      </c>
      <c r="F7" s="5">
        <v>606</v>
      </c>
      <c r="G7" s="6">
        <f t="shared" si="0"/>
        <v>-5</v>
      </c>
      <c r="H7" s="7">
        <f t="shared" si="1"/>
        <v>-8.1833060556464818E-3</v>
      </c>
      <c r="I7" s="8">
        <v>788.70420792079199</v>
      </c>
      <c r="J7" s="9">
        <f t="shared" si="2"/>
        <v>782.24999999999989</v>
      </c>
      <c r="K7" s="3">
        <f t="shared" si="3"/>
        <v>-6.4542079207921006</v>
      </c>
      <c r="L7" s="7">
        <f t="shared" si="4"/>
        <v>-8.1833060556465095E-3</v>
      </c>
      <c r="M7" t="s">
        <v>7</v>
      </c>
      <c r="N7" s="27"/>
      <c r="O7" s="3" t="e">
        <f>E7-#REF!</f>
        <v>#REF!</v>
      </c>
      <c r="P7" s="30" t="e">
        <f>I7-#REF!</f>
        <v>#REF!</v>
      </c>
    </row>
    <row r="8" spans="1:16" x14ac:dyDescent="0.25">
      <c r="A8">
        <v>6</v>
      </c>
      <c r="D8" s="4" t="s">
        <v>13</v>
      </c>
      <c r="E8" s="8">
        <f>E7</f>
        <v>611</v>
      </c>
      <c r="F8" s="8">
        <f>F7</f>
        <v>606</v>
      </c>
      <c r="G8" s="6">
        <f t="shared" si="0"/>
        <v>-5</v>
      </c>
      <c r="H8" s="7">
        <f t="shared" si="1"/>
        <v>-8.1833060556464818E-3</v>
      </c>
      <c r="I8" s="8">
        <v>788.70420792079199</v>
      </c>
      <c r="J8" s="9">
        <f t="shared" si="2"/>
        <v>782.24999999999989</v>
      </c>
      <c r="K8" s="3">
        <f t="shared" si="3"/>
        <v>-6.4542079207921006</v>
      </c>
      <c r="L8" s="7">
        <f t="shared" si="4"/>
        <v>-8.1833060556465095E-3</v>
      </c>
      <c r="M8" t="s">
        <v>7</v>
      </c>
      <c r="N8" s="27"/>
      <c r="O8" s="3" t="e">
        <f>E8-#REF!</f>
        <v>#REF!</v>
      </c>
      <c r="P8" s="30" t="e">
        <f>I8-#REF!</f>
        <v>#REF!</v>
      </c>
    </row>
    <row r="9" spans="1:16" x14ac:dyDescent="0.25">
      <c r="A9">
        <v>7</v>
      </c>
      <c r="D9" s="4" t="s">
        <v>14</v>
      </c>
      <c r="E9" s="8">
        <f>E7</f>
        <v>611</v>
      </c>
      <c r="F9" s="8">
        <f>F7</f>
        <v>606</v>
      </c>
      <c r="G9" s="6">
        <f t="shared" si="0"/>
        <v>-5</v>
      </c>
      <c r="H9" s="7">
        <f t="shared" si="1"/>
        <v>-8.1833060556464818E-3</v>
      </c>
      <c r="I9" s="8">
        <v>788.70420792079199</v>
      </c>
      <c r="J9" s="9">
        <f t="shared" si="2"/>
        <v>782.24999999999989</v>
      </c>
      <c r="K9" s="3">
        <f t="shared" si="3"/>
        <v>-6.4542079207921006</v>
      </c>
      <c r="L9" s="7">
        <f t="shared" si="4"/>
        <v>-8.1833060556465095E-3</v>
      </c>
      <c r="M9" t="s">
        <v>7</v>
      </c>
      <c r="N9" s="27"/>
      <c r="O9" s="3" t="e">
        <f>E9-#REF!</f>
        <v>#REF!</v>
      </c>
      <c r="P9" s="30" t="e">
        <f>I9-#REF!</f>
        <v>#REF!</v>
      </c>
    </row>
    <row r="10" spans="1:16" x14ac:dyDescent="0.25">
      <c r="A10">
        <v>8</v>
      </c>
      <c r="C10" t="s">
        <v>8</v>
      </c>
      <c r="D10" s="4" t="s">
        <v>15</v>
      </c>
      <c r="E10" s="5">
        <v>1013</v>
      </c>
      <c r="F10" s="5">
        <v>960</v>
      </c>
      <c r="G10" s="6">
        <f t="shared" si="0"/>
        <v>-53</v>
      </c>
      <c r="H10" s="7">
        <f t="shared" si="1"/>
        <v>-5.231984205330701E-2</v>
      </c>
      <c r="I10" s="8">
        <v>1345.3649160801303</v>
      </c>
      <c r="J10" s="9">
        <f t="shared" si="2"/>
        <v>1274.9756361667573</v>
      </c>
      <c r="K10" s="3">
        <f t="shared" si="3"/>
        <v>-70.389279913373002</v>
      </c>
      <c r="L10" s="7">
        <f t="shared" si="4"/>
        <v>-5.2319842053306968E-2</v>
      </c>
      <c r="M10" t="s">
        <v>7</v>
      </c>
      <c r="N10" s="27"/>
      <c r="O10" s="3" t="e">
        <f>E10-#REF!</f>
        <v>#REF!</v>
      </c>
      <c r="P10" s="30" t="e">
        <f>I10-#REF!</f>
        <v>#REF!</v>
      </c>
    </row>
    <row r="11" spans="1:16" x14ac:dyDescent="0.25">
      <c r="A11">
        <v>9</v>
      </c>
      <c r="D11" s="4" t="s">
        <v>16</v>
      </c>
      <c r="E11" s="8">
        <f>E10</f>
        <v>1013</v>
      </c>
      <c r="F11" s="8">
        <f>F10</f>
        <v>960</v>
      </c>
      <c r="G11" s="6">
        <f t="shared" si="0"/>
        <v>-53</v>
      </c>
      <c r="H11" s="7">
        <f t="shared" si="1"/>
        <v>-5.231984205330701E-2</v>
      </c>
      <c r="I11" s="8">
        <v>1345.3649160801303</v>
      </c>
      <c r="J11" s="9">
        <f t="shared" si="2"/>
        <v>1274.9756361667573</v>
      </c>
      <c r="K11" s="3">
        <f t="shared" si="3"/>
        <v>-70.389279913373002</v>
      </c>
      <c r="L11" s="7">
        <f t="shared" si="4"/>
        <v>-5.2319842053306968E-2</v>
      </c>
      <c r="M11" t="s">
        <v>7</v>
      </c>
      <c r="N11" s="27"/>
      <c r="O11" s="3" t="e">
        <f>E11-#REF!</f>
        <v>#REF!</v>
      </c>
      <c r="P11" s="30" t="e">
        <f>I11-#REF!</f>
        <v>#REF!</v>
      </c>
    </row>
    <row r="12" spans="1:16" x14ac:dyDescent="0.25">
      <c r="A12">
        <v>10</v>
      </c>
      <c r="C12" t="s">
        <v>8</v>
      </c>
      <c r="D12" s="4" t="s">
        <v>17</v>
      </c>
      <c r="E12" s="5">
        <v>847</v>
      </c>
      <c r="F12" s="5">
        <v>807</v>
      </c>
      <c r="G12" s="6">
        <f t="shared" si="0"/>
        <v>-40</v>
      </c>
      <c r="H12" s="7">
        <f t="shared" si="1"/>
        <v>-4.7225501770956316E-2</v>
      </c>
      <c r="I12" s="8">
        <v>1010.3434452871076</v>
      </c>
      <c r="J12" s="9">
        <f t="shared" si="2"/>
        <v>962.62946912242717</v>
      </c>
      <c r="K12" s="3">
        <f t="shared" si="3"/>
        <v>-47.713976164680389</v>
      </c>
      <c r="L12" s="7">
        <f t="shared" si="4"/>
        <v>-4.7225501770956302E-2</v>
      </c>
      <c r="M12" t="s">
        <v>7</v>
      </c>
      <c r="N12" s="27"/>
      <c r="O12" s="3" t="e">
        <f>E12-#REF!</f>
        <v>#REF!</v>
      </c>
      <c r="P12" s="30" t="e">
        <f>I12-#REF!</f>
        <v>#REF!</v>
      </c>
    </row>
    <row r="13" spans="1:16" x14ac:dyDescent="0.25">
      <c r="A13">
        <v>11</v>
      </c>
      <c r="D13" s="4" t="s">
        <v>18</v>
      </c>
      <c r="E13" s="8">
        <f>E12</f>
        <v>847</v>
      </c>
      <c r="F13" s="8">
        <f>F12</f>
        <v>807</v>
      </c>
      <c r="G13" s="6">
        <f t="shared" si="0"/>
        <v>-40</v>
      </c>
      <c r="H13" s="7">
        <f t="shared" si="1"/>
        <v>-4.7225501770956316E-2</v>
      </c>
      <c r="I13" s="8">
        <v>1010.3434452871076</v>
      </c>
      <c r="J13" s="9">
        <f t="shared" si="2"/>
        <v>962.62946912242717</v>
      </c>
      <c r="K13" s="3">
        <f t="shared" si="3"/>
        <v>-47.713976164680389</v>
      </c>
      <c r="L13" s="7">
        <f t="shared" si="4"/>
        <v>-4.7225501770956302E-2</v>
      </c>
      <c r="M13" t="s">
        <v>7</v>
      </c>
      <c r="N13" s="27"/>
      <c r="O13" s="3" t="e">
        <f>E13-#REF!</f>
        <v>#REF!</v>
      </c>
      <c r="P13" s="30" t="e">
        <f>I13-#REF!</f>
        <v>#REF!</v>
      </c>
    </row>
    <row r="14" spans="1:16" x14ac:dyDescent="0.25">
      <c r="A14">
        <v>12</v>
      </c>
      <c r="D14" s="4" t="s">
        <v>19</v>
      </c>
      <c r="E14" s="5">
        <v>878</v>
      </c>
      <c r="F14" s="5">
        <v>823</v>
      </c>
      <c r="G14" s="6">
        <f t="shared" si="0"/>
        <v>-55</v>
      </c>
      <c r="H14" s="7">
        <f t="shared" si="1"/>
        <v>-6.2642369020501146E-2</v>
      </c>
      <c r="I14" s="8">
        <v>1128.6044325050368</v>
      </c>
      <c r="J14" s="9">
        <f t="shared" si="2"/>
        <v>1057.9059771658831</v>
      </c>
      <c r="K14" s="3">
        <f t="shared" si="3"/>
        <v>-70.698455339153725</v>
      </c>
      <c r="L14" s="7">
        <f t="shared" si="4"/>
        <v>-6.264236902050109E-2</v>
      </c>
      <c r="M14" t="s">
        <v>7</v>
      </c>
      <c r="N14" s="27"/>
      <c r="O14" s="3" t="e">
        <f>E14-#REF!</f>
        <v>#REF!</v>
      </c>
      <c r="P14" s="30" t="e">
        <f>I14-#REF!</f>
        <v>#REF!</v>
      </c>
    </row>
    <row r="15" spans="1:16" x14ac:dyDescent="0.25">
      <c r="A15">
        <v>13</v>
      </c>
      <c r="D15" s="4" t="s">
        <v>20</v>
      </c>
      <c r="E15" s="8">
        <f>E14</f>
        <v>878</v>
      </c>
      <c r="F15" s="8">
        <f>F14</f>
        <v>823</v>
      </c>
      <c r="G15" s="6">
        <f t="shared" si="0"/>
        <v>-55</v>
      </c>
      <c r="H15" s="7">
        <f t="shared" si="1"/>
        <v>-6.2642369020501146E-2</v>
      </c>
      <c r="I15" s="8">
        <v>1128.6044325050368</v>
      </c>
      <c r="J15" s="9">
        <f t="shared" si="2"/>
        <v>1057.9059771658831</v>
      </c>
      <c r="K15" s="3">
        <f t="shared" si="3"/>
        <v>-70.698455339153725</v>
      </c>
      <c r="L15" s="7">
        <f t="shared" si="4"/>
        <v>-6.264236902050109E-2</v>
      </c>
      <c r="M15" t="s">
        <v>7</v>
      </c>
      <c r="N15" s="27"/>
      <c r="O15" s="3" t="e">
        <f>E15-#REF!</f>
        <v>#REF!</v>
      </c>
      <c r="P15" s="30" t="e">
        <f>I15-#REF!</f>
        <v>#REF!</v>
      </c>
    </row>
    <row r="16" spans="1:16" x14ac:dyDescent="0.25">
      <c r="A16">
        <v>14</v>
      </c>
      <c r="C16" t="s">
        <v>8</v>
      </c>
      <c r="D16" s="4" t="s">
        <v>21</v>
      </c>
      <c r="E16" s="5">
        <v>1058</v>
      </c>
      <c r="F16" s="5">
        <v>991</v>
      </c>
      <c r="G16" s="6">
        <f t="shared" si="0"/>
        <v>-67</v>
      </c>
      <c r="H16" s="7">
        <f t="shared" si="1"/>
        <v>-6.3327032136105854E-2</v>
      </c>
      <c r="I16" s="8">
        <v>1490.3010752688172</v>
      </c>
      <c r="J16" s="9">
        <f t="shared" si="2"/>
        <v>1395.9247311827958</v>
      </c>
      <c r="K16" s="3">
        <f t="shared" si="3"/>
        <v>-94.37634408602139</v>
      </c>
      <c r="L16" s="7">
        <f t="shared" si="4"/>
        <v>-6.3327032136105785E-2</v>
      </c>
      <c r="M16" t="s">
        <v>7</v>
      </c>
      <c r="N16" s="27"/>
      <c r="O16" s="3" t="e">
        <f>E16-#REF!</f>
        <v>#REF!</v>
      </c>
      <c r="P16" s="30" t="e">
        <f>I16-#REF!</f>
        <v>#REF!</v>
      </c>
    </row>
    <row r="17" spans="1:16" x14ac:dyDescent="0.25">
      <c r="A17">
        <v>15</v>
      </c>
      <c r="D17" s="4" t="s">
        <v>22</v>
      </c>
      <c r="E17" s="8">
        <f>E16</f>
        <v>1058</v>
      </c>
      <c r="F17" s="8">
        <f>F16</f>
        <v>991</v>
      </c>
      <c r="G17" s="6">
        <f t="shared" si="0"/>
        <v>-67</v>
      </c>
      <c r="H17" s="7">
        <f t="shared" si="1"/>
        <v>-6.3327032136105854E-2</v>
      </c>
      <c r="I17" s="8">
        <v>1490.3010752688172</v>
      </c>
      <c r="J17" s="9">
        <f t="shared" si="2"/>
        <v>1395.9247311827958</v>
      </c>
      <c r="K17" s="3">
        <f t="shared" si="3"/>
        <v>-94.37634408602139</v>
      </c>
      <c r="L17" s="7">
        <f t="shared" si="4"/>
        <v>-6.3327032136105785E-2</v>
      </c>
      <c r="M17" t="s">
        <v>7</v>
      </c>
      <c r="N17" s="27"/>
      <c r="O17" s="3" t="e">
        <f>E17-#REF!</f>
        <v>#REF!</v>
      </c>
      <c r="P17" s="30" t="e">
        <f>I17-#REF!</f>
        <v>#REF!</v>
      </c>
    </row>
    <row r="18" spans="1:16" x14ac:dyDescent="0.25">
      <c r="A18">
        <v>16</v>
      </c>
      <c r="C18" t="s">
        <v>8</v>
      </c>
      <c r="D18" s="4" t="s">
        <v>23</v>
      </c>
      <c r="E18" s="5">
        <v>1168</v>
      </c>
      <c r="F18" s="5">
        <v>1092</v>
      </c>
      <c r="G18" s="6">
        <f t="shared" si="0"/>
        <v>-76</v>
      </c>
      <c r="H18" s="7">
        <f t="shared" si="1"/>
        <v>-6.5068493150684928E-2</v>
      </c>
      <c r="I18" s="8">
        <v>1623.2489451476788</v>
      </c>
      <c r="J18" s="9">
        <f t="shared" si="2"/>
        <v>1517.6265822784806</v>
      </c>
      <c r="K18" s="3">
        <f t="shared" si="3"/>
        <v>-105.62236286919824</v>
      </c>
      <c r="L18" s="7">
        <f t="shared" si="4"/>
        <v>-6.5068493150684914E-2</v>
      </c>
      <c r="M18" t="s">
        <v>7</v>
      </c>
      <c r="N18" s="27"/>
      <c r="O18" s="3" t="e">
        <f>E18-#REF!</f>
        <v>#REF!</v>
      </c>
      <c r="P18" s="30" t="e">
        <f>I18-#REF!</f>
        <v>#REF!</v>
      </c>
    </row>
    <row r="19" spans="1:16" x14ac:dyDescent="0.25">
      <c r="A19">
        <v>17</v>
      </c>
      <c r="D19" s="4" t="s">
        <v>24</v>
      </c>
      <c r="E19" s="8">
        <f>E18</f>
        <v>1168</v>
      </c>
      <c r="F19" s="8">
        <f>F18</f>
        <v>1092</v>
      </c>
      <c r="G19" s="6">
        <f t="shared" si="0"/>
        <v>-76</v>
      </c>
      <c r="H19" s="7">
        <f t="shared" si="1"/>
        <v>-6.5068493150684928E-2</v>
      </c>
      <c r="I19" s="8">
        <v>1623.2489451476788</v>
      </c>
      <c r="J19" s="9">
        <f t="shared" si="2"/>
        <v>1517.6265822784806</v>
      </c>
      <c r="K19" s="3">
        <f t="shared" si="3"/>
        <v>-105.62236286919824</v>
      </c>
      <c r="L19" s="7">
        <f t="shared" si="4"/>
        <v>-6.5068493150684914E-2</v>
      </c>
      <c r="M19" t="s">
        <v>7</v>
      </c>
      <c r="N19" s="27"/>
      <c r="O19" s="3" t="e">
        <f>E19-#REF!</f>
        <v>#REF!</v>
      </c>
      <c r="P19" s="30" t="e">
        <f>I19-#REF!</f>
        <v>#REF!</v>
      </c>
    </row>
    <row r="20" spans="1:16" x14ac:dyDescent="0.25">
      <c r="A20">
        <v>18</v>
      </c>
      <c r="C20" t="s">
        <v>8</v>
      </c>
      <c r="D20" s="4" t="s">
        <v>25</v>
      </c>
      <c r="E20" s="5">
        <f>2*12*20/12*1.374</f>
        <v>54.960000000000008</v>
      </c>
      <c r="F20" s="5">
        <f>2*12*20/12*1.312</f>
        <v>52.480000000000004</v>
      </c>
      <c r="G20" s="6">
        <f t="shared" si="0"/>
        <v>-2.480000000000004</v>
      </c>
      <c r="H20" s="7">
        <f t="shared" si="1"/>
        <v>-4.5123726346433836E-2</v>
      </c>
      <c r="I20" s="8">
        <v>2760.2522375899971</v>
      </c>
      <c r="J20" s="9">
        <f t="shared" si="2"/>
        <v>2635.6993709738545</v>
      </c>
      <c r="K20" s="3">
        <f t="shared" si="3"/>
        <v>-124.55286661614264</v>
      </c>
      <c r="L20" s="7">
        <f t="shared" si="4"/>
        <v>-4.5123726346433815E-2</v>
      </c>
      <c r="M20" t="s">
        <v>7</v>
      </c>
      <c r="N20" s="27"/>
      <c r="O20" s="3" t="e">
        <f>E20-#REF!</f>
        <v>#REF!</v>
      </c>
      <c r="P20" s="30" t="e">
        <f>I20-#REF!</f>
        <v>#REF!</v>
      </c>
    </row>
    <row r="21" spans="1:16" x14ac:dyDescent="0.25">
      <c r="A21">
        <v>19</v>
      </c>
      <c r="C21" t="s">
        <v>8</v>
      </c>
      <c r="D21" s="4" t="s">
        <v>26</v>
      </c>
      <c r="E21" s="5">
        <v>15.8</v>
      </c>
      <c r="F21" s="5">
        <v>15.07</v>
      </c>
      <c r="G21" s="6">
        <f t="shared" si="0"/>
        <v>-0.73000000000000043</v>
      </c>
      <c r="H21" s="7">
        <f t="shared" si="1"/>
        <v>-4.6202531645569644E-2</v>
      </c>
      <c r="I21" s="8">
        <v>35.875601062017914</v>
      </c>
      <c r="J21" s="9">
        <f t="shared" si="2"/>
        <v>34.218057468646201</v>
      </c>
      <c r="K21" s="3">
        <f t="shared" si="3"/>
        <v>-1.6575435933717131</v>
      </c>
      <c r="L21" s="7">
        <f t="shared" si="4"/>
        <v>-4.6202531645569603E-2</v>
      </c>
      <c r="M21" t="s">
        <v>7</v>
      </c>
      <c r="O21" s="3" t="e">
        <f>E21-#REF!</f>
        <v>#REF!</v>
      </c>
      <c r="P21" s="30" t="e">
        <f>I21-#REF!</f>
        <v>#REF!</v>
      </c>
    </row>
    <row r="22" spans="1:16" x14ac:dyDescent="0.25">
      <c r="A22">
        <v>20</v>
      </c>
      <c r="C22" t="s">
        <v>8</v>
      </c>
      <c r="D22" s="4" t="s">
        <v>27</v>
      </c>
      <c r="E22" s="5">
        <v>1390</v>
      </c>
      <c r="F22" s="5">
        <v>1390</v>
      </c>
      <c r="G22" s="6">
        <f t="shared" si="0"/>
        <v>0</v>
      </c>
      <c r="H22" s="7">
        <f t="shared" si="1"/>
        <v>0</v>
      </c>
      <c r="I22" s="8">
        <v>1984.805491990847</v>
      </c>
      <c r="J22" s="9">
        <f t="shared" si="2"/>
        <v>1984.805491990847</v>
      </c>
      <c r="K22" s="3">
        <f t="shared" si="3"/>
        <v>0</v>
      </c>
      <c r="L22" s="7">
        <f t="shared" si="4"/>
        <v>0</v>
      </c>
      <c r="M22" t="s">
        <v>7</v>
      </c>
      <c r="N22" s="27"/>
      <c r="O22" s="3" t="e">
        <f>E22-#REF!</f>
        <v>#REF!</v>
      </c>
      <c r="P22" s="30" t="e">
        <f>I22-#REF!</f>
        <v>#REF!</v>
      </c>
    </row>
    <row r="23" spans="1:16" x14ac:dyDescent="0.25">
      <c r="A23">
        <v>21</v>
      </c>
      <c r="D23" s="4" t="s">
        <v>28</v>
      </c>
      <c r="E23" s="8">
        <f>E22</f>
        <v>1390</v>
      </c>
      <c r="F23" s="8">
        <f>F22</f>
        <v>1390</v>
      </c>
      <c r="G23" s="6">
        <f t="shared" si="0"/>
        <v>0</v>
      </c>
      <c r="H23" s="7">
        <f t="shared" si="1"/>
        <v>0</v>
      </c>
      <c r="I23" s="8">
        <v>1984.805491990847</v>
      </c>
      <c r="J23" s="9">
        <f t="shared" si="2"/>
        <v>1984.805491990847</v>
      </c>
      <c r="K23" s="3">
        <f t="shared" si="3"/>
        <v>0</v>
      </c>
      <c r="L23" s="7">
        <f t="shared" si="4"/>
        <v>0</v>
      </c>
      <c r="M23" t="s">
        <v>7</v>
      </c>
      <c r="N23" s="27"/>
      <c r="O23" s="3" t="e">
        <f>E23-#REF!</f>
        <v>#REF!</v>
      </c>
      <c r="P23" s="30" t="e">
        <f>I23-#REF!</f>
        <v>#REF!</v>
      </c>
    </row>
    <row r="24" spans="1:16" x14ac:dyDescent="0.25">
      <c r="A24">
        <v>22</v>
      </c>
      <c r="D24" s="2" t="s">
        <v>29</v>
      </c>
      <c r="H24" s="10">
        <f>AVERAGE(H4:H23)</f>
        <v>-4.8470809663904227E-2</v>
      </c>
      <c r="L24" s="10">
        <f>AVERAGE(L4:L23)</f>
        <v>-4.847080966390422E-2</v>
      </c>
    </row>
    <row r="25" spans="1:16" x14ac:dyDescent="0.25">
      <c r="A25">
        <v>23</v>
      </c>
      <c r="D25" s="2" t="s">
        <v>30</v>
      </c>
      <c r="M25" t="s">
        <v>7</v>
      </c>
    </row>
    <row r="26" spans="1:16" x14ac:dyDescent="0.25">
      <c r="A26">
        <v>24</v>
      </c>
      <c r="D26" s="4" t="s">
        <v>31</v>
      </c>
      <c r="E26" s="5">
        <v>483</v>
      </c>
      <c r="F26" s="5">
        <v>468</v>
      </c>
      <c r="G26" s="6">
        <f t="shared" ref="G26:G31" si="5">+F26-E26</f>
        <v>-15</v>
      </c>
      <c r="H26" s="7">
        <f t="shared" ref="H26:H31" si="6">(F26-E26)/ABS(E26)</f>
        <v>-3.1055900621118012E-2</v>
      </c>
      <c r="I26" s="8">
        <v>802.98749999999995</v>
      </c>
      <c r="J26" s="9">
        <f t="shared" ref="J26:J31" si="7">(I26*H26)+I26</f>
        <v>778.05</v>
      </c>
      <c r="K26" s="3">
        <f t="shared" ref="K26:K31" si="8">J26-I26</f>
        <v>-24.9375</v>
      </c>
      <c r="L26" s="7">
        <f t="shared" ref="L26:L31" si="9">(J26-I26)/ABS(I26)</f>
        <v>-3.1055900621118016E-2</v>
      </c>
      <c r="M26" t="s">
        <v>7</v>
      </c>
      <c r="O26" s="3" t="e">
        <f>E26-#REF!</f>
        <v>#REF!</v>
      </c>
      <c r="P26" s="30" t="e">
        <f>I26-#REF!</f>
        <v>#REF!</v>
      </c>
    </row>
    <row r="27" spans="1:16" x14ac:dyDescent="0.25">
      <c r="A27">
        <v>25</v>
      </c>
      <c r="D27" s="4" t="s">
        <v>32</v>
      </c>
      <c r="E27" s="5">
        <v>503</v>
      </c>
      <c r="F27" s="5">
        <v>498</v>
      </c>
      <c r="G27" s="6">
        <f t="shared" si="5"/>
        <v>-5</v>
      </c>
      <c r="H27" s="7">
        <f t="shared" si="6"/>
        <v>-9.9403578528827041E-3</v>
      </c>
      <c r="I27" s="8">
        <v>659.85657894736823</v>
      </c>
      <c r="J27" s="9">
        <f>(I27*H27)+I27</f>
        <v>653.2973684210524</v>
      </c>
      <c r="K27" s="3">
        <f t="shared" si="8"/>
        <v>-6.5592105263158373</v>
      </c>
      <c r="L27" s="7">
        <f t="shared" si="9"/>
        <v>-9.9403578528827786E-3</v>
      </c>
      <c r="M27" t="s">
        <v>7</v>
      </c>
      <c r="O27" s="3" t="e">
        <f>E27-#REF!</f>
        <v>#REF!</v>
      </c>
      <c r="P27" s="30" t="e">
        <f>I27-#REF!</f>
        <v>#REF!</v>
      </c>
    </row>
    <row r="28" spans="1:16" x14ac:dyDescent="0.25">
      <c r="A28">
        <v>26</v>
      </c>
      <c r="D28" s="4" t="s">
        <v>33</v>
      </c>
      <c r="E28" s="5">
        <v>503</v>
      </c>
      <c r="F28" s="5">
        <v>498</v>
      </c>
      <c r="G28" s="6">
        <f t="shared" si="5"/>
        <v>-5</v>
      </c>
      <c r="H28" s="7">
        <f t="shared" si="6"/>
        <v>-9.9403578528827041E-3</v>
      </c>
      <c r="I28" s="8">
        <v>598.96710526315792</v>
      </c>
      <c r="J28" s="9">
        <f t="shared" si="7"/>
        <v>593.01315789473688</v>
      </c>
      <c r="K28" s="3">
        <f t="shared" si="8"/>
        <v>-5.9539473684210407</v>
      </c>
      <c r="L28" s="7">
        <f t="shared" si="9"/>
        <v>-9.9403578528826832E-3</v>
      </c>
      <c r="M28" t="s">
        <v>7</v>
      </c>
      <c r="O28" s="3" t="e">
        <f>E28-#REF!</f>
        <v>#REF!</v>
      </c>
      <c r="P28" s="30" t="e">
        <f>I28-#REF!</f>
        <v>#REF!</v>
      </c>
    </row>
    <row r="29" spans="1:16" x14ac:dyDescent="0.25">
      <c r="A29">
        <v>27</v>
      </c>
      <c r="D29" s="4" t="s">
        <v>34</v>
      </c>
      <c r="E29" s="5">
        <v>458</v>
      </c>
      <c r="F29" s="5">
        <v>448</v>
      </c>
      <c r="G29" s="6">
        <f t="shared" si="5"/>
        <v>-10</v>
      </c>
      <c r="H29" s="7">
        <f t="shared" si="6"/>
        <v>-2.1834061135371178E-2</v>
      </c>
      <c r="I29" s="8">
        <v>603.41499999999996</v>
      </c>
      <c r="J29" s="9">
        <f t="shared" si="7"/>
        <v>590.24</v>
      </c>
      <c r="K29" s="3">
        <f t="shared" si="8"/>
        <v>-13.174999999999955</v>
      </c>
      <c r="L29" s="7">
        <f t="shared" si="9"/>
        <v>-2.1834061135371105E-2</v>
      </c>
      <c r="M29" t="s">
        <v>7</v>
      </c>
      <c r="O29" s="3" t="e">
        <f>E29-#REF!</f>
        <v>#REF!</v>
      </c>
      <c r="P29" s="30" t="e">
        <f>I29-#REF!</f>
        <v>#REF!</v>
      </c>
    </row>
    <row r="30" spans="1:16" x14ac:dyDescent="0.25">
      <c r="A30">
        <v>28</v>
      </c>
      <c r="D30" s="4" t="s">
        <v>35</v>
      </c>
      <c r="E30" s="5">
        <v>548</v>
      </c>
      <c r="F30" s="5">
        <v>513</v>
      </c>
      <c r="G30" s="6">
        <f t="shared" si="5"/>
        <v>-35</v>
      </c>
      <c r="H30" s="7">
        <f t="shared" si="6"/>
        <v>-6.3868613138686137E-2</v>
      </c>
      <c r="I30" s="8">
        <v>692.75471698113211</v>
      </c>
      <c r="J30" s="9">
        <f t="shared" si="7"/>
        <v>648.50943396226421</v>
      </c>
      <c r="K30" s="3">
        <f t="shared" si="8"/>
        <v>-44.245283018867894</v>
      </c>
      <c r="L30" s="7">
        <f t="shared" si="9"/>
        <v>-6.3868613138686081E-2</v>
      </c>
      <c r="M30" t="s">
        <v>7</v>
      </c>
      <c r="O30" s="3" t="e">
        <f>E30-#REF!</f>
        <v>#REF!</v>
      </c>
      <c r="P30" s="30" t="e">
        <f>I30-#REF!</f>
        <v>#REF!</v>
      </c>
    </row>
    <row r="31" spans="1:16" x14ac:dyDescent="0.25">
      <c r="A31">
        <v>29</v>
      </c>
      <c r="D31" s="4" t="s">
        <v>36</v>
      </c>
      <c r="E31" s="5">
        <v>548</v>
      </c>
      <c r="F31" s="5">
        <v>513</v>
      </c>
      <c r="G31" s="6">
        <f t="shared" si="5"/>
        <v>-35</v>
      </c>
      <c r="H31" s="7">
        <f t="shared" si="6"/>
        <v>-6.3868613138686137E-2</v>
      </c>
      <c r="I31" s="8">
        <v>665.87169811320769</v>
      </c>
      <c r="J31" s="9">
        <f t="shared" si="7"/>
        <v>623.34339622641528</v>
      </c>
      <c r="K31" s="3">
        <f t="shared" si="8"/>
        <v>-42.528301886792406</v>
      </c>
      <c r="L31" s="7">
        <f t="shared" si="9"/>
        <v>-6.3868613138686053E-2</v>
      </c>
      <c r="M31" t="s">
        <v>7</v>
      </c>
      <c r="O31" s="3" t="e">
        <f>E31-#REF!</f>
        <v>#REF!</v>
      </c>
      <c r="P31" s="30" t="e">
        <f>I31-#REF!</f>
        <v>#REF!</v>
      </c>
    </row>
    <row r="32" spans="1:16" x14ac:dyDescent="0.25">
      <c r="A32">
        <v>30</v>
      </c>
      <c r="D32" s="2" t="s">
        <v>37</v>
      </c>
      <c r="H32" s="10">
        <f>AVERAGE(H26:H31)</f>
        <v>-3.3417983956604481E-2</v>
      </c>
      <c r="L32" s="10">
        <f>AVERAGE(L26:L31)</f>
        <v>-3.3417983956604454E-2</v>
      </c>
    </row>
    <row r="33" spans="1:16" x14ac:dyDescent="0.25">
      <c r="A33">
        <v>31</v>
      </c>
      <c r="D33" s="2" t="s">
        <v>38</v>
      </c>
      <c r="M33" t="s">
        <v>7</v>
      </c>
    </row>
    <row r="34" spans="1:16" x14ac:dyDescent="0.25">
      <c r="A34">
        <v>32</v>
      </c>
      <c r="D34" s="4" t="s">
        <v>39</v>
      </c>
      <c r="E34" s="5">
        <v>565</v>
      </c>
      <c r="F34" s="5">
        <v>530</v>
      </c>
      <c r="G34" s="6">
        <f t="shared" ref="G34:G62" si="10">+F34-E34</f>
        <v>-35</v>
      </c>
      <c r="H34" s="7">
        <f t="shared" ref="H34:H62" si="11">(F34-E34)/ABS(E34)</f>
        <v>-6.1946902654867256E-2</v>
      </c>
      <c r="I34" s="8">
        <v>642.44396551724139</v>
      </c>
      <c r="J34" s="9">
        <f t="shared" ref="J34:J62" si="12">(I34*H34)+I34</f>
        <v>602.64655172413791</v>
      </c>
      <c r="K34" s="3">
        <f t="shared" ref="K34:K62" si="13">J34-I34</f>
        <v>-39.797413793103487</v>
      </c>
      <c r="L34" s="7">
        <f t="shared" ref="L34:L62" si="14">(J34-I34)/ABS(I34)</f>
        <v>-6.1946902654867318E-2</v>
      </c>
      <c r="M34" t="s">
        <v>7</v>
      </c>
      <c r="O34" s="3" t="e">
        <f>E34-#REF!</f>
        <v>#REF!</v>
      </c>
      <c r="P34" s="30" t="e">
        <f>I34-#REF!</f>
        <v>#REF!</v>
      </c>
    </row>
    <row r="35" spans="1:16" x14ac:dyDescent="0.25">
      <c r="A35">
        <v>33</v>
      </c>
      <c r="D35" s="4" t="s">
        <v>40</v>
      </c>
      <c r="E35" s="8">
        <f>E34</f>
        <v>565</v>
      </c>
      <c r="F35" s="8">
        <f>F34</f>
        <v>530</v>
      </c>
      <c r="G35" s="6">
        <f t="shared" si="10"/>
        <v>-35</v>
      </c>
      <c r="H35" s="7">
        <f t="shared" si="11"/>
        <v>-6.1946902654867256E-2</v>
      </c>
      <c r="I35" s="8">
        <v>642.44396551724139</v>
      </c>
      <c r="J35" s="9">
        <f t="shared" si="12"/>
        <v>602.64655172413791</v>
      </c>
      <c r="K35" s="3">
        <f t="shared" si="13"/>
        <v>-39.797413793103487</v>
      </c>
      <c r="L35" s="7">
        <f t="shared" si="14"/>
        <v>-6.1946902654867318E-2</v>
      </c>
      <c r="M35" t="s">
        <v>7</v>
      </c>
      <c r="O35" s="3" t="e">
        <f>E35-#REF!</f>
        <v>#REF!</v>
      </c>
      <c r="P35" s="30" t="e">
        <f>I35-#REF!</f>
        <v>#REF!</v>
      </c>
    </row>
    <row r="36" spans="1:16" x14ac:dyDescent="0.25">
      <c r="A36">
        <v>34</v>
      </c>
      <c r="D36" s="4" t="s">
        <v>41</v>
      </c>
      <c r="E36" s="8">
        <f>E34</f>
        <v>565</v>
      </c>
      <c r="F36" s="8">
        <f>F34</f>
        <v>530</v>
      </c>
      <c r="G36" s="6">
        <f t="shared" si="10"/>
        <v>-35</v>
      </c>
      <c r="H36" s="7">
        <f t="shared" si="11"/>
        <v>-6.1946902654867256E-2</v>
      </c>
      <c r="I36" s="8">
        <v>642.44396551724139</v>
      </c>
      <c r="J36" s="9">
        <f t="shared" si="12"/>
        <v>602.64655172413791</v>
      </c>
      <c r="K36" s="3">
        <f t="shared" si="13"/>
        <v>-39.797413793103487</v>
      </c>
      <c r="L36" s="7">
        <f t="shared" si="14"/>
        <v>-6.1946902654867318E-2</v>
      </c>
      <c r="M36" t="s">
        <v>7</v>
      </c>
      <c r="O36" s="3" t="e">
        <f>E36-#REF!</f>
        <v>#REF!</v>
      </c>
      <c r="P36" s="30" t="e">
        <f>I36-#REF!</f>
        <v>#REF!</v>
      </c>
    </row>
    <row r="37" spans="1:16" x14ac:dyDescent="0.25">
      <c r="A37">
        <v>35</v>
      </c>
      <c r="D37" s="4" t="s">
        <v>42</v>
      </c>
      <c r="E37" s="8">
        <f>E34</f>
        <v>565</v>
      </c>
      <c r="F37" s="8">
        <f>F34</f>
        <v>530</v>
      </c>
      <c r="G37" s="6">
        <f t="shared" si="10"/>
        <v>-35</v>
      </c>
      <c r="H37" s="7">
        <f t="shared" si="11"/>
        <v>-6.1946902654867256E-2</v>
      </c>
      <c r="I37" s="8">
        <v>642.44396551724139</v>
      </c>
      <c r="J37" s="9">
        <f t="shared" si="12"/>
        <v>602.64655172413791</v>
      </c>
      <c r="K37" s="3">
        <f t="shared" si="13"/>
        <v>-39.797413793103487</v>
      </c>
      <c r="L37" s="7">
        <f t="shared" si="14"/>
        <v>-6.1946902654867318E-2</v>
      </c>
      <c r="M37" t="s">
        <v>7</v>
      </c>
      <c r="O37" s="3" t="e">
        <f>E37-#REF!</f>
        <v>#REF!</v>
      </c>
      <c r="P37" s="30" t="e">
        <f>I37-#REF!</f>
        <v>#REF!</v>
      </c>
    </row>
    <row r="38" spans="1:16" x14ac:dyDescent="0.25">
      <c r="A38">
        <v>36</v>
      </c>
      <c r="D38" s="4" t="s">
        <v>43</v>
      </c>
      <c r="E38" s="8">
        <f>E34</f>
        <v>565</v>
      </c>
      <c r="F38" s="8">
        <f>F34</f>
        <v>530</v>
      </c>
      <c r="G38" s="6">
        <f t="shared" si="10"/>
        <v>-35</v>
      </c>
      <c r="H38" s="7">
        <f t="shared" si="11"/>
        <v>-6.1946902654867256E-2</v>
      </c>
      <c r="I38" s="8">
        <v>642.44396551724139</v>
      </c>
      <c r="J38" s="9">
        <f t="shared" si="12"/>
        <v>602.64655172413791</v>
      </c>
      <c r="K38" s="3">
        <f t="shared" si="13"/>
        <v>-39.797413793103487</v>
      </c>
      <c r="L38" s="7">
        <f t="shared" si="14"/>
        <v>-6.1946902654867318E-2</v>
      </c>
      <c r="M38" t="s">
        <v>7</v>
      </c>
      <c r="O38" s="3" t="e">
        <f>E38-#REF!</f>
        <v>#REF!</v>
      </c>
      <c r="P38" s="30" t="e">
        <f>I38-#REF!</f>
        <v>#REF!</v>
      </c>
    </row>
    <row r="39" spans="1:16" x14ac:dyDescent="0.25">
      <c r="A39">
        <v>37</v>
      </c>
      <c r="D39" s="4" t="s">
        <v>44</v>
      </c>
      <c r="E39" s="8">
        <f>E34</f>
        <v>565</v>
      </c>
      <c r="F39" s="8">
        <f>F34</f>
        <v>530</v>
      </c>
      <c r="G39" s="6">
        <f t="shared" si="10"/>
        <v>-35</v>
      </c>
      <c r="H39" s="7">
        <f t="shared" si="11"/>
        <v>-6.1946902654867256E-2</v>
      </c>
      <c r="I39" s="8">
        <v>642.44396551724139</v>
      </c>
      <c r="J39" s="9">
        <f t="shared" si="12"/>
        <v>602.64655172413791</v>
      </c>
      <c r="K39" s="3">
        <f t="shared" si="13"/>
        <v>-39.797413793103487</v>
      </c>
      <c r="L39" s="7">
        <f t="shared" si="14"/>
        <v>-6.1946902654867318E-2</v>
      </c>
      <c r="M39" t="s">
        <v>7</v>
      </c>
      <c r="O39" s="3" t="e">
        <f>E39-#REF!</f>
        <v>#REF!</v>
      </c>
      <c r="P39" s="30" t="e">
        <f>I39-#REF!</f>
        <v>#REF!</v>
      </c>
    </row>
    <row r="40" spans="1:16" x14ac:dyDescent="0.25">
      <c r="A40">
        <v>38</v>
      </c>
      <c r="D40" s="4" t="s">
        <v>45</v>
      </c>
      <c r="E40" s="8">
        <f>E34</f>
        <v>565</v>
      </c>
      <c r="F40" s="8">
        <f>F34</f>
        <v>530</v>
      </c>
      <c r="G40" s="6">
        <f t="shared" si="10"/>
        <v>-35</v>
      </c>
      <c r="H40" s="7">
        <f t="shared" si="11"/>
        <v>-6.1946902654867256E-2</v>
      </c>
      <c r="I40" s="8">
        <v>642.44396551724139</v>
      </c>
      <c r="J40" s="9">
        <f t="shared" si="12"/>
        <v>602.64655172413791</v>
      </c>
      <c r="K40" s="3">
        <f t="shared" si="13"/>
        <v>-39.797413793103487</v>
      </c>
      <c r="L40" s="7">
        <f t="shared" si="14"/>
        <v>-6.1946902654867318E-2</v>
      </c>
      <c r="M40" t="s">
        <v>7</v>
      </c>
      <c r="O40" s="3" t="e">
        <f>E40-#REF!</f>
        <v>#REF!</v>
      </c>
      <c r="P40" s="30" t="e">
        <f>I40-#REF!</f>
        <v>#REF!</v>
      </c>
    </row>
    <row r="41" spans="1:16" x14ac:dyDescent="0.25">
      <c r="A41">
        <v>39</v>
      </c>
      <c r="D41" s="4" t="s">
        <v>46</v>
      </c>
      <c r="E41" s="8">
        <f>E35</f>
        <v>565</v>
      </c>
      <c r="F41" s="8">
        <f>F35</f>
        <v>530</v>
      </c>
      <c r="G41" s="6">
        <f t="shared" si="10"/>
        <v>-35</v>
      </c>
      <c r="H41" s="7">
        <f t="shared" si="11"/>
        <v>-6.1946902654867256E-2</v>
      </c>
      <c r="I41" s="8">
        <v>642.44396551724139</v>
      </c>
      <c r="J41" s="9">
        <f t="shared" si="12"/>
        <v>602.64655172413791</v>
      </c>
      <c r="K41" s="3">
        <f t="shared" si="13"/>
        <v>-39.797413793103487</v>
      </c>
      <c r="L41" s="7">
        <f t="shared" si="14"/>
        <v>-6.1946902654867318E-2</v>
      </c>
      <c r="M41" t="s">
        <v>7</v>
      </c>
      <c r="O41" s="3" t="e">
        <f>E41-#REF!</f>
        <v>#REF!</v>
      </c>
      <c r="P41" s="30" t="e">
        <f>I41-#REF!</f>
        <v>#REF!</v>
      </c>
    </row>
    <row r="42" spans="1:16" x14ac:dyDescent="0.25">
      <c r="A42">
        <v>40</v>
      </c>
      <c r="D42" s="4" t="s">
        <v>47</v>
      </c>
      <c r="E42" s="5">
        <v>540</v>
      </c>
      <c r="F42" s="5">
        <v>515</v>
      </c>
      <c r="G42" s="6">
        <f t="shared" si="10"/>
        <v>-25</v>
      </c>
      <c r="H42" s="7">
        <f t="shared" si="11"/>
        <v>-4.6296296296296294E-2</v>
      </c>
      <c r="I42" s="8">
        <v>615.80769230769238</v>
      </c>
      <c r="J42" s="9">
        <f t="shared" si="12"/>
        <v>587.29807692307702</v>
      </c>
      <c r="K42" s="3">
        <f t="shared" si="13"/>
        <v>-28.509615384615358</v>
      </c>
      <c r="L42" s="7">
        <f t="shared" si="14"/>
        <v>-4.6296296296296245E-2</v>
      </c>
      <c r="M42" t="s">
        <v>7</v>
      </c>
      <c r="O42" s="3" t="e">
        <f>E42-#REF!</f>
        <v>#REF!</v>
      </c>
      <c r="P42" s="30" t="e">
        <f>I42-#REF!</f>
        <v>#REF!</v>
      </c>
    </row>
    <row r="43" spans="1:16" x14ac:dyDescent="0.25">
      <c r="A43">
        <v>41</v>
      </c>
      <c r="D43" s="4" t="s">
        <v>48</v>
      </c>
      <c r="E43" s="8">
        <f>E42</f>
        <v>540</v>
      </c>
      <c r="F43" s="8">
        <f>F42</f>
        <v>515</v>
      </c>
      <c r="G43" s="6">
        <f t="shared" si="10"/>
        <v>-25</v>
      </c>
      <c r="H43" s="7">
        <f t="shared" si="11"/>
        <v>-4.6296296296296294E-2</v>
      </c>
      <c r="I43" s="8">
        <v>615.80769230769238</v>
      </c>
      <c r="J43" s="9">
        <f t="shared" si="12"/>
        <v>587.29807692307702</v>
      </c>
      <c r="K43" s="3">
        <f t="shared" si="13"/>
        <v>-28.509615384615358</v>
      </c>
      <c r="L43" s="7">
        <f t="shared" si="14"/>
        <v>-4.6296296296296245E-2</v>
      </c>
      <c r="M43" t="s">
        <v>7</v>
      </c>
      <c r="O43" s="3" t="e">
        <f>E43-#REF!</f>
        <v>#REF!</v>
      </c>
      <c r="P43" s="30" t="e">
        <f>I43-#REF!</f>
        <v>#REF!</v>
      </c>
    </row>
    <row r="44" spans="1:16" x14ac:dyDescent="0.25">
      <c r="A44">
        <v>42</v>
      </c>
      <c r="D44" s="4" t="s">
        <v>49</v>
      </c>
      <c r="E44" s="8">
        <f>E42</f>
        <v>540</v>
      </c>
      <c r="F44" s="8">
        <f>F42</f>
        <v>515</v>
      </c>
      <c r="G44" s="6">
        <f t="shared" si="10"/>
        <v>-25</v>
      </c>
      <c r="H44" s="7">
        <f t="shared" si="11"/>
        <v>-4.6296296296296294E-2</v>
      </c>
      <c r="I44" s="8">
        <v>615.80769230769238</v>
      </c>
      <c r="J44" s="9">
        <f t="shared" si="12"/>
        <v>587.29807692307702</v>
      </c>
      <c r="K44" s="3">
        <f t="shared" si="13"/>
        <v>-28.509615384615358</v>
      </c>
      <c r="L44" s="7">
        <f t="shared" si="14"/>
        <v>-4.6296296296296245E-2</v>
      </c>
      <c r="M44" t="s">
        <v>7</v>
      </c>
      <c r="O44" s="3" t="e">
        <f>E44-#REF!</f>
        <v>#REF!</v>
      </c>
      <c r="P44" s="30" t="e">
        <f>I44-#REF!</f>
        <v>#REF!</v>
      </c>
    </row>
    <row r="45" spans="1:16" x14ac:dyDescent="0.25">
      <c r="A45">
        <v>43</v>
      </c>
      <c r="D45" s="4" t="s">
        <v>50</v>
      </c>
      <c r="E45" s="8">
        <f>E42</f>
        <v>540</v>
      </c>
      <c r="F45" s="8">
        <f>F42</f>
        <v>515</v>
      </c>
      <c r="G45" s="6">
        <f t="shared" si="10"/>
        <v>-25</v>
      </c>
      <c r="H45" s="7">
        <f t="shared" si="11"/>
        <v>-4.6296296296296294E-2</v>
      </c>
      <c r="I45" s="8">
        <v>615.80769230769238</v>
      </c>
      <c r="J45" s="9">
        <f t="shared" si="12"/>
        <v>587.29807692307702</v>
      </c>
      <c r="K45" s="3">
        <f t="shared" si="13"/>
        <v>-28.509615384615358</v>
      </c>
      <c r="L45" s="7">
        <f t="shared" si="14"/>
        <v>-4.6296296296296245E-2</v>
      </c>
      <c r="M45" t="s">
        <v>7</v>
      </c>
      <c r="O45" s="3" t="e">
        <f>E45-#REF!</f>
        <v>#REF!</v>
      </c>
      <c r="P45" s="30" t="e">
        <f>I45-#REF!</f>
        <v>#REF!</v>
      </c>
    </row>
    <row r="46" spans="1:16" x14ac:dyDescent="0.25">
      <c r="A46">
        <v>44</v>
      </c>
      <c r="D46" s="4" t="s">
        <v>51</v>
      </c>
      <c r="E46" s="8">
        <f>E42</f>
        <v>540</v>
      </c>
      <c r="F46" s="8">
        <f>F42</f>
        <v>515</v>
      </c>
      <c r="G46" s="6">
        <f t="shared" si="10"/>
        <v>-25</v>
      </c>
      <c r="H46" s="7">
        <f t="shared" si="11"/>
        <v>-4.6296296296296294E-2</v>
      </c>
      <c r="I46" s="8">
        <v>615.80769230769238</v>
      </c>
      <c r="J46" s="9">
        <f t="shared" si="12"/>
        <v>587.29807692307702</v>
      </c>
      <c r="K46" s="3">
        <f t="shared" si="13"/>
        <v>-28.509615384615358</v>
      </c>
      <c r="L46" s="7">
        <f t="shared" si="14"/>
        <v>-4.6296296296296245E-2</v>
      </c>
      <c r="M46" t="s">
        <v>7</v>
      </c>
      <c r="O46" s="3" t="e">
        <f>E46-#REF!</f>
        <v>#REF!</v>
      </c>
      <c r="P46" s="30" t="e">
        <f>I46-#REF!</f>
        <v>#REF!</v>
      </c>
    </row>
    <row r="47" spans="1:16" x14ac:dyDescent="0.25">
      <c r="A47">
        <v>45</v>
      </c>
      <c r="D47" s="4" t="s">
        <v>52</v>
      </c>
      <c r="E47" s="8">
        <f>E42</f>
        <v>540</v>
      </c>
      <c r="F47" s="8">
        <f>F42</f>
        <v>515</v>
      </c>
      <c r="G47" s="6">
        <f t="shared" si="10"/>
        <v>-25</v>
      </c>
      <c r="H47" s="7">
        <f t="shared" si="11"/>
        <v>-4.6296296296296294E-2</v>
      </c>
      <c r="I47" s="8">
        <v>615.80769230769238</v>
      </c>
      <c r="J47" s="9">
        <f t="shared" si="12"/>
        <v>587.29807692307702</v>
      </c>
      <c r="K47" s="3">
        <f t="shared" si="13"/>
        <v>-28.509615384615358</v>
      </c>
      <c r="L47" s="7">
        <f t="shared" si="14"/>
        <v>-4.6296296296296245E-2</v>
      </c>
      <c r="M47" t="s">
        <v>7</v>
      </c>
      <c r="O47" s="3" t="e">
        <f>E47-#REF!</f>
        <v>#REF!</v>
      </c>
      <c r="P47" s="30" t="e">
        <f>I47-#REF!</f>
        <v>#REF!</v>
      </c>
    </row>
    <row r="48" spans="1:16" x14ac:dyDescent="0.25">
      <c r="A48">
        <v>46</v>
      </c>
      <c r="D48" s="4" t="s">
        <v>53</v>
      </c>
      <c r="E48" s="8">
        <f>E42</f>
        <v>540</v>
      </c>
      <c r="F48" s="8">
        <f>F42</f>
        <v>515</v>
      </c>
      <c r="G48" s="6">
        <f t="shared" si="10"/>
        <v>-25</v>
      </c>
      <c r="H48" s="7">
        <f t="shared" si="11"/>
        <v>-4.6296296296296294E-2</v>
      </c>
      <c r="I48" s="8">
        <v>615.80769230769238</v>
      </c>
      <c r="J48" s="9">
        <f t="shared" si="12"/>
        <v>587.29807692307702</v>
      </c>
      <c r="K48" s="3">
        <f t="shared" si="13"/>
        <v>-28.509615384615358</v>
      </c>
      <c r="L48" s="7">
        <f t="shared" si="14"/>
        <v>-4.6296296296296245E-2</v>
      </c>
      <c r="M48" t="s">
        <v>7</v>
      </c>
      <c r="O48" s="3" t="e">
        <f>E48-#REF!</f>
        <v>#REF!</v>
      </c>
      <c r="P48" s="30" t="e">
        <f>I48-#REF!</f>
        <v>#REF!</v>
      </c>
    </row>
    <row r="49" spans="1:16" x14ac:dyDescent="0.25">
      <c r="A49">
        <v>47</v>
      </c>
      <c r="D49" s="4" t="s">
        <v>54</v>
      </c>
      <c r="E49" s="8">
        <f>E43</f>
        <v>540</v>
      </c>
      <c r="F49" s="8">
        <f>F43</f>
        <v>515</v>
      </c>
      <c r="G49" s="6">
        <f t="shared" si="10"/>
        <v>-25</v>
      </c>
      <c r="H49" s="7">
        <f t="shared" si="11"/>
        <v>-4.6296296296296294E-2</v>
      </c>
      <c r="I49" s="8">
        <v>615.80769230769238</v>
      </c>
      <c r="J49" s="9">
        <f t="shared" si="12"/>
        <v>587.29807692307702</v>
      </c>
      <c r="K49" s="3">
        <f t="shared" si="13"/>
        <v>-28.509615384615358</v>
      </c>
      <c r="L49" s="7">
        <f t="shared" si="14"/>
        <v>-4.6296296296296245E-2</v>
      </c>
      <c r="M49" t="s">
        <v>7</v>
      </c>
      <c r="O49" s="3" t="e">
        <f>E49-#REF!</f>
        <v>#REF!</v>
      </c>
      <c r="P49" s="30" t="e">
        <f>I49-#REF!</f>
        <v>#REF!</v>
      </c>
    </row>
    <row r="50" spans="1:16" x14ac:dyDescent="0.25">
      <c r="A50">
        <v>48</v>
      </c>
      <c r="D50" s="4" t="s">
        <v>55</v>
      </c>
      <c r="E50" s="5">
        <v>770</v>
      </c>
      <c r="F50" s="5">
        <v>775</v>
      </c>
      <c r="G50" s="6">
        <f t="shared" si="10"/>
        <v>5</v>
      </c>
      <c r="H50" s="7">
        <f t="shared" si="11"/>
        <v>6.4935064935064939E-3</v>
      </c>
      <c r="I50" s="8">
        <v>953.19877675840974</v>
      </c>
      <c r="J50" s="9">
        <f t="shared" si="12"/>
        <v>959.38837920489289</v>
      </c>
      <c r="K50" s="3">
        <f t="shared" si="13"/>
        <v>6.1896024464831498</v>
      </c>
      <c r="L50" s="7">
        <f t="shared" si="14"/>
        <v>6.4935064935064618E-3</v>
      </c>
      <c r="M50" t="s">
        <v>7</v>
      </c>
      <c r="O50" s="3" t="e">
        <f>E50-#REF!</f>
        <v>#REF!</v>
      </c>
      <c r="P50" s="30" t="e">
        <f>I50-#REF!</f>
        <v>#REF!</v>
      </c>
    </row>
    <row r="51" spans="1:16" x14ac:dyDescent="0.25">
      <c r="A51">
        <v>49</v>
      </c>
      <c r="D51" s="4" t="s">
        <v>56</v>
      </c>
      <c r="E51" s="8">
        <f>E50</f>
        <v>770</v>
      </c>
      <c r="F51" s="8">
        <f>F50</f>
        <v>775</v>
      </c>
      <c r="G51" s="6">
        <f t="shared" si="10"/>
        <v>5</v>
      </c>
      <c r="H51" s="7">
        <f t="shared" si="11"/>
        <v>6.4935064935064939E-3</v>
      </c>
      <c r="I51" s="8">
        <v>953.19877675840974</v>
      </c>
      <c r="J51" s="9">
        <f t="shared" si="12"/>
        <v>959.38837920489289</v>
      </c>
      <c r="K51" s="3">
        <f t="shared" si="13"/>
        <v>6.1896024464831498</v>
      </c>
      <c r="L51" s="7">
        <f t="shared" si="14"/>
        <v>6.4935064935064618E-3</v>
      </c>
      <c r="M51" t="s">
        <v>7</v>
      </c>
      <c r="O51" s="3" t="e">
        <f>E51-#REF!</f>
        <v>#REF!</v>
      </c>
      <c r="P51" s="30" t="e">
        <f>I51-#REF!</f>
        <v>#REF!</v>
      </c>
    </row>
    <row r="52" spans="1:16" x14ac:dyDescent="0.25">
      <c r="A52">
        <v>50</v>
      </c>
      <c r="D52" s="4" t="s">
        <v>57</v>
      </c>
      <c r="E52" s="8">
        <f>E50</f>
        <v>770</v>
      </c>
      <c r="F52" s="8">
        <f>F50</f>
        <v>775</v>
      </c>
      <c r="G52" s="6">
        <f t="shared" si="10"/>
        <v>5</v>
      </c>
      <c r="H52" s="7">
        <f t="shared" si="11"/>
        <v>6.4935064935064939E-3</v>
      </c>
      <c r="I52" s="8">
        <v>953.19877675840974</v>
      </c>
      <c r="J52" s="9">
        <f t="shared" si="12"/>
        <v>959.38837920489289</v>
      </c>
      <c r="K52" s="3">
        <f t="shared" si="13"/>
        <v>6.1896024464831498</v>
      </c>
      <c r="L52" s="7">
        <f t="shared" si="14"/>
        <v>6.4935064935064618E-3</v>
      </c>
      <c r="M52" t="s">
        <v>7</v>
      </c>
      <c r="O52" s="3" t="e">
        <f>E52-#REF!</f>
        <v>#REF!</v>
      </c>
      <c r="P52" s="30" t="e">
        <f>I52-#REF!</f>
        <v>#REF!</v>
      </c>
    </row>
    <row r="53" spans="1:16" x14ac:dyDescent="0.25">
      <c r="A53">
        <v>51</v>
      </c>
      <c r="D53" s="4" t="s">
        <v>58</v>
      </c>
      <c r="E53" s="8">
        <f>E50</f>
        <v>770</v>
      </c>
      <c r="F53" s="8">
        <f>F50</f>
        <v>775</v>
      </c>
      <c r="G53" s="6">
        <f t="shared" si="10"/>
        <v>5</v>
      </c>
      <c r="H53" s="7">
        <f t="shared" si="11"/>
        <v>6.4935064935064939E-3</v>
      </c>
      <c r="I53" s="8">
        <v>953.19877675840974</v>
      </c>
      <c r="J53" s="9">
        <f t="shared" si="12"/>
        <v>959.38837920489289</v>
      </c>
      <c r="K53" s="3">
        <f t="shared" si="13"/>
        <v>6.1896024464831498</v>
      </c>
      <c r="L53" s="7">
        <f t="shared" si="14"/>
        <v>6.4935064935064618E-3</v>
      </c>
      <c r="M53" t="s">
        <v>7</v>
      </c>
      <c r="O53" s="3" t="e">
        <f>E53-#REF!</f>
        <v>#REF!</v>
      </c>
      <c r="P53" s="30" t="e">
        <f>I53-#REF!</f>
        <v>#REF!</v>
      </c>
    </row>
    <row r="54" spans="1:16" x14ac:dyDescent="0.25">
      <c r="A54">
        <v>52</v>
      </c>
      <c r="D54" s="4" t="s">
        <v>59</v>
      </c>
      <c r="E54" s="5">
        <v>793</v>
      </c>
      <c r="F54" s="5">
        <v>783</v>
      </c>
      <c r="G54" s="6">
        <f t="shared" si="10"/>
        <v>-10</v>
      </c>
      <c r="H54" s="7">
        <f t="shared" si="11"/>
        <v>-1.2610340479192938E-2</v>
      </c>
      <c r="I54" s="8">
        <v>990.65465465465422</v>
      </c>
      <c r="J54" s="9">
        <f t="shared" si="12"/>
        <v>978.16216216216174</v>
      </c>
      <c r="K54" s="3">
        <f t="shared" si="13"/>
        <v>-12.492492492492488</v>
      </c>
      <c r="L54" s="7">
        <f t="shared" si="14"/>
        <v>-1.261034047919294E-2</v>
      </c>
      <c r="M54" t="s">
        <v>7</v>
      </c>
      <c r="O54" s="3" t="e">
        <f>E54-#REF!</f>
        <v>#REF!</v>
      </c>
      <c r="P54" s="30" t="e">
        <f>I54-#REF!</f>
        <v>#REF!</v>
      </c>
    </row>
    <row r="55" spans="1:16" x14ac:dyDescent="0.25">
      <c r="A55">
        <v>53</v>
      </c>
      <c r="D55" s="4" t="s">
        <v>60</v>
      </c>
      <c r="E55" s="8">
        <f>E54</f>
        <v>793</v>
      </c>
      <c r="F55" s="8">
        <f>F54</f>
        <v>783</v>
      </c>
      <c r="G55" s="6">
        <f t="shared" si="10"/>
        <v>-10</v>
      </c>
      <c r="H55" s="7">
        <f t="shared" si="11"/>
        <v>-1.2610340479192938E-2</v>
      </c>
      <c r="I55" s="8">
        <v>990.65465465465422</v>
      </c>
      <c r="J55" s="9">
        <f t="shared" si="12"/>
        <v>978.16216216216174</v>
      </c>
      <c r="K55" s="3">
        <f t="shared" si="13"/>
        <v>-12.492492492492488</v>
      </c>
      <c r="L55" s="7">
        <f t="shared" si="14"/>
        <v>-1.261034047919294E-2</v>
      </c>
      <c r="M55" t="s">
        <v>7</v>
      </c>
      <c r="O55" s="3" t="e">
        <f>E55-#REF!</f>
        <v>#REF!</v>
      </c>
      <c r="P55" s="30" t="e">
        <f>I55-#REF!</f>
        <v>#REF!</v>
      </c>
    </row>
    <row r="56" spans="1:16" x14ac:dyDescent="0.25">
      <c r="A56">
        <v>54</v>
      </c>
      <c r="D56" s="4" t="s">
        <v>61</v>
      </c>
      <c r="E56" s="8">
        <f>E54</f>
        <v>793</v>
      </c>
      <c r="F56" s="8">
        <f>F54</f>
        <v>783</v>
      </c>
      <c r="G56" s="6">
        <f t="shared" si="10"/>
        <v>-10</v>
      </c>
      <c r="H56" s="7">
        <f t="shared" si="11"/>
        <v>-1.2610340479192938E-2</v>
      </c>
      <c r="I56" s="8">
        <v>990.65465465465422</v>
      </c>
      <c r="J56" s="9">
        <f t="shared" si="12"/>
        <v>978.16216216216174</v>
      </c>
      <c r="K56" s="3">
        <f t="shared" si="13"/>
        <v>-12.492492492492488</v>
      </c>
      <c r="L56" s="7">
        <f t="shared" si="14"/>
        <v>-1.261034047919294E-2</v>
      </c>
      <c r="M56" t="s">
        <v>7</v>
      </c>
      <c r="O56" s="3" t="e">
        <f>E56-#REF!</f>
        <v>#REF!</v>
      </c>
      <c r="P56" s="30" t="e">
        <f>I56-#REF!</f>
        <v>#REF!</v>
      </c>
    </row>
    <row r="57" spans="1:16" x14ac:dyDescent="0.25">
      <c r="A57">
        <v>55</v>
      </c>
      <c r="D57" s="4" t="s">
        <v>62</v>
      </c>
      <c r="E57" s="8">
        <f>E54</f>
        <v>793</v>
      </c>
      <c r="F57" s="8">
        <f>F54</f>
        <v>783</v>
      </c>
      <c r="G57" s="6">
        <f t="shared" si="10"/>
        <v>-10</v>
      </c>
      <c r="H57" s="7">
        <f t="shared" si="11"/>
        <v>-1.2610340479192938E-2</v>
      </c>
      <c r="I57" s="8">
        <v>990.65465465465422</v>
      </c>
      <c r="J57" s="9">
        <f t="shared" si="12"/>
        <v>978.16216216216174</v>
      </c>
      <c r="K57" s="3">
        <f t="shared" si="13"/>
        <v>-12.492492492492488</v>
      </c>
      <c r="L57" s="7">
        <f t="shared" si="14"/>
        <v>-1.261034047919294E-2</v>
      </c>
      <c r="M57" t="s">
        <v>7</v>
      </c>
      <c r="O57" s="3" t="e">
        <f>E57-#REF!</f>
        <v>#REF!</v>
      </c>
      <c r="P57" s="30" t="e">
        <f>I57-#REF!</f>
        <v>#REF!</v>
      </c>
    </row>
    <row r="58" spans="1:16" x14ac:dyDescent="0.25">
      <c r="A58">
        <v>56</v>
      </c>
      <c r="D58" s="4" t="s">
        <v>63</v>
      </c>
      <c r="E58" s="8">
        <f>E54</f>
        <v>793</v>
      </c>
      <c r="F58" s="8">
        <f>F54</f>
        <v>783</v>
      </c>
      <c r="G58" s="6">
        <f t="shared" si="10"/>
        <v>-10</v>
      </c>
      <c r="H58" s="7">
        <f t="shared" si="11"/>
        <v>-1.2610340479192938E-2</v>
      </c>
      <c r="I58" s="8">
        <v>990.65465465465422</v>
      </c>
      <c r="J58" s="9">
        <f t="shared" si="12"/>
        <v>978.16216216216174</v>
      </c>
      <c r="K58" s="3">
        <f t="shared" si="13"/>
        <v>-12.492492492492488</v>
      </c>
      <c r="L58" s="7">
        <f t="shared" si="14"/>
        <v>-1.261034047919294E-2</v>
      </c>
      <c r="M58" t="s">
        <v>7</v>
      </c>
      <c r="O58" s="3" t="e">
        <f>E58-#REF!</f>
        <v>#REF!</v>
      </c>
      <c r="P58" s="30" t="e">
        <f>I58-#REF!</f>
        <v>#REF!</v>
      </c>
    </row>
    <row r="59" spans="1:16" x14ac:dyDescent="0.25">
      <c r="A59">
        <v>57</v>
      </c>
      <c r="D59" s="4" t="s">
        <v>64</v>
      </c>
      <c r="E59" s="5">
        <v>903</v>
      </c>
      <c r="F59" s="5">
        <v>888</v>
      </c>
      <c r="G59" s="6">
        <f t="shared" si="10"/>
        <v>-15</v>
      </c>
      <c r="H59" s="7">
        <f t="shared" si="11"/>
        <v>-1.6611295681063124E-2</v>
      </c>
      <c r="I59" s="8">
        <v>1202.461341853035</v>
      </c>
      <c r="J59" s="9">
        <f t="shared" si="12"/>
        <v>1182.4869009584663</v>
      </c>
      <c r="K59" s="3">
        <f t="shared" si="13"/>
        <v>-19.974440894568716</v>
      </c>
      <c r="L59" s="7">
        <f t="shared" si="14"/>
        <v>-1.6611295681063145E-2</v>
      </c>
      <c r="M59" t="s">
        <v>7</v>
      </c>
      <c r="O59" s="3" t="e">
        <f>E59-#REF!</f>
        <v>#REF!</v>
      </c>
      <c r="P59" s="30" t="e">
        <f>I59-#REF!</f>
        <v>#REF!</v>
      </c>
    </row>
    <row r="60" spans="1:16" x14ac:dyDescent="0.25">
      <c r="A60">
        <v>58</v>
      </c>
      <c r="D60" s="4" t="s">
        <v>65</v>
      </c>
      <c r="E60" s="8">
        <f>E59</f>
        <v>903</v>
      </c>
      <c r="F60" s="8">
        <f>F59</f>
        <v>888</v>
      </c>
      <c r="G60" s="6">
        <f t="shared" si="10"/>
        <v>-15</v>
      </c>
      <c r="H60" s="7">
        <f t="shared" si="11"/>
        <v>-1.6611295681063124E-2</v>
      </c>
      <c r="I60" s="8">
        <v>1202.461341853035</v>
      </c>
      <c r="J60" s="9">
        <f t="shared" si="12"/>
        <v>1182.4869009584663</v>
      </c>
      <c r="K60" s="3">
        <f t="shared" si="13"/>
        <v>-19.974440894568716</v>
      </c>
      <c r="L60" s="7">
        <f t="shared" si="14"/>
        <v>-1.6611295681063145E-2</v>
      </c>
      <c r="M60" t="s">
        <v>7</v>
      </c>
      <c r="O60" s="3" t="e">
        <f>E60-#REF!</f>
        <v>#REF!</v>
      </c>
      <c r="P60" s="30" t="e">
        <f>I60-#REF!</f>
        <v>#REF!</v>
      </c>
    </row>
    <row r="61" spans="1:16" x14ac:dyDescent="0.25">
      <c r="A61">
        <v>59</v>
      </c>
      <c r="D61" s="4" t="s">
        <v>66</v>
      </c>
      <c r="E61" s="8">
        <f>E59</f>
        <v>903</v>
      </c>
      <c r="F61" s="8">
        <f>F59</f>
        <v>888</v>
      </c>
      <c r="G61" s="6">
        <f t="shared" si="10"/>
        <v>-15</v>
      </c>
      <c r="H61" s="7">
        <f t="shared" si="11"/>
        <v>-1.6611295681063124E-2</v>
      </c>
      <c r="I61" s="8">
        <v>1202.461341853035</v>
      </c>
      <c r="J61" s="9">
        <f t="shared" si="12"/>
        <v>1182.4869009584663</v>
      </c>
      <c r="K61" s="3">
        <f t="shared" si="13"/>
        <v>-19.974440894568716</v>
      </c>
      <c r="L61" s="7">
        <f t="shared" si="14"/>
        <v>-1.6611295681063145E-2</v>
      </c>
      <c r="M61" t="s">
        <v>7</v>
      </c>
      <c r="O61" s="3" t="e">
        <f>E61-#REF!</f>
        <v>#REF!</v>
      </c>
      <c r="P61" s="30" t="e">
        <f>I61-#REF!</f>
        <v>#REF!</v>
      </c>
    </row>
    <row r="62" spans="1:16" x14ac:dyDescent="0.25">
      <c r="A62">
        <v>60</v>
      </c>
      <c r="D62" s="4" t="s">
        <v>67</v>
      </c>
      <c r="E62" s="8">
        <f>E59</f>
        <v>903</v>
      </c>
      <c r="F62" s="8">
        <f>F59</f>
        <v>888</v>
      </c>
      <c r="G62" s="6">
        <f t="shared" si="10"/>
        <v>-15</v>
      </c>
      <c r="H62" s="7">
        <f t="shared" si="11"/>
        <v>-1.6611295681063124E-2</v>
      </c>
      <c r="I62" s="8">
        <v>1202.461341853035</v>
      </c>
      <c r="J62" s="9">
        <f t="shared" si="12"/>
        <v>1182.4869009584663</v>
      </c>
      <c r="K62" s="3">
        <f t="shared" si="13"/>
        <v>-19.974440894568716</v>
      </c>
      <c r="L62" s="7">
        <f t="shared" si="14"/>
        <v>-1.6611295681063145E-2</v>
      </c>
      <c r="M62" t="s">
        <v>7</v>
      </c>
      <c r="O62" s="3" t="e">
        <f>E62-#REF!</f>
        <v>#REF!</v>
      </c>
      <c r="P62" s="30" t="e">
        <f>I62-#REF!</f>
        <v>#REF!</v>
      </c>
    </row>
    <row r="63" spans="1:16" x14ac:dyDescent="0.25">
      <c r="A63">
        <v>61</v>
      </c>
      <c r="D63" s="2"/>
      <c r="G63" s="6"/>
      <c r="H63" s="10">
        <f>AVERAGE(H34:H62)</f>
        <v>-3.3429946577775857E-2</v>
      </c>
      <c r="J63" s="3"/>
      <c r="K63" s="3"/>
      <c r="L63" s="10">
        <f>AVERAGE(L34:L62)</f>
        <v>-3.3429946577775871E-2</v>
      </c>
    </row>
    <row r="64" spans="1:16" x14ac:dyDescent="0.25">
      <c r="A64">
        <v>62</v>
      </c>
      <c r="D64" s="2" t="s">
        <v>68</v>
      </c>
      <c r="G64" s="6"/>
      <c r="H64" s="7"/>
      <c r="J64" s="3"/>
      <c r="K64" s="3"/>
      <c r="L64" s="7"/>
    </row>
    <row r="65" spans="1:16" x14ac:dyDescent="0.25">
      <c r="A65">
        <v>63</v>
      </c>
      <c r="D65" s="4" t="s">
        <v>69</v>
      </c>
      <c r="E65" s="5">
        <v>495</v>
      </c>
      <c r="F65" s="5">
        <v>485</v>
      </c>
      <c r="G65" s="6">
        <f t="shared" ref="G65:G71" si="15">+F65-E65</f>
        <v>-10</v>
      </c>
      <c r="H65" s="7">
        <f t="shared" ref="H65:H71" si="16">(F65-E65)/ABS(E65)</f>
        <v>-2.0202020202020204E-2</v>
      </c>
      <c r="I65" s="8">
        <v>603.73770491803282</v>
      </c>
      <c r="J65" s="9">
        <f t="shared" ref="J65:J90" si="17">(I65*H65)+I65</f>
        <v>591.54098360655746</v>
      </c>
      <c r="K65" s="3">
        <f t="shared" ref="K65:K71" si="18">J65-I65</f>
        <v>-12.196721311475358</v>
      </c>
      <c r="L65" s="7">
        <f t="shared" ref="L65:L71" si="19">(J65-I65)/ABS(I65)</f>
        <v>-2.0202020202020114E-2</v>
      </c>
      <c r="M65" t="s">
        <v>7</v>
      </c>
      <c r="O65" s="3" t="e">
        <f>E65-#REF!</f>
        <v>#REF!</v>
      </c>
      <c r="P65" s="30" t="e">
        <f>I65-#REF!</f>
        <v>#REF!</v>
      </c>
    </row>
    <row r="66" spans="1:16" x14ac:dyDescent="0.25">
      <c r="A66">
        <v>64</v>
      </c>
      <c r="D66" s="4" t="s">
        <v>70</v>
      </c>
      <c r="E66" s="8">
        <f>E65</f>
        <v>495</v>
      </c>
      <c r="F66" s="8">
        <f>F65</f>
        <v>485</v>
      </c>
      <c r="G66" s="6">
        <f t="shared" si="15"/>
        <v>-10</v>
      </c>
      <c r="H66" s="7">
        <f t="shared" si="16"/>
        <v>-2.0202020202020204E-2</v>
      </c>
      <c r="I66" s="8">
        <v>603.73770491803282</v>
      </c>
      <c r="J66" s="9">
        <f t="shared" si="17"/>
        <v>591.54098360655746</v>
      </c>
      <c r="K66" s="3">
        <f t="shared" si="18"/>
        <v>-12.196721311475358</v>
      </c>
      <c r="L66" s="7">
        <f t="shared" si="19"/>
        <v>-2.0202020202020114E-2</v>
      </c>
      <c r="M66" t="s">
        <v>7</v>
      </c>
      <c r="O66" s="3" t="e">
        <f>E66-#REF!</f>
        <v>#REF!</v>
      </c>
      <c r="P66" s="30" t="e">
        <f>I66-#REF!</f>
        <v>#REF!</v>
      </c>
    </row>
    <row r="67" spans="1:16" x14ac:dyDescent="0.25">
      <c r="A67">
        <v>65</v>
      </c>
      <c r="D67" s="4" t="s">
        <v>71</v>
      </c>
      <c r="E67" s="8">
        <f>E65</f>
        <v>495</v>
      </c>
      <c r="F67" s="8">
        <f>F65</f>
        <v>485</v>
      </c>
      <c r="G67" s="6">
        <f t="shared" si="15"/>
        <v>-10</v>
      </c>
      <c r="H67" s="7">
        <f t="shared" si="16"/>
        <v>-2.0202020202020204E-2</v>
      </c>
      <c r="I67" s="8">
        <v>603.73770491803282</v>
      </c>
      <c r="J67" s="9">
        <f t="shared" si="17"/>
        <v>591.54098360655746</v>
      </c>
      <c r="K67" s="3">
        <f t="shared" si="18"/>
        <v>-12.196721311475358</v>
      </c>
      <c r="L67" s="7">
        <f t="shared" si="19"/>
        <v>-2.0202020202020114E-2</v>
      </c>
      <c r="M67" t="s">
        <v>7</v>
      </c>
      <c r="O67" s="3" t="e">
        <f>E67-#REF!</f>
        <v>#REF!</v>
      </c>
      <c r="P67" s="30" t="e">
        <f>I67-#REF!</f>
        <v>#REF!</v>
      </c>
    </row>
    <row r="68" spans="1:16" x14ac:dyDescent="0.25">
      <c r="A68">
        <v>66</v>
      </c>
      <c r="D68" s="4" t="s">
        <v>72</v>
      </c>
      <c r="E68" s="8">
        <f>E65</f>
        <v>495</v>
      </c>
      <c r="F68" s="8">
        <f>F65</f>
        <v>485</v>
      </c>
      <c r="G68" s="6">
        <f t="shared" si="15"/>
        <v>-10</v>
      </c>
      <c r="H68" s="7">
        <f t="shared" si="16"/>
        <v>-2.0202020202020204E-2</v>
      </c>
      <c r="I68" s="8">
        <v>603.73770491803282</v>
      </c>
      <c r="J68" s="9">
        <f t="shared" si="17"/>
        <v>591.54098360655746</v>
      </c>
      <c r="K68" s="3">
        <f t="shared" si="18"/>
        <v>-12.196721311475358</v>
      </c>
      <c r="L68" s="7">
        <f t="shared" si="19"/>
        <v>-2.0202020202020114E-2</v>
      </c>
      <c r="M68" t="s">
        <v>7</v>
      </c>
      <c r="O68" s="3" t="e">
        <f>E68-#REF!</f>
        <v>#REF!</v>
      </c>
      <c r="P68" s="30" t="e">
        <f>I68-#REF!</f>
        <v>#REF!</v>
      </c>
    </row>
    <row r="69" spans="1:16" x14ac:dyDescent="0.25">
      <c r="A69">
        <v>67</v>
      </c>
      <c r="D69" s="4" t="s">
        <v>73</v>
      </c>
      <c r="E69" s="8">
        <f>E65</f>
        <v>495</v>
      </c>
      <c r="F69" s="8">
        <f>F65</f>
        <v>485</v>
      </c>
      <c r="G69" s="6">
        <f t="shared" si="15"/>
        <v>-10</v>
      </c>
      <c r="H69" s="7">
        <f t="shared" si="16"/>
        <v>-2.0202020202020204E-2</v>
      </c>
      <c r="I69" s="8">
        <v>603.73770491803282</v>
      </c>
      <c r="J69" s="9">
        <f t="shared" si="17"/>
        <v>591.54098360655746</v>
      </c>
      <c r="K69" s="3">
        <f t="shared" si="18"/>
        <v>-12.196721311475358</v>
      </c>
      <c r="L69" s="7">
        <f t="shared" si="19"/>
        <v>-2.0202020202020114E-2</v>
      </c>
      <c r="M69" t="s">
        <v>7</v>
      </c>
      <c r="O69" s="3" t="e">
        <f>E69-#REF!</f>
        <v>#REF!</v>
      </c>
      <c r="P69" s="30" t="e">
        <f>I69-#REF!</f>
        <v>#REF!</v>
      </c>
    </row>
    <row r="70" spans="1:16" x14ac:dyDescent="0.25">
      <c r="A70">
        <v>68</v>
      </c>
      <c r="D70" s="4" t="s">
        <v>74</v>
      </c>
      <c r="E70" s="8">
        <f>E65</f>
        <v>495</v>
      </c>
      <c r="F70" s="8">
        <f>F65</f>
        <v>485</v>
      </c>
      <c r="G70" s="6">
        <f t="shared" si="15"/>
        <v>-10</v>
      </c>
      <c r="H70" s="7">
        <f t="shared" si="16"/>
        <v>-2.0202020202020204E-2</v>
      </c>
      <c r="I70" s="8">
        <v>603.73770491803282</v>
      </c>
      <c r="J70" s="9">
        <f t="shared" si="17"/>
        <v>591.54098360655746</v>
      </c>
      <c r="K70" s="3">
        <f t="shared" si="18"/>
        <v>-12.196721311475358</v>
      </c>
      <c r="L70" s="7">
        <f t="shared" si="19"/>
        <v>-2.0202020202020114E-2</v>
      </c>
      <c r="M70" t="s">
        <v>7</v>
      </c>
      <c r="O70" s="3" t="e">
        <f>E70-#REF!</f>
        <v>#REF!</v>
      </c>
      <c r="P70" s="30" t="e">
        <f>I70-#REF!</f>
        <v>#REF!</v>
      </c>
    </row>
    <row r="71" spans="1:16" x14ac:dyDescent="0.25">
      <c r="A71">
        <v>69</v>
      </c>
      <c r="D71" s="4" t="s">
        <v>75</v>
      </c>
      <c r="E71" s="8">
        <f>E67</f>
        <v>495</v>
      </c>
      <c r="F71" s="8">
        <f>F67</f>
        <v>485</v>
      </c>
      <c r="G71" s="6">
        <f t="shared" si="15"/>
        <v>-10</v>
      </c>
      <c r="H71" s="7">
        <f t="shared" si="16"/>
        <v>-2.0202020202020204E-2</v>
      </c>
      <c r="I71" s="8">
        <v>603.73770491803282</v>
      </c>
      <c r="J71" s="9">
        <f t="shared" si="17"/>
        <v>591.54098360655746</v>
      </c>
      <c r="K71" s="3">
        <f t="shared" si="18"/>
        <v>-12.196721311475358</v>
      </c>
      <c r="L71" s="7">
        <f t="shared" si="19"/>
        <v>-2.0202020202020114E-2</v>
      </c>
      <c r="M71" t="s">
        <v>7</v>
      </c>
      <c r="O71" s="3" t="e">
        <f>E71-#REF!</f>
        <v>#REF!</v>
      </c>
      <c r="P71" s="30" t="e">
        <f>I71-#REF!</f>
        <v>#REF!</v>
      </c>
    </row>
    <row r="72" spans="1:16" x14ac:dyDescent="0.25">
      <c r="A72">
        <v>70</v>
      </c>
      <c r="D72" s="4" t="s">
        <v>76</v>
      </c>
      <c r="E72" s="5">
        <v>713</v>
      </c>
      <c r="F72" s="5">
        <v>713</v>
      </c>
      <c r="G72" s="6">
        <f>+F72-E72</f>
        <v>0</v>
      </c>
      <c r="H72" s="7">
        <f>(F72-E72)/ABS(E72)</f>
        <v>0</v>
      </c>
      <c r="I72" s="8">
        <v>1000.077616077616</v>
      </c>
      <c r="J72" s="9">
        <f t="shared" si="17"/>
        <v>1000.077616077616</v>
      </c>
      <c r="K72" s="3">
        <f>J72-I72</f>
        <v>0</v>
      </c>
      <c r="L72" s="7">
        <f>(J72-I72)/ABS(I72)</f>
        <v>0</v>
      </c>
      <c r="M72" t="s">
        <v>7</v>
      </c>
      <c r="O72" s="3" t="e">
        <f>E72-#REF!</f>
        <v>#REF!</v>
      </c>
      <c r="P72" s="30" t="e">
        <f>I72-#REF!</f>
        <v>#REF!</v>
      </c>
    </row>
    <row r="73" spans="1:16" x14ac:dyDescent="0.25">
      <c r="A73">
        <v>71</v>
      </c>
      <c r="D73" s="4" t="s">
        <v>77</v>
      </c>
      <c r="E73" s="8">
        <f>E72</f>
        <v>713</v>
      </c>
      <c r="F73" s="8">
        <f>F72</f>
        <v>713</v>
      </c>
      <c r="G73" s="6">
        <f>+F73-E73</f>
        <v>0</v>
      </c>
      <c r="H73" s="7">
        <f>(F73-E73)/ABS(E73)</f>
        <v>0</v>
      </c>
      <c r="I73" s="8">
        <v>1000.077616077616</v>
      </c>
      <c r="J73" s="9">
        <f t="shared" si="17"/>
        <v>1000.077616077616</v>
      </c>
      <c r="K73" s="3">
        <f>J73-I73</f>
        <v>0</v>
      </c>
      <c r="L73" s="7">
        <f>(J73-I73)/ABS(I73)</f>
        <v>0</v>
      </c>
      <c r="M73" t="s">
        <v>7</v>
      </c>
      <c r="O73" s="3" t="e">
        <f>E73-#REF!</f>
        <v>#REF!</v>
      </c>
      <c r="P73" s="30" t="e">
        <f>I73-#REF!</f>
        <v>#REF!</v>
      </c>
    </row>
    <row r="74" spans="1:16" x14ac:dyDescent="0.25">
      <c r="A74">
        <v>72</v>
      </c>
      <c r="D74" s="4" t="s">
        <v>78</v>
      </c>
      <c r="E74" s="8">
        <f>E72</f>
        <v>713</v>
      </c>
      <c r="F74" s="8">
        <f>F72</f>
        <v>713</v>
      </c>
      <c r="G74" s="6">
        <f>+F74-E74</f>
        <v>0</v>
      </c>
      <c r="H74" s="7">
        <f>(F74-E74)/ABS(E74)</f>
        <v>0</v>
      </c>
      <c r="I74" s="8">
        <v>1000.077616077616</v>
      </c>
      <c r="J74" s="9">
        <f t="shared" si="17"/>
        <v>1000.077616077616</v>
      </c>
      <c r="K74" s="3">
        <f>J74-I74</f>
        <v>0</v>
      </c>
      <c r="L74" s="7">
        <f>(J74-I74)/ABS(I74)</f>
        <v>0</v>
      </c>
      <c r="M74" t="s">
        <v>7</v>
      </c>
      <c r="O74" s="3" t="e">
        <f>E74-#REF!</f>
        <v>#REF!</v>
      </c>
      <c r="P74" s="30" t="e">
        <f>I74-#REF!</f>
        <v>#REF!</v>
      </c>
    </row>
    <row r="75" spans="1:16" x14ac:dyDescent="0.25">
      <c r="A75">
        <v>73</v>
      </c>
      <c r="D75" s="4" t="s">
        <v>79</v>
      </c>
      <c r="E75" s="8">
        <f>E72</f>
        <v>713</v>
      </c>
      <c r="F75" s="8">
        <f>F72</f>
        <v>713</v>
      </c>
      <c r="G75" s="6">
        <f>+F75-E75</f>
        <v>0</v>
      </c>
      <c r="H75" s="7">
        <f>(F75-E75)/ABS(E75)</f>
        <v>0</v>
      </c>
      <c r="I75" s="8">
        <v>1000.077616077616</v>
      </c>
      <c r="J75" s="9">
        <f t="shared" si="17"/>
        <v>1000.077616077616</v>
      </c>
      <c r="K75" s="3">
        <f>J75-I75</f>
        <v>0</v>
      </c>
      <c r="L75" s="7">
        <f>(J75-I75)/ABS(I75)</f>
        <v>0</v>
      </c>
      <c r="M75" t="s">
        <v>7</v>
      </c>
      <c r="O75" s="3" t="e">
        <f>E75-#REF!</f>
        <v>#REF!</v>
      </c>
      <c r="P75" s="30" t="e">
        <f>I75-#REF!</f>
        <v>#REF!</v>
      </c>
    </row>
    <row r="76" spans="1:16" x14ac:dyDescent="0.25">
      <c r="A76">
        <v>74</v>
      </c>
      <c r="D76" s="4" t="s">
        <v>80</v>
      </c>
      <c r="E76" s="8">
        <f>E72</f>
        <v>713</v>
      </c>
      <c r="F76" s="8">
        <f>F72</f>
        <v>713</v>
      </c>
      <c r="G76" s="6">
        <f>+F76-E76</f>
        <v>0</v>
      </c>
      <c r="H76" s="7">
        <f>(F76-E76)/ABS(E76)</f>
        <v>0</v>
      </c>
      <c r="I76" s="8">
        <v>1000.077616077616</v>
      </c>
      <c r="J76" s="9">
        <f t="shared" si="17"/>
        <v>1000.077616077616</v>
      </c>
      <c r="K76" s="3">
        <f>J76-I76</f>
        <v>0</v>
      </c>
      <c r="L76" s="7">
        <f>(J76-I76)/ABS(I76)</f>
        <v>0</v>
      </c>
      <c r="M76" t="s">
        <v>7</v>
      </c>
      <c r="O76" s="3" t="e">
        <f>E76-#REF!</f>
        <v>#REF!</v>
      </c>
      <c r="P76" s="30" t="e">
        <f>I76-#REF!</f>
        <v>#REF!</v>
      </c>
    </row>
    <row r="77" spans="1:16" x14ac:dyDescent="0.25">
      <c r="A77">
        <v>75</v>
      </c>
      <c r="D77" s="4" t="s">
        <v>81</v>
      </c>
      <c r="E77" s="8">
        <f t="shared" ref="E77" si="20">E74</f>
        <v>713</v>
      </c>
      <c r="F77" s="8">
        <f t="shared" ref="F77" si="21">F74</f>
        <v>713</v>
      </c>
      <c r="G77" s="6">
        <f t="shared" ref="G77" si="22">+F77-E77</f>
        <v>0</v>
      </c>
      <c r="H77" s="7">
        <f t="shared" ref="H77" si="23">(F77-E77)/ABS(E77)</f>
        <v>0</v>
      </c>
      <c r="I77" s="8">
        <v>1000.077616077616</v>
      </c>
      <c r="J77" s="9">
        <f t="shared" si="17"/>
        <v>1000.077616077616</v>
      </c>
      <c r="K77" s="3">
        <f t="shared" ref="K77" si="24">J77-I77</f>
        <v>0</v>
      </c>
      <c r="L77" s="7">
        <f t="shared" ref="L77" si="25">(J77-I77)/ABS(I77)</f>
        <v>0</v>
      </c>
      <c r="M77" t="s">
        <v>7</v>
      </c>
      <c r="O77" s="3" t="e">
        <f>E77-#REF!</f>
        <v>#REF!</v>
      </c>
      <c r="P77" s="30" t="e">
        <f>I77-#REF!</f>
        <v>#REF!</v>
      </c>
    </row>
    <row r="78" spans="1:16" x14ac:dyDescent="0.25">
      <c r="A78">
        <v>76</v>
      </c>
      <c r="D78" s="4" t="s">
        <v>82</v>
      </c>
      <c r="E78" s="5">
        <v>848</v>
      </c>
      <c r="F78" s="5">
        <v>803</v>
      </c>
      <c r="G78" s="6">
        <f>+F78-E78</f>
        <v>-45</v>
      </c>
      <c r="H78" s="7">
        <f>(F78-E78)/ABS(E78)</f>
        <v>-5.3066037735849059E-2</v>
      </c>
      <c r="I78" s="8">
        <v>1073.5413612565446</v>
      </c>
      <c r="J78" s="9">
        <f t="shared" si="17"/>
        <v>1016.57277486911</v>
      </c>
      <c r="K78" s="3">
        <f>J78-I78</f>
        <v>-56.968586387434584</v>
      </c>
      <c r="L78" s="7">
        <f>(J78-I78)/ABS(I78)</f>
        <v>-5.306603773584908E-2</v>
      </c>
      <c r="M78" t="s">
        <v>7</v>
      </c>
      <c r="O78" s="3" t="e">
        <f>E78-#REF!</f>
        <v>#REF!</v>
      </c>
      <c r="P78" s="30" t="e">
        <f>I78-#REF!</f>
        <v>#REF!</v>
      </c>
    </row>
    <row r="79" spans="1:16" x14ac:dyDescent="0.25">
      <c r="A79">
        <v>77</v>
      </c>
      <c r="D79" s="4" t="s">
        <v>83</v>
      </c>
      <c r="E79" s="8">
        <f>E78</f>
        <v>848</v>
      </c>
      <c r="F79" s="8">
        <f>F78</f>
        <v>803</v>
      </c>
      <c r="G79" s="6">
        <f>+F79-E79</f>
        <v>-45</v>
      </c>
      <c r="H79" s="7">
        <f>(F79-E79)/ABS(E79)</f>
        <v>-5.3066037735849059E-2</v>
      </c>
      <c r="I79" s="8">
        <v>1073.5413612565446</v>
      </c>
      <c r="J79" s="9">
        <f t="shared" si="17"/>
        <v>1016.57277486911</v>
      </c>
      <c r="K79" s="3">
        <f>J79-I79</f>
        <v>-56.968586387434584</v>
      </c>
      <c r="L79" s="7">
        <f>(J79-I79)/ABS(I79)</f>
        <v>-5.306603773584908E-2</v>
      </c>
      <c r="M79" t="s">
        <v>7</v>
      </c>
      <c r="O79" s="3" t="e">
        <f>E79-#REF!</f>
        <v>#REF!</v>
      </c>
      <c r="P79" s="30" t="e">
        <f>I79-#REF!</f>
        <v>#REF!</v>
      </c>
    </row>
    <row r="80" spans="1:16" x14ac:dyDescent="0.25">
      <c r="A80">
        <v>78</v>
      </c>
      <c r="D80" s="4" t="s">
        <v>84</v>
      </c>
      <c r="E80" s="8">
        <f>E78</f>
        <v>848</v>
      </c>
      <c r="F80" s="8">
        <f>F78</f>
        <v>803</v>
      </c>
      <c r="G80" s="6">
        <f>+F80-E80</f>
        <v>-45</v>
      </c>
      <c r="H80" s="7">
        <f>(F80-E80)/ABS(E80)</f>
        <v>-5.3066037735849059E-2</v>
      </c>
      <c r="I80" s="8">
        <v>1073.5413612565446</v>
      </c>
      <c r="J80" s="9">
        <f t="shared" si="17"/>
        <v>1016.57277486911</v>
      </c>
      <c r="K80" s="3">
        <f>J80-I80</f>
        <v>-56.968586387434584</v>
      </c>
      <c r="L80" s="7">
        <f>(J80-I80)/ABS(I80)</f>
        <v>-5.306603773584908E-2</v>
      </c>
      <c r="M80" t="s">
        <v>7</v>
      </c>
      <c r="O80" s="3" t="e">
        <f>E80-#REF!</f>
        <v>#REF!</v>
      </c>
      <c r="P80" s="30" t="e">
        <f>I80-#REF!</f>
        <v>#REF!</v>
      </c>
    </row>
    <row r="81" spans="1:16" x14ac:dyDescent="0.25">
      <c r="A81">
        <v>79</v>
      </c>
      <c r="D81" s="4" t="s">
        <v>85</v>
      </c>
      <c r="E81" s="8">
        <f>E78</f>
        <v>848</v>
      </c>
      <c r="F81" s="8">
        <f>F78</f>
        <v>803</v>
      </c>
      <c r="G81" s="6">
        <f>+F81-E81</f>
        <v>-45</v>
      </c>
      <c r="H81" s="7">
        <f>(F81-E81)/ABS(E81)</f>
        <v>-5.3066037735849059E-2</v>
      </c>
      <c r="I81" s="8">
        <v>1073.5413612565446</v>
      </c>
      <c r="J81" s="9">
        <f t="shared" si="17"/>
        <v>1016.57277486911</v>
      </c>
      <c r="K81" s="3">
        <f>J81-I81</f>
        <v>-56.968586387434584</v>
      </c>
      <c r="L81" s="7">
        <f>(J81-I81)/ABS(I81)</f>
        <v>-5.306603773584908E-2</v>
      </c>
      <c r="M81" t="s">
        <v>7</v>
      </c>
      <c r="O81" s="3" t="e">
        <f>E81-#REF!</f>
        <v>#REF!</v>
      </c>
      <c r="P81" s="30" t="e">
        <f>I81-#REF!</f>
        <v>#REF!</v>
      </c>
    </row>
    <row r="82" spans="1:16" x14ac:dyDescent="0.25">
      <c r="A82">
        <v>80</v>
      </c>
      <c r="D82" s="4" t="s">
        <v>86</v>
      </c>
      <c r="E82" s="8">
        <f>E78</f>
        <v>848</v>
      </c>
      <c r="F82" s="8">
        <f>F78</f>
        <v>803</v>
      </c>
      <c r="G82" s="6">
        <f>+F82-E82</f>
        <v>-45</v>
      </c>
      <c r="H82" s="7">
        <f>(F82-E82)/ABS(E82)</f>
        <v>-5.3066037735849059E-2</v>
      </c>
      <c r="I82" s="8">
        <v>1073.5413612565446</v>
      </c>
      <c r="J82" s="9">
        <f t="shared" si="17"/>
        <v>1016.57277486911</v>
      </c>
      <c r="K82" s="3">
        <f>J82-I82</f>
        <v>-56.968586387434584</v>
      </c>
      <c r="L82" s="7">
        <f>(J82-I82)/ABS(I82)</f>
        <v>-5.306603773584908E-2</v>
      </c>
      <c r="M82" t="s">
        <v>7</v>
      </c>
      <c r="O82" s="3" t="e">
        <f>E82-#REF!</f>
        <v>#REF!</v>
      </c>
      <c r="P82" s="30" t="e">
        <f>I82-#REF!</f>
        <v>#REF!</v>
      </c>
    </row>
    <row r="83" spans="1:16" x14ac:dyDescent="0.25">
      <c r="A83">
        <v>81</v>
      </c>
      <c r="D83" s="4" t="s">
        <v>87</v>
      </c>
      <c r="E83" s="8">
        <f>E80</f>
        <v>848</v>
      </c>
      <c r="F83" s="8">
        <f>F80</f>
        <v>803</v>
      </c>
      <c r="G83" s="6">
        <f t="shared" ref="G83" si="26">+F83-E83</f>
        <v>-45</v>
      </c>
      <c r="H83" s="7">
        <f t="shared" ref="H83" si="27">(F83-E83)/ABS(E83)</f>
        <v>-5.3066037735849059E-2</v>
      </c>
      <c r="I83" s="8">
        <v>1073.5413612565446</v>
      </c>
      <c r="J83" s="9">
        <f t="shared" si="17"/>
        <v>1016.57277486911</v>
      </c>
      <c r="K83" s="3">
        <f t="shared" ref="K83" si="28">J83-I83</f>
        <v>-56.968586387434584</v>
      </c>
      <c r="L83" s="7">
        <f t="shared" ref="L83" si="29">(J83-I83)/ABS(I83)</f>
        <v>-5.306603773584908E-2</v>
      </c>
      <c r="M83" t="s">
        <v>7</v>
      </c>
      <c r="O83" s="3" t="e">
        <f>E83-#REF!</f>
        <v>#REF!</v>
      </c>
      <c r="P83" s="30" t="e">
        <f>I83-#REF!</f>
        <v>#REF!</v>
      </c>
    </row>
    <row r="84" spans="1:16" x14ac:dyDescent="0.25">
      <c r="A84">
        <v>82</v>
      </c>
      <c r="D84" s="4" t="s">
        <v>493</v>
      </c>
      <c r="E84" s="5">
        <v>983</v>
      </c>
      <c r="F84" s="5">
        <v>898</v>
      </c>
      <c r="G84" s="6">
        <f>+F84-E84</f>
        <v>-85</v>
      </c>
      <c r="H84" s="7">
        <f>(F84-E84)/ABS(E84)</f>
        <v>-8.6469989827060015E-2</v>
      </c>
      <c r="I84" s="8">
        <v>1259.2015598149371</v>
      </c>
      <c r="J84" s="9">
        <f t="shared" si="17"/>
        <v>1150.3184137475214</v>
      </c>
      <c r="K84" s="3">
        <f>J84-I84</f>
        <v>-108.88314606741574</v>
      </c>
      <c r="L84" s="7">
        <f>(J84-I84)/ABS(I84)</f>
        <v>-8.6469989827060029E-2</v>
      </c>
      <c r="M84" t="s">
        <v>7</v>
      </c>
      <c r="O84" s="3" t="e">
        <f>E84-#REF!</f>
        <v>#REF!</v>
      </c>
      <c r="P84" s="30" t="e">
        <f>I84-#REF!</f>
        <v>#REF!</v>
      </c>
    </row>
    <row r="85" spans="1:16" x14ac:dyDescent="0.25">
      <c r="A85">
        <v>83</v>
      </c>
      <c r="D85" s="4" t="s">
        <v>88</v>
      </c>
      <c r="E85" s="8">
        <f>E84</f>
        <v>983</v>
      </c>
      <c r="F85" s="8">
        <f>F84</f>
        <v>898</v>
      </c>
      <c r="G85" s="6">
        <f>+F85-E85</f>
        <v>-85</v>
      </c>
      <c r="H85" s="7">
        <f>(F85-E85)/ABS(E85)</f>
        <v>-8.6469989827060015E-2</v>
      </c>
      <c r="I85" s="8">
        <v>1259.2015598149371</v>
      </c>
      <c r="J85" s="9">
        <f t="shared" si="17"/>
        <v>1150.3184137475214</v>
      </c>
      <c r="K85" s="3">
        <f>J85-I85</f>
        <v>-108.88314606741574</v>
      </c>
      <c r="L85" s="7">
        <f>(J85-I85)/ABS(I85)</f>
        <v>-8.6469989827060029E-2</v>
      </c>
      <c r="M85" t="s">
        <v>7</v>
      </c>
      <c r="O85" s="3" t="e">
        <f>E85-#REF!</f>
        <v>#REF!</v>
      </c>
      <c r="P85" s="30" t="e">
        <f>I85-#REF!</f>
        <v>#REF!</v>
      </c>
    </row>
    <row r="86" spans="1:16" x14ac:dyDescent="0.25">
      <c r="A86">
        <v>84</v>
      </c>
      <c r="D86" s="4" t="s">
        <v>89</v>
      </c>
      <c r="E86" s="8">
        <f>E84</f>
        <v>983</v>
      </c>
      <c r="F86" s="8">
        <f>F84</f>
        <v>898</v>
      </c>
      <c r="G86" s="6">
        <f>+F86-E86</f>
        <v>-85</v>
      </c>
      <c r="H86" s="7">
        <f>(F86-E86)/ABS(E86)</f>
        <v>-8.6469989827060015E-2</v>
      </c>
      <c r="I86" s="8">
        <v>1259.2015598149371</v>
      </c>
      <c r="J86" s="9">
        <f t="shared" si="17"/>
        <v>1150.3184137475214</v>
      </c>
      <c r="K86" s="3">
        <f>J86-I86</f>
        <v>-108.88314606741574</v>
      </c>
      <c r="L86" s="7">
        <f>(J86-I86)/ABS(I86)</f>
        <v>-8.6469989827060029E-2</v>
      </c>
      <c r="M86" t="s">
        <v>7</v>
      </c>
      <c r="O86" s="3" t="e">
        <f>E86-#REF!</f>
        <v>#REF!</v>
      </c>
      <c r="P86" s="30" t="e">
        <f>I86-#REF!</f>
        <v>#REF!</v>
      </c>
    </row>
    <row r="87" spans="1:16" x14ac:dyDescent="0.25">
      <c r="A87">
        <v>85</v>
      </c>
      <c r="D87" s="4" t="s">
        <v>90</v>
      </c>
      <c r="E87" s="8">
        <f>E84</f>
        <v>983</v>
      </c>
      <c r="F87" s="8">
        <f>F84</f>
        <v>898</v>
      </c>
      <c r="G87" s="6">
        <f>+F87-E87</f>
        <v>-85</v>
      </c>
      <c r="H87" s="7">
        <f>(F87-E87)/ABS(E87)</f>
        <v>-8.6469989827060015E-2</v>
      </c>
      <c r="I87" s="8">
        <v>1259.2015598149371</v>
      </c>
      <c r="J87" s="9">
        <f t="shared" si="17"/>
        <v>1150.3184137475214</v>
      </c>
      <c r="K87" s="3">
        <f>J87-I87</f>
        <v>-108.88314606741574</v>
      </c>
      <c r="L87" s="7">
        <f>(J87-I87)/ABS(I87)</f>
        <v>-8.6469989827060029E-2</v>
      </c>
      <c r="M87" t="s">
        <v>7</v>
      </c>
      <c r="O87" s="3" t="e">
        <f>E87-#REF!</f>
        <v>#REF!</v>
      </c>
      <c r="P87" s="30" t="e">
        <f>I87-#REF!</f>
        <v>#REF!</v>
      </c>
    </row>
    <row r="88" spans="1:16" x14ac:dyDescent="0.25">
      <c r="A88">
        <v>86</v>
      </c>
      <c r="D88" s="4" t="s">
        <v>91</v>
      </c>
      <c r="E88" s="8">
        <f>E84</f>
        <v>983</v>
      </c>
      <c r="F88" s="8">
        <f>F84</f>
        <v>898</v>
      </c>
      <c r="G88" s="6">
        <f>+F88-E88</f>
        <v>-85</v>
      </c>
      <c r="H88" s="7">
        <f>(F88-E88)/ABS(E88)</f>
        <v>-8.6469989827060015E-2</v>
      </c>
      <c r="I88" s="8">
        <v>1259.2015598149371</v>
      </c>
      <c r="J88" s="9">
        <f t="shared" si="17"/>
        <v>1150.3184137475214</v>
      </c>
      <c r="K88" s="3">
        <f>J88-I88</f>
        <v>-108.88314606741574</v>
      </c>
      <c r="L88" s="7">
        <f>(J88-I88)/ABS(I88)</f>
        <v>-8.6469989827060029E-2</v>
      </c>
      <c r="M88" t="s">
        <v>7</v>
      </c>
      <c r="O88" s="3" t="e">
        <f>E88-#REF!</f>
        <v>#REF!</v>
      </c>
      <c r="P88" s="30" t="e">
        <f>I88-#REF!</f>
        <v>#REF!</v>
      </c>
    </row>
    <row r="89" spans="1:16" x14ac:dyDescent="0.25">
      <c r="A89">
        <v>87</v>
      </c>
      <c r="D89" s="4" t="s">
        <v>92</v>
      </c>
      <c r="E89" s="8">
        <f t="shared" ref="E89" si="30">E86</f>
        <v>983</v>
      </c>
      <c r="F89" s="8">
        <f t="shared" ref="F89" si="31">F86</f>
        <v>898</v>
      </c>
      <c r="G89" s="6">
        <f t="shared" ref="G89:G90" si="32">+F89-E89</f>
        <v>-85</v>
      </c>
      <c r="H89" s="7">
        <f t="shared" ref="H89:H90" si="33">(F89-E89)/ABS(E89)</f>
        <v>-8.6469989827060015E-2</v>
      </c>
      <c r="I89" s="8">
        <v>1259.2015598149371</v>
      </c>
      <c r="J89" s="9">
        <f t="shared" si="17"/>
        <v>1150.3184137475214</v>
      </c>
      <c r="K89" s="3">
        <f t="shared" ref="K89:K90" si="34">J89-I89</f>
        <v>-108.88314606741574</v>
      </c>
      <c r="L89" s="7">
        <f t="shared" ref="L89:L90" si="35">(J89-I89)/ABS(I89)</f>
        <v>-8.6469989827060029E-2</v>
      </c>
      <c r="M89" t="s">
        <v>7</v>
      </c>
      <c r="O89" s="3" t="e">
        <f>E89-#REF!</f>
        <v>#REF!</v>
      </c>
      <c r="P89" s="30" t="e">
        <f>I89-#REF!</f>
        <v>#REF!</v>
      </c>
    </row>
    <row r="90" spans="1:16" x14ac:dyDescent="0.25">
      <c r="A90">
        <v>88</v>
      </c>
      <c r="C90" t="s">
        <v>8</v>
      </c>
      <c r="D90" s="4" t="s">
        <v>93</v>
      </c>
      <c r="E90" s="5">
        <f>4*4*8/12*1.185</f>
        <v>12.64</v>
      </c>
      <c r="F90" s="5">
        <f>4*4*8/12*1.13</f>
        <v>12.053333333333331</v>
      </c>
      <c r="G90" s="6">
        <f t="shared" si="32"/>
        <v>-0.58666666666666956</v>
      </c>
      <c r="H90" s="7">
        <f t="shared" si="33"/>
        <v>-4.6413502109704866E-2</v>
      </c>
      <c r="I90" s="8">
        <v>2538.1460383221138</v>
      </c>
      <c r="J90" s="9">
        <f t="shared" si="17"/>
        <v>2420.3417918177115</v>
      </c>
      <c r="K90" s="3">
        <f t="shared" si="34"/>
        <v>-117.80424650440227</v>
      </c>
      <c r="L90" s="7">
        <f t="shared" si="35"/>
        <v>-4.6413502109704782E-2</v>
      </c>
      <c r="M90" t="s">
        <v>7</v>
      </c>
      <c r="O90" s="3" t="e">
        <f>E90-#REF!</f>
        <v>#REF!</v>
      </c>
      <c r="P90" s="30" t="e">
        <f>I90-#REF!</f>
        <v>#REF!</v>
      </c>
    </row>
    <row r="91" spans="1:16" x14ac:dyDescent="0.25">
      <c r="A91">
        <v>89</v>
      </c>
      <c r="D91" s="2" t="s">
        <v>94</v>
      </c>
      <c r="H91" s="10">
        <f>AVERAGE(H65:H90)</f>
        <v>-3.942476188081926E-2</v>
      </c>
      <c r="I91"/>
      <c r="L91" s="10">
        <f>AVERAGE(L65:L89)</f>
        <v>-3.9145212271663808E-2</v>
      </c>
    </row>
    <row r="92" spans="1:16" x14ac:dyDescent="0.25">
      <c r="A92">
        <v>90</v>
      </c>
      <c r="D92" s="2" t="s">
        <v>95</v>
      </c>
      <c r="I92"/>
      <c r="M92" t="s">
        <v>7</v>
      </c>
      <c r="O92" s="3" t="e">
        <f>E92-#REF!</f>
        <v>#REF!</v>
      </c>
      <c r="P92" s="30" t="e">
        <f>I92-#REF!</f>
        <v>#REF!</v>
      </c>
    </row>
    <row r="93" spans="1:16" x14ac:dyDescent="0.25">
      <c r="A93">
        <v>91</v>
      </c>
      <c r="D93" s="4" t="s">
        <v>96</v>
      </c>
      <c r="E93" s="5">
        <v>381</v>
      </c>
      <c r="F93" s="5">
        <v>441</v>
      </c>
      <c r="G93" s="6">
        <f t="shared" ref="G93:G101" si="36">+F93-E93</f>
        <v>60</v>
      </c>
      <c r="H93" s="7">
        <f t="shared" ref="H93:H101" si="37">(F93-E93)/ABS(E93)</f>
        <v>0.15748031496062992</v>
      </c>
      <c r="I93" s="8">
        <v>432.08379888268155</v>
      </c>
      <c r="J93" s="9">
        <f t="shared" ref="J93:J101" si="38">(I93*H93)+I93</f>
        <v>500.12849162011173</v>
      </c>
      <c r="K93" s="3">
        <f t="shared" ref="K93:K101" si="39">J93-I93</f>
        <v>68.044692737430182</v>
      </c>
      <c r="L93" s="7">
        <f t="shared" ref="L93:L101" si="40">(J93-I93)/ABS(I93)</f>
        <v>0.15748031496062995</v>
      </c>
      <c r="M93" t="s">
        <v>7</v>
      </c>
      <c r="O93" s="3" t="e">
        <f>E93-#REF!</f>
        <v>#REF!</v>
      </c>
      <c r="P93" s="30" t="e">
        <f>I93-#REF!</f>
        <v>#REF!</v>
      </c>
    </row>
    <row r="94" spans="1:16" x14ac:dyDescent="0.25">
      <c r="A94">
        <v>92</v>
      </c>
      <c r="D94" s="4" t="s">
        <v>97</v>
      </c>
      <c r="E94" s="5">
        <v>401</v>
      </c>
      <c r="F94" s="5">
        <v>461</v>
      </c>
      <c r="G94" s="6">
        <f t="shared" si="36"/>
        <v>60</v>
      </c>
      <c r="H94" s="7">
        <f t="shared" si="37"/>
        <v>0.14962593516209477</v>
      </c>
      <c r="I94" s="8">
        <v>461.48191293684863</v>
      </c>
      <c r="J94" s="9">
        <f t="shared" si="38"/>
        <v>530.53157572041698</v>
      </c>
      <c r="K94" s="3">
        <f t="shared" si="39"/>
        <v>69.049662783568351</v>
      </c>
      <c r="L94" s="7">
        <f t="shared" si="40"/>
        <v>0.14962593516209471</v>
      </c>
      <c r="M94" t="s">
        <v>7</v>
      </c>
      <c r="O94" s="3" t="e">
        <f>E94-#REF!</f>
        <v>#REF!</v>
      </c>
      <c r="P94" s="30" t="e">
        <f>I94-#REF!</f>
        <v>#REF!</v>
      </c>
    </row>
    <row r="95" spans="1:16" x14ac:dyDescent="0.25">
      <c r="A95">
        <v>93</v>
      </c>
      <c r="D95" s="4" t="s">
        <v>98</v>
      </c>
      <c r="E95" s="5">
        <v>401</v>
      </c>
      <c r="F95" s="5">
        <v>461</v>
      </c>
      <c r="G95" s="6">
        <f t="shared" si="36"/>
        <v>60</v>
      </c>
      <c r="H95" s="7">
        <f t="shared" si="37"/>
        <v>0.14962593516209477</v>
      </c>
      <c r="I95" s="8">
        <v>458.7774371551194</v>
      </c>
      <c r="J95" s="9">
        <f t="shared" si="38"/>
        <v>527.42244022072327</v>
      </c>
      <c r="K95" s="3">
        <f t="shared" si="39"/>
        <v>68.645003065603873</v>
      </c>
      <c r="L95" s="7">
        <f t="shared" si="40"/>
        <v>0.14962593516209471</v>
      </c>
      <c r="M95" t="s">
        <v>7</v>
      </c>
      <c r="O95" s="3" t="e">
        <f>E95-#REF!</f>
        <v>#REF!</v>
      </c>
      <c r="P95" s="30" t="e">
        <f>I95-#REF!</f>
        <v>#REF!</v>
      </c>
    </row>
    <row r="96" spans="1:16" x14ac:dyDescent="0.25">
      <c r="A96">
        <v>94</v>
      </c>
      <c r="D96" s="4" t="s">
        <v>99</v>
      </c>
      <c r="E96" s="5">
        <v>406</v>
      </c>
      <c r="F96" s="5">
        <v>466</v>
      </c>
      <c r="G96" s="6">
        <f t="shared" si="36"/>
        <v>60</v>
      </c>
      <c r="H96" s="7">
        <f t="shared" si="37"/>
        <v>0.14778325123152711</v>
      </c>
      <c r="I96" s="8">
        <v>504.50277841561422</v>
      </c>
      <c r="J96" s="9">
        <f t="shared" si="38"/>
        <v>579.05983926521242</v>
      </c>
      <c r="K96" s="3">
        <f t="shared" si="39"/>
        <v>74.557060849598201</v>
      </c>
      <c r="L96" s="7">
        <f t="shared" si="40"/>
        <v>0.14778325123152716</v>
      </c>
      <c r="M96" t="s">
        <v>7</v>
      </c>
      <c r="O96" s="3" t="e">
        <f>E96-#REF!</f>
        <v>#REF!</v>
      </c>
      <c r="P96" s="30" t="e">
        <f>I96-#REF!</f>
        <v>#REF!</v>
      </c>
    </row>
    <row r="97" spans="1:16" x14ac:dyDescent="0.25">
      <c r="A97">
        <v>95</v>
      </c>
      <c r="D97" s="23" t="s">
        <v>100</v>
      </c>
      <c r="E97" s="5">
        <v>598</v>
      </c>
      <c r="F97" s="5">
        <v>658</v>
      </c>
      <c r="G97" s="6">
        <f t="shared" si="36"/>
        <v>60</v>
      </c>
      <c r="H97" s="7">
        <f t="shared" si="37"/>
        <v>0.10033444816053512</v>
      </c>
      <c r="I97" s="8">
        <v>701</v>
      </c>
      <c r="J97" s="9">
        <v>774</v>
      </c>
      <c r="K97" s="3">
        <f t="shared" si="39"/>
        <v>73</v>
      </c>
      <c r="L97" s="7">
        <f>(J97-I97)/ABS(I97)</f>
        <v>0.10413694721825963</v>
      </c>
      <c r="M97" t="s">
        <v>7</v>
      </c>
      <c r="O97" s="3" t="e">
        <f>E97-#REF!</f>
        <v>#REF!</v>
      </c>
      <c r="P97" s="30" t="e">
        <f>I97-#REF!</f>
        <v>#REF!</v>
      </c>
    </row>
    <row r="98" spans="1:16" x14ac:dyDescent="0.25">
      <c r="A98">
        <v>96</v>
      </c>
      <c r="C98" t="s">
        <v>8</v>
      </c>
      <c r="D98" s="29" t="s">
        <v>101</v>
      </c>
      <c r="E98" s="5">
        <v>970</v>
      </c>
      <c r="F98" s="5">
        <v>970</v>
      </c>
      <c r="G98" s="6">
        <f t="shared" si="36"/>
        <v>0</v>
      </c>
      <c r="H98" s="7">
        <f t="shared" si="37"/>
        <v>0</v>
      </c>
      <c r="I98" s="8">
        <v>1034.1303258145365</v>
      </c>
      <c r="J98" s="25">
        <f t="shared" si="38"/>
        <v>1034.1303258145365</v>
      </c>
      <c r="K98" s="3">
        <f t="shared" si="39"/>
        <v>0</v>
      </c>
      <c r="L98" s="7">
        <f t="shared" si="40"/>
        <v>0</v>
      </c>
      <c r="M98" t="s">
        <v>7</v>
      </c>
      <c r="O98" s="3" t="e">
        <f>E98-#REF!</f>
        <v>#REF!</v>
      </c>
      <c r="P98" s="30" t="e">
        <f>I98-#REF!</f>
        <v>#REF!</v>
      </c>
    </row>
    <row r="99" spans="1:16" x14ac:dyDescent="0.25">
      <c r="A99">
        <v>97</v>
      </c>
      <c r="C99" t="s">
        <v>8</v>
      </c>
      <c r="D99" s="29" t="s">
        <v>102</v>
      </c>
      <c r="E99" s="5">
        <v>1149</v>
      </c>
      <c r="F99" s="5">
        <v>1149</v>
      </c>
      <c r="G99" s="6">
        <f t="shared" si="36"/>
        <v>0</v>
      </c>
      <c r="H99" s="7">
        <f t="shared" si="37"/>
        <v>0</v>
      </c>
      <c r="I99" s="8">
        <v>1509.2300143159521</v>
      </c>
      <c r="J99" s="9">
        <f t="shared" si="38"/>
        <v>1509.2300143159521</v>
      </c>
      <c r="K99" s="3">
        <f t="shared" si="39"/>
        <v>0</v>
      </c>
      <c r="L99" s="7">
        <f t="shared" si="40"/>
        <v>0</v>
      </c>
      <c r="M99" t="s">
        <v>7</v>
      </c>
      <c r="O99" s="3" t="e">
        <f>E99-#REF!</f>
        <v>#REF!</v>
      </c>
      <c r="P99" s="30" t="e">
        <f>I99-#REF!</f>
        <v>#REF!</v>
      </c>
    </row>
    <row r="100" spans="1:16" x14ac:dyDescent="0.25">
      <c r="A100">
        <v>98</v>
      </c>
      <c r="D100" s="4" t="s">
        <v>103</v>
      </c>
      <c r="E100" s="5">
        <v>16.64</v>
      </c>
      <c r="F100" s="5">
        <v>16.64</v>
      </c>
      <c r="G100" s="6">
        <f t="shared" si="36"/>
        <v>0</v>
      </c>
      <c r="H100" s="7">
        <f t="shared" si="37"/>
        <v>0</v>
      </c>
      <c r="I100" s="8">
        <v>42.900000000000006</v>
      </c>
      <c r="J100" s="9">
        <f t="shared" si="38"/>
        <v>42.900000000000006</v>
      </c>
      <c r="K100" s="3">
        <f t="shared" si="39"/>
        <v>0</v>
      </c>
      <c r="L100" s="7">
        <f t="shared" si="40"/>
        <v>0</v>
      </c>
      <c r="M100" t="s">
        <v>7</v>
      </c>
      <c r="O100" s="3" t="e">
        <f>E100-#REF!</f>
        <v>#REF!</v>
      </c>
      <c r="P100" s="30" t="e">
        <f>I100-#REF!</f>
        <v>#REF!</v>
      </c>
    </row>
    <row r="101" spans="1:16" x14ac:dyDescent="0.25">
      <c r="A101">
        <v>99</v>
      </c>
      <c r="C101" t="s">
        <v>8</v>
      </c>
      <c r="D101" s="4" t="s">
        <v>104</v>
      </c>
      <c r="E101" s="5">
        <v>1606</v>
      </c>
      <c r="F101" s="5">
        <v>1666</v>
      </c>
      <c r="G101" s="6">
        <f t="shared" si="36"/>
        <v>60</v>
      </c>
      <c r="H101" s="7">
        <f t="shared" si="37"/>
        <v>3.7359900373599E-2</v>
      </c>
      <c r="I101" s="8">
        <v>2655.2076759061838</v>
      </c>
      <c r="J101" s="9">
        <f t="shared" si="38"/>
        <v>2754.4059701492542</v>
      </c>
      <c r="K101" s="3">
        <f t="shared" si="39"/>
        <v>99.19829424307045</v>
      </c>
      <c r="L101" s="7">
        <f t="shared" si="40"/>
        <v>3.7359900373599028E-2</v>
      </c>
      <c r="M101" t="s">
        <v>7</v>
      </c>
      <c r="O101" s="3" t="e">
        <f>E101-#REF!</f>
        <v>#REF!</v>
      </c>
      <c r="P101" s="30" t="e">
        <f>I101-#REF!</f>
        <v>#REF!</v>
      </c>
    </row>
    <row r="102" spans="1:16" x14ac:dyDescent="0.25">
      <c r="A102">
        <v>100</v>
      </c>
      <c r="D102" s="2" t="s">
        <v>105</v>
      </c>
      <c r="H102" s="10">
        <f>AVERAGE(H93:H101)</f>
        <v>8.2467753894497856E-2</v>
      </c>
      <c r="I102"/>
      <c r="L102" s="10">
        <f>AVERAGE(L93:L101)</f>
        <v>8.2890253789800583E-2</v>
      </c>
    </row>
    <row r="103" spans="1:16" x14ac:dyDescent="0.25">
      <c r="A103">
        <v>101</v>
      </c>
      <c r="D103" s="2" t="s">
        <v>106</v>
      </c>
      <c r="G103" s="6"/>
      <c r="H103" s="7"/>
      <c r="I103"/>
      <c r="M103" t="s">
        <v>106</v>
      </c>
    </row>
    <row r="104" spans="1:16" x14ac:dyDescent="0.25">
      <c r="A104">
        <v>102</v>
      </c>
      <c r="C104" t="s">
        <v>8</v>
      </c>
      <c r="D104" s="4" t="s">
        <v>107</v>
      </c>
      <c r="E104" s="5">
        <v>46.11</v>
      </c>
      <c r="F104" s="5">
        <v>46.11</v>
      </c>
      <c r="G104" s="6">
        <f t="shared" ref="G104:G115" si="41">+F104-E104</f>
        <v>0</v>
      </c>
      <c r="H104" s="7">
        <f t="shared" ref="H104:H115" si="42">(F104-E104)/ABS(E104)</f>
        <v>0</v>
      </c>
      <c r="I104" s="8">
        <v>85.406538115384606</v>
      </c>
      <c r="J104" s="9">
        <f t="shared" ref="J104:J115" si="43">(I104*H104)+I104</f>
        <v>85.406538115384606</v>
      </c>
      <c r="K104" s="3">
        <f t="shared" ref="K104:K115" si="44">J104-I104</f>
        <v>0</v>
      </c>
      <c r="L104" s="7">
        <f t="shared" ref="L104:L115" si="45">(J104-I104)/ABS(I104)</f>
        <v>0</v>
      </c>
      <c r="M104" t="s">
        <v>106</v>
      </c>
      <c r="O104" s="3" t="e">
        <f>E104-#REF!</f>
        <v>#REF!</v>
      </c>
      <c r="P104" s="30" t="e">
        <f>I104-#REF!</f>
        <v>#REF!</v>
      </c>
    </row>
    <row r="105" spans="1:16" x14ac:dyDescent="0.25">
      <c r="A105">
        <v>103</v>
      </c>
      <c r="C105" t="s">
        <v>8</v>
      </c>
      <c r="D105" s="4" t="s">
        <v>108</v>
      </c>
      <c r="E105" s="5">
        <v>51.96</v>
      </c>
      <c r="F105" s="5">
        <v>51.96</v>
      </c>
      <c r="G105" s="6">
        <f t="shared" si="41"/>
        <v>0</v>
      </c>
      <c r="H105" s="7">
        <f t="shared" si="42"/>
        <v>0</v>
      </c>
      <c r="I105" s="8">
        <v>80.176901208617949</v>
      </c>
      <c r="J105" s="9">
        <f t="shared" si="43"/>
        <v>80.176901208617949</v>
      </c>
      <c r="K105" s="3">
        <f>J105-I105</f>
        <v>0</v>
      </c>
      <c r="L105" s="7">
        <f>(J105-I105)/ABS(I105)</f>
        <v>0</v>
      </c>
      <c r="M105" t="s">
        <v>106</v>
      </c>
      <c r="O105" s="3" t="e">
        <f>E105-#REF!</f>
        <v>#REF!</v>
      </c>
      <c r="P105" s="30" t="e">
        <f>I105-#REF!</f>
        <v>#REF!</v>
      </c>
    </row>
    <row r="106" spans="1:16" x14ac:dyDescent="0.25">
      <c r="A106">
        <v>104</v>
      </c>
      <c r="C106" t="s">
        <v>8</v>
      </c>
      <c r="D106" s="4" t="s">
        <v>109</v>
      </c>
      <c r="E106" s="12">
        <v>3.19</v>
      </c>
      <c r="F106" s="12">
        <v>3.19</v>
      </c>
      <c r="G106" s="6">
        <f t="shared" si="41"/>
        <v>0</v>
      </c>
      <c r="H106" s="7">
        <f t="shared" si="42"/>
        <v>0</v>
      </c>
      <c r="I106" s="8">
        <v>3.8745328209552197</v>
      </c>
      <c r="J106" s="9">
        <f t="shared" si="43"/>
        <v>3.8745328209552197</v>
      </c>
      <c r="K106" s="3">
        <f t="shared" si="44"/>
        <v>0</v>
      </c>
      <c r="L106" s="7">
        <f t="shared" si="45"/>
        <v>0</v>
      </c>
      <c r="M106" t="s">
        <v>106</v>
      </c>
      <c r="O106" s="3" t="e">
        <f>E106-#REF!</f>
        <v>#REF!</v>
      </c>
      <c r="P106" s="30" t="e">
        <f>I106-#REF!</f>
        <v>#REF!</v>
      </c>
    </row>
    <row r="107" spans="1:16" x14ac:dyDescent="0.25">
      <c r="A107">
        <v>105</v>
      </c>
      <c r="C107" t="s">
        <v>8</v>
      </c>
      <c r="D107" s="4" t="s">
        <v>110</v>
      </c>
      <c r="E107" s="12">
        <v>3.48</v>
      </c>
      <c r="F107" s="12">
        <v>3.48</v>
      </c>
      <c r="G107" s="6">
        <f t="shared" si="41"/>
        <v>0</v>
      </c>
      <c r="H107" s="7">
        <f t="shared" si="42"/>
        <v>0</v>
      </c>
      <c r="I107" s="8">
        <v>4.0655928193903108</v>
      </c>
      <c r="J107" s="9">
        <f t="shared" si="43"/>
        <v>4.0655928193903108</v>
      </c>
      <c r="K107" s="3">
        <f t="shared" si="44"/>
        <v>0</v>
      </c>
      <c r="L107" s="7">
        <f t="shared" si="45"/>
        <v>0</v>
      </c>
      <c r="M107" t="s">
        <v>106</v>
      </c>
      <c r="O107" s="3" t="e">
        <f>E107-#REF!</f>
        <v>#REF!</v>
      </c>
      <c r="P107" s="30" t="e">
        <f>I107-#REF!</f>
        <v>#REF!</v>
      </c>
    </row>
    <row r="108" spans="1:16" x14ac:dyDescent="0.25">
      <c r="A108">
        <v>106</v>
      </c>
      <c r="C108" t="s">
        <v>8</v>
      </c>
      <c r="D108" s="4" t="s">
        <v>111</v>
      </c>
      <c r="E108" s="12">
        <v>7.89</v>
      </c>
      <c r="F108" s="12">
        <v>7.89</v>
      </c>
      <c r="G108" s="6">
        <f t="shared" si="41"/>
        <v>0</v>
      </c>
      <c r="H108" s="7">
        <f t="shared" si="42"/>
        <v>0</v>
      </c>
      <c r="I108" s="8">
        <v>8.9203191080353719</v>
      </c>
      <c r="J108" s="9">
        <f t="shared" si="43"/>
        <v>8.9203191080353719</v>
      </c>
      <c r="K108" s="3">
        <f t="shared" si="44"/>
        <v>0</v>
      </c>
      <c r="L108" s="7">
        <f t="shared" si="45"/>
        <v>0</v>
      </c>
      <c r="M108" t="s">
        <v>106</v>
      </c>
      <c r="O108" s="3" t="e">
        <f>E108-#REF!</f>
        <v>#REF!</v>
      </c>
      <c r="P108" s="30" t="e">
        <f>I108-#REF!</f>
        <v>#REF!</v>
      </c>
    </row>
    <row r="109" spans="1:16" x14ac:dyDescent="0.25">
      <c r="A109">
        <v>107</v>
      </c>
      <c r="C109" t="s">
        <v>8</v>
      </c>
      <c r="D109" s="4" t="s">
        <v>112</v>
      </c>
      <c r="E109" s="12">
        <v>9.34</v>
      </c>
      <c r="F109" s="12">
        <v>9.34</v>
      </c>
      <c r="G109" s="6">
        <f t="shared" si="41"/>
        <v>0</v>
      </c>
      <c r="H109" s="7">
        <f t="shared" si="42"/>
        <v>0</v>
      </c>
      <c r="I109" s="8">
        <v>10.432893234927514</v>
      </c>
      <c r="J109" s="9">
        <f t="shared" si="43"/>
        <v>10.432893234927514</v>
      </c>
      <c r="K109" s="3">
        <f t="shared" si="44"/>
        <v>0</v>
      </c>
      <c r="L109" s="7">
        <f t="shared" si="45"/>
        <v>0</v>
      </c>
      <c r="M109" t="s">
        <v>106</v>
      </c>
      <c r="O109" s="3" t="e">
        <f>E109-#REF!</f>
        <v>#REF!</v>
      </c>
      <c r="P109" s="30" t="e">
        <f>I109-#REF!</f>
        <v>#REF!</v>
      </c>
    </row>
    <row r="110" spans="1:16" x14ac:dyDescent="0.25">
      <c r="A110">
        <v>108</v>
      </c>
      <c r="C110" t="s">
        <v>8</v>
      </c>
      <c r="D110" s="4" t="s">
        <v>113</v>
      </c>
      <c r="E110" s="12">
        <v>3.79</v>
      </c>
      <c r="F110" s="12">
        <v>3.79</v>
      </c>
      <c r="G110" s="6">
        <f t="shared" si="41"/>
        <v>0</v>
      </c>
      <c r="H110" s="7">
        <f t="shared" si="42"/>
        <v>0</v>
      </c>
      <c r="I110" s="8">
        <v>5.2944973572314407</v>
      </c>
      <c r="J110" s="9">
        <f t="shared" si="43"/>
        <v>5.2944973572314407</v>
      </c>
      <c r="K110" s="3">
        <f>J110-I110</f>
        <v>0</v>
      </c>
      <c r="L110" s="7">
        <f>(J110-I110)/ABS(I110)</f>
        <v>0</v>
      </c>
      <c r="M110" t="s">
        <v>106</v>
      </c>
      <c r="O110" s="3" t="e">
        <f>E110-#REF!</f>
        <v>#REF!</v>
      </c>
      <c r="P110" s="30" t="e">
        <f>I110-#REF!</f>
        <v>#REF!</v>
      </c>
    </row>
    <row r="111" spans="1:16" x14ac:dyDescent="0.25">
      <c r="A111">
        <v>109</v>
      </c>
      <c r="C111" t="s">
        <v>8</v>
      </c>
      <c r="D111" s="4" t="s">
        <v>114</v>
      </c>
      <c r="E111" s="12">
        <v>4.95</v>
      </c>
      <c r="F111" s="12">
        <v>4.95</v>
      </c>
      <c r="G111" s="6">
        <f t="shared" si="41"/>
        <v>0</v>
      </c>
      <c r="H111" s="7">
        <f t="shared" si="42"/>
        <v>0</v>
      </c>
      <c r="I111" s="8">
        <v>6.6523403553892901</v>
      </c>
      <c r="J111" s="9">
        <f t="shared" si="43"/>
        <v>6.6523403553892901</v>
      </c>
      <c r="K111" s="3">
        <f t="shared" si="44"/>
        <v>0</v>
      </c>
      <c r="L111" s="7">
        <f t="shared" si="45"/>
        <v>0</v>
      </c>
      <c r="M111" t="s">
        <v>106</v>
      </c>
      <c r="O111" s="3" t="e">
        <f>E111-#REF!</f>
        <v>#REF!</v>
      </c>
      <c r="P111" s="30" t="e">
        <f>I111-#REF!</f>
        <v>#REF!</v>
      </c>
    </row>
    <row r="112" spans="1:16" x14ac:dyDescent="0.25">
      <c r="A112">
        <v>110</v>
      </c>
      <c r="C112" t="s">
        <v>8</v>
      </c>
      <c r="D112" s="4" t="s">
        <v>115</v>
      </c>
      <c r="E112" s="12">
        <v>6.16</v>
      </c>
      <c r="F112" s="12">
        <v>6.16</v>
      </c>
      <c r="G112" s="6">
        <f t="shared" si="41"/>
        <v>0</v>
      </c>
      <c r="H112" s="7">
        <f t="shared" si="42"/>
        <v>0</v>
      </c>
      <c r="I112" s="8">
        <v>7.8767696532032376</v>
      </c>
      <c r="J112" s="9">
        <f t="shared" si="43"/>
        <v>7.8767696532032376</v>
      </c>
      <c r="K112" s="3">
        <f t="shared" si="44"/>
        <v>0</v>
      </c>
      <c r="L112" s="7">
        <f t="shared" si="45"/>
        <v>0</v>
      </c>
      <c r="M112" t="s">
        <v>106</v>
      </c>
      <c r="O112" s="3" t="e">
        <f>E112-#REF!</f>
        <v>#REF!</v>
      </c>
      <c r="P112" s="30" t="e">
        <f>I112-#REF!</f>
        <v>#REF!</v>
      </c>
    </row>
    <row r="113" spans="1:16" x14ac:dyDescent="0.25">
      <c r="A113">
        <v>111</v>
      </c>
      <c r="C113" t="s">
        <v>8</v>
      </c>
      <c r="D113" s="4" t="s">
        <v>116</v>
      </c>
      <c r="E113" s="12">
        <v>7.33</v>
      </c>
      <c r="F113" s="12">
        <v>7.33</v>
      </c>
      <c r="G113" s="6">
        <f t="shared" si="41"/>
        <v>0</v>
      </c>
      <c r="H113" s="7">
        <f t="shared" si="42"/>
        <v>0</v>
      </c>
      <c r="I113" s="8">
        <v>9.6975016766020872</v>
      </c>
      <c r="J113" s="9">
        <f t="shared" si="43"/>
        <v>9.6975016766020872</v>
      </c>
      <c r="K113" s="3">
        <f t="shared" si="44"/>
        <v>0</v>
      </c>
      <c r="L113" s="7">
        <f t="shared" si="45"/>
        <v>0</v>
      </c>
      <c r="M113" t="s">
        <v>106</v>
      </c>
      <c r="O113" s="3" t="e">
        <f>E113-#REF!</f>
        <v>#REF!</v>
      </c>
      <c r="P113" s="30" t="e">
        <f>I113-#REF!</f>
        <v>#REF!</v>
      </c>
    </row>
    <row r="114" spans="1:16" x14ac:dyDescent="0.25">
      <c r="A114">
        <v>112</v>
      </c>
      <c r="C114" t="s">
        <v>8</v>
      </c>
      <c r="D114" s="4" t="s">
        <v>117</v>
      </c>
      <c r="E114" s="12">
        <v>8.39</v>
      </c>
      <c r="F114" s="12">
        <v>8.39</v>
      </c>
      <c r="G114" s="6">
        <f t="shared" si="41"/>
        <v>0</v>
      </c>
      <c r="H114" s="7">
        <f t="shared" si="42"/>
        <v>0</v>
      </c>
      <c r="I114" s="8">
        <v>9.9493819659061415</v>
      </c>
      <c r="J114" s="9">
        <f t="shared" si="43"/>
        <v>9.9493819659061415</v>
      </c>
      <c r="K114" s="3">
        <f t="shared" si="44"/>
        <v>0</v>
      </c>
      <c r="L114" s="7">
        <f t="shared" si="45"/>
        <v>0</v>
      </c>
      <c r="M114" t="s">
        <v>106</v>
      </c>
      <c r="O114" s="3" t="e">
        <f>E114-#REF!</f>
        <v>#REF!</v>
      </c>
      <c r="P114" s="30" t="e">
        <f>I114-#REF!</f>
        <v>#REF!</v>
      </c>
    </row>
    <row r="115" spans="1:16" x14ac:dyDescent="0.25">
      <c r="A115">
        <v>113</v>
      </c>
      <c r="C115" t="s">
        <v>8</v>
      </c>
      <c r="D115" s="4" t="s">
        <v>118</v>
      </c>
      <c r="E115" s="12">
        <v>9.39</v>
      </c>
      <c r="F115" s="12">
        <v>9.39</v>
      </c>
      <c r="G115" s="6">
        <f t="shared" si="41"/>
        <v>0</v>
      </c>
      <c r="H115" s="7">
        <f t="shared" si="42"/>
        <v>0</v>
      </c>
      <c r="I115" s="8">
        <v>11.783981312354875</v>
      </c>
      <c r="J115" s="9">
        <f t="shared" si="43"/>
        <v>11.783981312354875</v>
      </c>
      <c r="K115" s="3">
        <f t="shared" si="44"/>
        <v>0</v>
      </c>
      <c r="L115" s="7">
        <f t="shared" si="45"/>
        <v>0</v>
      </c>
      <c r="M115" t="s">
        <v>106</v>
      </c>
      <c r="O115" s="3" t="e">
        <f>E115-#REF!</f>
        <v>#REF!</v>
      </c>
      <c r="P115" s="30" t="e">
        <f>I115-#REF!</f>
        <v>#REF!</v>
      </c>
    </row>
    <row r="116" spans="1:16" x14ac:dyDescent="0.25">
      <c r="A116">
        <v>114</v>
      </c>
      <c r="D116" s="2" t="s">
        <v>119</v>
      </c>
      <c r="H116" s="10">
        <f>AVERAGE(H104:H115)</f>
        <v>0</v>
      </c>
      <c r="I116"/>
      <c r="L116" s="10">
        <f>AVERAGE(L104:L115)</f>
        <v>0</v>
      </c>
    </row>
    <row r="117" spans="1:16" x14ac:dyDescent="0.25">
      <c r="A117">
        <v>115</v>
      </c>
      <c r="D117" s="2" t="s">
        <v>120</v>
      </c>
      <c r="I117"/>
      <c r="M117" t="s">
        <v>121</v>
      </c>
    </row>
    <row r="118" spans="1:16" x14ac:dyDescent="0.25">
      <c r="A118">
        <v>116</v>
      </c>
      <c r="C118" t="s">
        <v>8</v>
      </c>
      <c r="D118" s="4" t="s">
        <v>456</v>
      </c>
      <c r="E118" s="12">
        <v>6</v>
      </c>
      <c r="F118" s="12">
        <v>6</v>
      </c>
      <c r="G118" s="13">
        <f t="shared" ref="G118:G153" si="46">+F118-E118</f>
        <v>0</v>
      </c>
      <c r="H118" s="7">
        <f t="shared" ref="H118:H155" si="47">(F118-E118)/ABS(E118)</f>
        <v>0</v>
      </c>
      <c r="I118" s="8">
        <v>7.83</v>
      </c>
      <c r="J118" s="9">
        <f t="shared" ref="J118:J155" si="48">(I118*H118)+I118</f>
        <v>7.83</v>
      </c>
      <c r="K118" s="3">
        <f t="shared" ref="K118:K155" si="49">J118-I118</f>
        <v>0</v>
      </c>
      <c r="L118" s="7">
        <f t="shared" ref="L118:L155" si="50">(J118-I118)/ABS(I118)</f>
        <v>0</v>
      </c>
      <c r="M118" t="s">
        <v>121</v>
      </c>
      <c r="O118" s="3"/>
    </row>
    <row r="119" spans="1:16" x14ac:dyDescent="0.25">
      <c r="A119">
        <v>117</v>
      </c>
      <c r="C119" t="s">
        <v>8</v>
      </c>
      <c r="D119" s="4" t="s">
        <v>457</v>
      </c>
      <c r="E119" s="12">
        <v>6.6</v>
      </c>
      <c r="F119" s="12">
        <v>6.6</v>
      </c>
      <c r="G119" s="13">
        <f t="shared" si="46"/>
        <v>0</v>
      </c>
      <c r="H119" s="7">
        <f t="shared" si="47"/>
        <v>0</v>
      </c>
      <c r="I119" s="8">
        <v>8.89</v>
      </c>
      <c r="J119" s="9">
        <f t="shared" si="48"/>
        <v>8.89</v>
      </c>
      <c r="K119" s="3">
        <f t="shared" si="49"/>
        <v>0</v>
      </c>
      <c r="L119" s="7">
        <f t="shared" si="50"/>
        <v>0</v>
      </c>
      <c r="M119" t="s">
        <v>121</v>
      </c>
      <c r="O119" s="3"/>
    </row>
    <row r="120" spans="1:16" x14ac:dyDescent="0.25">
      <c r="A120">
        <v>118</v>
      </c>
      <c r="C120" t="s">
        <v>8</v>
      </c>
      <c r="D120" s="4" t="s">
        <v>458</v>
      </c>
      <c r="E120" s="12">
        <v>7.6</v>
      </c>
      <c r="F120" s="12">
        <v>7.6</v>
      </c>
      <c r="G120" s="13">
        <f t="shared" si="46"/>
        <v>0</v>
      </c>
      <c r="H120" s="7">
        <f t="shared" si="47"/>
        <v>0</v>
      </c>
      <c r="I120" s="8">
        <v>10.25</v>
      </c>
      <c r="J120" s="9">
        <f t="shared" si="48"/>
        <v>10.25</v>
      </c>
      <c r="K120" s="3">
        <f t="shared" si="49"/>
        <v>0</v>
      </c>
      <c r="L120" s="7">
        <f t="shared" si="50"/>
        <v>0</v>
      </c>
      <c r="M120" t="s">
        <v>121</v>
      </c>
      <c r="O120" s="3"/>
    </row>
    <row r="121" spans="1:16" x14ac:dyDescent="0.25">
      <c r="A121">
        <v>119</v>
      </c>
      <c r="C121" t="s">
        <v>8</v>
      </c>
      <c r="D121" s="4" t="s">
        <v>460</v>
      </c>
      <c r="E121" s="12">
        <v>9.6</v>
      </c>
      <c r="F121" s="12">
        <v>9.6</v>
      </c>
      <c r="G121" s="6">
        <f t="shared" si="46"/>
        <v>0</v>
      </c>
      <c r="H121" s="7">
        <f t="shared" si="47"/>
        <v>0</v>
      </c>
      <c r="I121" s="8">
        <v>13.87</v>
      </c>
      <c r="J121" s="9">
        <f t="shared" si="48"/>
        <v>13.87</v>
      </c>
      <c r="K121" s="3">
        <f t="shared" si="49"/>
        <v>0</v>
      </c>
      <c r="L121" s="7">
        <f t="shared" si="50"/>
        <v>0</v>
      </c>
      <c r="M121" t="s">
        <v>121</v>
      </c>
      <c r="O121" s="3"/>
    </row>
    <row r="122" spans="1:16" x14ac:dyDescent="0.25">
      <c r="A122">
        <v>120</v>
      </c>
      <c r="C122" t="s">
        <v>8</v>
      </c>
      <c r="D122" s="4" t="s">
        <v>459</v>
      </c>
      <c r="E122" s="14">
        <v>25.6</v>
      </c>
      <c r="F122" s="14">
        <v>25.6</v>
      </c>
      <c r="G122" s="6">
        <f t="shared" si="46"/>
        <v>0</v>
      </c>
      <c r="H122" s="7">
        <f t="shared" si="47"/>
        <v>0</v>
      </c>
      <c r="I122" s="8">
        <v>38.07</v>
      </c>
      <c r="J122" s="9">
        <f t="shared" si="48"/>
        <v>38.07</v>
      </c>
      <c r="K122" s="3">
        <f t="shared" si="49"/>
        <v>0</v>
      </c>
      <c r="L122" s="7">
        <f t="shared" si="50"/>
        <v>0</v>
      </c>
      <c r="M122" t="s">
        <v>121</v>
      </c>
      <c r="O122" s="3"/>
    </row>
    <row r="123" spans="1:16" x14ac:dyDescent="0.25">
      <c r="A123">
        <v>121</v>
      </c>
      <c r="C123" t="s">
        <v>8</v>
      </c>
      <c r="D123" s="4" t="s">
        <v>122</v>
      </c>
      <c r="E123" s="12">
        <v>6.12</v>
      </c>
      <c r="F123" s="12">
        <v>6.12</v>
      </c>
      <c r="G123" s="6">
        <f t="shared" si="46"/>
        <v>0</v>
      </c>
      <c r="H123" s="7">
        <f t="shared" si="47"/>
        <v>0</v>
      </c>
      <c r="I123" s="8">
        <v>7.8894782608695655</v>
      </c>
      <c r="J123" s="9">
        <f t="shared" si="48"/>
        <v>7.8894782608695655</v>
      </c>
      <c r="K123" s="3">
        <f t="shared" si="49"/>
        <v>0</v>
      </c>
      <c r="L123" s="7">
        <f t="shared" si="50"/>
        <v>0</v>
      </c>
      <c r="M123" t="s">
        <v>121</v>
      </c>
      <c r="O123" s="3"/>
    </row>
    <row r="124" spans="1:16" x14ac:dyDescent="0.25">
      <c r="A124">
        <v>122</v>
      </c>
      <c r="C124" t="s">
        <v>8</v>
      </c>
      <c r="D124" s="4" t="s">
        <v>123</v>
      </c>
      <c r="E124" s="12">
        <v>8.4499999999999993</v>
      </c>
      <c r="F124" s="12">
        <v>8.4499999999999993</v>
      </c>
      <c r="G124" s="13">
        <f t="shared" si="46"/>
        <v>0</v>
      </c>
      <c r="H124" s="7">
        <f t="shared" si="47"/>
        <v>0</v>
      </c>
      <c r="I124" s="8">
        <v>10.06</v>
      </c>
      <c r="J124" s="9">
        <f t="shared" si="48"/>
        <v>10.06</v>
      </c>
      <c r="K124" s="3">
        <f t="shared" si="49"/>
        <v>0</v>
      </c>
      <c r="L124" s="7">
        <f t="shared" si="50"/>
        <v>0</v>
      </c>
      <c r="M124" t="s">
        <v>121</v>
      </c>
      <c r="O124" s="3"/>
    </row>
    <row r="125" spans="1:16" x14ac:dyDescent="0.25">
      <c r="A125">
        <v>123</v>
      </c>
      <c r="C125" t="s">
        <v>8</v>
      </c>
      <c r="D125" s="4" t="s">
        <v>124</v>
      </c>
      <c r="E125" s="12">
        <v>9.61</v>
      </c>
      <c r="F125" s="12">
        <v>9.61</v>
      </c>
      <c r="G125" s="13">
        <f t="shared" si="46"/>
        <v>0</v>
      </c>
      <c r="H125" s="7">
        <f t="shared" si="47"/>
        <v>0</v>
      </c>
      <c r="I125" s="8">
        <v>12.32</v>
      </c>
      <c r="J125" s="9">
        <f t="shared" si="48"/>
        <v>12.32</v>
      </c>
      <c r="K125" s="3">
        <f t="shared" si="49"/>
        <v>0</v>
      </c>
      <c r="L125" s="7">
        <f t="shared" si="50"/>
        <v>0</v>
      </c>
      <c r="M125" t="s">
        <v>121</v>
      </c>
      <c r="O125" s="3"/>
    </row>
    <row r="126" spans="1:16" x14ac:dyDescent="0.25">
      <c r="A126">
        <v>124</v>
      </c>
      <c r="C126" t="s">
        <v>8</v>
      </c>
      <c r="D126" s="4" t="s">
        <v>125</v>
      </c>
      <c r="E126" s="12">
        <v>10.78</v>
      </c>
      <c r="F126" s="12">
        <v>10.78</v>
      </c>
      <c r="G126" s="13">
        <f t="shared" si="46"/>
        <v>0</v>
      </c>
      <c r="H126" s="7">
        <f t="shared" si="47"/>
        <v>0</v>
      </c>
      <c r="I126" s="8">
        <v>14.19</v>
      </c>
      <c r="J126" s="9">
        <f t="shared" si="48"/>
        <v>14.19</v>
      </c>
      <c r="K126" s="3">
        <f t="shared" si="49"/>
        <v>0</v>
      </c>
      <c r="L126" s="7">
        <f t="shared" si="50"/>
        <v>0</v>
      </c>
      <c r="M126" t="s">
        <v>121</v>
      </c>
      <c r="O126" s="3"/>
    </row>
    <row r="127" spans="1:16" x14ac:dyDescent="0.25">
      <c r="A127">
        <v>125</v>
      </c>
      <c r="C127" t="s">
        <v>8</v>
      </c>
      <c r="D127" s="4" t="s">
        <v>126</v>
      </c>
      <c r="E127" s="12">
        <v>11.28</v>
      </c>
      <c r="F127" s="12">
        <v>11.28</v>
      </c>
      <c r="G127" s="6">
        <f t="shared" si="46"/>
        <v>0</v>
      </c>
      <c r="H127" s="7">
        <f t="shared" si="47"/>
        <v>0</v>
      </c>
      <c r="I127" s="8">
        <v>15.38</v>
      </c>
      <c r="J127" s="9">
        <f t="shared" si="48"/>
        <v>15.38</v>
      </c>
      <c r="K127" s="3">
        <f t="shared" si="49"/>
        <v>0</v>
      </c>
      <c r="L127" s="7">
        <f t="shared" si="50"/>
        <v>0</v>
      </c>
      <c r="M127" t="s">
        <v>121</v>
      </c>
      <c r="O127" s="3"/>
    </row>
    <row r="128" spans="1:16" x14ac:dyDescent="0.25">
      <c r="A128">
        <v>126</v>
      </c>
      <c r="C128" t="s">
        <v>8</v>
      </c>
      <c r="D128" s="4" t="s">
        <v>127</v>
      </c>
      <c r="E128" s="12">
        <v>15.04</v>
      </c>
      <c r="F128" s="12">
        <v>15.04</v>
      </c>
      <c r="G128" s="6">
        <f t="shared" si="46"/>
        <v>0</v>
      </c>
      <c r="H128" s="7">
        <f t="shared" si="47"/>
        <v>0</v>
      </c>
      <c r="I128" s="8">
        <v>21.143359497645207</v>
      </c>
      <c r="J128" s="9">
        <f t="shared" si="48"/>
        <v>21.143359497645207</v>
      </c>
      <c r="K128" s="3">
        <f t="shared" si="49"/>
        <v>0</v>
      </c>
      <c r="L128" s="7">
        <f t="shared" si="50"/>
        <v>0</v>
      </c>
      <c r="M128" t="s">
        <v>121</v>
      </c>
      <c r="O128" s="3"/>
    </row>
    <row r="129" spans="1:15" x14ac:dyDescent="0.25">
      <c r="A129">
        <v>127</v>
      </c>
      <c r="C129" t="s">
        <v>8</v>
      </c>
      <c r="D129" s="4" t="s">
        <v>128</v>
      </c>
      <c r="E129" s="12">
        <v>7.9352</v>
      </c>
      <c r="F129" s="12">
        <v>7.9352</v>
      </c>
      <c r="G129" s="6">
        <f t="shared" si="46"/>
        <v>0</v>
      </c>
      <c r="H129" s="7">
        <f t="shared" si="47"/>
        <v>0</v>
      </c>
      <c r="I129" s="8">
        <v>9.557599999999999</v>
      </c>
      <c r="J129" s="9">
        <f t="shared" si="48"/>
        <v>9.557599999999999</v>
      </c>
      <c r="K129" s="3">
        <f t="shared" si="49"/>
        <v>0</v>
      </c>
      <c r="L129" s="7">
        <f t="shared" si="50"/>
        <v>0</v>
      </c>
      <c r="M129" t="s">
        <v>121</v>
      </c>
      <c r="O129" s="3"/>
    </row>
    <row r="130" spans="1:15" x14ac:dyDescent="0.25">
      <c r="A130">
        <v>128</v>
      </c>
      <c r="C130" t="s">
        <v>8</v>
      </c>
      <c r="D130" s="22" t="s">
        <v>504</v>
      </c>
      <c r="E130" s="12">
        <v>8.41</v>
      </c>
      <c r="F130" s="12">
        <v>8.41</v>
      </c>
      <c r="G130" s="6">
        <f t="shared" si="46"/>
        <v>0</v>
      </c>
      <c r="H130" s="7">
        <f t="shared" si="47"/>
        <v>0</v>
      </c>
      <c r="I130" s="8">
        <v>9.557599999999999</v>
      </c>
      <c r="J130" s="9">
        <f t="shared" si="48"/>
        <v>9.557599999999999</v>
      </c>
      <c r="K130" s="3">
        <f t="shared" si="49"/>
        <v>0</v>
      </c>
      <c r="L130" s="7">
        <f t="shared" si="50"/>
        <v>0</v>
      </c>
      <c r="M130" t="s">
        <v>121</v>
      </c>
      <c r="O130" s="3"/>
    </row>
    <row r="131" spans="1:15" x14ac:dyDescent="0.25">
      <c r="A131">
        <v>129</v>
      </c>
      <c r="C131" t="s">
        <v>8</v>
      </c>
      <c r="D131" s="4" t="s">
        <v>129</v>
      </c>
      <c r="E131" s="12">
        <v>30.56</v>
      </c>
      <c r="F131" s="12">
        <v>30.56</v>
      </c>
      <c r="G131" s="6">
        <f t="shared" si="46"/>
        <v>0</v>
      </c>
      <c r="H131" s="7">
        <f t="shared" si="47"/>
        <v>0</v>
      </c>
      <c r="I131" s="8">
        <v>41.15</v>
      </c>
      <c r="J131" s="9">
        <f t="shared" si="48"/>
        <v>41.15</v>
      </c>
      <c r="K131" s="3">
        <f t="shared" si="49"/>
        <v>0</v>
      </c>
      <c r="L131" s="7">
        <f t="shared" si="50"/>
        <v>0</v>
      </c>
      <c r="M131" t="s">
        <v>121</v>
      </c>
      <c r="O131" s="3"/>
    </row>
    <row r="132" spans="1:15" x14ac:dyDescent="0.25">
      <c r="A132">
        <v>130</v>
      </c>
      <c r="C132" t="s">
        <v>8</v>
      </c>
      <c r="D132" s="4" t="s">
        <v>130</v>
      </c>
      <c r="E132" s="14">
        <v>36.96</v>
      </c>
      <c r="F132" s="14">
        <v>36.96</v>
      </c>
      <c r="G132" s="6">
        <f t="shared" si="46"/>
        <v>0</v>
      </c>
      <c r="H132" s="7">
        <f t="shared" si="47"/>
        <v>0</v>
      </c>
      <c r="I132" s="8">
        <v>49.29</v>
      </c>
      <c r="J132" s="9">
        <f t="shared" si="48"/>
        <v>49.29</v>
      </c>
      <c r="K132" s="3">
        <f t="shared" si="49"/>
        <v>0</v>
      </c>
      <c r="L132" s="7">
        <f t="shared" si="50"/>
        <v>0</v>
      </c>
      <c r="M132" t="s">
        <v>121</v>
      </c>
      <c r="O132" s="3"/>
    </row>
    <row r="133" spans="1:15" x14ac:dyDescent="0.25">
      <c r="A133">
        <v>131</v>
      </c>
      <c r="C133" t="s">
        <v>8</v>
      </c>
      <c r="D133" s="4" t="s">
        <v>131</v>
      </c>
      <c r="E133" s="12">
        <v>40.479999999999997</v>
      </c>
      <c r="F133" s="12">
        <v>40.479999999999997</v>
      </c>
      <c r="G133" s="6">
        <f t="shared" si="46"/>
        <v>0</v>
      </c>
      <c r="H133" s="7">
        <f t="shared" si="47"/>
        <v>0</v>
      </c>
      <c r="I133" s="8">
        <v>55.411200000000001</v>
      </c>
      <c r="J133" s="9">
        <f t="shared" si="48"/>
        <v>55.411200000000001</v>
      </c>
      <c r="K133" s="3">
        <f t="shared" si="49"/>
        <v>0</v>
      </c>
      <c r="L133" s="7">
        <f t="shared" si="50"/>
        <v>0</v>
      </c>
      <c r="M133" t="s">
        <v>121</v>
      </c>
      <c r="O133" s="3"/>
    </row>
    <row r="134" spans="1:15" x14ac:dyDescent="0.25">
      <c r="A134">
        <v>132</v>
      </c>
      <c r="C134" t="s">
        <v>8</v>
      </c>
      <c r="D134" s="4" t="s">
        <v>132</v>
      </c>
      <c r="E134" s="12">
        <v>14.67</v>
      </c>
      <c r="F134" s="12">
        <v>14.67</v>
      </c>
      <c r="G134" s="6">
        <f t="shared" si="46"/>
        <v>0</v>
      </c>
      <c r="H134" s="7">
        <f t="shared" si="47"/>
        <v>0</v>
      </c>
      <c r="I134" s="8">
        <v>20.8</v>
      </c>
      <c r="J134" s="9">
        <f t="shared" si="48"/>
        <v>20.8</v>
      </c>
      <c r="K134" s="3">
        <f t="shared" si="49"/>
        <v>0</v>
      </c>
      <c r="L134" s="7">
        <f t="shared" si="50"/>
        <v>0</v>
      </c>
      <c r="M134" t="s">
        <v>121</v>
      </c>
      <c r="O134" s="3"/>
    </row>
    <row r="135" spans="1:15" x14ac:dyDescent="0.25">
      <c r="A135">
        <v>133</v>
      </c>
      <c r="C135" t="s">
        <v>8</v>
      </c>
      <c r="D135" s="4" t="s">
        <v>133</v>
      </c>
      <c r="E135" s="12">
        <v>33.79</v>
      </c>
      <c r="F135" s="12">
        <v>33.79</v>
      </c>
      <c r="G135" s="6">
        <f t="shared" si="46"/>
        <v>0</v>
      </c>
      <c r="H135" s="7">
        <f t="shared" si="47"/>
        <v>0</v>
      </c>
      <c r="I135" s="8">
        <v>42.11</v>
      </c>
      <c r="J135" s="9">
        <f t="shared" si="48"/>
        <v>42.11</v>
      </c>
      <c r="K135" s="3">
        <f t="shared" si="49"/>
        <v>0</v>
      </c>
      <c r="L135" s="7">
        <f t="shared" si="50"/>
        <v>0</v>
      </c>
      <c r="M135" t="s">
        <v>121</v>
      </c>
      <c r="O135" s="3"/>
    </row>
    <row r="136" spans="1:15" x14ac:dyDescent="0.25">
      <c r="A136">
        <v>134</v>
      </c>
      <c r="C136" t="s">
        <v>8</v>
      </c>
      <c r="D136" s="4" t="s">
        <v>134</v>
      </c>
      <c r="E136" s="12">
        <v>50.14</v>
      </c>
      <c r="F136" s="12">
        <v>50.14</v>
      </c>
      <c r="G136" s="6">
        <f t="shared" si="46"/>
        <v>0</v>
      </c>
      <c r="H136" s="7">
        <f t="shared" si="47"/>
        <v>0</v>
      </c>
      <c r="I136" s="8">
        <v>85.382382198952882</v>
      </c>
      <c r="J136" s="9">
        <f t="shared" si="48"/>
        <v>85.382382198952882</v>
      </c>
      <c r="K136" s="3">
        <f t="shared" si="49"/>
        <v>0</v>
      </c>
      <c r="L136" s="7">
        <f t="shared" si="50"/>
        <v>0</v>
      </c>
      <c r="M136" t="s">
        <v>121</v>
      </c>
      <c r="O136" s="3"/>
    </row>
    <row r="137" spans="1:15" x14ac:dyDescent="0.25">
      <c r="A137">
        <v>135</v>
      </c>
      <c r="C137" t="s">
        <v>8</v>
      </c>
      <c r="D137" s="4" t="s">
        <v>135</v>
      </c>
      <c r="E137" s="12">
        <v>5.61</v>
      </c>
      <c r="F137" s="12">
        <v>5.61</v>
      </c>
      <c r="G137" s="6">
        <f t="shared" si="46"/>
        <v>0</v>
      </c>
      <c r="H137" s="7">
        <f t="shared" si="47"/>
        <v>0</v>
      </c>
      <c r="I137" s="8">
        <v>8.7200000000000006</v>
      </c>
      <c r="J137" s="9">
        <f t="shared" si="48"/>
        <v>8.7200000000000006</v>
      </c>
      <c r="K137" s="3">
        <f t="shared" si="49"/>
        <v>0</v>
      </c>
      <c r="L137" s="7">
        <f t="shared" si="50"/>
        <v>0</v>
      </c>
      <c r="M137" t="s">
        <v>121</v>
      </c>
      <c r="O137" s="3"/>
    </row>
    <row r="138" spans="1:15" x14ac:dyDescent="0.25">
      <c r="A138">
        <v>136</v>
      </c>
      <c r="C138" t="s">
        <v>8</v>
      </c>
      <c r="D138" s="4" t="s">
        <v>136</v>
      </c>
      <c r="E138" s="12">
        <v>9.91</v>
      </c>
      <c r="F138" s="12">
        <v>9.91</v>
      </c>
      <c r="G138" s="6">
        <f t="shared" si="46"/>
        <v>0</v>
      </c>
      <c r="H138" s="7">
        <f t="shared" si="47"/>
        <v>0</v>
      </c>
      <c r="I138" s="8">
        <v>13.88</v>
      </c>
      <c r="J138" s="9">
        <f t="shared" si="48"/>
        <v>13.88</v>
      </c>
      <c r="K138" s="3">
        <f t="shared" si="49"/>
        <v>0</v>
      </c>
      <c r="L138" s="7">
        <f t="shared" si="50"/>
        <v>0</v>
      </c>
      <c r="M138" t="s">
        <v>121</v>
      </c>
      <c r="O138" s="3"/>
    </row>
    <row r="139" spans="1:15" x14ac:dyDescent="0.25">
      <c r="A139">
        <v>137</v>
      </c>
      <c r="C139" t="s">
        <v>8</v>
      </c>
      <c r="D139" s="4" t="s">
        <v>137</v>
      </c>
      <c r="E139" s="12">
        <v>14.86</v>
      </c>
      <c r="F139" s="12">
        <v>14.86</v>
      </c>
      <c r="G139" s="6">
        <f t="shared" si="46"/>
        <v>0</v>
      </c>
      <c r="H139" s="7">
        <f t="shared" si="47"/>
        <v>0</v>
      </c>
      <c r="I139" s="8">
        <v>20.82</v>
      </c>
      <c r="J139" s="9">
        <f t="shared" si="48"/>
        <v>20.82</v>
      </c>
      <c r="K139" s="3">
        <f t="shared" si="49"/>
        <v>0</v>
      </c>
      <c r="L139" s="7">
        <f t="shared" si="50"/>
        <v>0</v>
      </c>
      <c r="M139" t="s">
        <v>121</v>
      </c>
      <c r="O139" s="3"/>
    </row>
    <row r="140" spans="1:15" x14ac:dyDescent="0.25">
      <c r="A140">
        <v>138</v>
      </c>
      <c r="C140" t="s">
        <v>8</v>
      </c>
      <c r="D140" s="4" t="s">
        <v>138</v>
      </c>
      <c r="E140" s="12">
        <v>19.82</v>
      </c>
      <c r="F140" s="12">
        <v>19.82</v>
      </c>
      <c r="G140" s="6">
        <f t="shared" si="46"/>
        <v>0</v>
      </c>
      <c r="H140" s="7">
        <f t="shared" si="47"/>
        <v>0</v>
      </c>
      <c r="I140" s="8">
        <v>29.22</v>
      </c>
      <c r="J140" s="9">
        <f t="shared" si="48"/>
        <v>29.22</v>
      </c>
      <c r="K140" s="3">
        <f t="shared" si="49"/>
        <v>0</v>
      </c>
      <c r="L140" s="7">
        <f t="shared" si="50"/>
        <v>0</v>
      </c>
      <c r="M140" t="s">
        <v>121</v>
      </c>
      <c r="O140" s="3"/>
    </row>
    <row r="141" spans="1:15" x14ac:dyDescent="0.25">
      <c r="A141">
        <v>139</v>
      </c>
      <c r="C141" t="s">
        <v>8</v>
      </c>
      <c r="D141" s="4" t="s">
        <v>139</v>
      </c>
      <c r="E141" s="12">
        <v>26.87</v>
      </c>
      <c r="F141" s="12">
        <v>26.87</v>
      </c>
      <c r="G141" s="6">
        <f>+F141-E141</f>
        <v>0</v>
      </c>
      <c r="H141" s="7">
        <f t="shared" si="47"/>
        <v>0</v>
      </c>
      <c r="I141" s="8">
        <v>41.82</v>
      </c>
      <c r="J141" s="9">
        <f t="shared" si="48"/>
        <v>41.82</v>
      </c>
      <c r="K141" s="3">
        <f t="shared" si="49"/>
        <v>0</v>
      </c>
      <c r="L141" s="7">
        <f t="shared" si="50"/>
        <v>0</v>
      </c>
      <c r="M141" t="s">
        <v>121</v>
      </c>
      <c r="O141" s="3"/>
    </row>
    <row r="142" spans="1:15" x14ac:dyDescent="0.25">
      <c r="A142">
        <v>140</v>
      </c>
      <c r="C142" t="s">
        <v>8</v>
      </c>
      <c r="D142" s="4" t="s">
        <v>140</v>
      </c>
      <c r="E142" s="12">
        <v>32.24</v>
      </c>
      <c r="F142" s="12">
        <v>32.24</v>
      </c>
      <c r="G142" s="6">
        <f t="shared" si="46"/>
        <v>0</v>
      </c>
      <c r="H142" s="7">
        <f t="shared" si="47"/>
        <v>0</v>
      </c>
      <c r="I142" s="8">
        <v>50.19</v>
      </c>
      <c r="J142" s="9">
        <f t="shared" si="48"/>
        <v>50.19</v>
      </c>
      <c r="K142" s="3">
        <f t="shared" si="49"/>
        <v>0</v>
      </c>
      <c r="L142" s="7">
        <f t="shared" si="50"/>
        <v>0</v>
      </c>
      <c r="M142" t="s">
        <v>121</v>
      </c>
      <c r="O142" s="3"/>
    </row>
    <row r="143" spans="1:15" x14ac:dyDescent="0.25">
      <c r="A143">
        <v>141</v>
      </c>
      <c r="C143" t="s">
        <v>8</v>
      </c>
      <c r="D143" s="4" t="s">
        <v>141</v>
      </c>
      <c r="E143" s="12">
        <v>7.21</v>
      </c>
      <c r="F143" s="12">
        <v>7.21</v>
      </c>
      <c r="G143" s="6">
        <f t="shared" si="46"/>
        <v>0</v>
      </c>
      <c r="H143" s="7">
        <f t="shared" si="47"/>
        <v>0</v>
      </c>
      <c r="I143" s="8">
        <v>10.28</v>
      </c>
      <c r="J143" s="9">
        <f t="shared" si="48"/>
        <v>10.28</v>
      </c>
      <c r="K143" s="3">
        <f t="shared" si="49"/>
        <v>0</v>
      </c>
      <c r="L143" s="7">
        <f t="shared" si="50"/>
        <v>0</v>
      </c>
      <c r="M143" t="s">
        <v>121</v>
      </c>
      <c r="O143" s="3"/>
    </row>
    <row r="144" spans="1:15" x14ac:dyDescent="0.25">
      <c r="A144">
        <v>142</v>
      </c>
      <c r="C144" t="s">
        <v>8</v>
      </c>
      <c r="D144" s="4" t="s">
        <v>142</v>
      </c>
      <c r="E144" s="12">
        <v>11.16</v>
      </c>
      <c r="F144" s="12">
        <v>11.16</v>
      </c>
      <c r="G144" s="6">
        <f t="shared" si="46"/>
        <v>0</v>
      </c>
      <c r="H144" s="7">
        <f t="shared" si="47"/>
        <v>0</v>
      </c>
      <c r="I144" s="8">
        <v>15.63</v>
      </c>
      <c r="J144" s="9">
        <f t="shared" si="48"/>
        <v>15.63</v>
      </c>
      <c r="K144" s="3">
        <f t="shared" si="49"/>
        <v>0</v>
      </c>
      <c r="L144" s="7">
        <f t="shared" si="50"/>
        <v>0</v>
      </c>
      <c r="M144" t="s">
        <v>121</v>
      </c>
      <c r="O144" s="3"/>
    </row>
    <row r="145" spans="1:15" x14ac:dyDescent="0.25">
      <c r="A145">
        <v>143</v>
      </c>
      <c r="C145" t="s">
        <v>8</v>
      </c>
      <c r="D145" s="4" t="s">
        <v>143</v>
      </c>
      <c r="E145" s="12">
        <v>16.739999999999998</v>
      </c>
      <c r="F145" s="12">
        <v>16.739999999999998</v>
      </c>
      <c r="G145" s="6">
        <f t="shared" si="46"/>
        <v>0</v>
      </c>
      <c r="H145" s="7">
        <f t="shared" si="47"/>
        <v>0</v>
      </c>
      <c r="I145" s="8">
        <v>23.44</v>
      </c>
      <c r="J145" s="9">
        <f t="shared" si="48"/>
        <v>23.44</v>
      </c>
      <c r="K145" s="3">
        <f t="shared" si="49"/>
        <v>0</v>
      </c>
      <c r="L145" s="7">
        <f t="shared" si="50"/>
        <v>0</v>
      </c>
      <c r="M145" t="s">
        <v>121</v>
      </c>
      <c r="O145" s="3"/>
    </row>
    <row r="146" spans="1:15" x14ac:dyDescent="0.25">
      <c r="A146">
        <v>144</v>
      </c>
      <c r="C146" t="s">
        <v>8</v>
      </c>
      <c r="D146" s="4" t="s">
        <v>144</v>
      </c>
      <c r="E146" s="12">
        <v>22.31</v>
      </c>
      <c r="F146" s="12">
        <v>22.31</v>
      </c>
      <c r="G146" s="6">
        <f t="shared" si="46"/>
        <v>0</v>
      </c>
      <c r="H146" s="7">
        <f t="shared" si="47"/>
        <v>0</v>
      </c>
      <c r="I146" s="8">
        <v>32.9</v>
      </c>
      <c r="J146" s="9">
        <f t="shared" si="48"/>
        <v>32.9</v>
      </c>
      <c r="K146" s="3">
        <f t="shared" si="49"/>
        <v>0</v>
      </c>
      <c r="L146" s="7">
        <f t="shared" si="50"/>
        <v>0</v>
      </c>
      <c r="M146" t="s">
        <v>121</v>
      </c>
      <c r="O146" s="3"/>
    </row>
    <row r="147" spans="1:15" x14ac:dyDescent="0.25">
      <c r="A147">
        <v>145</v>
      </c>
      <c r="C147" t="s">
        <v>8</v>
      </c>
      <c r="D147" s="4" t="s">
        <v>145</v>
      </c>
      <c r="E147" s="12">
        <v>31.21</v>
      </c>
      <c r="F147" s="12">
        <v>31.21</v>
      </c>
      <c r="G147" s="6">
        <f t="shared" si="46"/>
        <v>0</v>
      </c>
      <c r="H147" s="7">
        <f t="shared" si="47"/>
        <v>0</v>
      </c>
      <c r="I147" s="8">
        <v>48.55</v>
      </c>
      <c r="J147" s="9">
        <f t="shared" si="48"/>
        <v>48.55</v>
      </c>
      <c r="K147" s="3">
        <f t="shared" si="49"/>
        <v>0</v>
      </c>
      <c r="L147" s="7">
        <f t="shared" si="50"/>
        <v>0</v>
      </c>
      <c r="M147" t="s">
        <v>121</v>
      </c>
      <c r="O147" s="3"/>
    </row>
    <row r="148" spans="1:15" x14ac:dyDescent="0.25">
      <c r="A148">
        <v>146</v>
      </c>
      <c r="C148" t="s">
        <v>8</v>
      </c>
      <c r="D148" s="4" t="s">
        <v>146</v>
      </c>
      <c r="E148" s="12">
        <v>37.46</v>
      </c>
      <c r="F148" s="12">
        <v>37.46</v>
      </c>
      <c r="G148" s="6">
        <f t="shared" si="46"/>
        <v>0</v>
      </c>
      <c r="H148" s="7">
        <f t="shared" si="47"/>
        <v>0</v>
      </c>
      <c r="I148" s="8">
        <v>58.25</v>
      </c>
      <c r="J148" s="9">
        <f t="shared" si="48"/>
        <v>58.25</v>
      </c>
      <c r="K148" s="3">
        <f t="shared" si="49"/>
        <v>0</v>
      </c>
      <c r="L148" s="7">
        <f t="shared" si="50"/>
        <v>0</v>
      </c>
      <c r="M148" t="s">
        <v>121</v>
      </c>
      <c r="O148" s="3"/>
    </row>
    <row r="149" spans="1:15" x14ac:dyDescent="0.25">
      <c r="A149">
        <v>147</v>
      </c>
      <c r="C149" t="s">
        <v>8</v>
      </c>
      <c r="D149" s="4" t="s">
        <v>147</v>
      </c>
      <c r="E149" s="12">
        <v>6.49</v>
      </c>
      <c r="F149" s="12">
        <v>6.49</v>
      </c>
      <c r="G149" s="6">
        <f t="shared" si="46"/>
        <v>0</v>
      </c>
      <c r="H149" s="7">
        <f t="shared" si="47"/>
        <v>0</v>
      </c>
      <c r="I149" s="8">
        <v>10.62137397260274</v>
      </c>
      <c r="J149" s="9">
        <f t="shared" si="48"/>
        <v>10.62137397260274</v>
      </c>
      <c r="K149" s="3">
        <f t="shared" si="49"/>
        <v>0</v>
      </c>
      <c r="L149" s="7">
        <f t="shared" si="50"/>
        <v>0</v>
      </c>
      <c r="M149" t="s">
        <v>121</v>
      </c>
      <c r="O149" s="3"/>
    </row>
    <row r="150" spans="1:15" x14ac:dyDescent="0.25">
      <c r="A150">
        <v>148</v>
      </c>
      <c r="C150" t="s">
        <v>8</v>
      </c>
      <c r="D150" s="4" t="s">
        <v>448</v>
      </c>
      <c r="E150" s="12">
        <v>6.97</v>
      </c>
      <c r="F150" s="12">
        <v>6.97</v>
      </c>
      <c r="G150" s="6">
        <f t="shared" si="46"/>
        <v>0</v>
      </c>
      <c r="H150" s="7">
        <f t="shared" si="47"/>
        <v>0</v>
      </c>
      <c r="I150" s="8">
        <v>8.7200000000000006</v>
      </c>
      <c r="J150" s="9">
        <f t="shared" si="48"/>
        <v>8.7200000000000006</v>
      </c>
      <c r="K150" s="3">
        <f t="shared" si="49"/>
        <v>0</v>
      </c>
      <c r="L150" s="7">
        <f t="shared" si="50"/>
        <v>0</v>
      </c>
      <c r="M150" t="s">
        <v>121</v>
      </c>
      <c r="O150" s="3"/>
    </row>
    <row r="151" spans="1:15" x14ac:dyDescent="0.25">
      <c r="A151">
        <v>149</v>
      </c>
      <c r="C151" t="s">
        <v>8</v>
      </c>
      <c r="D151" s="4" t="s">
        <v>449</v>
      </c>
      <c r="E151" s="12">
        <v>8.33</v>
      </c>
      <c r="F151" s="12">
        <v>8.33</v>
      </c>
      <c r="G151" s="6">
        <f t="shared" si="46"/>
        <v>0</v>
      </c>
      <c r="H151" s="7">
        <f t="shared" si="47"/>
        <v>0</v>
      </c>
      <c r="I151" s="8">
        <v>10.42</v>
      </c>
      <c r="J151" s="9">
        <f t="shared" si="48"/>
        <v>10.42</v>
      </c>
      <c r="K151" s="3">
        <f t="shared" si="49"/>
        <v>0</v>
      </c>
      <c r="L151" s="7">
        <f t="shared" si="50"/>
        <v>0</v>
      </c>
      <c r="M151" t="s">
        <v>121</v>
      </c>
      <c r="O151" s="3"/>
    </row>
    <row r="152" spans="1:15" x14ac:dyDescent="0.25">
      <c r="A152">
        <v>150</v>
      </c>
      <c r="C152" t="s">
        <v>8</v>
      </c>
      <c r="D152" s="4" t="s">
        <v>450</v>
      </c>
      <c r="E152" s="12">
        <v>12.49</v>
      </c>
      <c r="F152" s="12">
        <v>12.49</v>
      </c>
      <c r="G152" s="6">
        <f t="shared" si="46"/>
        <v>0</v>
      </c>
      <c r="H152" s="7">
        <f t="shared" si="47"/>
        <v>0</v>
      </c>
      <c r="I152" s="8">
        <v>15.62</v>
      </c>
      <c r="J152" s="9">
        <f t="shared" si="48"/>
        <v>15.62</v>
      </c>
      <c r="K152" s="3">
        <f t="shared" si="49"/>
        <v>0</v>
      </c>
      <c r="L152" s="7">
        <f t="shared" si="50"/>
        <v>0</v>
      </c>
      <c r="M152" t="s">
        <v>121</v>
      </c>
      <c r="O152" s="3"/>
    </row>
    <row r="153" spans="1:15" x14ac:dyDescent="0.25">
      <c r="A153">
        <v>151</v>
      </c>
      <c r="C153" t="s">
        <v>8</v>
      </c>
      <c r="D153" s="4" t="s">
        <v>451</v>
      </c>
      <c r="E153" s="12">
        <v>16.27</v>
      </c>
      <c r="F153" s="12">
        <v>16.27</v>
      </c>
      <c r="G153" s="6">
        <f t="shared" si="46"/>
        <v>0</v>
      </c>
      <c r="H153" s="7">
        <f t="shared" si="47"/>
        <v>0</v>
      </c>
      <c r="I153" s="8">
        <v>21.41</v>
      </c>
      <c r="J153" s="9">
        <f t="shared" si="48"/>
        <v>21.41</v>
      </c>
      <c r="K153" s="3">
        <f t="shared" si="49"/>
        <v>0</v>
      </c>
      <c r="L153" s="7">
        <f t="shared" si="50"/>
        <v>0</v>
      </c>
      <c r="M153" t="s">
        <v>121</v>
      </c>
      <c r="O153" s="3"/>
    </row>
    <row r="154" spans="1:15" x14ac:dyDescent="0.25">
      <c r="A154">
        <v>152</v>
      </c>
      <c r="C154" t="s">
        <v>8</v>
      </c>
      <c r="D154" s="4" t="s">
        <v>452</v>
      </c>
      <c r="E154" s="12">
        <v>20.329999999999998</v>
      </c>
      <c r="F154" s="12">
        <v>20.329999999999998</v>
      </c>
      <c r="G154" s="6">
        <f>+F154-E154</f>
        <v>0</v>
      </c>
      <c r="H154" s="7">
        <f t="shared" si="47"/>
        <v>0</v>
      </c>
      <c r="I154" s="8">
        <v>28.24</v>
      </c>
      <c r="J154" s="9">
        <f t="shared" si="48"/>
        <v>28.24</v>
      </c>
      <c r="K154" s="3">
        <f t="shared" si="49"/>
        <v>0</v>
      </c>
      <c r="L154" s="7">
        <f t="shared" si="50"/>
        <v>0</v>
      </c>
      <c r="M154" t="s">
        <v>121</v>
      </c>
      <c r="O154" s="3"/>
    </row>
    <row r="155" spans="1:15" x14ac:dyDescent="0.25">
      <c r="A155">
        <v>153</v>
      </c>
      <c r="C155" t="s">
        <v>8</v>
      </c>
      <c r="D155" s="4" t="s">
        <v>453</v>
      </c>
      <c r="E155" s="12">
        <v>24.4</v>
      </c>
      <c r="F155" s="12">
        <v>24.4</v>
      </c>
      <c r="G155" s="6">
        <f t="shared" ref="G155" si="51">+F155-E155</f>
        <v>0</v>
      </c>
      <c r="H155" s="7">
        <f t="shared" si="47"/>
        <v>0</v>
      </c>
      <c r="I155" s="8">
        <v>33.89</v>
      </c>
      <c r="J155" s="9">
        <f t="shared" si="48"/>
        <v>33.89</v>
      </c>
      <c r="K155" s="3">
        <f t="shared" si="49"/>
        <v>0</v>
      </c>
      <c r="L155" s="7">
        <f t="shared" si="50"/>
        <v>0</v>
      </c>
      <c r="M155" t="s">
        <v>121</v>
      </c>
      <c r="O155" s="3"/>
    </row>
    <row r="156" spans="1:15" x14ac:dyDescent="0.25">
      <c r="A156">
        <v>154</v>
      </c>
      <c r="D156" s="2" t="s">
        <v>148</v>
      </c>
      <c r="F156" s="15"/>
      <c r="H156" s="10">
        <f>AVERAGE(H123:H149)</f>
        <v>0</v>
      </c>
      <c r="I156"/>
    </row>
    <row r="157" spans="1:15" x14ac:dyDescent="0.25">
      <c r="A157">
        <v>155</v>
      </c>
      <c r="D157" s="2" t="s">
        <v>149</v>
      </c>
      <c r="I157"/>
      <c r="M157" t="s">
        <v>150</v>
      </c>
    </row>
    <row r="158" spans="1:15" x14ac:dyDescent="0.25">
      <c r="A158">
        <v>156</v>
      </c>
      <c r="C158" t="s">
        <v>8</v>
      </c>
      <c r="D158" s="4" t="s">
        <v>151</v>
      </c>
      <c r="E158" s="12">
        <v>37.49</v>
      </c>
      <c r="F158" s="12">
        <v>37.49</v>
      </c>
      <c r="G158" s="6">
        <f t="shared" ref="G158:G164" si="52">+F158-E158</f>
        <v>0</v>
      </c>
      <c r="H158" s="7">
        <f t="shared" ref="H158:H164" si="53">(F158-E158)/ABS(E158)</f>
        <v>0</v>
      </c>
      <c r="I158" s="12">
        <v>40.250769230769222</v>
      </c>
      <c r="J158" s="12">
        <f t="shared" ref="J158:J164" si="54">(I158*H158)+I158</f>
        <v>40.250769230769222</v>
      </c>
      <c r="K158" s="3">
        <f t="shared" ref="K158:K164" si="55">J158-I158</f>
        <v>0</v>
      </c>
      <c r="L158" s="7">
        <f t="shared" ref="L158:L164" si="56">(J158-I158)/ABS(I158)</f>
        <v>0</v>
      </c>
      <c r="M158" t="s">
        <v>150</v>
      </c>
    </row>
    <row r="159" spans="1:15" x14ac:dyDescent="0.25">
      <c r="A159">
        <v>157</v>
      </c>
      <c r="C159" t="s">
        <v>8</v>
      </c>
      <c r="D159" s="4" t="s">
        <v>152</v>
      </c>
      <c r="E159" s="12">
        <v>6.1</v>
      </c>
      <c r="F159" s="12">
        <v>6.1</v>
      </c>
      <c r="G159" s="6">
        <f t="shared" si="52"/>
        <v>0</v>
      </c>
      <c r="H159" s="7">
        <f t="shared" si="53"/>
        <v>0</v>
      </c>
      <c r="I159" s="12">
        <v>13.248680851063828</v>
      </c>
      <c r="J159" s="12">
        <f t="shared" si="54"/>
        <v>13.248680851063828</v>
      </c>
      <c r="K159" s="3">
        <f t="shared" si="55"/>
        <v>0</v>
      </c>
      <c r="L159" s="7">
        <f t="shared" si="56"/>
        <v>0</v>
      </c>
      <c r="M159" t="s">
        <v>150</v>
      </c>
    </row>
    <row r="160" spans="1:15" x14ac:dyDescent="0.25">
      <c r="A160">
        <v>158</v>
      </c>
      <c r="C160" t="s">
        <v>8</v>
      </c>
      <c r="D160" s="4" t="s">
        <v>153</v>
      </c>
      <c r="E160" s="12">
        <v>11.16</v>
      </c>
      <c r="F160" s="12">
        <v>11.16</v>
      </c>
      <c r="G160" s="6">
        <f t="shared" si="52"/>
        <v>0</v>
      </c>
      <c r="H160" s="7">
        <f t="shared" si="53"/>
        <v>0</v>
      </c>
      <c r="I160" s="12">
        <v>22.971018518518513</v>
      </c>
      <c r="J160" s="12">
        <f t="shared" si="54"/>
        <v>22.971018518518513</v>
      </c>
      <c r="K160" s="3">
        <f t="shared" si="55"/>
        <v>0</v>
      </c>
      <c r="L160" s="7">
        <f t="shared" si="56"/>
        <v>0</v>
      </c>
      <c r="M160" t="s">
        <v>150</v>
      </c>
    </row>
    <row r="161" spans="1:13" x14ac:dyDescent="0.25">
      <c r="A161">
        <v>159</v>
      </c>
      <c r="D161" s="4" t="s">
        <v>154</v>
      </c>
      <c r="E161" s="12">
        <v>6.8040000000000003</v>
      </c>
      <c r="F161" s="12">
        <v>6.8040000000000003</v>
      </c>
      <c r="G161" s="6">
        <f t="shared" si="52"/>
        <v>0</v>
      </c>
      <c r="H161" s="7">
        <f t="shared" si="53"/>
        <v>0</v>
      </c>
      <c r="I161" s="12">
        <v>22.285410234150319</v>
      </c>
      <c r="J161" s="12">
        <f t="shared" si="54"/>
        <v>22.285410234150319</v>
      </c>
      <c r="K161" s="3">
        <f t="shared" si="55"/>
        <v>0</v>
      </c>
      <c r="L161" s="7">
        <f t="shared" si="56"/>
        <v>0</v>
      </c>
      <c r="M161" t="s">
        <v>150</v>
      </c>
    </row>
    <row r="162" spans="1:13" x14ac:dyDescent="0.25">
      <c r="A162">
        <v>160</v>
      </c>
      <c r="C162" t="s">
        <v>8</v>
      </c>
      <c r="D162" s="4" t="s">
        <v>155</v>
      </c>
      <c r="E162" s="12">
        <v>18.05</v>
      </c>
      <c r="F162" s="12">
        <v>18.05</v>
      </c>
      <c r="G162" s="6">
        <f t="shared" si="52"/>
        <v>0</v>
      </c>
      <c r="H162" s="7">
        <f t="shared" si="53"/>
        <v>0</v>
      </c>
      <c r="I162" s="12">
        <v>28.933702479338844</v>
      </c>
      <c r="J162" s="12">
        <f t="shared" si="54"/>
        <v>28.933702479338844</v>
      </c>
      <c r="K162" s="3">
        <f t="shared" si="55"/>
        <v>0</v>
      </c>
      <c r="L162" s="7">
        <f t="shared" si="56"/>
        <v>0</v>
      </c>
      <c r="M162" t="s">
        <v>150</v>
      </c>
    </row>
    <row r="163" spans="1:13" x14ac:dyDescent="0.25">
      <c r="A163">
        <v>161</v>
      </c>
      <c r="D163" s="4" t="s">
        <v>156</v>
      </c>
      <c r="E163" s="12">
        <v>0.4</v>
      </c>
      <c r="F163" s="12">
        <v>0.4</v>
      </c>
      <c r="G163" s="6">
        <f t="shared" si="52"/>
        <v>0</v>
      </c>
      <c r="H163" s="7">
        <f t="shared" si="53"/>
        <v>0</v>
      </c>
      <c r="I163" s="12">
        <v>1.1076923076923078</v>
      </c>
      <c r="J163" s="12">
        <f t="shared" si="54"/>
        <v>1.1076923076923078</v>
      </c>
      <c r="K163" s="3">
        <f t="shared" si="55"/>
        <v>0</v>
      </c>
      <c r="L163" s="7">
        <f t="shared" si="56"/>
        <v>0</v>
      </c>
      <c r="M163" t="s">
        <v>150</v>
      </c>
    </row>
    <row r="164" spans="1:13" x14ac:dyDescent="0.25">
      <c r="A164">
        <v>162</v>
      </c>
      <c r="C164" t="s">
        <v>8</v>
      </c>
      <c r="D164" s="4" t="s">
        <v>157</v>
      </c>
      <c r="E164" s="12">
        <v>5.99</v>
      </c>
      <c r="F164" s="12">
        <v>5.99</v>
      </c>
      <c r="G164" s="6">
        <f t="shared" si="52"/>
        <v>0</v>
      </c>
      <c r="H164" s="7">
        <f t="shared" si="53"/>
        <v>0</v>
      </c>
      <c r="I164" s="12">
        <v>10.65</v>
      </c>
      <c r="J164" s="12">
        <f t="shared" si="54"/>
        <v>10.65</v>
      </c>
      <c r="K164" s="3">
        <f t="shared" si="55"/>
        <v>0</v>
      </c>
      <c r="L164" s="7">
        <f t="shared" si="56"/>
        <v>0</v>
      </c>
      <c r="M164" t="s">
        <v>150</v>
      </c>
    </row>
    <row r="165" spans="1:13" x14ac:dyDescent="0.25">
      <c r="A165">
        <v>163</v>
      </c>
      <c r="D165" s="2" t="s">
        <v>158</v>
      </c>
      <c r="H165" s="10">
        <f>AVERAGE(H158:H163)</f>
        <v>0</v>
      </c>
      <c r="I165"/>
    </row>
    <row r="166" spans="1:13" x14ac:dyDescent="0.25">
      <c r="A166">
        <v>164</v>
      </c>
      <c r="D166" s="2" t="s">
        <v>159</v>
      </c>
      <c r="I166"/>
    </row>
    <row r="167" spans="1:13" x14ac:dyDescent="0.25">
      <c r="A167">
        <v>165</v>
      </c>
      <c r="C167" t="s">
        <v>8</v>
      </c>
      <c r="D167" s="4" t="s">
        <v>160</v>
      </c>
      <c r="E167" s="5">
        <v>4.0599999999999996</v>
      </c>
      <c r="F167" s="5">
        <v>3.34</v>
      </c>
      <c r="G167" s="6">
        <f t="shared" ref="G167:G191" si="57">+F167-E167</f>
        <v>-0.71999999999999975</v>
      </c>
      <c r="H167" s="7">
        <f t="shared" ref="H167:H191" si="58">(F167-E167)/ABS(E167)</f>
        <v>-0.17733990147783246</v>
      </c>
      <c r="I167" s="8">
        <v>7.4503014671642926</v>
      </c>
      <c r="J167" s="9">
        <f t="shared" ref="J167:J191" si="59">(I167*H167)+I167</f>
        <v>6.1290657389972267</v>
      </c>
      <c r="K167" s="3">
        <f t="shared" ref="K167:K191" si="60">J167-I167</f>
        <v>-1.3212357281670659</v>
      </c>
      <c r="L167" s="7">
        <f t="shared" ref="L167:L191" si="61">(J167-I167)/ABS(I167)</f>
        <v>-0.17733990147783241</v>
      </c>
      <c r="M167" t="s">
        <v>150</v>
      </c>
    </row>
    <row r="168" spans="1:13" x14ac:dyDescent="0.25">
      <c r="A168">
        <v>166</v>
      </c>
      <c r="C168" t="s">
        <v>8</v>
      </c>
      <c r="D168" s="4" t="s">
        <v>161</v>
      </c>
      <c r="E168" s="5">
        <v>5.7</v>
      </c>
      <c r="F168" s="5">
        <v>4.17</v>
      </c>
      <c r="G168" s="6">
        <f t="shared" si="57"/>
        <v>-1.5300000000000002</v>
      </c>
      <c r="H168" s="7">
        <f t="shared" si="58"/>
        <v>-0.268421052631579</v>
      </c>
      <c r="I168" s="8">
        <v>12.110162505151971</v>
      </c>
      <c r="J168" s="9">
        <f t="shared" si="59"/>
        <v>8.8595399379795996</v>
      </c>
      <c r="K168" s="3">
        <f t="shared" si="60"/>
        <v>-3.2506225671723712</v>
      </c>
      <c r="L168" s="7">
        <f t="shared" si="61"/>
        <v>-0.26842105263157895</v>
      </c>
      <c r="M168" t="s">
        <v>150</v>
      </c>
    </row>
    <row r="169" spans="1:13" x14ac:dyDescent="0.25">
      <c r="A169">
        <v>167</v>
      </c>
      <c r="C169" t="s">
        <v>8</v>
      </c>
      <c r="D169" s="4" t="s">
        <v>162</v>
      </c>
      <c r="E169" s="5">
        <v>4.6500000000000004</v>
      </c>
      <c r="F169" s="5">
        <v>4.6500000000000004</v>
      </c>
      <c r="G169" s="6">
        <f t="shared" si="57"/>
        <v>0</v>
      </c>
      <c r="H169" s="7">
        <f t="shared" si="58"/>
        <v>0</v>
      </c>
      <c r="I169" s="8">
        <v>6.5993171022995547</v>
      </c>
      <c r="J169" s="9">
        <f t="shared" si="59"/>
        <v>6.5993171022995547</v>
      </c>
      <c r="K169" s="3">
        <f t="shared" si="60"/>
        <v>0</v>
      </c>
      <c r="L169" s="7">
        <f t="shared" si="61"/>
        <v>0</v>
      </c>
      <c r="M169" t="s">
        <v>150</v>
      </c>
    </row>
    <row r="170" spans="1:13" x14ac:dyDescent="0.25">
      <c r="A170">
        <v>168</v>
      </c>
      <c r="C170" t="s">
        <v>8</v>
      </c>
      <c r="D170" s="4" t="s">
        <v>163</v>
      </c>
      <c r="E170" s="5">
        <v>15.35</v>
      </c>
      <c r="F170" s="5">
        <v>15.35</v>
      </c>
      <c r="G170" s="6">
        <f t="shared" si="57"/>
        <v>0</v>
      </c>
      <c r="H170" s="7">
        <f t="shared" si="58"/>
        <v>0</v>
      </c>
      <c r="I170" s="8">
        <v>22.942750812259177</v>
      </c>
      <c r="J170" s="9">
        <f t="shared" si="59"/>
        <v>22.942750812259177</v>
      </c>
      <c r="K170" s="3">
        <f t="shared" si="60"/>
        <v>0</v>
      </c>
      <c r="L170" s="7">
        <f t="shared" si="61"/>
        <v>0</v>
      </c>
      <c r="M170" t="s">
        <v>150</v>
      </c>
    </row>
    <row r="171" spans="1:13" x14ac:dyDescent="0.25">
      <c r="A171">
        <v>169</v>
      </c>
      <c r="C171" t="s">
        <v>8</v>
      </c>
      <c r="D171" s="4" t="s">
        <v>164</v>
      </c>
      <c r="E171" s="5">
        <v>1700</v>
      </c>
      <c r="F171" s="5">
        <v>1700</v>
      </c>
      <c r="G171" s="6">
        <f t="shared" si="57"/>
        <v>0</v>
      </c>
      <c r="H171" s="7">
        <f t="shared" si="58"/>
        <v>0</v>
      </c>
      <c r="I171" s="8">
        <v>45.101581324280765</v>
      </c>
      <c r="J171" s="9">
        <f t="shared" si="59"/>
        <v>45.101581324280765</v>
      </c>
      <c r="K171" s="3">
        <f t="shared" si="60"/>
        <v>0</v>
      </c>
      <c r="L171" s="7">
        <f t="shared" si="61"/>
        <v>0</v>
      </c>
      <c r="M171" t="s">
        <v>150</v>
      </c>
    </row>
    <row r="172" spans="1:13" x14ac:dyDescent="0.25">
      <c r="A172">
        <v>170</v>
      </c>
      <c r="C172" t="s">
        <v>8</v>
      </c>
      <c r="D172" s="4" t="s">
        <v>165</v>
      </c>
      <c r="E172" s="5">
        <v>1560</v>
      </c>
      <c r="F172" s="5">
        <v>1560</v>
      </c>
      <c r="G172" s="6">
        <f t="shared" si="57"/>
        <v>0</v>
      </c>
      <c r="H172" s="7">
        <f t="shared" si="58"/>
        <v>0</v>
      </c>
      <c r="I172" s="8">
        <v>2467.1012006861065</v>
      </c>
      <c r="J172" s="9">
        <f t="shared" si="59"/>
        <v>2467.1012006861065</v>
      </c>
      <c r="K172" s="3">
        <f t="shared" si="60"/>
        <v>0</v>
      </c>
      <c r="L172" s="7">
        <f t="shared" si="61"/>
        <v>0</v>
      </c>
      <c r="M172" t="s">
        <v>150</v>
      </c>
    </row>
    <row r="173" spans="1:13" x14ac:dyDescent="0.25">
      <c r="A173">
        <v>171</v>
      </c>
      <c r="C173" t="s">
        <v>8</v>
      </c>
      <c r="D173" s="4" t="s">
        <v>166</v>
      </c>
      <c r="E173" s="5">
        <v>18.45</v>
      </c>
      <c r="F173" s="5">
        <v>18.45</v>
      </c>
      <c r="G173" s="6">
        <f t="shared" si="57"/>
        <v>0</v>
      </c>
      <c r="H173" s="7">
        <f t="shared" si="58"/>
        <v>0</v>
      </c>
      <c r="I173" s="8">
        <v>32.646604897418932</v>
      </c>
      <c r="J173" s="9">
        <f t="shared" si="59"/>
        <v>32.646604897418932</v>
      </c>
      <c r="K173" s="3">
        <f t="shared" si="60"/>
        <v>0</v>
      </c>
      <c r="L173" s="7">
        <f t="shared" si="61"/>
        <v>0</v>
      </c>
      <c r="M173" t="s">
        <v>150</v>
      </c>
    </row>
    <row r="174" spans="1:13" x14ac:dyDescent="0.25">
      <c r="A174">
        <v>172</v>
      </c>
      <c r="C174" t="s">
        <v>8</v>
      </c>
      <c r="D174" s="4" t="s">
        <v>167</v>
      </c>
      <c r="E174" s="11">
        <v>4.0199999999999996</v>
      </c>
      <c r="F174" s="11">
        <v>4.0199999999999996</v>
      </c>
      <c r="G174" s="6">
        <f t="shared" si="57"/>
        <v>0</v>
      </c>
      <c r="H174" s="7">
        <f t="shared" si="58"/>
        <v>0</v>
      </c>
      <c r="I174" s="8">
        <v>15.098612891135524</v>
      </c>
      <c r="J174" s="9">
        <f t="shared" si="59"/>
        <v>15.098612891135524</v>
      </c>
      <c r="K174" s="3">
        <f t="shared" si="60"/>
        <v>0</v>
      </c>
      <c r="L174" s="7">
        <f t="shared" si="61"/>
        <v>0</v>
      </c>
      <c r="M174" t="s">
        <v>150</v>
      </c>
    </row>
    <row r="175" spans="1:13" x14ac:dyDescent="0.25">
      <c r="A175">
        <v>173</v>
      </c>
      <c r="C175" t="s">
        <v>8</v>
      </c>
      <c r="D175" s="4" t="s">
        <v>168</v>
      </c>
      <c r="E175" s="11">
        <v>0.59</v>
      </c>
      <c r="F175" s="11">
        <v>0.59</v>
      </c>
      <c r="G175" s="6">
        <f t="shared" si="57"/>
        <v>0</v>
      </c>
      <c r="H175" s="7">
        <f t="shared" si="58"/>
        <v>0</v>
      </c>
      <c r="I175" s="8">
        <v>2.1049549224666428</v>
      </c>
      <c r="J175" s="9">
        <f t="shared" si="59"/>
        <v>2.1049549224666428</v>
      </c>
      <c r="K175" s="3">
        <f t="shared" si="60"/>
        <v>0</v>
      </c>
      <c r="L175" s="7">
        <f t="shared" si="61"/>
        <v>0</v>
      </c>
      <c r="M175" t="s">
        <v>150</v>
      </c>
    </row>
    <row r="176" spans="1:13" x14ac:dyDescent="0.25">
      <c r="A176">
        <v>174</v>
      </c>
      <c r="C176" t="s">
        <v>8</v>
      </c>
      <c r="D176" s="4" t="s">
        <v>169</v>
      </c>
      <c r="E176" s="11">
        <v>0.63</v>
      </c>
      <c r="F176" s="11">
        <v>0.63</v>
      </c>
      <c r="G176" s="6">
        <f t="shared" si="57"/>
        <v>0</v>
      </c>
      <c r="H176" s="7">
        <f t="shared" si="58"/>
        <v>0</v>
      </c>
      <c r="I176" s="8">
        <v>1.9152</v>
      </c>
      <c r="J176" s="9">
        <f t="shared" si="59"/>
        <v>1.9152</v>
      </c>
      <c r="K176" s="3">
        <f t="shared" si="60"/>
        <v>0</v>
      </c>
      <c r="L176" s="7">
        <f t="shared" si="61"/>
        <v>0</v>
      </c>
      <c r="M176" t="s">
        <v>150</v>
      </c>
    </row>
    <row r="177" spans="1:13" x14ac:dyDescent="0.25">
      <c r="A177">
        <v>175</v>
      </c>
      <c r="C177" t="s">
        <v>8</v>
      </c>
      <c r="D177" s="4" t="s">
        <v>461</v>
      </c>
      <c r="E177" s="11">
        <v>25.5</v>
      </c>
      <c r="F177" s="11">
        <v>25.5</v>
      </c>
      <c r="G177" s="6">
        <f t="shared" si="57"/>
        <v>0</v>
      </c>
      <c r="H177" s="7">
        <f t="shared" si="58"/>
        <v>0</v>
      </c>
      <c r="I177" s="8">
        <v>40</v>
      </c>
      <c r="J177" s="9">
        <f t="shared" si="59"/>
        <v>40</v>
      </c>
      <c r="K177" s="3">
        <f t="shared" si="60"/>
        <v>0</v>
      </c>
      <c r="L177" s="7">
        <f t="shared" si="61"/>
        <v>0</v>
      </c>
      <c r="M177" t="s">
        <v>150</v>
      </c>
    </row>
    <row r="178" spans="1:13" x14ac:dyDescent="0.25">
      <c r="A178">
        <v>176</v>
      </c>
      <c r="C178" t="s">
        <v>8</v>
      </c>
      <c r="D178" s="4" t="s">
        <v>170</v>
      </c>
      <c r="E178" s="11">
        <v>35.4</v>
      </c>
      <c r="F178" s="11">
        <v>35.4</v>
      </c>
      <c r="G178" s="6">
        <f t="shared" si="57"/>
        <v>0</v>
      </c>
      <c r="H178" s="7">
        <f t="shared" si="58"/>
        <v>0</v>
      </c>
      <c r="I178" s="8">
        <v>21.717791411042946</v>
      </c>
      <c r="J178" s="9">
        <f t="shared" si="59"/>
        <v>21.717791411042946</v>
      </c>
      <c r="K178" s="3">
        <f t="shared" si="60"/>
        <v>0</v>
      </c>
      <c r="L178" s="7">
        <f t="shared" si="61"/>
        <v>0</v>
      </c>
      <c r="M178" t="s">
        <v>150</v>
      </c>
    </row>
    <row r="179" spans="1:13" x14ac:dyDescent="0.25">
      <c r="A179">
        <v>177</v>
      </c>
      <c r="C179" t="s">
        <v>8</v>
      </c>
      <c r="D179" s="4" t="s">
        <v>171</v>
      </c>
      <c r="E179" s="11">
        <v>29.3</v>
      </c>
      <c r="F179" s="11">
        <v>29.3</v>
      </c>
      <c r="G179" s="6">
        <f t="shared" si="57"/>
        <v>0</v>
      </c>
      <c r="H179" s="7">
        <f t="shared" si="58"/>
        <v>0</v>
      </c>
      <c r="I179" s="8">
        <v>20</v>
      </c>
      <c r="J179" s="9">
        <f t="shared" si="59"/>
        <v>20</v>
      </c>
      <c r="K179" s="3">
        <f t="shared" si="60"/>
        <v>0</v>
      </c>
      <c r="L179" s="7">
        <f t="shared" si="61"/>
        <v>0</v>
      </c>
      <c r="M179" t="s">
        <v>150</v>
      </c>
    </row>
    <row r="180" spans="1:13" x14ac:dyDescent="0.25">
      <c r="A180">
        <v>178</v>
      </c>
      <c r="C180" t="s">
        <v>8</v>
      </c>
      <c r="D180" s="4" t="s">
        <v>172</v>
      </c>
      <c r="E180" s="11">
        <v>24.2</v>
      </c>
      <c r="F180" s="11">
        <v>24.2</v>
      </c>
      <c r="G180" s="6">
        <f t="shared" si="57"/>
        <v>0</v>
      </c>
      <c r="H180" s="7">
        <f t="shared" si="58"/>
        <v>0</v>
      </c>
      <c r="I180" s="8">
        <v>20</v>
      </c>
      <c r="J180" s="9">
        <f t="shared" si="59"/>
        <v>20</v>
      </c>
      <c r="K180" s="3">
        <f t="shared" si="60"/>
        <v>0</v>
      </c>
      <c r="L180" s="7">
        <f t="shared" si="61"/>
        <v>0</v>
      </c>
      <c r="M180" t="s">
        <v>150</v>
      </c>
    </row>
    <row r="181" spans="1:13" x14ac:dyDescent="0.25">
      <c r="A181">
        <v>179</v>
      </c>
      <c r="C181" t="s">
        <v>8</v>
      </c>
      <c r="D181" s="4" t="s">
        <v>173</v>
      </c>
      <c r="E181" s="12">
        <v>116</v>
      </c>
      <c r="F181" s="12">
        <v>116</v>
      </c>
      <c r="G181" s="6">
        <f t="shared" si="57"/>
        <v>0</v>
      </c>
      <c r="H181" s="7">
        <f t="shared" si="58"/>
        <v>0</v>
      </c>
      <c r="I181" s="8">
        <v>153.29999999999998</v>
      </c>
      <c r="J181" s="9">
        <f t="shared" si="59"/>
        <v>153.29999999999998</v>
      </c>
      <c r="K181" s="3">
        <f t="shared" si="60"/>
        <v>0</v>
      </c>
      <c r="L181" s="7">
        <f t="shared" si="61"/>
        <v>0</v>
      </c>
      <c r="M181" t="s">
        <v>121</v>
      </c>
    </row>
    <row r="182" spans="1:13" x14ac:dyDescent="0.25">
      <c r="A182">
        <v>180</v>
      </c>
      <c r="C182" t="s">
        <v>8</v>
      </c>
      <c r="D182" s="4" t="s">
        <v>174</v>
      </c>
      <c r="E182" s="12">
        <v>9.98</v>
      </c>
      <c r="F182" s="12">
        <v>9.98</v>
      </c>
      <c r="G182" s="6">
        <f t="shared" si="57"/>
        <v>0</v>
      </c>
      <c r="H182" s="7">
        <f t="shared" si="58"/>
        <v>0</v>
      </c>
      <c r="I182" s="8">
        <v>13.625326315789476</v>
      </c>
      <c r="J182" s="9">
        <f t="shared" si="59"/>
        <v>13.625326315789476</v>
      </c>
      <c r="K182" s="3">
        <f t="shared" si="60"/>
        <v>0</v>
      </c>
      <c r="L182" s="7">
        <f t="shared" si="61"/>
        <v>0</v>
      </c>
      <c r="M182" t="s">
        <v>121</v>
      </c>
    </row>
    <row r="183" spans="1:13" x14ac:dyDescent="0.25">
      <c r="A183">
        <v>181</v>
      </c>
      <c r="C183" t="s">
        <v>8</v>
      </c>
      <c r="D183" s="4" t="s">
        <v>175</v>
      </c>
      <c r="E183" s="12">
        <v>190.995</v>
      </c>
      <c r="F183" s="12">
        <v>190.995</v>
      </c>
      <c r="G183" s="6">
        <f t="shared" si="57"/>
        <v>0</v>
      </c>
      <c r="H183" s="7">
        <f t="shared" si="58"/>
        <v>0</v>
      </c>
      <c r="I183" s="8">
        <v>251</v>
      </c>
      <c r="J183" s="9">
        <f t="shared" si="59"/>
        <v>251</v>
      </c>
      <c r="K183" s="3">
        <f t="shared" si="60"/>
        <v>0</v>
      </c>
      <c r="L183" s="7">
        <f t="shared" si="61"/>
        <v>0</v>
      </c>
      <c r="M183" t="s">
        <v>121</v>
      </c>
    </row>
    <row r="184" spans="1:13" x14ac:dyDescent="0.25">
      <c r="A184">
        <v>182</v>
      </c>
      <c r="C184" t="s">
        <v>8</v>
      </c>
      <c r="D184" s="4" t="s">
        <v>176</v>
      </c>
      <c r="E184" s="12">
        <v>14.01</v>
      </c>
      <c r="F184" s="12">
        <v>14.01</v>
      </c>
      <c r="G184" s="6">
        <f t="shared" si="57"/>
        <v>0</v>
      </c>
      <c r="H184" s="7">
        <f t="shared" si="58"/>
        <v>0</v>
      </c>
      <c r="I184" s="8">
        <v>19.616308543063266</v>
      </c>
      <c r="J184" s="9">
        <f t="shared" si="59"/>
        <v>19.616308543063266</v>
      </c>
      <c r="K184" s="3">
        <f t="shared" si="60"/>
        <v>0</v>
      </c>
      <c r="L184" s="7">
        <f t="shared" si="61"/>
        <v>0</v>
      </c>
      <c r="M184" t="s">
        <v>121</v>
      </c>
    </row>
    <row r="185" spans="1:13" x14ac:dyDescent="0.25">
      <c r="A185">
        <v>183</v>
      </c>
      <c r="C185" t="s">
        <v>8</v>
      </c>
      <c r="D185" s="4" t="s">
        <v>177</v>
      </c>
      <c r="E185" s="12">
        <v>33.25</v>
      </c>
      <c r="F185" s="12">
        <v>33.25</v>
      </c>
      <c r="G185" s="6">
        <f t="shared" si="57"/>
        <v>0</v>
      </c>
      <c r="H185" s="7">
        <f t="shared" si="58"/>
        <v>0</v>
      </c>
      <c r="I185" s="8">
        <v>49.869393819571762</v>
      </c>
      <c r="J185" s="9">
        <f t="shared" si="59"/>
        <v>49.869393819571762</v>
      </c>
      <c r="K185" s="3">
        <f t="shared" si="60"/>
        <v>0</v>
      </c>
      <c r="L185" s="7">
        <f t="shared" si="61"/>
        <v>0</v>
      </c>
      <c r="M185" t="s">
        <v>121</v>
      </c>
    </row>
    <row r="186" spans="1:13" x14ac:dyDescent="0.25">
      <c r="A186">
        <v>184</v>
      </c>
      <c r="C186" t="s">
        <v>8</v>
      </c>
      <c r="D186" s="4" t="s">
        <v>178</v>
      </c>
      <c r="E186" s="12">
        <v>44.04</v>
      </c>
      <c r="F186" s="12">
        <v>44.04</v>
      </c>
      <c r="G186" s="6">
        <f t="shared" si="57"/>
        <v>0</v>
      </c>
      <c r="H186" s="7">
        <f t="shared" si="58"/>
        <v>0</v>
      </c>
      <c r="I186" s="8">
        <v>61.644476622337386</v>
      </c>
      <c r="J186" s="9">
        <f t="shared" si="59"/>
        <v>61.644476622337386</v>
      </c>
      <c r="K186" s="3">
        <f t="shared" si="60"/>
        <v>0</v>
      </c>
      <c r="L186" s="7">
        <f t="shared" si="61"/>
        <v>0</v>
      </c>
      <c r="M186" t="s">
        <v>121</v>
      </c>
    </row>
    <row r="187" spans="1:13" x14ac:dyDescent="0.25">
      <c r="A187">
        <v>185</v>
      </c>
      <c r="C187" t="s">
        <v>8</v>
      </c>
      <c r="D187" s="4" t="s">
        <v>179</v>
      </c>
      <c r="E187" s="12">
        <v>144.85</v>
      </c>
      <c r="F187" s="12">
        <v>144.85</v>
      </c>
      <c r="G187" s="6">
        <f t="shared" si="57"/>
        <v>0</v>
      </c>
      <c r="H187" s="7">
        <f t="shared" si="58"/>
        <v>0</v>
      </c>
      <c r="I187" s="8">
        <v>241.42</v>
      </c>
      <c r="J187" s="9">
        <f t="shared" si="59"/>
        <v>241.42</v>
      </c>
      <c r="K187" s="3">
        <f t="shared" si="60"/>
        <v>0</v>
      </c>
      <c r="L187" s="7">
        <f t="shared" si="61"/>
        <v>0</v>
      </c>
      <c r="M187" t="s">
        <v>121</v>
      </c>
    </row>
    <row r="188" spans="1:13" x14ac:dyDescent="0.25">
      <c r="A188">
        <v>186</v>
      </c>
      <c r="C188" t="s">
        <v>8</v>
      </c>
      <c r="D188" s="4" t="s">
        <v>180</v>
      </c>
      <c r="E188" s="11">
        <v>21.42</v>
      </c>
      <c r="F188" s="11">
        <v>21.42</v>
      </c>
      <c r="G188" s="6">
        <f t="shared" si="57"/>
        <v>0</v>
      </c>
      <c r="H188" s="7">
        <f t="shared" si="58"/>
        <v>0</v>
      </c>
      <c r="I188" s="8">
        <v>36.651079812206568</v>
      </c>
      <c r="J188" s="9">
        <f t="shared" si="59"/>
        <v>36.651079812206568</v>
      </c>
      <c r="K188" s="3">
        <f t="shared" si="60"/>
        <v>0</v>
      </c>
      <c r="L188" s="7">
        <f t="shared" si="61"/>
        <v>0</v>
      </c>
      <c r="M188" t="s">
        <v>150</v>
      </c>
    </row>
    <row r="189" spans="1:13" x14ac:dyDescent="0.25">
      <c r="A189">
        <v>187</v>
      </c>
      <c r="C189" t="s">
        <v>8</v>
      </c>
      <c r="D189" s="4" t="s">
        <v>181</v>
      </c>
      <c r="E189" s="11">
        <v>32.67</v>
      </c>
      <c r="F189" s="11">
        <v>32.67</v>
      </c>
      <c r="G189" s="6">
        <f t="shared" si="57"/>
        <v>0</v>
      </c>
      <c r="H189" s="7">
        <f t="shared" si="58"/>
        <v>0</v>
      </c>
      <c r="I189" s="8">
        <v>45.558072000000003</v>
      </c>
      <c r="J189" s="9">
        <f t="shared" si="59"/>
        <v>45.558072000000003</v>
      </c>
      <c r="K189" s="3">
        <f t="shared" si="60"/>
        <v>0</v>
      </c>
      <c r="L189" s="7">
        <f t="shared" si="61"/>
        <v>0</v>
      </c>
      <c r="M189" t="s">
        <v>150</v>
      </c>
    </row>
    <row r="190" spans="1:13" x14ac:dyDescent="0.25">
      <c r="A190">
        <v>188</v>
      </c>
      <c r="C190" t="s">
        <v>8</v>
      </c>
      <c r="D190" s="4" t="s">
        <v>182</v>
      </c>
      <c r="E190" s="11">
        <v>43</v>
      </c>
      <c r="F190" s="11">
        <v>43</v>
      </c>
      <c r="G190" s="13">
        <f t="shared" si="57"/>
        <v>0</v>
      </c>
      <c r="H190" s="7">
        <f t="shared" si="58"/>
        <v>0</v>
      </c>
      <c r="I190" s="8">
        <v>91.806916426512956</v>
      </c>
      <c r="J190" s="9">
        <f t="shared" si="59"/>
        <v>91.806916426512956</v>
      </c>
      <c r="K190" s="3">
        <f t="shared" si="60"/>
        <v>0</v>
      </c>
      <c r="L190" s="7">
        <f t="shared" si="61"/>
        <v>0</v>
      </c>
      <c r="M190" t="s">
        <v>150</v>
      </c>
    </row>
    <row r="191" spans="1:13" x14ac:dyDescent="0.25">
      <c r="A191">
        <v>189</v>
      </c>
      <c r="C191" t="s">
        <v>8</v>
      </c>
      <c r="D191" s="4" t="s">
        <v>183</v>
      </c>
      <c r="E191" s="11">
        <v>4.24</v>
      </c>
      <c r="F191" s="11">
        <v>4.24</v>
      </c>
      <c r="G191" s="6">
        <f t="shared" si="57"/>
        <v>0</v>
      </c>
      <c r="H191" s="7">
        <f t="shared" si="58"/>
        <v>0</v>
      </c>
      <c r="I191" s="8">
        <v>7.5095819935691317</v>
      </c>
      <c r="J191" s="9">
        <f t="shared" si="59"/>
        <v>7.5095819935691317</v>
      </c>
      <c r="K191" s="3">
        <f t="shared" si="60"/>
        <v>0</v>
      </c>
      <c r="L191" s="7">
        <f t="shared" si="61"/>
        <v>0</v>
      </c>
      <c r="M191" t="s">
        <v>150</v>
      </c>
    </row>
    <row r="192" spans="1:13" x14ac:dyDescent="0.25">
      <c r="A192">
        <v>190</v>
      </c>
      <c r="D192" s="2" t="s">
        <v>184</v>
      </c>
      <c r="H192" s="10">
        <f>AVERAGE(H167:H191)</f>
        <v>-1.7830438164376457E-2</v>
      </c>
      <c r="I192"/>
    </row>
    <row r="193" spans="1:13" x14ac:dyDescent="0.25">
      <c r="A193">
        <v>191</v>
      </c>
      <c r="D193" s="2" t="s">
        <v>185</v>
      </c>
      <c r="I193"/>
    </row>
    <row r="194" spans="1:13" x14ac:dyDescent="0.25">
      <c r="A194">
        <v>192</v>
      </c>
      <c r="C194" t="s">
        <v>8</v>
      </c>
      <c r="D194" s="4" t="s">
        <v>186</v>
      </c>
      <c r="E194" s="12">
        <v>1.79</v>
      </c>
      <c r="F194" s="12">
        <v>1.79</v>
      </c>
      <c r="G194" s="6">
        <f t="shared" ref="G194:G241" si="62">+F194-E194</f>
        <v>0</v>
      </c>
      <c r="H194" s="7">
        <f t="shared" ref="H194:H241" si="63">(F194-E194)/ABS(E194)</f>
        <v>0</v>
      </c>
      <c r="I194" s="8">
        <v>2.3437962240000001</v>
      </c>
      <c r="J194" s="9">
        <f t="shared" ref="J194:J241" si="64">(I194*H194)+I194</f>
        <v>2.3437962240000001</v>
      </c>
      <c r="K194" s="3">
        <f t="shared" ref="K194:K241" si="65">J194-I194</f>
        <v>0</v>
      </c>
      <c r="L194" s="7">
        <f t="shared" ref="L194:L241" si="66">(J194-I194)/ABS(I194)</f>
        <v>0</v>
      </c>
      <c r="M194" t="s">
        <v>187</v>
      </c>
    </row>
    <row r="195" spans="1:13" x14ac:dyDescent="0.25">
      <c r="A195">
        <v>193</v>
      </c>
      <c r="C195" t="s">
        <v>8</v>
      </c>
      <c r="D195" s="4" t="s">
        <v>188</v>
      </c>
      <c r="E195" s="12">
        <v>0.46</v>
      </c>
      <c r="F195" s="12">
        <v>0.46</v>
      </c>
      <c r="G195" s="6">
        <f t="shared" si="62"/>
        <v>0</v>
      </c>
      <c r="H195" s="7">
        <f t="shared" si="63"/>
        <v>0</v>
      </c>
      <c r="I195" s="8">
        <v>0.70471188480000002</v>
      </c>
      <c r="J195" s="9">
        <f t="shared" si="64"/>
        <v>0.70471188480000002</v>
      </c>
      <c r="K195" s="3">
        <f t="shared" si="65"/>
        <v>0</v>
      </c>
      <c r="L195" s="7">
        <f t="shared" si="66"/>
        <v>0</v>
      </c>
      <c r="M195" t="s">
        <v>187</v>
      </c>
    </row>
    <row r="196" spans="1:13" x14ac:dyDescent="0.25">
      <c r="A196">
        <v>194</v>
      </c>
      <c r="C196" t="s">
        <v>8</v>
      </c>
      <c r="D196" s="4" t="s">
        <v>462</v>
      </c>
      <c r="E196" s="12">
        <v>0.6</v>
      </c>
      <c r="F196" s="12">
        <v>0.6</v>
      </c>
      <c r="G196" s="6">
        <f t="shared" si="62"/>
        <v>0</v>
      </c>
      <c r="H196" s="7">
        <f t="shared" si="63"/>
        <v>0</v>
      </c>
      <c r="I196" s="8">
        <v>1.04</v>
      </c>
      <c r="J196" s="9">
        <f t="shared" si="64"/>
        <v>1.04</v>
      </c>
      <c r="K196" s="3">
        <f t="shared" si="65"/>
        <v>0</v>
      </c>
      <c r="L196" s="7">
        <f t="shared" si="66"/>
        <v>0</v>
      </c>
      <c r="M196" t="s">
        <v>187</v>
      </c>
    </row>
    <row r="197" spans="1:13" x14ac:dyDescent="0.25">
      <c r="A197">
        <v>195</v>
      </c>
      <c r="C197" t="s">
        <v>8</v>
      </c>
      <c r="D197" s="4" t="s">
        <v>189</v>
      </c>
      <c r="E197" s="12">
        <v>17.88</v>
      </c>
      <c r="F197" s="12">
        <v>17.88</v>
      </c>
      <c r="G197" s="6">
        <f t="shared" si="62"/>
        <v>0</v>
      </c>
      <c r="H197" s="7">
        <f t="shared" si="63"/>
        <v>0</v>
      </c>
      <c r="I197" s="8">
        <v>35.219578060799989</v>
      </c>
      <c r="J197" s="9">
        <f t="shared" si="64"/>
        <v>35.219578060799989</v>
      </c>
      <c r="K197" s="3">
        <f t="shared" si="65"/>
        <v>0</v>
      </c>
      <c r="L197" s="7">
        <f t="shared" si="66"/>
        <v>0</v>
      </c>
      <c r="M197" t="s">
        <v>187</v>
      </c>
    </row>
    <row r="198" spans="1:13" x14ac:dyDescent="0.25">
      <c r="A198">
        <v>196</v>
      </c>
      <c r="C198" t="s">
        <v>8</v>
      </c>
      <c r="D198" s="4" t="s">
        <v>190</v>
      </c>
      <c r="E198" s="12">
        <v>36.299999999999997</v>
      </c>
      <c r="F198" s="12">
        <v>36.299999999999997</v>
      </c>
      <c r="G198" s="6">
        <f t="shared" si="62"/>
        <v>0</v>
      </c>
      <c r="H198" s="7">
        <f t="shared" si="63"/>
        <v>0</v>
      </c>
      <c r="I198" s="8">
        <v>82.49</v>
      </c>
      <c r="J198" s="9">
        <f t="shared" si="64"/>
        <v>82.49</v>
      </c>
      <c r="K198" s="3">
        <f t="shared" si="65"/>
        <v>0</v>
      </c>
      <c r="L198" s="7">
        <f t="shared" si="66"/>
        <v>0</v>
      </c>
      <c r="M198" t="s">
        <v>187</v>
      </c>
    </row>
    <row r="199" spans="1:13" x14ac:dyDescent="0.25">
      <c r="A199">
        <v>197</v>
      </c>
      <c r="C199" t="s">
        <v>8</v>
      </c>
      <c r="D199" s="4" t="s">
        <v>487</v>
      </c>
      <c r="E199" s="12">
        <v>5.18</v>
      </c>
      <c r="F199" s="12">
        <v>5.18</v>
      </c>
      <c r="G199" s="6">
        <f t="shared" si="62"/>
        <v>0</v>
      </c>
      <c r="H199" s="7">
        <f t="shared" si="63"/>
        <v>0</v>
      </c>
      <c r="I199" s="8">
        <v>7.13</v>
      </c>
      <c r="J199" s="9">
        <f t="shared" si="64"/>
        <v>7.13</v>
      </c>
      <c r="K199" s="3">
        <f t="shared" si="65"/>
        <v>0</v>
      </c>
      <c r="L199" s="7">
        <f t="shared" si="66"/>
        <v>0</v>
      </c>
      <c r="M199" t="s">
        <v>187</v>
      </c>
    </row>
    <row r="200" spans="1:13" x14ac:dyDescent="0.25">
      <c r="A200">
        <v>198</v>
      </c>
      <c r="C200" t="s">
        <v>8</v>
      </c>
      <c r="D200" s="4" t="s">
        <v>191</v>
      </c>
      <c r="E200" s="12">
        <v>8.2200000000000006</v>
      </c>
      <c r="F200" s="12">
        <v>8.2200000000000006</v>
      </c>
      <c r="G200" s="6">
        <f t="shared" si="62"/>
        <v>0</v>
      </c>
      <c r="H200" s="7">
        <f t="shared" si="63"/>
        <v>0</v>
      </c>
      <c r="I200" s="8">
        <v>18.68</v>
      </c>
      <c r="J200" s="9">
        <f t="shared" si="64"/>
        <v>18.68</v>
      </c>
      <c r="K200" s="3">
        <f t="shared" si="65"/>
        <v>0</v>
      </c>
      <c r="L200" s="7">
        <f t="shared" si="66"/>
        <v>0</v>
      </c>
      <c r="M200" t="s">
        <v>187</v>
      </c>
    </row>
    <row r="201" spans="1:13" x14ac:dyDescent="0.25">
      <c r="A201">
        <v>199</v>
      </c>
      <c r="C201" t="s">
        <v>8</v>
      </c>
      <c r="D201" s="4" t="s">
        <v>192</v>
      </c>
      <c r="E201" s="12">
        <v>137.77000000000001</v>
      </c>
      <c r="F201" s="12">
        <v>137.77000000000001</v>
      </c>
      <c r="G201" s="6">
        <f t="shared" si="62"/>
        <v>0</v>
      </c>
      <c r="H201" s="7">
        <f t="shared" si="63"/>
        <v>0</v>
      </c>
      <c r="I201" s="8">
        <v>207.19</v>
      </c>
      <c r="J201" s="9">
        <f t="shared" si="64"/>
        <v>207.19</v>
      </c>
      <c r="K201" s="3">
        <f t="shared" si="65"/>
        <v>0</v>
      </c>
      <c r="L201" s="7">
        <f t="shared" si="66"/>
        <v>0</v>
      </c>
      <c r="M201" t="s">
        <v>187</v>
      </c>
    </row>
    <row r="202" spans="1:13" x14ac:dyDescent="0.25">
      <c r="A202">
        <v>200</v>
      </c>
      <c r="C202" t="s">
        <v>8</v>
      </c>
      <c r="D202" s="4" t="s">
        <v>193</v>
      </c>
      <c r="E202" s="12">
        <v>123.36</v>
      </c>
      <c r="F202" s="12">
        <v>123.36</v>
      </c>
      <c r="G202" s="6">
        <f t="shared" si="62"/>
        <v>0</v>
      </c>
      <c r="H202" s="7">
        <f t="shared" si="63"/>
        <v>0</v>
      </c>
      <c r="I202" s="8">
        <v>168.12183306239999</v>
      </c>
      <c r="J202" s="9">
        <f t="shared" si="64"/>
        <v>168.12183306239999</v>
      </c>
      <c r="K202" s="3">
        <f t="shared" si="65"/>
        <v>0</v>
      </c>
      <c r="L202" s="7">
        <f t="shared" si="66"/>
        <v>0</v>
      </c>
      <c r="M202" t="s">
        <v>187</v>
      </c>
    </row>
    <row r="203" spans="1:13" x14ac:dyDescent="0.25">
      <c r="A203">
        <v>201</v>
      </c>
      <c r="C203" t="s">
        <v>8</v>
      </c>
      <c r="D203" s="4" t="s">
        <v>194</v>
      </c>
      <c r="E203" s="12">
        <v>36.909999999999997</v>
      </c>
      <c r="F203" s="12">
        <v>36.909999999999997</v>
      </c>
      <c r="G203" s="6">
        <f t="shared" si="62"/>
        <v>0</v>
      </c>
      <c r="H203" s="7">
        <f t="shared" si="63"/>
        <v>0</v>
      </c>
      <c r="I203" s="8">
        <v>77.662452940799994</v>
      </c>
      <c r="J203" s="9">
        <f t="shared" si="64"/>
        <v>77.662452940799994</v>
      </c>
      <c r="K203" s="3">
        <f t="shared" si="65"/>
        <v>0</v>
      </c>
      <c r="L203" s="7">
        <f t="shared" si="66"/>
        <v>0</v>
      </c>
      <c r="M203" t="s">
        <v>187</v>
      </c>
    </row>
    <row r="204" spans="1:13" x14ac:dyDescent="0.25">
      <c r="A204">
        <v>202</v>
      </c>
      <c r="C204" t="s">
        <v>8</v>
      </c>
      <c r="D204" s="4" t="s">
        <v>195</v>
      </c>
      <c r="E204" s="12">
        <v>25.49</v>
      </c>
      <c r="F204" s="12">
        <v>25.49</v>
      </c>
      <c r="G204" s="6">
        <f>+F204-E204</f>
        <v>0</v>
      </c>
      <c r="H204" s="7">
        <f>(F204-E204)/ABS(E204)</f>
        <v>0</v>
      </c>
      <c r="I204" s="8">
        <v>39.21</v>
      </c>
      <c r="J204" s="9">
        <f>(I204*H204)+I204</f>
        <v>39.21</v>
      </c>
      <c r="K204" s="3">
        <f>J204-I204</f>
        <v>0</v>
      </c>
      <c r="L204" s="7">
        <f>(J204-I204)/ABS(I204)</f>
        <v>0</v>
      </c>
      <c r="M204" t="s">
        <v>187</v>
      </c>
    </row>
    <row r="205" spans="1:13" x14ac:dyDescent="0.25">
      <c r="A205">
        <v>203</v>
      </c>
      <c r="C205" t="s">
        <v>8</v>
      </c>
      <c r="D205" s="4" t="s">
        <v>196</v>
      </c>
      <c r="E205" s="12">
        <v>5.72</v>
      </c>
      <c r="F205" s="12">
        <v>5.72</v>
      </c>
      <c r="G205" s="6">
        <f t="shared" si="62"/>
        <v>0</v>
      </c>
      <c r="H205" s="7">
        <f t="shared" si="63"/>
        <v>0</v>
      </c>
      <c r="I205" s="8">
        <v>8.6487367680000027</v>
      </c>
      <c r="J205" s="9">
        <f t="shared" si="64"/>
        <v>8.6487367680000027</v>
      </c>
      <c r="K205" s="3">
        <f t="shared" si="65"/>
        <v>0</v>
      </c>
      <c r="L205" s="7">
        <f t="shared" si="66"/>
        <v>0</v>
      </c>
      <c r="M205" t="s">
        <v>187</v>
      </c>
    </row>
    <row r="206" spans="1:13" x14ac:dyDescent="0.25">
      <c r="A206">
        <v>204</v>
      </c>
      <c r="C206" t="s">
        <v>8</v>
      </c>
      <c r="D206" s="4" t="s">
        <v>197</v>
      </c>
      <c r="E206" s="12">
        <v>21.44</v>
      </c>
      <c r="F206" s="12">
        <v>21.44</v>
      </c>
      <c r="G206" s="6">
        <f t="shared" si="62"/>
        <v>0</v>
      </c>
      <c r="H206" s="7">
        <f t="shared" si="63"/>
        <v>0</v>
      </c>
      <c r="I206" s="8">
        <v>57.90134784</v>
      </c>
      <c r="J206" s="9">
        <f t="shared" si="64"/>
        <v>57.90134784</v>
      </c>
      <c r="K206" s="3">
        <f t="shared" si="65"/>
        <v>0</v>
      </c>
      <c r="L206" s="7">
        <f t="shared" si="66"/>
        <v>0</v>
      </c>
      <c r="M206" t="s">
        <v>187</v>
      </c>
    </row>
    <row r="207" spans="1:13" x14ac:dyDescent="0.25">
      <c r="A207">
        <v>205</v>
      </c>
      <c r="C207" t="s">
        <v>8</v>
      </c>
      <c r="D207" s="4" t="s">
        <v>198</v>
      </c>
      <c r="E207" s="12">
        <v>8.5399999999999991</v>
      </c>
      <c r="F207" s="12">
        <v>8.5399999999999991</v>
      </c>
      <c r="G207" s="6">
        <f t="shared" si="62"/>
        <v>0</v>
      </c>
      <c r="H207" s="7">
        <f t="shared" si="63"/>
        <v>0</v>
      </c>
      <c r="I207" s="8">
        <v>17.61</v>
      </c>
      <c r="J207" s="9">
        <f t="shared" si="64"/>
        <v>17.61</v>
      </c>
      <c r="K207" s="3">
        <f t="shared" si="65"/>
        <v>0</v>
      </c>
      <c r="L207" s="7">
        <f t="shared" si="66"/>
        <v>0</v>
      </c>
      <c r="M207" t="s">
        <v>187</v>
      </c>
    </row>
    <row r="208" spans="1:13" x14ac:dyDescent="0.25">
      <c r="A208">
        <v>206</v>
      </c>
      <c r="C208" t="s">
        <v>8</v>
      </c>
      <c r="D208" s="4" t="s">
        <v>199</v>
      </c>
      <c r="E208" s="12">
        <v>2.2400000000000002</v>
      </c>
      <c r="F208" s="12">
        <v>2.2400000000000002</v>
      </c>
      <c r="G208" s="6">
        <f t="shared" si="62"/>
        <v>0</v>
      </c>
      <c r="H208" s="7">
        <f t="shared" si="63"/>
        <v>0</v>
      </c>
      <c r="I208" s="8">
        <v>3.2169142539130431</v>
      </c>
      <c r="J208" s="9">
        <f t="shared" si="64"/>
        <v>3.2169142539130431</v>
      </c>
      <c r="K208" s="3">
        <f t="shared" si="65"/>
        <v>0</v>
      </c>
      <c r="L208" s="7">
        <f t="shared" si="66"/>
        <v>0</v>
      </c>
      <c r="M208" t="s">
        <v>187</v>
      </c>
    </row>
    <row r="209" spans="1:13" x14ac:dyDescent="0.25">
      <c r="A209">
        <v>207</v>
      </c>
      <c r="C209" t="s">
        <v>8</v>
      </c>
      <c r="D209" s="4" t="s">
        <v>200</v>
      </c>
      <c r="E209" s="12">
        <v>12.54</v>
      </c>
      <c r="F209" s="12">
        <v>12.54</v>
      </c>
      <c r="G209" s="6">
        <f t="shared" si="62"/>
        <v>0</v>
      </c>
      <c r="H209" s="7">
        <f t="shared" si="63"/>
        <v>0</v>
      </c>
      <c r="I209" s="8">
        <v>18.163175635862068</v>
      </c>
      <c r="J209" s="9">
        <f t="shared" si="64"/>
        <v>18.163175635862068</v>
      </c>
      <c r="K209" s="3">
        <f t="shared" si="65"/>
        <v>0</v>
      </c>
      <c r="L209" s="7">
        <f t="shared" si="66"/>
        <v>0</v>
      </c>
      <c r="M209" t="s">
        <v>187</v>
      </c>
    </row>
    <row r="210" spans="1:13" x14ac:dyDescent="0.25">
      <c r="A210">
        <v>208</v>
      </c>
      <c r="C210" t="s">
        <v>8</v>
      </c>
      <c r="D210" s="4" t="s">
        <v>201</v>
      </c>
      <c r="E210" s="12">
        <v>13.2</v>
      </c>
      <c r="F210" s="12">
        <v>13.2</v>
      </c>
      <c r="G210" s="6">
        <f t="shared" si="62"/>
        <v>0</v>
      </c>
      <c r="H210" s="7">
        <f t="shared" si="63"/>
        <v>0</v>
      </c>
      <c r="I210" s="8">
        <v>33.770000000000003</v>
      </c>
      <c r="J210" s="9">
        <f t="shared" si="64"/>
        <v>33.770000000000003</v>
      </c>
      <c r="K210" s="3">
        <f t="shared" si="65"/>
        <v>0</v>
      </c>
      <c r="L210" s="7">
        <f t="shared" si="66"/>
        <v>0</v>
      </c>
      <c r="M210" t="s">
        <v>187</v>
      </c>
    </row>
    <row r="211" spans="1:13" x14ac:dyDescent="0.25">
      <c r="A211">
        <v>209</v>
      </c>
      <c r="C211" t="s">
        <v>8</v>
      </c>
      <c r="D211" s="4" t="s">
        <v>202</v>
      </c>
      <c r="E211" s="12">
        <v>20.100000000000001</v>
      </c>
      <c r="F211" s="12">
        <v>20.100000000000001</v>
      </c>
      <c r="G211" s="6">
        <f t="shared" si="62"/>
        <v>0</v>
      </c>
      <c r="H211" s="7">
        <f t="shared" si="63"/>
        <v>0</v>
      </c>
      <c r="I211" s="8">
        <v>54.326307840000005</v>
      </c>
      <c r="J211" s="9">
        <f t="shared" si="64"/>
        <v>54.326307840000005</v>
      </c>
      <c r="K211" s="3">
        <f t="shared" si="65"/>
        <v>0</v>
      </c>
      <c r="L211" s="7">
        <f t="shared" si="66"/>
        <v>0</v>
      </c>
      <c r="M211" t="s">
        <v>187</v>
      </c>
    </row>
    <row r="212" spans="1:13" x14ac:dyDescent="0.25">
      <c r="A212">
        <v>210</v>
      </c>
      <c r="C212" t="s">
        <v>8</v>
      </c>
      <c r="D212" s="4" t="s">
        <v>203</v>
      </c>
      <c r="E212" s="12">
        <v>38.64</v>
      </c>
      <c r="F212" s="12">
        <v>38.64</v>
      </c>
      <c r="G212" s="6">
        <f t="shared" si="62"/>
        <v>0</v>
      </c>
      <c r="H212" s="7">
        <f t="shared" si="63"/>
        <v>0</v>
      </c>
      <c r="I212" s="8">
        <v>85.68</v>
      </c>
      <c r="J212" s="9">
        <f t="shared" si="64"/>
        <v>85.68</v>
      </c>
      <c r="K212" s="3">
        <f t="shared" si="65"/>
        <v>0</v>
      </c>
      <c r="L212" s="7">
        <f t="shared" si="66"/>
        <v>0</v>
      </c>
      <c r="M212" t="s">
        <v>187</v>
      </c>
    </row>
    <row r="213" spans="1:13" x14ac:dyDescent="0.25">
      <c r="A213">
        <v>211</v>
      </c>
      <c r="C213" t="s">
        <v>8</v>
      </c>
      <c r="D213" s="4" t="s">
        <v>204</v>
      </c>
      <c r="E213" s="12">
        <v>17.16</v>
      </c>
      <c r="F213" s="12">
        <v>17.16</v>
      </c>
      <c r="G213" s="6">
        <f t="shared" si="62"/>
        <v>0</v>
      </c>
      <c r="H213" s="7">
        <f t="shared" si="63"/>
        <v>0</v>
      </c>
      <c r="I213" s="8">
        <v>26.391854075214955</v>
      </c>
      <c r="J213" s="9">
        <f t="shared" si="64"/>
        <v>26.391854075214955</v>
      </c>
      <c r="K213" s="3">
        <f t="shared" si="65"/>
        <v>0</v>
      </c>
      <c r="L213" s="7">
        <f t="shared" si="66"/>
        <v>0</v>
      </c>
      <c r="M213" t="s">
        <v>187</v>
      </c>
    </row>
    <row r="214" spans="1:13" x14ac:dyDescent="0.25">
      <c r="A214">
        <v>212</v>
      </c>
      <c r="C214" t="s">
        <v>8</v>
      </c>
      <c r="D214" s="4" t="s">
        <v>205</v>
      </c>
      <c r="E214" s="12">
        <v>30.07</v>
      </c>
      <c r="F214" s="12">
        <v>30.07</v>
      </c>
      <c r="G214" s="6">
        <f t="shared" si="62"/>
        <v>0</v>
      </c>
      <c r="H214" s="7">
        <f t="shared" si="63"/>
        <v>0</v>
      </c>
      <c r="I214" s="8">
        <v>35.416393485128204</v>
      </c>
      <c r="J214" s="9">
        <f t="shared" si="64"/>
        <v>35.416393485128204</v>
      </c>
      <c r="K214" s="3">
        <f t="shared" si="65"/>
        <v>0</v>
      </c>
      <c r="L214" s="7">
        <f t="shared" si="66"/>
        <v>0</v>
      </c>
      <c r="M214" t="s">
        <v>187</v>
      </c>
    </row>
    <row r="215" spans="1:13" x14ac:dyDescent="0.25">
      <c r="A215">
        <v>213</v>
      </c>
      <c r="C215" t="s">
        <v>8</v>
      </c>
      <c r="D215" s="4" t="s">
        <v>206</v>
      </c>
      <c r="E215" s="12">
        <v>30.42</v>
      </c>
      <c r="F215" s="12">
        <v>30.42</v>
      </c>
      <c r="G215" s="6">
        <f t="shared" si="62"/>
        <v>0</v>
      </c>
      <c r="H215" s="7">
        <f t="shared" si="63"/>
        <v>0</v>
      </c>
      <c r="I215" s="8">
        <v>42.49</v>
      </c>
      <c r="J215" s="9">
        <f t="shared" si="64"/>
        <v>42.49</v>
      </c>
      <c r="K215" s="3">
        <f t="shared" si="65"/>
        <v>0</v>
      </c>
      <c r="L215" s="7">
        <f t="shared" si="66"/>
        <v>0</v>
      </c>
      <c r="M215" t="s">
        <v>187</v>
      </c>
    </row>
    <row r="216" spans="1:13" x14ac:dyDescent="0.25">
      <c r="A216">
        <v>214</v>
      </c>
      <c r="C216" t="s">
        <v>8</v>
      </c>
      <c r="D216" s="4" t="s">
        <v>207</v>
      </c>
      <c r="E216" s="12">
        <v>2.4</v>
      </c>
      <c r="F216" s="12">
        <v>2.4</v>
      </c>
      <c r="G216" s="6">
        <f t="shared" si="62"/>
        <v>0</v>
      </c>
      <c r="H216" s="7">
        <f t="shared" si="63"/>
        <v>0</v>
      </c>
      <c r="I216" s="8">
        <v>4.84</v>
      </c>
      <c r="J216" s="9">
        <f t="shared" si="64"/>
        <v>4.84</v>
      </c>
      <c r="K216" s="3">
        <f t="shared" si="65"/>
        <v>0</v>
      </c>
      <c r="L216" s="7">
        <f t="shared" si="66"/>
        <v>0</v>
      </c>
      <c r="M216" t="s">
        <v>187</v>
      </c>
    </row>
    <row r="217" spans="1:13" x14ac:dyDescent="0.25">
      <c r="A217">
        <v>215</v>
      </c>
      <c r="C217" t="s">
        <v>8</v>
      </c>
      <c r="D217" s="4" t="s">
        <v>208</v>
      </c>
      <c r="E217" s="12">
        <v>3.66</v>
      </c>
      <c r="F217" s="12">
        <v>3.66</v>
      </c>
      <c r="G217" s="6">
        <f t="shared" si="62"/>
        <v>0</v>
      </c>
      <c r="H217" s="7">
        <f t="shared" si="63"/>
        <v>0</v>
      </c>
      <c r="I217" s="8">
        <v>5.4831979136563875</v>
      </c>
      <c r="J217" s="9">
        <f t="shared" si="64"/>
        <v>5.4831979136563875</v>
      </c>
      <c r="K217" s="3">
        <f t="shared" si="65"/>
        <v>0</v>
      </c>
      <c r="L217" s="7">
        <f t="shared" si="66"/>
        <v>0</v>
      </c>
      <c r="M217" t="s">
        <v>187</v>
      </c>
    </row>
    <row r="218" spans="1:13" x14ac:dyDescent="0.25">
      <c r="A218">
        <v>216</v>
      </c>
      <c r="C218" t="s">
        <v>8</v>
      </c>
      <c r="D218" s="4" t="s">
        <v>209</v>
      </c>
      <c r="E218" s="12">
        <v>3.26</v>
      </c>
      <c r="F218" s="12">
        <v>3.26</v>
      </c>
      <c r="G218" s="13">
        <f t="shared" si="62"/>
        <v>0</v>
      </c>
      <c r="H218" s="7">
        <f t="shared" si="63"/>
        <v>0</v>
      </c>
      <c r="I218" s="8">
        <v>5.48</v>
      </c>
      <c r="J218" s="9">
        <f t="shared" si="64"/>
        <v>5.48</v>
      </c>
      <c r="K218" s="3">
        <f t="shared" si="65"/>
        <v>0</v>
      </c>
      <c r="L218" s="7">
        <f t="shared" si="66"/>
        <v>0</v>
      </c>
      <c r="M218" t="s">
        <v>187</v>
      </c>
    </row>
    <row r="219" spans="1:13" x14ac:dyDescent="0.25">
      <c r="A219">
        <v>217</v>
      </c>
      <c r="C219" t="s">
        <v>8</v>
      </c>
      <c r="D219" s="4" t="s">
        <v>210</v>
      </c>
      <c r="E219" s="12">
        <v>4.46</v>
      </c>
      <c r="F219" s="12">
        <v>4.46</v>
      </c>
      <c r="G219" s="6">
        <f t="shared" si="62"/>
        <v>0</v>
      </c>
      <c r="H219" s="7">
        <f t="shared" si="63"/>
        <v>0</v>
      </c>
      <c r="I219" s="8">
        <v>6.8717173187003597</v>
      </c>
      <c r="J219" s="9">
        <f t="shared" si="64"/>
        <v>6.8717173187003597</v>
      </c>
      <c r="K219" s="3">
        <f t="shared" si="65"/>
        <v>0</v>
      </c>
      <c r="L219" s="7">
        <f t="shared" si="66"/>
        <v>0</v>
      </c>
      <c r="M219" t="s">
        <v>187</v>
      </c>
    </row>
    <row r="220" spans="1:13" x14ac:dyDescent="0.25">
      <c r="A220">
        <v>218</v>
      </c>
      <c r="C220" t="s">
        <v>8</v>
      </c>
      <c r="D220" s="4" t="s">
        <v>211</v>
      </c>
      <c r="E220" s="12">
        <v>1.78</v>
      </c>
      <c r="F220" s="12">
        <v>1.78</v>
      </c>
      <c r="G220" s="6">
        <f t="shared" si="62"/>
        <v>0</v>
      </c>
      <c r="H220" s="7">
        <f t="shared" si="63"/>
        <v>0</v>
      </c>
      <c r="I220" s="8">
        <v>3.6982813789090896</v>
      </c>
      <c r="J220" s="9">
        <f t="shared" si="64"/>
        <v>3.6982813789090896</v>
      </c>
      <c r="K220" s="3">
        <f t="shared" si="65"/>
        <v>0</v>
      </c>
      <c r="L220" s="7">
        <f t="shared" si="66"/>
        <v>0</v>
      </c>
      <c r="M220" t="s">
        <v>187</v>
      </c>
    </row>
    <row r="221" spans="1:13" x14ac:dyDescent="0.25">
      <c r="A221">
        <v>219</v>
      </c>
      <c r="C221" t="s">
        <v>8</v>
      </c>
      <c r="D221" s="4" t="s">
        <v>212</v>
      </c>
      <c r="E221" s="12">
        <v>2.66</v>
      </c>
      <c r="F221" s="12">
        <v>2.66</v>
      </c>
      <c r="G221" s="6">
        <f t="shared" si="62"/>
        <v>0</v>
      </c>
      <c r="H221" s="7">
        <f t="shared" si="63"/>
        <v>0</v>
      </c>
      <c r="I221" s="8">
        <v>4.4491697803636372</v>
      </c>
      <c r="J221" s="9">
        <f t="shared" si="64"/>
        <v>4.4491697803636372</v>
      </c>
      <c r="K221" s="3">
        <f t="shared" si="65"/>
        <v>0</v>
      </c>
      <c r="L221" s="7">
        <f t="shared" si="66"/>
        <v>0</v>
      </c>
      <c r="M221" t="s">
        <v>187</v>
      </c>
    </row>
    <row r="222" spans="1:13" x14ac:dyDescent="0.25">
      <c r="A222">
        <v>220</v>
      </c>
      <c r="C222" t="s">
        <v>8</v>
      </c>
      <c r="D222" s="4" t="s">
        <v>213</v>
      </c>
      <c r="E222" s="12">
        <v>2.85</v>
      </c>
      <c r="F222" s="12">
        <v>2.85</v>
      </c>
      <c r="G222" s="6">
        <f t="shared" si="62"/>
        <v>0</v>
      </c>
      <c r="H222" s="7">
        <f t="shared" si="63"/>
        <v>0</v>
      </c>
      <c r="I222" s="8">
        <v>7.25</v>
      </c>
      <c r="J222" s="9">
        <f t="shared" si="64"/>
        <v>7.25</v>
      </c>
      <c r="K222" s="3">
        <f t="shared" si="65"/>
        <v>0</v>
      </c>
      <c r="L222" s="7">
        <f t="shared" si="66"/>
        <v>0</v>
      </c>
      <c r="M222" t="s">
        <v>187</v>
      </c>
    </row>
    <row r="223" spans="1:13" x14ac:dyDescent="0.25">
      <c r="A223">
        <v>221</v>
      </c>
      <c r="C223" t="s">
        <v>8</v>
      </c>
      <c r="D223" s="4" t="s">
        <v>465</v>
      </c>
      <c r="E223" s="12">
        <v>2.5099999999999998</v>
      </c>
      <c r="F223" s="12">
        <v>2.5099999999999998</v>
      </c>
      <c r="G223" s="6">
        <f t="shared" si="62"/>
        <v>0</v>
      </c>
      <c r="H223" s="7">
        <f t="shared" si="63"/>
        <v>0</v>
      </c>
      <c r="I223" s="8">
        <v>4.32</v>
      </c>
      <c r="J223" s="9">
        <f t="shared" si="64"/>
        <v>4.32</v>
      </c>
      <c r="K223" s="3">
        <f t="shared" si="65"/>
        <v>0</v>
      </c>
      <c r="L223" s="7">
        <f t="shared" si="66"/>
        <v>0</v>
      </c>
      <c r="M223" t="s">
        <v>187</v>
      </c>
    </row>
    <row r="224" spans="1:13" x14ac:dyDescent="0.25">
      <c r="A224">
        <v>222</v>
      </c>
      <c r="C224" t="s">
        <v>8</v>
      </c>
      <c r="D224" s="4" t="s">
        <v>214</v>
      </c>
      <c r="E224" s="12">
        <v>2.69</v>
      </c>
      <c r="F224" s="12">
        <v>2.69</v>
      </c>
      <c r="G224" s="6">
        <f t="shared" si="62"/>
        <v>0</v>
      </c>
      <c r="H224" s="7">
        <f t="shared" si="63"/>
        <v>0</v>
      </c>
      <c r="I224" s="8">
        <v>4.49</v>
      </c>
      <c r="J224" s="9">
        <f t="shared" si="64"/>
        <v>4.49</v>
      </c>
      <c r="K224" s="3">
        <f t="shared" si="65"/>
        <v>0</v>
      </c>
      <c r="L224" s="7">
        <f t="shared" si="66"/>
        <v>0</v>
      </c>
      <c r="M224" t="s">
        <v>187</v>
      </c>
    </row>
    <row r="225" spans="1:13" x14ac:dyDescent="0.25">
      <c r="A225">
        <v>223</v>
      </c>
      <c r="C225" t="s">
        <v>8</v>
      </c>
      <c r="D225" s="4" t="s">
        <v>215</v>
      </c>
      <c r="E225" s="12">
        <v>0.45</v>
      </c>
      <c r="F225" s="12">
        <v>0.45</v>
      </c>
      <c r="G225" s="6">
        <f t="shared" si="62"/>
        <v>0</v>
      </c>
      <c r="H225" s="7">
        <f t="shared" si="63"/>
        <v>0</v>
      </c>
      <c r="I225" s="8">
        <v>0.70471188480000002</v>
      </c>
      <c r="J225" s="9">
        <f t="shared" si="64"/>
        <v>0.70471188480000002</v>
      </c>
      <c r="K225" s="3">
        <f t="shared" si="65"/>
        <v>0</v>
      </c>
      <c r="L225" s="7">
        <f t="shared" si="66"/>
        <v>0</v>
      </c>
      <c r="M225" t="s">
        <v>187</v>
      </c>
    </row>
    <row r="226" spans="1:13" x14ac:dyDescent="0.25">
      <c r="A226">
        <v>224</v>
      </c>
      <c r="C226" t="s">
        <v>8</v>
      </c>
      <c r="D226" s="4" t="s">
        <v>216</v>
      </c>
      <c r="E226" s="12">
        <v>1.1000000000000001</v>
      </c>
      <c r="F226" s="12">
        <v>1.1000000000000001</v>
      </c>
      <c r="G226" s="6">
        <f t="shared" si="62"/>
        <v>0</v>
      </c>
      <c r="H226" s="7">
        <f t="shared" si="63"/>
        <v>0</v>
      </c>
      <c r="I226" s="8">
        <v>1.23</v>
      </c>
      <c r="J226" s="9">
        <f t="shared" si="64"/>
        <v>1.23</v>
      </c>
      <c r="K226" s="3">
        <f t="shared" si="65"/>
        <v>0</v>
      </c>
      <c r="L226" s="7">
        <f t="shared" si="66"/>
        <v>0</v>
      </c>
      <c r="M226" t="s">
        <v>187</v>
      </c>
    </row>
    <row r="227" spans="1:13" x14ac:dyDescent="0.25">
      <c r="A227">
        <v>225</v>
      </c>
      <c r="C227" t="s">
        <v>8</v>
      </c>
      <c r="D227" s="4" t="s">
        <v>217</v>
      </c>
      <c r="E227" s="12">
        <v>1.1000000000000001</v>
      </c>
      <c r="F227" s="12">
        <v>1.1000000000000001</v>
      </c>
      <c r="G227" s="6">
        <f t="shared" si="62"/>
        <v>0</v>
      </c>
      <c r="H227" s="7">
        <f t="shared" si="63"/>
        <v>0</v>
      </c>
      <c r="I227" s="8">
        <v>1.8621752470588233</v>
      </c>
      <c r="J227" s="9">
        <f t="shared" si="64"/>
        <v>1.8621752470588233</v>
      </c>
      <c r="K227" s="3">
        <f t="shared" si="65"/>
        <v>0</v>
      </c>
      <c r="L227" s="7">
        <f t="shared" si="66"/>
        <v>0</v>
      </c>
      <c r="M227" t="s">
        <v>187</v>
      </c>
    </row>
    <row r="228" spans="1:13" x14ac:dyDescent="0.25">
      <c r="A228">
        <v>226</v>
      </c>
      <c r="C228" t="s">
        <v>8</v>
      </c>
      <c r="D228" s="4" t="s">
        <v>218</v>
      </c>
      <c r="E228" s="12">
        <v>1.28</v>
      </c>
      <c r="F228" s="12">
        <v>1.28</v>
      </c>
      <c r="G228" s="6">
        <f t="shared" si="62"/>
        <v>0</v>
      </c>
      <c r="H228" s="7">
        <f t="shared" si="63"/>
        <v>0</v>
      </c>
      <c r="I228" s="8">
        <v>2.3682151048101265</v>
      </c>
      <c r="J228" s="9">
        <f t="shared" si="64"/>
        <v>2.3682151048101265</v>
      </c>
      <c r="K228" s="3">
        <f t="shared" si="65"/>
        <v>0</v>
      </c>
      <c r="L228" s="7">
        <f t="shared" si="66"/>
        <v>0</v>
      </c>
      <c r="M228" t="s">
        <v>187</v>
      </c>
    </row>
    <row r="229" spans="1:13" x14ac:dyDescent="0.25">
      <c r="A229">
        <v>227</v>
      </c>
      <c r="C229" t="s">
        <v>8</v>
      </c>
      <c r="D229" s="4" t="s">
        <v>219</v>
      </c>
      <c r="E229" s="12">
        <v>2.64</v>
      </c>
      <c r="F229" s="12">
        <v>2.64</v>
      </c>
      <c r="G229" s="6">
        <f t="shared" si="62"/>
        <v>0</v>
      </c>
      <c r="H229" s="7">
        <f t="shared" si="63"/>
        <v>0</v>
      </c>
      <c r="I229" s="8">
        <v>5.58</v>
      </c>
      <c r="J229" s="9">
        <f t="shared" si="64"/>
        <v>5.58</v>
      </c>
      <c r="K229" s="3">
        <f t="shared" si="65"/>
        <v>0</v>
      </c>
      <c r="L229" s="7">
        <f t="shared" si="66"/>
        <v>0</v>
      </c>
      <c r="M229" t="s">
        <v>187</v>
      </c>
    </row>
    <row r="230" spans="1:13" x14ac:dyDescent="0.25">
      <c r="A230">
        <v>228</v>
      </c>
      <c r="C230" t="s">
        <v>8</v>
      </c>
      <c r="D230" s="4" t="s">
        <v>220</v>
      </c>
      <c r="E230" s="12">
        <v>0.09</v>
      </c>
      <c r="F230" s="12">
        <v>0.09</v>
      </c>
      <c r="G230" s="6">
        <f t="shared" si="62"/>
        <v>0</v>
      </c>
      <c r="H230" s="7">
        <f t="shared" si="63"/>
        <v>0</v>
      </c>
      <c r="I230" s="8">
        <v>0.19219415040000001</v>
      </c>
      <c r="J230" s="9">
        <f t="shared" si="64"/>
        <v>0.19219415040000001</v>
      </c>
      <c r="K230" s="3">
        <f t="shared" si="65"/>
        <v>0</v>
      </c>
      <c r="L230" s="7">
        <f t="shared" si="66"/>
        <v>0</v>
      </c>
      <c r="M230" t="s">
        <v>187</v>
      </c>
    </row>
    <row r="231" spans="1:13" x14ac:dyDescent="0.25">
      <c r="A231">
        <v>229</v>
      </c>
      <c r="C231" t="s">
        <v>8</v>
      </c>
      <c r="D231" s="4" t="s">
        <v>221</v>
      </c>
      <c r="E231" s="12">
        <v>1.01</v>
      </c>
      <c r="F231" s="12">
        <v>1.01</v>
      </c>
      <c r="G231" s="6">
        <f t="shared" si="62"/>
        <v>0</v>
      </c>
      <c r="H231" s="7">
        <f t="shared" si="63"/>
        <v>0</v>
      </c>
      <c r="I231" s="8">
        <v>1.6874188799999998</v>
      </c>
      <c r="J231" s="9">
        <f t="shared" si="64"/>
        <v>1.6874188799999998</v>
      </c>
      <c r="K231" s="3">
        <f t="shared" si="65"/>
        <v>0</v>
      </c>
      <c r="L231" s="7">
        <f t="shared" si="66"/>
        <v>0</v>
      </c>
      <c r="M231" t="s">
        <v>187</v>
      </c>
    </row>
    <row r="232" spans="1:13" x14ac:dyDescent="0.25">
      <c r="A232">
        <v>230</v>
      </c>
      <c r="C232" t="s">
        <v>8</v>
      </c>
      <c r="D232" s="4" t="s">
        <v>222</v>
      </c>
      <c r="E232" s="12">
        <v>0.06</v>
      </c>
      <c r="F232" s="12">
        <v>0.06</v>
      </c>
      <c r="G232" s="6">
        <f t="shared" si="62"/>
        <v>0</v>
      </c>
      <c r="H232" s="7">
        <f t="shared" si="63"/>
        <v>0</v>
      </c>
      <c r="I232" s="8">
        <v>2.29</v>
      </c>
      <c r="J232" s="9">
        <f t="shared" si="64"/>
        <v>2.29</v>
      </c>
      <c r="K232" s="3">
        <f t="shared" si="65"/>
        <v>0</v>
      </c>
      <c r="L232" s="7">
        <f t="shared" si="66"/>
        <v>0</v>
      </c>
      <c r="M232" t="s">
        <v>187</v>
      </c>
    </row>
    <row r="233" spans="1:13" x14ac:dyDescent="0.25">
      <c r="A233">
        <v>231</v>
      </c>
      <c r="C233" t="s">
        <v>8</v>
      </c>
      <c r="D233" s="4" t="s">
        <v>223</v>
      </c>
      <c r="E233" s="12">
        <v>4.1399999999999997</v>
      </c>
      <c r="F233" s="12">
        <v>4.1399999999999997</v>
      </c>
      <c r="G233" s="6">
        <f t="shared" si="62"/>
        <v>0</v>
      </c>
      <c r="H233" s="7">
        <f t="shared" si="63"/>
        <v>0</v>
      </c>
      <c r="I233" s="8">
        <v>6.49</v>
      </c>
      <c r="J233" s="9">
        <f t="shared" si="64"/>
        <v>6.49</v>
      </c>
      <c r="K233" s="3">
        <f t="shared" si="65"/>
        <v>0</v>
      </c>
      <c r="L233" s="7">
        <f t="shared" si="66"/>
        <v>0</v>
      </c>
      <c r="M233" t="s">
        <v>187</v>
      </c>
    </row>
    <row r="234" spans="1:13" x14ac:dyDescent="0.25">
      <c r="A234">
        <v>232</v>
      </c>
      <c r="C234" t="s">
        <v>8</v>
      </c>
      <c r="D234" s="4" t="s">
        <v>224</v>
      </c>
      <c r="E234" s="12">
        <v>24.6</v>
      </c>
      <c r="F234" s="12">
        <v>24.6</v>
      </c>
      <c r="G234" s="6">
        <f t="shared" si="62"/>
        <v>0</v>
      </c>
      <c r="H234" s="7">
        <f t="shared" si="63"/>
        <v>0</v>
      </c>
      <c r="I234" s="8">
        <v>37.85520480000001</v>
      </c>
      <c r="J234" s="9">
        <f t="shared" si="64"/>
        <v>37.85520480000001</v>
      </c>
      <c r="K234" s="3">
        <f t="shared" si="65"/>
        <v>0</v>
      </c>
      <c r="L234" s="7">
        <f t="shared" si="66"/>
        <v>0</v>
      </c>
      <c r="M234" t="s">
        <v>187</v>
      </c>
    </row>
    <row r="235" spans="1:13" x14ac:dyDescent="0.25">
      <c r="A235">
        <v>233</v>
      </c>
      <c r="C235" t="s">
        <v>8</v>
      </c>
      <c r="D235" s="4" t="s">
        <v>225</v>
      </c>
      <c r="E235" s="12">
        <v>8.41</v>
      </c>
      <c r="F235" s="12">
        <v>8.41</v>
      </c>
      <c r="G235" s="6">
        <f t="shared" si="62"/>
        <v>0</v>
      </c>
      <c r="H235" s="7">
        <f t="shared" si="63"/>
        <v>0</v>
      </c>
      <c r="I235" s="8">
        <v>17.605379996335873</v>
      </c>
      <c r="J235" s="9">
        <f t="shared" si="64"/>
        <v>17.605379996335873</v>
      </c>
      <c r="K235" s="3">
        <f t="shared" si="65"/>
        <v>0</v>
      </c>
      <c r="L235" s="7">
        <f t="shared" si="66"/>
        <v>0</v>
      </c>
      <c r="M235" t="s">
        <v>187</v>
      </c>
    </row>
    <row r="236" spans="1:13" x14ac:dyDescent="0.25">
      <c r="A236">
        <v>234</v>
      </c>
      <c r="C236" t="s">
        <v>8</v>
      </c>
      <c r="D236" s="4" t="s">
        <v>226</v>
      </c>
      <c r="E236" s="12">
        <v>19.87</v>
      </c>
      <c r="F236" s="12">
        <v>19.87</v>
      </c>
      <c r="G236" s="6">
        <f t="shared" si="62"/>
        <v>0</v>
      </c>
      <c r="H236" s="7">
        <f t="shared" si="63"/>
        <v>0</v>
      </c>
      <c r="I236" s="8">
        <v>37.722017205436892</v>
      </c>
      <c r="J236" s="9">
        <f t="shared" si="64"/>
        <v>37.722017205436892</v>
      </c>
      <c r="K236" s="3">
        <f t="shared" si="65"/>
        <v>0</v>
      </c>
      <c r="L236" s="7">
        <f t="shared" si="66"/>
        <v>0</v>
      </c>
      <c r="M236" t="s">
        <v>187</v>
      </c>
    </row>
    <row r="237" spans="1:13" x14ac:dyDescent="0.25">
      <c r="A237">
        <v>235</v>
      </c>
      <c r="C237" t="s">
        <v>8</v>
      </c>
      <c r="D237" s="4" t="s">
        <v>227</v>
      </c>
      <c r="E237" s="12">
        <v>19.89</v>
      </c>
      <c r="F237" s="12">
        <v>19.89</v>
      </c>
      <c r="G237" s="6">
        <f t="shared" si="62"/>
        <v>0</v>
      </c>
      <c r="H237" s="7">
        <f t="shared" si="63"/>
        <v>0</v>
      </c>
      <c r="I237" s="8">
        <v>39.222494967342996</v>
      </c>
      <c r="J237" s="9">
        <f t="shared" si="64"/>
        <v>39.222494967342996</v>
      </c>
      <c r="K237" s="3">
        <f t="shared" si="65"/>
        <v>0</v>
      </c>
      <c r="L237" s="7">
        <f t="shared" si="66"/>
        <v>0</v>
      </c>
      <c r="M237" t="s">
        <v>187</v>
      </c>
    </row>
    <row r="238" spans="1:13" x14ac:dyDescent="0.25">
      <c r="A238">
        <v>236</v>
      </c>
      <c r="C238" t="s">
        <v>8</v>
      </c>
      <c r="D238" s="4" t="s">
        <v>228</v>
      </c>
      <c r="E238" s="12">
        <v>4.71</v>
      </c>
      <c r="F238" s="12">
        <v>4.71</v>
      </c>
      <c r="G238" s="6">
        <f t="shared" si="62"/>
        <v>0</v>
      </c>
      <c r="H238" s="7">
        <f t="shared" si="63"/>
        <v>0</v>
      </c>
      <c r="I238" s="8">
        <v>11.98</v>
      </c>
      <c r="J238" s="9">
        <f t="shared" si="64"/>
        <v>11.98</v>
      </c>
      <c r="K238" s="3">
        <f t="shared" si="65"/>
        <v>0</v>
      </c>
      <c r="L238" s="7">
        <f t="shared" si="66"/>
        <v>0</v>
      </c>
      <c r="M238" t="s">
        <v>187</v>
      </c>
    </row>
    <row r="239" spans="1:13" x14ac:dyDescent="0.25">
      <c r="A239">
        <v>237</v>
      </c>
      <c r="C239" t="s">
        <v>8</v>
      </c>
      <c r="D239" s="4" t="s">
        <v>229</v>
      </c>
      <c r="E239" s="12">
        <v>51.79</v>
      </c>
      <c r="F239" s="12">
        <v>51.79</v>
      </c>
      <c r="G239" s="6">
        <f t="shared" si="62"/>
        <v>0</v>
      </c>
      <c r="H239" s="7">
        <f t="shared" si="63"/>
        <v>0</v>
      </c>
      <c r="I239" s="8">
        <v>79.680000000000007</v>
      </c>
      <c r="J239" s="9">
        <f t="shared" si="64"/>
        <v>79.680000000000007</v>
      </c>
      <c r="K239" s="3">
        <f t="shared" si="65"/>
        <v>0</v>
      </c>
      <c r="L239" s="7">
        <f t="shared" si="66"/>
        <v>0</v>
      </c>
      <c r="M239" t="s">
        <v>187</v>
      </c>
    </row>
    <row r="240" spans="1:13" x14ac:dyDescent="0.25">
      <c r="A240">
        <v>238</v>
      </c>
      <c r="C240" t="s">
        <v>8</v>
      </c>
      <c r="D240" s="4" t="s">
        <v>230</v>
      </c>
      <c r="E240" s="12">
        <v>9.76</v>
      </c>
      <c r="F240" s="12">
        <v>9.76</v>
      </c>
      <c r="G240" s="6">
        <f t="shared" si="62"/>
        <v>0</v>
      </c>
      <c r="H240" s="7">
        <f t="shared" si="63"/>
        <v>0</v>
      </c>
      <c r="I240" s="8">
        <v>19.82</v>
      </c>
      <c r="J240" s="9">
        <f t="shared" si="64"/>
        <v>19.82</v>
      </c>
      <c r="K240" s="3">
        <f t="shared" si="65"/>
        <v>0</v>
      </c>
      <c r="L240" s="7">
        <f t="shared" si="66"/>
        <v>0</v>
      </c>
      <c r="M240" t="s">
        <v>187</v>
      </c>
    </row>
    <row r="241" spans="1:13" x14ac:dyDescent="0.25">
      <c r="A241">
        <v>239</v>
      </c>
      <c r="C241" t="s">
        <v>8</v>
      </c>
      <c r="D241" s="4" t="s">
        <v>231</v>
      </c>
      <c r="E241" s="12">
        <v>2.87</v>
      </c>
      <c r="F241" s="12">
        <v>2.87</v>
      </c>
      <c r="G241" s="6">
        <f t="shared" si="62"/>
        <v>0</v>
      </c>
      <c r="H241" s="7">
        <f t="shared" si="63"/>
        <v>0</v>
      </c>
      <c r="I241" s="8">
        <v>5.82</v>
      </c>
      <c r="J241" s="9">
        <f t="shared" si="64"/>
        <v>5.82</v>
      </c>
      <c r="K241" s="3">
        <f t="shared" si="65"/>
        <v>0</v>
      </c>
      <c r="L241" s="7">
        <f t="shared" si="66"/>
        <v>0</v>
      </c>
      <c r="M241" t="s">
        <v>187</v>
      </c>
    </row>
    <row r="242" spans="1:13" x14ac:dyDescent="0.25">
      <c r="A242">
        <v>240</v>
      </c>
      <c r="D242" s="2" t="s">
        <v>232</v>
      </c>
      <c r="H242" s="10">
        <f>AVERAGE(H194:H237)</f>
        <v>0</v>
      </c>
      <c r="I242"/>
    </row>
    <row r="243" spans="1:13" x14ac:dyDescent="0.25">
      <c r="A243">
        <v>241</v>
      </c>
      <c r="D243" s="2" t="s">
        <v>233</v>
      </c>
      <c r="I243"/>
      <c r="M243" t="s">
        <v>234</v>
      </c>
    </row>
    <row r="244" spans="1:13" x14ac:dyDescent="0.25">
      <c r="A244">
        <v>242</v>
      </c>
      <c r="C244" t="s">
        <v>8</v>
      </c>
      <c r="D244" s="4" t="s">
        <v>235</v>
      </c>
      <c r="E244" s="12">
        <v>19.32</v>
      </c>
      <c r="F244" s="12">
        <v>19.32</v>
      </c>
      <c r="G244" s="6">
        <f t="shared" ref="G244:G248" si="67">+F244-E244</f>
        <v>0</v>
      </c>
      <c r="H244" s="7">
        <f t="shared" ref="H244:H248" si="68">(F244-E244)/ABS(E244)</f>
        <v>0</v>
      </c>
      <c r="I244" s="8">
        <v>43.363738242210459</v>
      </c>
      <c r="J244" s="9">
        <f t="shared" ref="J244:J248" si="69">(I244*H244)+I244</f>
        <v>43.363738242210459</v>
      </c>
      <c r="K244" s="3">
        <f t="shared" ref="K244:K248" si="70">J244-I244</f>
        <v>0</v>
      </c>
      <c r="L244" s="7">
        <f t="shared" ref="L244:L248" si="71">(J244-I244)/ABS(I244)</f>
        <v>0</v>
      </c>
      <c r="M244" t="s">
        <v>234</v>
      </c>
    </row>
    <row r="245" spans="1:13" x14ac:dyDescent="0.25">
      <c r="A245">
        <v>243</v>
      </c>
      <c r="C245" t="s">
        <v>8</v>
      </c>
      <c r="D245" s="4" t="s">
        <v>236</v>
      </c>
      <c r="E245" s="12">
        <v>25.76</v>
      </c>
      <c r="F245" s="12">
        <v>25.76</v>
      </c>
      <c r="G245" s="6">
        <f t="shared" si="67"/>
        <v>0</v>
      </c>
      <c r="H245" s="7">
        <f t="shared" si="68"/>
        <v>0</v>
      </c>
      <c r="I245" s="8">
        <v>54.72</v>
      </c>
      <c r="J245" s="9">
        <f t="shared" si="69"/>
        <v>54.72</v>
      </c>
      <c r="K245" s="3">
        <f t="shared" si="70"/>
        <v>0</v>
      </c>
      <c r="L245" s="7">
        <f t="shared" si="71"/>
        <v>0</v>
      </c>
      <c r="M245" t="s">
        <v>234</v>
      </c>
    </row>
    <row r="246" spans="1:13" x14ac:dyDescent="0.25">
      <c r="A246">
        <v>244</v>
      </c>
      <c r="C246" t="s">
        <v>8</v>
      </c>
      <c r="D246" s="4" t="s">
        <v>237</v>
      </c>
      <c r="E246" s="12">
        <v>26.28</v>
      </c>
      <c r="F246" s="12">
        <v>26.28</v>
      </c>
      <c r="G246" s="6">
        <f t="shared" si="67"/>
        <v>0</v>
      </c>
      <c r="H246" s="7">
        <f t="shared" si="68"/>
        <v>0</v>
      </c>
      <c r="I246" s="8">
        <v>41.047300934300516</v>
      </c>
      <c r="J246" s="9">
        <f t="shared" si="69"/>
        <v>41.047300934300516</v>
      </c>
      <c r="K246" s="3">
        <f t="shared" si="70"/>
        <v>0</v>
      </c>
      <c r="L246" s="7">
        <f t="shared" si="71"/>
        <v>0</v>
      </c>
      <c r="M246" t="s">
        <v>234</v>
      </c>
    </row>
    <row r="247" spans="1:13" x14ac:dyDescent="0.25">
      <c r="A247">
        <v>245</v>
      </c>
      <c r="C247" t="s">
        <v>8</v>
      </c>
      <c r="D247" s="4" t="s">
        <v>238</v>
      </c>
      <c r="E247" s="12">
        <v>35.04</v>
      </c>
      <c r="F247" s="12">
        <v>35.04</v>
      </c>
      <c r="G247" s="6">
        <f t="shared" si="67"/>
        <v>0</v>
      </c>
      <c r="H247" s="7">
        <f t="shared" si="68"/>
        <v>0</v>
      </c>
      <c r="I247" s="8">
        <v>54.724364707150258</v>
      </c>
      <c r="J247" s="9">
        <f t="shared" si="69"/>
        <v>54.724364707150258</v>
      </c>
      <c r="K247" s="3">
        <f t="shared" si="70"/>
        <v>0</v>
      </c>
      <c r="L247" s="7">
        <f t="shared" si="71"/>
        <v>0</v>
      </c>
      <c r="M247" t="s">
        <v>234</v>
      </c>
    </row>
    <row r="248" spans="1:13" x14ac:dyDescent="0.25">
      <c r="A248">
        <v>246</v>
      </c>
      <c r="C248" t="s">
        <v>8</v>
      </c>
      <c r="D248" s="4" t="s">
        <v>239</v>
      </c>
      <c r="E248" s="12">
        <v>43.8</v>
      </c>
      <c r="F248" s="12">
        <v>43.8</v>
      </c>
      <c r="G248" s="6">
        <f t="shared" si="67"/>
        <v>0</v>
      </c>
      <c r="H248" s="7">
        <f t="shared" si="68"/>
        <v>0</v>
      </c>
      <c r="I248" s="8">
        <v>68.401428479999993</v>
      </c>
      <c r="J248" s="9">
        <f t="shared" si="69"/>
        <v>68.401428479999993</v>
      </c>
      <c r="K248" s="3">
        <f t="shared" si="70"/>
        <v>0</v>
      </c>
      <c r="L248" s="7">
        <f t="shared" si="71"/>
        <v>0</v>
      </c>
      <c r="M248" t="s">
        <v>234</v>
      </c>
    </row>
    <row r="249" spans="1:13" x14ac:dyDescent="0.25">
      <c r="A249">
        <v>247</v>
      </c>
      <c r="D249" s="2" t="s">
        <v>240</v>
      </c>
      <c r="H249" s="10">
        <f>AVERAGE(H244:H248)</f>
        <v>0</v>
      </c>
      <c r="I249"/>
    </row>
    <row r="250" spans="1:13" x14ac:dyDescent="0.25">
      <c r="A250">
        <v>248</v>
      </c>
      <c r="D250" s="2" t="s">
        <v>241</v>
      </c>
      <c r="I250"/>
    </row>
    <row r="251" spans="1:13" x14ac:dyDescent="0.25">
      <c r="A251">
        <v>249</v>
      </c>
      <c r="C251" t="s">
        <v>8</v>
      </c>
      <c r="D251" s="4" t="s">
        <v>242</v>
      </c>
      <c r="E251" s="12">
        <v>8.2200000000000006</v>
      </c>
      <c r="F251" s="11">
        <v>8.2200000000000006</v>
      </c>
      <c r="G251" s="6">
        <f t="shared" ref="G251:G295" si="72">+F251-E251</f>
        <v>0</v>
      </c>
      <c r="H251" s="7">
        <f t="shared" ref="H251:H295" si="73">(F251-E251)/ABS(E251)</f>
        <v>0</v>
      </c>
      <c r="I251" s="8">
        <v>28.54202272220985</v>
      </c>
      <c r="J251" s="9">
        <f t="shared" ref="J251:J295" si="74">(I251*H251)+I251</f>
        <v>28.54202272220985</v>
      </c>
      <c r="K251" s="3">
        <f t="shared" ref="K251:K295" si="75">J251-I251</f>
        <v>0</v>
      </c>
      <c r="L251" s="7">
        <f t="shared" ref="L251:L295" si="76">(J251-I251)/ABS(I251)</f>
        <v>0</v>
      </c>
      <c r="M251" t="s">
        <v>150</v>
      </c>
    </row>
    <row r="252" spans="1:13" x14ac:dyDescent="0.25">
      <c r="A252">
        <v>250</v>
      </c>
      <c r="C252" t="s">
        <v>8</v>
      </c>
      <c r="D252" s="4" t="s">
        <v>243</v>
      </c>
      <c r="E252" s="12">
        <v>7.68</v>
      </c>
      <c r="F252" s="11">
        <v>7.68</v>
      </c>
      <c r="G252" s="6">
        <f t="shared" si="72"/>
        <v>0</v>
      </c>
      <c r="H252" s="7">
        <f t="shared" si="73"/>
        <v>0</v>
      </c>
      <c r="I252" s="8">
        <v>16.421831032972253</v>
      </c>
      <c r="J252" s="9">
        <f t="shared" si="74"/>
        <v>16.421831032972253</v>
      </c>
      <c r="K252" s="3">
        <f t="shared" si="75"/>
        <v>0</v>
      </c>
      <c r="L252" s="7">
        <f t="shared" si="76"/>
        <v>0</v>
      </c>
      <c r="M252" t="s">
        <v>150</v>
      </c>
    </row>
    <row r="253" spans="1:13" x14ac:dyDescent="0.25">
      <c r="A253">
        <v>251</v>
      </c>
      <c r="C253" t="s">
        <v>8</v>
      </c>
      <c r="D253" s="4" t="s">
        <v>244</v>
      </c>
      <c r="E253" s="12">
        <v>54.2</v>
      </c>
      <c r="F253" s="12">
        <v>54.2</v>
      </c>
      <c r="G253" s="6">
        <f t="shared" si="72"/>
        <v>0</v>
      </c>
      <c r="H253" s="7">
        <f t="shared" si="73"/>
        <v>0</v>
      </c>
      <c r="I253" s="8">
        <v>77.863720000000001</v>
      </c>
      <c r="J253" s="9">
        <f t="shared" si="74"/>
        <v>77.863720000000001</v>
      </c>
      <c r="K253" s="3">
        <f t="shared" si="75"/>
        <v>0</v>
      </c>
      <c r="L253" s="7">
        <f t="shared" si="76"/>
        <v>0</v>
      </c>
      <c r="M253" t="s">
        <v>150</v>
      </c>
    </row>
    <row r="254" spans="1:13" x14ac:dyDescent="0.25">
      <c r="A254">
        <v>252</v>
      </c>
      <c r="C254" t="s">
        <v>8</v>
      </c>
      <c r="D254" s="4" t="s">
        <v>245</v>
      </c>
      <c r="E254" s="12">
        <v>3.52</v>
      </c>
      <c r="F254" s="12">
        <v>3.52</v>
      </c>
      <c r="G254" s="6">
        <f t="shared" si="72"/>
        <v>0</v>
      </c>
      <c r="H254" s="7">
        <f t="shared" si="73"/>
        <v>0</v>
      </c>
      <c r="I254" s="8">
        <v>7.3066666666666666</v>
      </c>
      <c r="J254" s="9">
        <f t="shared" si="74"/>
        <v>7.3066666666666666</v>
      </c>
      <c r="K254" s="3">
        <f t="shared" si="75"/>
        <v>0</v>
      </c>
      <c r="L254" s="7">
        <f t="shared" si="76"/>
        <v>0</v>
      </c>
      <c r="M254" t="s">
        <v>150</v>
      </c>
    </row>
    <row r="255" spans="1:13" x14ac:dyDescent="0.25">
      <c r="A255">
        <v>253</v>
      </c>
      <c r="C255" t="s">
        <v>8</v>
      </c>
      <c r="D255" s="4" t="s">
        <v>246</v>
      </c>
      <c r="E255" s="12">
        <v>7.34</v>
      </c>
      <c r="F255" s="11">
        <v>7.34</v>
      </c>
      <c r="G255" s="6">
        <f t="shared" si="72"/>
        <v>0</v>
      </c>
      <c r="H255" s="7">
        <f t="shared" si="73"/>
        <v>0</v>
      </c>
      <c r="I255" s="8">
        <v>27.961904761904762</v>
      </c>
      <c r="J255" s="9">
        <f t="shared" si="74"/>
        <v>27.961904761904762</v>
      </c>
      <c r="K255" s="3">
        <f t="shared" si="75"/>
        <v>0</v>
      </c>
      <c r="L255" s="7">
        <f t="shared" si="76"/>
        <v>0</v>
      </c>
      <c r="M255" t="s">
        <v>150</v>
      </c>
    </row>
    <row r="256" spans="1:13" x14ac:dyDescent="0.25">
      <c r="A256">
        <v>254</v>
      </c>
      <c r="C256" t="s">
        <v>8</v>
      </c>
      <c r="D256" s="4" t="s">
        <v>247</v>
      </c>
      <c r="E256" s="12">
        <v>13.75</v>
      </c>
      <c r="F256" s="12">
        <v>13.75</v>
      </c>
      <c r="G256" s="6">
        <f t="shared" si="72"/>
        <v>0</v>
      </c>
      <c r="H256" s="7">
        <f t="shared" si="73"/>
        <v>0</v>
      </c>
      <c r="I256" s="8">
        <v>17.348837209302324</v>
      </c>
      <c r="J256" s="9">
        <f t="shared" si="74"/>
        <v>17.348837209302324</v>
      </c>
      <c r="K256" s="3">
        <f t="shared" si="75"/>
        <v>0</v>
      </c>
      <c r="L256" s="7">
        <f t="shared" si="76"/>
        <v>0</v>
      </c>
      <c r="M256" t="s">
        <v>150</v>
      </c>
    </row>
    <row r="257" spans="1:13" x14ac:dyDescent="0.25">
      <c r="A257">
        <v>255</v>
      </c>
      <c r="C257" t="s">
        <v>8</v>
      </c>
      <c r="D257" s="4" t="s">
        <v>248</v>
      </c>
      <c r="E257" s="12">
        <v>10.25</v>
      </c>
      <c r="F257" s="12">
        <v>10.25</v>
      </c>
      <c r="G257" s="6">
        <f t="shared" si="72"/>
        <v>0</v>
      </c>
      <c r="H257" s="7">
        <f t="shared" si="73"/>
        <v>0</v>
      </c>
      <c r="I257" s="8">
        <v>13.461538461538462</v>
      </c>
      <c r="J257" s="9">
        <f t="shared" si="74"/>
        <v>13.461538461538462</v>
      </c>
      <c r="K257" s="3">
        <f t="shared" si="75"/>
        <v>0</v>
      </c>
      <c r="L257" s="7">
        <f t="shared" si="76"/>
        <v>0</v>
      </c>
      <c r="M257" t="s">
        <v>150</v>
      </c>
    </row>
    <row r="258" spans="1:13" x14ac:dyDescent="0.25">
      <c r="A258">
        <v>256</v>
      </c>
      <c r="C258" t="s">
        <v>8</v>
      </c>
      <c r="D258" s="4" t="s">
        <v>249</v>
      </c>
      <c r="E258" s="12">
        <v>5.75</v>
      </c>
      <c r="F258" s="12">
        <v>5.75</v>
      </c>
      <c r="G258" s="6">
        <f t="shared" si="72"/>
        <v>0</v>
      </c>
      <c r="H258" s="7">
        <f t="shared" si="73"/>
        <v>0</v>
      </c>
      <c r="I258" s="8">
        <v>15.717408000000002</v>
      </c>
      <c r="J258" s="9">
        <f t="shared" si="74"/>
        <v>15.717408000000002</v>
      </c>
      <c r="K258" s="3">
        <f t="shared" si="75"/>
        <v>0</v>
      </c>
      <c r="L258" s="7">
        <f t="shared" si="76"/>
        <v>0</v>
      </c>
      <c r="M258" t="s">
        <v>187</v>
      </c>
    </row>
    <row r="259" spans="1:13" x14ac:dyDescent="0.25">
      <c r="A259">
        <v>257</v>
      </c>
      <c r="C259" t="s">
        <v>8</v>
      </c>
      <c r="D259" s="4" t="s">
        <v>250</v>
      </c>
      <c r="E259" s="12">
        <v>18.22</v>
      </c>
      <c r="F259" s="5">
        <v>18.22</v>
      </c>
      <c r="G259" s="6">
        <f t="shared" si="72"/>
        <v>0</v>
      </c>
      <c r="H259" s="7">
        <f t="shared" si="73"/>
        <v>0</v>
      </c>
      <c r="I259" s="8">
        <v>36.44</v>
      </c>
      <c r="J259" s="9">
        <f t="shared" si="74"/>
        <v>36.44</v>
      </c>
      <c r="K259" s="3">
        <f t="shared" si="75"/>
        <v>0</v>
      </c>
      <c r="L259" s="7">
        <f t="shared" si="76"/>
        <v>0</v>
      </c>
      <c r="M259" t="s">
        <v>150</v>
      </c>
    </row>
    <row r="260" spans="1:13" x14ac:dyDescent="0.25">
      <c r="A260">
        <v>258</v>
      </c>
      <c r="C260" t="s">
        <v>8</v>
      </c>
      <c r="D260" s="4" t="s">
        <v>251</v>
      </c>
      <c r="E260" s="12">
        <v>2.21</v>
      </c>
      <c r="F260" s="5">
        <v>2.21</v>
      </c>
      <c r="G260" s="6">
        <f t="shared" si="72"/>
        <v>0</v>
      </c>
      <c r="H260" s="7">
        <f t="shared" si="73"/>
        <v>0</v>
      </c>
      <c r="I260" s="8">
        <v>4.5939072847682123</v>
      </c>
      <c r="J260" s="9">
        <f t="shared" si="74"/>
        <v>4.5939072847682123</v>
      </c>
      <c r="K260" s="3">
        <f t="shared" si="75"/>
        <v>0</v>
      </c>
      <c r="L260" s="7">
        <f t="shared" si="76"/>
        <v>0</v>
      </c>
      <c r="M260" t="s">
        <v>150</v>
      </c>
    </row>
    <row r="261" spans="1:13" x14ac:dyDescent="0.25">
      <c r="A261">
        <v>259</v>
      </c>
      <c r="C261" t="s">
        <v>8</v>
      </c>
      <c r="D261" s="4" t="s">
        <v>252</v>
      </c>
      <c r="E261" s="12">
        <v>3.3</v>
      </c>
      <c r="F261" s="5">
        <v>3.3</v>
      </c>
      <c r="G261" s="6">
        <f t="shared" si="72"/>
        <v>0</v>
      </c>
      <c r="H261" s="7">
        <f t="shared" si="73"/>
        <v>0</v>
      </c>
      <c r="I261" s="8">
        <v>7.177170731707319</v>
      </c>
      <c r="J261" s="9">
        <f t="shared" si="74"/>
        <v>7.177170731707319</v>
      </c>
      <c r="K261" s="3">
        <f t="shared" si="75"/>
        <v>0</v>
      </c>
      <c r="L261" s="7">
        <f t="shared" si="76"/>
        <v>0</v>
      </c>
      <c r="M261" t="s">
        <v>150</v>
      </c>
    </row>
    <row r="262" spans="1:13" x14ac:dyDescent="0.25">
      <c r="A262">
        <v>260</v>
      </c>
      <c r="C262" t="s">
        <v>8</v>
      </c>
      <c r="D262" s="4" t="s">
        <v>253</v>
      </c>
      <c r="E262" s="12">
        <v>123.23</v>
      </c>
      <c r="F262" s="12">
        <v>123.23</v>
      </c>
      <c r="G262" s="6">
        <f t="shared" si="72"/>
        <v>0</v>
      </c>
      <c r="H262" s="7">
        <f t="shared" si="73"/>
        <v>0</v>
      </c>
      <c r="I262" s="8">
        <v>262.95999999999998</v>
      </c>
      <c r="J262" s="9">
        <f t="shared" si="74"/>
        <v>262.95999999999998</v>
      </c>
      <c r="K262" s="3">
        <f t="shared" si="75"/>
        <v>0</v>
      </c>
      <c r="L262" s="7">
        <f t="shared" si="76"/>
        <v>0</v>
      </c>
      <c r="M262" t="s">
        <v>150</v>
      </c>
    </row>
    <row r="263" spans="1:13" x14ac:dyDescent="0.25">
      <c r="A263">
        <v>261</v>
      </c>
      <c r="C263" t="s">
        <v>8</v>
      </c>
      <c r="D263" s="4" t="s">
        <v>254</v>
      </c>
      <c r="E263" s="12">
        <v>121.84</v>
      </c>
      <c r="F263" s="12">
        <v>121.84</v>
      </c>
      <c r="G263" s="6">
        <f t="shared" si="72"/>
        <v>0</v>
      </c>
      <c r="H263" s="7">
        <f t="shared" si="73"/>
        <v>0</v>
      </c>
      <c r="I263" s="8">
        <v>219.99</v>
      </c>
      <c r="J263" s="9">
        <f t="shared" si="74"/>
        <v>219.99</v>
      </c>
      <c r="K263" s="3">
        <f t="shared" si="75"/>
        <v>0</v>
      </c>
      <c r="L263" s="7">
        <f t="shared" si="76"/>
        <v>0</v>
      </c>
      <c r="M263" t="s">
        <v>150</v>
      </c>
    </row>
    <row r="264" spans="1:13" x14ac:dyDescent="0.25">
      <c r="A264">
        <v>262</v>
      </c>
      <c r="C264" t="s">
        <v>8</v>
      </c>
      <c r="D264" s="4" t="s">
        <v>255</v>
      </c>
      <c r="E264" s="5">
        <v>10.8</v>
      </c>
      <c r="F264" s="5">
        <v>10.8</v>
      </c>
      <c r="G264" s="6">
        <f t="shared" si="72"/>
        <v>0</v>
      </c>
      <c r="H264" s="7">
        <f t="shared" si="73"/>
        <v>0</v>
      </c>
      <c r="I264" s="8">
        <v>23.043154761904759</v>
      </c>
      <c r="J264" s="9">
        <f t="shared" si="74"/>
        <v>23.043154761904759</v>
      </c>
      <c r="K264" s="3">
        <f t="shared" si="75"/>
        <v>0</v>
      </c>
      <c r="L264" s="7">
        <f t="shared" si="76"/>
        <v>0</v>
      </c>
      <c r="M264" s="7" t="s">
        <v>150</v>
      </c>
    </row>
    <row r="265" spans="1:13" x14ac:dyDescent="0.25">
      <c r="A265">
        <v>263</v>
      </c>
      <c r="C265" t="s">
        <v>8</v>
      </c>
      <c r="D265" s="4" t="s">
        <v>256</v>
      </c>
      <c r="E265" s="5">
        <v>12.96</v>
      </c>
      <c r="F265" s="5">
        <v>12.96</v>
      </c>
      <c r="G265" s="6">
        <f t="shared" si="72"/>
        <v>0</v>
      </c>
      <c r="H265" s="7">
        <f t="shared" si="73"/>
        <v>0</v>
      </c>
      <c r="I265" s="8">
        <v>30.49</v>
      </c>
      <c r="J265" s="9">
        <f t="shared" si="74"/>
        <v>30.49</v>
      </c>
      <c r="K265" s="3">
        <f t="shared" si="75"/>
        <v>0</v>
      </c>
      <c r="L265" s="7">
        <f t="shared" si="76"/>
        <v>0</v>
      </c>
      <c r="M265" s="7" t="s">
        <v>150</v>
      </c>
    </row>
    <row r="266" spans="1:13" x14ac:dyDescent="0.25">
      <c r="A266">
        <v>264</v>
      </c>
      <c r="C266" t="s">
        <v>8</v>
      </c>
      <c r="D266" s="4" t="s">
        <v>257</v>
      </c>
      <c r="E266" s="5">
        <v>10.8</v>
      </c>
      <c r="F266" s="5">
        <v>10.8</v>
      </c>
      <c r="G266" s="6">
        <f t="shared" si="72"/>
        <v>0</v>
      </c>
      <c r="H266" s="7">
        <f t="shared" si="73"/>
        <v>0</v>
      </c>
      <c r="I266" s="8">
        <v>23.043154761904759</v>
      </c>
      <c r="J266" s="9">
        <f t="shared" si="74"/>
        <v>23.043154761904759</v>
      </c>
      <c r="K266" s="3">
        <f t="shared" si="75"/>
        <v>0</v>
      </c>
      <c r="L266" s="7">
        <f t="shared" si="76"/>
        <v>0</v>
      </c>
      <c r="M266" t="s">
        <v>150</v>
      </c>
    </row>
    <row r="267" spans="1:13" x14ac:dyDescent="0.25">
      <c r="A267">
        <v>265</v>
      </c>
      <c r="C267" t="s">
        <v>8</v>
      </c>
      <c r="D267" s="4" t="s">
        <v>258</v>
      </c>
      <c r="E267" s="5">
        <v>3.44</v>
      </c>
      <c r="F267" s="5">
        <v>3.44</v>
      </c>
      <c r="G267" s="6">
        <f t="shared" si="72"/>
        <v>0</v>
      </c>
      <c r="H267" s="7">
        <f t="shared" si="73"/>
        <v>0</v>
      </c>
      <c r="I267" s="8">
        <v>6.5289583333333336</v>
      </c>
      <c r="J267" s="9">
        <f t="shared" si="74"/>
        <v>6.5289583333333336</v>
      </c>
      <c r="K267" s="3">
        <f t="shared" si="75"/>
        <v>0</v>
      </c>
      <c r="L267" s="7">
        <f t="shared" si="76"/>
        <v>0</v>
      </c>
      <c r="M267" t="s">
        <v>150</v>
      </c>
    </row>
    <row r="268" spans="1:13" x14ac:dyDescent="0.25">
      <c r="A268">
        <v>266</v>
      </c>
      <c r="C268" t="s">
        <v>8</v>
      </c>
      <c r="D268" s="4" t="s">
        <v>259</v>
      </c>
      <c r="E268" s="5">
        <v>2.64</v>
      </c>
      <c r="F268" s="5">
        <v>2.64</v>
      </c>
      <c r="G268" s="6">
        <f t="shared" si="72"/>
        <v>0</v>
      </c>
      <c r="H268" s="7">
        <f t="shared" si="73"/>
        <v>0</v>
      </c>
      <c r="I268" s="8">
        <v>5.9648076923076916</v>
      </c>
      <c r="J268" s="9">
        <f t="shared" si="74"/>
        <v>5.9648076923076916</v>
      </c>
      <c r="K268" s="3">
        <f t="shared" si="75"/>
        <v>0</v>
      </c>
      <c r="L268" s="7">
        <f t="shared" si="76"/>
        <v>0</v>
      </c>
      <c r="M268" t="s">
        <v>150</v>
      </c>
    </row>
    <row r="269" spans="1:13" x14ac:dyDescent="0.25">
      <c r="A269">
        <v>267</v>
      </c>
      <c r="C269" t="s">
        <v>8</v>
      </c>
      <c r="D269" s="4" t="s">
        <v>260</v>
      </c>
      <c r="E269" s="5">
        <v>2.64</v>
      </c>
      <c r="F269" s="5">
        <v>2.64</v>
      </c>
      <c r="G269" s="6">
        <f t="shared" si="72"/>
        <v>0</v>
      </c>
      <c r="H269" s="7">
        <f t="shared" si="73"/>
        <v>0</v>
      </c>
      <c r="I269" s="8">
        <v>4.9814285714285704</v>
      </c>
      <c r="J269" s="9">
        <f t="shared" si="74"/>
        <v>4.9814285714285704</v>
      </c>
      <c r="K269" s="3">
        <f t="shared" si="75"/>
        <v>0</v>
      </c>
      <c r="L269" s="7">
        <f t="shared" si="76"/>
        <v>0</v>
      </c>
      <c r="M269" t="s">
        <v>150</v>
      </c>
    </row>
    <row r="270" spans="1:13" x14ac:dyDescent="0.25">
      <c r="A270">
        <v>268</v>
      </c>
      <c r="C270" t="s">
        <v>8</v>
      </c>
      <c r="D270" s="4" t="s">
        <v>261</v>
      </c>
      <c r="E270" s="5">
        <v>3.6</v>
      </c>
      <c r="F270" s="5">
        <v>3.6</v>
      </c>
      <c r="G270" s="6">
        <f t="shared" si="72"/>
        <v>0</v>
      </c>
      <c r="H270" s="7">
        <f t="shared" si="73"/>
        <v>0</v>
      </c>
      <c r="I270" s="8">
        <v>6.3735069444444443</v>
      </c>
      <c r="J270" s="9">
        <f t="shared" si="74"/>
        <v>6.3735069444444443</v>
      </c>
      <c r="K270" s="3">
        <f t="shared" si="75"/>
        <v>0</v>
      </c>
      <c r="L270" s="7">
        <f t="shared" si="76"/>
        <v>0</v>
      </c>
      <c r="M270" t="s">
        <v>150</v>
      </c>
    </row>
    <row r="271" spans="1:13" x14ac:dyDescent="0.25">
      <c r="A271">
        <v>269</v>
      </c>
      <c r="C271" t="s">
        <v>8</v>
      </c>
      <c r="D271" s="4" t="s">
        <v>262</v>
      </c>
      <c r="E271" s="5">
        <v>3.2</v>
      </c>
      <c r="F271" s="5">
        <v>3.2</v>
      </c>
      <c r="G271" s="6">
        <f t="shared" si="72"/>
        <v>0</v>
      </c>
      <c r="H271" s="7">
        <f t="shared" si="73"/>
        <v>0</v>
      </c>
      <c r="I271" s="8">
        <v>9.5772187500000001</v>
      </c>
      <c r="J271" s="9">
        <f t="shared" si="74"/>
        <v>9.5772187500000001</v>
      </c>
      <c r="K271" s="3">
        <f t="shared" si="75"/>
        <v>0</v>
      </c>
      <c r="L271" s="7">
        <f t="shared" si="76"/>
        <v>0</v>
      </c>
      <c r="M271" t="s">
        <v>150</v>
      </c>
    </row>
    <row r="272" spans="1:13" x14ac:dyDescent="0.25">
      <c r="A272">
        <v>270</v>
      </c>
      <c r="C272" t="s">
        <v>8</v>
      </c>
      <c r="D272" s="4" t="s">
        <v>263</v>
      </c>
      <c r="E272" s="5">
        <v>3.2</v>
      </c>
      <c r="F272" s="5">
        <v>3.2</v>
      </c>
      <c r="G272" s="6">
        <f t="shared" si="72"/>
        <v>0</v>
      </c>
      <c r="H272" s="7">
        <f t="shared" si="73"/>
        <v>0</v>
      </c>
      <c r="I272" s="8">
        <v>6.3735069444444443</v>
      </c>
      <c r="J272" s="9">
        <f t="shared" si="74"/>
        <v>6.3735069444444443</v>
      </c>
      <c r="K272" s="3">
        <f t="shared" si="75"/>
        <v>0</v>
      </c>
      <c r="L272" s="7">
        <f t="shared" si="76"/>
        <v>0</v>
      </c>
      <c r="M272" t="s">
        <v>150</v>
      </c>
    </row>
    <row r="273" spans="1:13" x14ac:dyDescent="0.25">
      <c r="A273">
        <v>271</v>
      </c>
      <c r="C273" t="s">
        <v>8</v>
      </c>
      <c r="D273" s="4" t="s">
        <v>264</v>
      </c>
      <c r="E273" s="12">
        <v>34.130000000000003</v>
      </c>
      <c r="F273" s="11">
        <v>34.130000000000003</v>
      </c>
      <c r="G273" s="6">
        <f t="shared" si="72"/>
        <v>0</v>
      </c>
      <c r="H273" s="7">
        <f t="shared" si="73"/>
        <v>0</v>
      </c>
      <c r="I273" s="8">
        <v>83.99904491032467</v>
      </c>
      <c r="J273" s="9">
        <f t="shared" si="74"/>
        <v>83.99904491032467</v>
      </c>
      <c r="K273" s="3">
        <f t="shared" si="75"/>
        <v>0</v>
      </c>
      <c r="L273" s="7">
        <f t="shared" si="76"/>
        <v>0</v>
      </c>
      <c r="M273" t="s">
        <v>150</v>
      </c>
    </row>
    <row r="274" spans="1:13" x14ac:dyDescent="0.25">
      <c r="A274">
        <v>272</v>
      </c>
      <c r="C274" t="s">
        <v>8</v>
      </c>
      <c r="D274" s="4" t="s">
        <v>265</v>
      </c>
      <c r="E274" s="12">
        <v>40.14</v>
      </c>
      <c r="F274" s="11">
        <v>40.14</v>
      </c>
      <c r="G274" s="6">
        <f t="shared" si="72"/>
        <v>0</v>
      </c>
      <c r="H274" s="7">
        <f t="shared" si="73"/>
        <v>0</v>
      </c>
      <c r="I274" s="8">
        <v>100.73811614890289</v>
      </c>
      <c r="J274" s="9">
        <f t="shared" si="74"/>
        <v>100.73811614890289</v>
      </c>
      <c r="K274" s="3">
        <f t="shared" si="75"/>
        <v>0</v>
      </c>
      <c r="L274" s="7">
        <f t="shared" si="76"/>
        <v>0</v>
      </c>
      <c r="M274" t="s">
        <v>150</v>
      </c>
    </row>
    <row r="275" spans="1:13" x14ac:dyDescent="0.25">
      <c r="A275">
        <v>273</v>
      </c>
      <c r="C275" t="s">
        <v>8</v>
      </c>
      <c r="D275" s="4" t="s">
        <v>266</v>
      </c>
      <c r="E275" s="12">
        <v>0.71</v>
      </c>
      <c r="F275" s="11">
        <v>0.71</v>
      </c>
      <c r="G275" s="6">
        <f t="shared" si="72"/>
        <v>0</v>
      </c>
      <c r="H275" s="7">
        <f t="shared" si="73"/>
        <v>0</v>
      </c>
      <c r="I275" s="8">
        <v>1.3974603174603173</v>
      </c>
      <c r="J275" s="9">
        <f t="shared" si="74"/>
        <v>1.3974603174603173</v>
      </c>
      <c r="K275" s="3">
        <f t="shared" si="75"/>
        <v>0</v>
      </c>
      <c r="L275" s="7">
        <f t="shared" si="76"/>
        <v>0</v>
      </c>
      <c r="M275" t="s">
        <v>150</v>
      </c>
    </row>
    <row r="276" spans="1:13" x14ac:dyDescent="0.25">
      <c r="A276">
        <v>274</v>
      </c>
      <c r="C276" t="s">
        <v>8</v>
      </c>
      <c r="D276" s="4" t="s">
        <v>267</v>
      </c>
      <c r="E276" s="12">
        <v>15.02</v>
      </c>
      <c r="F276" s="11">
        <v>15.02</v>
      </c>
      <c r="G276" s="6">
        <f t="shared" si="72"/>
        <v>0</v>
      </c>
      <c r="H276" s="7">
        <f t="shared" si="73"/>
        <v>0</v>
      </c>
      <c r="I276" s="8">
        <v>39.554925957158105</v>
      </c>
      <c r="J276" s="9">
        <f t="shared" si="74"/>
        <v>39.554925957158105</v>
      </c>
      <c r="K276" s="3">
        <f t="shared" si="75"/>
        <v>0</v>
      </c>
      <c r="L276" s="7">
        <f t="shared" si="76"/>
        <v>0</v>
      </c>
      <c r="M276" t="s">
        <v>150</v>
      </c>
    </row>
    <row r="277" spans="1:13" x14ac:dyDescent="0.25">
      <c r="A277">
        <v>275</v>
      </c>
      <c r="C277" t="s">
        <v>8</v>
      </c>
      <c r="D277" s="4" t="s">
        <v>268</v>
      </c>
      <c r="E277" s="12">
        <v>12.5</v>
      </c>
      <c r="F277" s="11">
        <v>12.5</v>
      </c>
      <c r="G277" s="6">
        <f t="shared" si="72"/>
        <v>0</v>
      </c>
      <c r="H277" s="7">
        <f t="shared" si="73"/>
        <v>0</v>
      </c>
      <c r="I277" s="8">
        <v>21.214819136522753</v>
      </c>
      <c r="J277" s="9">
        <f t="shared" si="74"/>
        <v>21.214819136522753</v>
      </c>
      <c r="K277" s="3">
        <f t="shared" si="75"/>
        <v>0</v>
      </c>
      <c r="L277" s="7">
        <f t="shared" si="76"/>
        <v>0</v>
      </c>
      <c r="M277" t="s">
        <v>187</v>
      </c>
    </row>
    <row r="278" spans="1:13" x14ac:dyDescent="0.25">
      <c r="A278">
        <v>276</v>
      </c>
      <c r="C278" t="s">
        <v>8</v>
      </c>
      <c r="D278" s="4" t="s">
        <v>269</v>
      </c>
      <c r="E278" s="12">
        <v>12</v>
      </c>
      <c r="F278" s="12">
        <v>12</v>
      </c>
      <c r="G278" s="6">
        <f>+F278-E278</f>
        <v>0</v>
      </c>
      <c r="H278" s="7">
        <f>(F278-E278)/ABS(E278)</f>
        <v>0</v>
      </c>
      <c r="I278" s="8">
        <v>18.47</v>
      </c>
      <c r="J278" s="9">
        <f>(I278*H278)+I278</f>
        <v>18.47</v>
      </c>
      <c r="K278" s="3">
        <f>J278-I278</f>
        <v>0</v>
      </c>
      <c r="L278" s="7">
        <f>(J278-I278)/ABS(I278)</f>
        <v>0</v>
      </c>
      <c r="M278" t="s">
        <v>187</v>
      </c>
    </row>
    <row r="279" spans="1:13" x14ac:dyDescent="0.25">
      <c r="A279">
        <v>277</v>
      </c>
      <c r="C279" t="s">
        <v>8</v>
      </c>
      <c r="D279" s="4" t="s">
        <v>270</v>
      </c>
      <c r="E279" s="12">
        <v>8.9499999999999993</v>
      </c>
      <c r="F279" s="11">
        <v>8.9499999999999993</v>
      </c>
      <c r="G279" s="6">
        <f t="shared" si="72"/>
        <v>0</v>
      </c>
      <c r="H279" s="7">
        <f t="shared" si="73"/>
        <v>0</v>
      </c>
      <c r="I279" s="8">
        <v>29.456687862360731</v>
      </c>
      <c r="J279" s="9">
        <f t="shared" si="74"/>
        <v>29.456687862360731</v>
      </c>
      <c r="K279" s="3">
        <f t="shared" si="75"/>
        <v>0</v>
      </c>
      <c r="L279" s="7">
        <f t="shared" si="76"/>
        <v>0</v>
      </c>
      <c r="M279" t="s">
        <v>187</v>
      </c>
    </row>
    <row r="280" spans="1:13" x14ac:dyDescent="0.25">
      <c r="A280">
        <v>278</v>
      </c>
      <c r="C280" t="s">
        <v>8</v>
      </c>
      <c r="D280" s="4" t="s">
        <v>271</v>
      </c>
      <c r="E280" s="16">
        <v>46.13</v>
      </c>
      <c r="F280" s="12">
        <v>46.13</v>
      </c>
      <c r="G280" s="6">
        <f t="shared" si="72"/>
        <v>0</v>
      </c>
      <c r="H280" s="7">
        <f t="shared" si="73"/>
        <v>0</v>
      </c>
      <c r="I280" s="8">
        <v>71.680000000000007</v>
      </c>
      <c r="J280" s="9">
        <f t="shared" si="74"/>
        <v>71.680000000000007</v>
      </c>
      <c r="K280" s="3">
        <f t="shared" si="75"/>
        <v>0</v>
      </c>
      <c r="L280" s="7">
        <f t="shared" si="76"/>
        <v>0</v>
      </c>
      <c r="M280" t="s">
        <v>187</v>
      </c>
    </row>
    <row r="281" spans="1:13" x14ac:dyDescent="0.25">
      <c r="A281">
        <v>279</v>
      </c>
      <c r="C281" t="s">
        <v>8</v>
      </c>
      <c r="D281" s="4" t="s">
        <v>272</v>
      </c>
      <c r="E281" s="5">
        <v>5.85</v>
      </c>
      <c r="F281" s="5">
        <v>5.85</v>
      </c>
      <c r="G281" s="6">
        <f t="shared" si="72"/>
        <v>0</v>
      </c>
      <c r="H281" s="7">
        <f t="shared" si="73"/>
        <v>0</v>
      </c>
      <c r="I281" s="8">
        <v>6.9</v>
      </c>
      <c r="J281" s="9">
        <f t="shared" si="74"/>
        <v>6.9</v>
      </c>
      <c r="K281" s="3">
        <f t="shared" si="75"/>
        <v>0</v>
      </c>
      <c r="L281" s="7">
        <f t="shared" si="76"/>
        <v>0</v>
      </c>
      <c r="M281" t="s">
        <v>150</v>
      </c>
    </row>
    <row r="282" spans="1:13" x14ac:dyDescent="0.25">
      <c r="A282">
        <v>280</v>
      </c>
      <c r="C282" t="s">
        <v>8</v>
      </c>
      <c r="D282" s="4" t="s">
        <v>273</v>
      </c>
      <c r="E282" s="5">
        <v>6.93</v>
      </c>
      <c r="F282" s="5">
        <v>6.93</v>
      </c>
      <c r="G282" s="6">
        <f t="shared" si="72"/>
        <v>0</v>
      </c>
      <c r="H282" s="7">
        <f t="shared" si="73"/>
        <v>0</v>
      </c>
      <c r="I282" s="8">
        <v>13.99</v>
      </c>
      <c r="J282" s="9">
        <f t="shared" si="74"/>
        <v>13.99</v>
      </c>
      <c r="K282" s="3">
        <f t="shared" si="75"/>
        <v>0</v>
      </c>
      <c r="L282" s="7">
        <f t="shared" si="76"/>
        <v>0</v>
      </c>
      <c r="M282" t="s">
        <v>150</v>
      </c>
    </row>
    <row r="283" spans="1:13" x14ac:dyDescent="0.25">
      <c r="A283">
        <v>281</v>
      </c>
      <c r="C283" t="s">
        <v>8</v>
      </c>
      <c r="D283" s="4" t="s">
        <v>274</v>
      </c>
      <c r="E283" s="5">
        <v>6.93</v>
      </c>
      <c r="F283" s="5">
        <v>6.93</v>
      </c>
      <c r="G283" s="6">
        <f t="shared" si="72"/>
        <v>0</v>
      </c>
      <c r="H283" s="7">
        <f t="shared" si="73"/>
        <v>0</v>
      </c>
      <c r="I283" s="8">
        <v>7.9</v>
      </c>
      <c r="J283" s="9">
        <f t="shared" si="74"/>
        <v>7.9</v>
      </c>
      <c r="K283" s="3">
        <f t="shared" si="75"/>
        <v>0</v>
      </c>
      <c r="L283" s="7">
        <f t="shared" si="76"/>
        <v>0</v>
      </c>
      <c r="M283" t="s">
        <v>150</v>
      </c>
    </row>
    <row r="284" spans="1:13" x14ac:dyDescent="0.25">
      <c r="A284">
        <v>282</v>
      </c>
      <c r="C284" t="s">
        <v>8</v>
      </c>
      <c r="D284" s="4" t="s">
        <v>275</v>
      </c>
      <c r="E284" s="12">
        <v>2.56</v>
      </c>
      <c r="F284" s="11">
        <v>2.56</v>
      </c>
      <c r="G284" s="6">
        <f t="shared" si="72"/>
        <v>0</v>
      </c>
      <c r="H284" s="7">
        <f t="shared" si="73"/>
        <v>0</v>
      </c>
      <c r="I284" s="8">
        <v>8.0228714375055841</v>
      </c>
      <c r="J284" s="9">
        <f t="shared" si="74"/>
        <v>8.0228714375055841</v>
      </c>
      <c r="K284" s="3">
        <f t="shared" si="75"/>
        <v>0</v>
      </c>
      <c r="L284" s="7">
        <f t="shared" si="76"/>
        <v>0</v>
      </c>
      <c r="M284" t="s">
        <v>150</v>
      </c>
    </row>
    <row r="285" spans="1:13" x14ac:dyDescent="0.25">
      <c r="A285">
        <v>283</v>
      </c>
      <c r="C285" t="s">
        <v>8</v>
      </c>
      <c r="D285" s="4" t="s">
        <v>276</v>
      </c>
      <c r="E285" s="12">
        <v>3.71</v>
      </c>
      <c r="F285" s="11">
        <v>3.71</v>
      </c>
      <c r="G285" s="6">
        <f t="shared" si="72"/>
        <v>0</v>
      </c>
      <c r="H285" s="7">
        <f t="shared" si="73"/>
        <v>0</v>
      </c>
      <c r="I285" s="8">
        <v>9.2527255216693405</v>
      </c>
      <c r="J285" s="9">
        <f t="shared" si="74"/>
        <v>9.2527255216693405</v>
      </c>
      <c r="K285" s="3">
        <f t="shared" si="75"/>
        <v>0</v>
      </c>
      <c r="L285" s="7">
        <f t="shared" si="76"/>
        <v>0</v>
      </c>
      <c r="M285" t="s">
        <v>150</v>
      </c>
    </row>
    <row r="286" spans="1:13" x14ac:dyDescent="0.25">
      <c r="A286">
        <v>284</v>
      </c>
      <c r="C286" t="s">
        <v>277</v>
      </c>
      <c r="D286" s="4" t="s">
        <v>278</v>
      </c>
      <c r="E286" s="11">
        <v>76.17</v>
      </c>
      <c r="F286" s="11">
        <v>76.17</v>
      </c>
      <c r="G286" s="6">
        <f t="shared" si="72"/>
        <v>0</v>
      </c>
      <c r="H286" s="7">
        <f t="shared" si="73"/>
        <v>0</v>
      </c>
      <c r="I286" s="8">
        <v>129.08106565176024</v>
      </c>
      <c r="J286" s="9">
        <f t="shared" si="74"/>
        <v>129.08106565176024</v>
      </c>
      <c r="K286" s="3">
        <f t="shared" si="75"/>
        <v>0</v>
      </c>
      <c r="L286" s="7">
        <f t="shared" si="76"/>
        <v>0</v>
      </c>
      <c r="M286" t="s">
        <v>150</v>
      </c>
    </row>
    <row r="287" spans="1:13" x14ac:dyDescent="0.25">
      <c r="A287">
        <v>285</v>
      </c>
      <c r="C287" t="s">
        <v>8</v>
      </c>
      <c r="D287" s="4" t="s">
        <v>279</v>
      </c>
      <c r="E287" s="12">
        <v>3.47</v>
      </c>
      <c r="F287" s="12">
        <v>3.47</v>
      </c>
      <c r="G287" s="6">
        <f t="shared" si="72"/>
        <v>0</v>
      </c>
      <c r="H287" s="7">
        <f t="shared" si="73"/>
        <v>0</v>
      </c>
      <c r="I287" s="8">
        <v>9.272871621621622</v>
      </c>
      <c r="J287" s="9">
        <f t="shared" si="74"/>
        <v>9.272871621621622</v>
      </c>
      <c r="K287" s="3">
        <f t="shared" si="75"/>
        <v>0</v>
      </c>
      <c r="L287" s="7">
        <f t="shared" si="76"/>
        <v>0</v>
      </c>
      <c r="M287" t="s">
        <v>150</v>
      </c>
    </row>
    <row r="288" spans="1:13" x14ac:dyDescent="0.25">
      <c r="A288">
        <v>286</v>
      </c>
      <c r="C288" t="s">
        <v>8</v>
      </c>
      <c r="D288" s="4" t="s">
        <v>280</v>
      </c>
      <c r="E288" s="12">
        <v>3.03</v>
      </c>
      <c r="F288" s="12">
        <v>3.03</v>
      </c>
      <c r="G288" s="6">
        <f t="shared" si="72"/>
        <v>0</v>
      </c>
      <c r="H288" s="7">
        <f t="shared" si="73"/>
        <v>0</v>
      </c>
      <c r="I288" s="8">
        <v>6.4226640926640925</v>
      </c>
      <c r="J288" s="9">
        <f t="shared" si="74"/>
        <v>6.4226640926640925</v>
      </c>
      <c r="K288" s="3">
        <f t="shared" si="75"/>
        <v>0</v>
      </c>
      <c r="L288" s="7">
        <f t="shared" si="76"/>
        <v>0</v>
      </c>
      <c r="M288" t="s">
        <v>150</v>
      </c>
    </row>
    <row r="289" spans="1:13" x14ac:dyDescent="0.25">
      <c r="A289">
        <v>287</v>
      </c>
      <c r="C289" t="s">
        <v>8</v>
      </c>
      <c r="D289" s="4" t="s">
        <v>281</v>
      </c>
      <c r="E289" s="12">
        <v>12.95</v>
      </c>
      <c r="F289" s="12">
        <v>12.95</v>
      </c>
      <c r="G289" s="6">
        <f t="shared" si="72"/>
        <v>0</v>
      </c>
      <c r="H289" s="7">
        <f t="shared" si="73"/>
        <v>0</v>
      </c>
      <c r="I289" s="8">
        <v>25.9</v>
      </c>
      <c r="J289" s="9">
        <f t="shared" si="74"/>
        <v>25.9</v>
      </c>
      <c r="K289" s="3">
        <f t="shared" si="75"/>
        <v>0</v>
      </c>
      <c r="L289" s="7">
        <f t="shared" si="76"/>
        <v>0</v>
      </c>
      <c r="M289" t="s">
        <v>150</v>
      </c>
    </row>
    <row r="290" spans="1:13" x14ac:dyDescent="0.25">
      <c r="A290">
        <v>288</v>
      </c>
      <c r="C290" t="s">
        <v>8</v>
      </c>
      <c r="D290" s="4" t="s">
        <v>282</v>
      </c>
      <c r="E290" s="12">
        <v>9.27</v>
      </c>
      <c r="F290" s="12">
        <v>9.27</v>
      </c>
      <c r="G290" s="6">
        <f t="shared" si="72"/>
        <v>0</v>
      </c>
      <c r="H290" s="7">
        <f t="shared" si="73"/>
        <v>0</v>
      </c>
      <c r="I290" s="8">
        <v>18.54</v>
      </c>
      <c r="J290" s="9">
        <f t="shared" si="74"/>
        <v>18.54</v>
      </c>
      <c r="K290" s="3">
        <f t="shared" si="75"/>
        <v>0</v>
      </c>
      <c r="L290" s="7">
        <f t="shared" si="76"/>
        <v>0</v>
      </c>
      <c r="M290" t="s">
        <v>150</v>
      </c>
    </row>
    <row r="291" spans="1:13" x14ac:dyDescent="0.25">
      <c r="A291">
        <v>289</v>
      </c>
      <c r="C291" t="s">
        <v>8</v>
      </c>
      <c r="D291" s="4" t="s">
        <v>283</v>
      </c>
      <c r="E291" s="12">
        <v>4.38</v>
      </c>
      <c r="F291" s="12">
        <v>4.38</v>
      </c>
      <c r="G291" s="6">
        <f t="shared" si="72"/>
        <v>0</v>
      </c>
      <c r="H291" s="7">
        <f t="shared" si="73"/>
        <v>0</v>
      </c>
      <c r="I291" s="8">
        <v>19.878299999999999</v>
      </c>
      <c r="J291" s="9">
        <f t="shared" si="74"/>
        <v>19.878299999999999</v>
      </c>
      <c r="K291" s="3">
        <f t="shared" si="75"/>
        <v>0</v>
      </c>
      <c r="L291" s="7">
        <f t="shared" si="76"/>
        <v>0</v>
      </c>
      <c r="M291" t="s">
        <v>150</v>
      </c>
    </row>
    <row r="292" spans="1:13" x14ac:dyDescent="0.25">
      <c r="A292">
        <v>290</v>
      </c>
      <c r="C292" t="s">
        <v>8</v>
      </c>
      <c r="D292" s="4" t="s">
        <v>284</v>
      </c>
      <c r="E292" s="12">
        <v>7.78</v>
      </c>
      <c r="F292" s="12">
        <v>7.78</v>
      </c>
      <c r="G292" s="6">
        <f t="shared" si="72"/>
        <v>0</v>
      </c>
      <c r="H292" s="7">
        <f t="shared" si="73"/>
        <v>0</v>
      </c>
      <c r="I292" s="8">
        <v>20.218751857355123</v>
      </c>
      <c r="J292" s="9">
        <f t="shared" si="74"/>
        <v>20.218751857355123</v>
      </c>
      <c r="K292" s="3">
        <f t="shared" si="75"/>
        <v>0</v>
      </c>
      <c r="L292" s="7">
        <f t="shared" si="76"/>
        <v>0</v>
      </c>
      <c r="M292" t="s">
        <v>150</v>
      </c>
    </row>
    <row r="293" spans="1:13" x14ac:dyDescent="0.25">
      <c r="A293">
        <v>291</v>
      </c>
      <c r="C293" t="s">
        <v>8</v>
      </c>
      <c r="D293" s="4" t="s">
        <v>285</v>
      </c>
      <c r="E293" s="12">
        <v>0.98</v>
      </c>
      <c r="F293" s="12">
        <v>0.98</v>
      </c>
      <c r="G293" s="6">
        <f t="shared" si="72"/>
        <v>0</v>
      </c>
      <c r="H293" s="7">
        <f t="shared" si="73"/>
        <v>0</v>
      </c>
      <c r="I293" s="8">
        <v>2.0746808510638299</v>
      </c>
      <c r="J293" s="9">
        <f t="shared" si="74"/>
        <v>2.0746808510638299</v>
      </c>
      <c r="K293" s="3">
        <f t="shared" si="75"/>
        <v>0</v>
      </c>
      <c r="L293" s="7">
        <f t="shared" si="76"/>
        <v>0</v>
      </c>
      <c r="M293" t="s">
        <v>150</v>
      </c>
    </row>
    <row r="294" spans="1:13" x14ac:dyDescent="0.25">
      <c r="A294">
        <v>292</v>
      </c>
      <c r="C294" t="s">
        <v>8</v>
      </c>
      <c r="D294" s="4" t="s">
        <v>286</v>
      </c>
      <c r="E294" s="12">
        <v>0.56999999999999995</v>
      </c>
      <c r="F294" s="12">
        <v>0.56999999999999995</v>
      </c>
      <c r="G294" s="6">
        <f t="shared" si="72"/>
        <v>0</v>
      </c>
      <c r="H294" s="7">
        <f t="shared" si="73"/>
        <v>0</v>
      </c>
      <c r="I294" s="8">
        <v>1.29</v>
      </c>
      <c r="J294" s="9">
        <f t="shared" si="74"/>
        <v>1.29</v>
      </c>
      <c r="K294" s="3">
        <f t="shared" si="75"/>
        <v>0</v>
      </c>
      <c r="L294" s="7">
        <f t="shared" si="76"/>
        <v>0</v>
      </c>
      <c r="M294" t="s">
        <v>150</v>
      </c>
    </row>
    <row r="295" spans="1:13" x14ac:dyDescent="0.25">
      <c r="A295">
        <v>293</v>
      </c>
      <c r="C295" t="s">
        <v>8</v>
      </c>
      <c r="D295" s="4" t="s">
        <v>287</v>
      </c>
      <c r="E295" s="12">
        <v>3.2</v>
      </c>
      <c r="F295" s="12">
        <v>3.2</v>
      </c>
      <c r="G295" s="6">
        <f t="shared" si="72"/>
        <v>0</v>
      </c>
      <c r="H295" s="7">
        <f t="shared" si="73"/>
        <v>0</v>
      </c>
      <c r="I295" s="8">
        <v>9.2899999999999991</v>
      </c>
      <c r="J295" s="9">
        <f t="shared" si="74"/>
        <v>9.2899999999999991</v>
      </c>
      <c r="K295" s="3">
        <f t="shared" si="75"/>
        <v>0</v>
      </c>
      <c r="L295" s="7">
        <f t="shared" si="76"/>
        <v>0</v>
      </c>
      <c r="M295" t="s">
        <v>150</v>
      </c>
    </row>
    <row r="296" spans="1:13" x14ac:dyDescent="0.25">
      <c r="A296">
        <v>294</v>
      </c>
      <c r="D296" s="2" t="s">
        <v>288</v>
      </c>
      <c r="H296" s="10">
        <f>AVERAGE(H251:H290)</f>
        <v>0</v>
      </c>
      <c r="I296"/>
    </row>
    <row r="297" spans="1:13" x14ac:dyDescent="0.25">
      <c r="A297">
        <v>295</v>
      </c>
      <c r="D297" s="2" t="s">
        <v>289</v>
      </c>
      <c r="I297"/>
      <c r="M297" t="s">
        <v>187</v>
      </c>
    </row>
    <row r="298" spans="1:13" x14ac:dyDescent="0.25">
      <c r="A298">
        <v>296</v>
      </c>
      <c r="B298" t="s">
        <v>468</v>
      </c>
      <c r="C298" t="s">
        <v>291</v>
      </c>
      <c r="D298" s="4" t="s">
        <v>292</v>
      </c>
      <c r="E298" s="12">
        <v>83.45</v>
      </c>
      <c r="F298" s="12">
        <v>83.45</v>
      </c>
      <c r="G298" s="6">
        <f t="shared" ref="G298:G331" si="77">+F298-E298</f>
        <v>0</v>
      </c>
      <c r="H298" s="7">
        <f t="shared" ref="H298:H331" si="78">(F298-E298)/ABS(E298)</f>
        <v>0</v>
      </c>
      <c r="I298" s="8">
        <v>116.82130707692306</v>
      </c>
      <c r="J298" s="9">
        <f t="shared" ref="J298:J331" si="79">(I298*H298)+I298</f>
        <v>116.82130707692306</v>
      </c>
      <c r="K298" s="3">
        <f t="shared" ref="K298:K331" si="80">J298-I298</f>
        <v>0</v>
      </c>
      <c r="L298" s="7">
        <f t="shared" ref="L298:L331" si="81">(J298-I298)/ABS(I298)</f>
        <v>0</v>
      </c>
      <c r="M298" t="s">
        <v>187</v>
      </c>
    </row>
    <row r="299" spans="1:13" x14ac:dyDescent="0.25">
      <c r="A299">
        <v>297</v>
      </c>
      <c r="B299" t="s">
        <v>471</v>
      </c>
      <c r="C299" t="s">
        <v>291</v>
      </c>
      <c r="D299" s="4" t="s">
        <v>293</v>
      </c>
      <c r="E299" s="12">
        <v>17.16</v>
      </c>
      <c r="F299" s="12">
        <v>17.16</v>
      </c>
      <c r="G299" s="6">
        <f t="shared" si="77"/>
        <v>0</v>
      </c>
      <c r="H299" s="7">
        <f t="shared" si="78"/>
        <v>0</v>
      </c>
      <c r="I299" s="8">
        <v>23.58</v>
      </c>
      <c r="J299" s="9">
        <f t="shared" si="79"/>
        <v>23.58</v>
      </c>
      <c r="K299" s="3">
        <f t="shared" si="80"/>
        <v>0</v>
      </c>
      <c r="L299" s="7">
        <f t="shared" si="81"/>
        <v>0</v>
      </c>
      <c r="M299" t="s">
        <v>187</v>
      </c>
    </row>
    <row r="300" spans="1:13" x14ac:dyDescent="0.25">
      <c r="A300">
        <v>298</v>
      </c>
      <c r="B300" t="s">
        <v>468</v>
      </c>
      <c r="C300" t="s">
        <v>291</v>
      </c>
      <c r="D300" s="4" t="s">
        <v>295</v>
      </c>
      <c r="E300" s="12">
        <v>20.45</v>
      </c>
      <c r="F300" s="12">
        <v>20.45</v>
      </c>
      <c r="G300" s="6">
        <f t="shared" si="77"/>
        <v>0</v>
      </c>
      <c r="H300" s="7">
        <f t="shared" si="78"/>
        <v>0</v>
      </c>
      <c r="I300" s="8">
        <v>28.117117241379304</v>
      </c>
      <c r="J300" s="9">
        <f t="shared" si="79"/>
        <v>28.117117241379304</v>
      </c>
      <c r="K300" s="3">
        <f t="shared" si="80"/>
        <v>0</v>
      </c>
      <c r="L300" s="7">
        <f t="shared" si="81"/>
        <v>0</v>
      </c>
      <c r="M300" t="s">
        <v>187</v>
      </c>
    </row>
    <row r="301" spans="1:13" x14ac:dyDescent="0.25">
      <c r="A301">
        <v>299</v>
      </c>
      <c r="B301" t="s">
        <v>471</v>
      </c>
      <c r="C301" t="s">
        <v>291</v>
      </c>
      <c r="D301" s="4" t="s">
        <v>296</v>
      </c>
      <c r="E301" s="12">
        <v>35.15</v>
      </c>
      <c r="F301" s="12">
        <v>35.15</v>
      </c>
      <c r="G301" s="6">
        <f t="shared" si="77"/>
        <v>0</v>
      </c>
      <c r="H301" s="7">
        <f t="shared" si="78"/>
        <v>0</v>
      </c>
      <c r="I301" s="8">
        <v>48.263872071910107</v>
      </c>
      <c r="J301" s="9">
        <f t="shared" si="79"/>
        <v>48.263872071910107</v>
      </c>
      <c r="K301" s="3">
        <f t="shared" si="80"/>
        <v>0</v>
      </c>
      <c r="L301" s="7">
        <f t="shared" si="81"/>
        <v>0</v>
      </c>
      <c r="M301" t="s">
        <v>187</v>
      </c>
    </row>
    <row r="302" spans="1:13" x14ac:dyDescent="0.25">
      <c r="A302">
        <v>300</v>
      </c>
      <c r="B302" t="s">
        <v>472</v>
      </c>
      <c r="C302" t="s">
        <v>291</v>
      </c>
      <c r="D302" s="4" t="s">
        <v>297</v>
      </c>
      <c r="E302" s="12">
        <v>7.16</v>
      </c>
      <c r="F302" s="12">
        <v>7.16</v>
      </c>
      <c r="G302" s="6">
        <f t="shared" si="77"/>
        <v>0</v>
      </c>
      <c r="H302" s="7">
        <f t="shared" si="78"/>
        <v>0</v>
      </c>
      <c r="I302" s="8">
        <v>9.85</v>
      </c>
      <c r="J302" s="9">
        <f t="shared" si="79"/>
        <v>9.85</v>
      </c>
      <c r="K302" s="3">
        <f t="shared" si="80"/>
        <v>0</v>
      </c>
      <c r="L302" s="7">
        <f t="shared" si="81"/>
        <v>0</v>
      </c>
      <c r="M302" t="s">
        <v>187</v>
      </c>
    </row>
    <row r="303" spans="1:13" x14ac:dyDescent="0.25">
      <c r="A303">
        <v>301</v>
      </c>
      <c r="B303" t="s">
        <v>486</v>
      </c>
      <c r="C303" t="s">
        <v>291</v>
      </c>
      <c r="D303" s="4" t="s">
        <v>298</v>
      </c>
      <c r="E303" s="12">
        <v>0.49</v>
      </c>
      <c r="F303" s="12">
        <v>0.49</v>
      </c>
      <c r="G303" s="6">
        <f t="shared" si="77"/>
        <v>0</v>
      </c>
      <c r="H303" s="7">
        <f t="shared" si="78"/>
        <v>0</v>
      </c>
      <c r="I303" s="8">
        <v>0.69</v>
      </c>
      <c r="J303" s="9">
        <f t="shared" si="79"/>
        <v>0.69</v>
      </c>
      <c r="K303" s="3">
        <f t="shared" si="80"/>
        <v>0</v>
      </c>
      <c r="L303" s="7">
        <f t="shared" si="81"/>
        <v>0</v>
      </c>
      <c r="M303" t="s">
        <v>187</v>
      </c>
    </row>
    <row r="304" spans="1:13" x14ac:dyDescent="0.25">
      <c r="A304">
        <v>302</v>
      </c>
      <c r="B304" t="s">
        <v>471</v>
      </c>
      <c r="C304" t="s">
        <v>291</v>
      </c>
      <c r="D304" s="4" t="s">
        <v>299</v>
      </c>
      <c r="E304" s="12">
        <v>21.81</v>
      </c>
      <c r="F304" s="12">
        <v>21.81</v>
      </c>
      <c r="G304" s="6">
        <f t="shared" si="77"/>
        <v>0</v>
      </c>
      <c r="H304" s="7">
        <f t="shared" si="78"/>
        <v>0</v>
      </c>
      <c r="I304" s="8">
        <v>29.968966617429842</v>
      </c>
      <c r="J304" s="9">
        <f t="shared" si="79"/>
        <v>29.968966617429842</v>
      </c>
      <c r="K304" s="3">
        <f t="shared" si="80"/>
        <v>0</v>
      </c>
      <c r="L304" s="7">
        <f t="shared" si="81"/>
        <v>0</v>
      </c>
      <c r="M304" t="s">
        <v>187</v>
      </c>
    </row>
    <row r="305" spans="1:13" x14ac:dyDescent="0.25">
      <c r="A305">
        <v>303</v>
      </c>
      <c r="B305" s="28" t="s">
        <v>471</v>
      </c>
      <c r="C305" t="s">
        <v>291</v>
      </c>
      <c r="D305" s="4" t="s">
        <v>300</v>
      </c>
      <c r="E305" s="12">
        <v>2.2000000000000002</v>
      </c>
      <c r="F305" s="12">
        <v>2.2000000000000002</v>
      </c>
      <c r="G305" s="6">
        <f t="shared" si="77"/>
        <v>0</v>
      </c>
      <c r="H305" s="7">
        <f t="shared" si="78"/>
        <v>0</v>
      </c>
      <c r="I305" s="8">
        <v>3.0480105109489042</v>
      </c>
      <c r="J305" s="9">
        <f t="shared" si="79"/>
        <v>3.0480105109489042</v>
      </c>
      <c r="K305" s="3">
        <f t="shared" si="80"/>
        <v>0</v>
      </c>
      <c r="L305" s="7">
        <f t="shared" si="81"/>
        <v>0</v>
      </c>
      <c r="M305" t="s">
        <v>187</v>
      </c>
    </row>
    <row r="306" spans="1:13" x14ac:dyDescent="0.25">
      <c r="A306">
        <v>304</v>
      </c>
      <c r="B306" t="s">
        <v>471</v>
      </c>
      <c r="C306" t="s">
        <v>291</v>
      </c>
      <c r="D306" s="4" t="s">
        <v>301</v>
      </c>
      <c r="E306" s="12">
        <v>2.73</v>
      </c>
      <c r="F306" s="12">
        <v>2.73</v>
      </c>
      <c r="G306" s="6">
        <f t="shared" si="77"/>
        <v>0</v>
      </c>
      <c r="H306" s="7">
        <f t="shared" si="78"/>
        <v>0</v>
      </c>
      <c r="I306" s="8">
        <v>3.751827692307693</v>
      </c>
      <c r="J306" s="9">
        <f t="shared" si="79"/>
        <v>3.751827692307693</v>
      </c>
      <c r="K306" s="3">
        <f t="shared" si="80"/>
        <v>0</v>
      </c>
      <c r="L306" s="7">
        <f t="shared" si="81"/>
        <v>0</v>
      </c>
      <c r="M306" t="s">
        <v>187</v>
      </c>
    </row>
    <row r="307" spans="1:13" x14ac:dyDescent="0.25">
      <c r="A307">
        <v>305</v>
      </c>
      <c r="B307" t="s">
        <v>469</v>
      </c>
      <c r="C307" t="s">
        <v>291</v>
      </c>
      <c r="D307" s="4" t="s">
        <v>302</v>
      </c>
      <c r="E307" s="12">
        <v>0.9</v>
      </c>
      <c r="F307" s="12">
        <v>0.9</v>
      </c>
      <c r="G307" s="6">
        <f t="shared" si="77"/>
        <v>0</v>
      </c>
      <c r="H307" s="7">
        <f t="shared" si="78"/>
        <v>0</v>
      </c>
      <c r="I307" s="8">
        <v>1.7875199999999998</v>
      </c>
      <c r="J307" s="9">
        <f t="shared" si="79"/>
        <v>1.7875199999999998</v>
      </c>
      <c r="K307" s="3">
        <f t="shared" si="80"/>
        <v>0</v>
      </c>
      <c r="L307" s="7">
        <f t="shared" si="81"/>
        <v>0</v>
      </c>
      <c r="M307" t="s">
        <v>187</v>
      </c>
    </row>
    <row r="308" spans="1:13" x14ac:dyDescent="0.25">
      <c r="A308">
        <v>306</v>
      </c>
      <c r="B308" t="s">
        <v>303</v>
      </c>
      <c r="C308" t="s">
        <v>291</v>
      </c>
      <c r="D308" s="4" t="s">
        <v>304</v>
      </c>
      <c r="E308" s="12">
        <v>66.48</v>
      </c>
      <c r="F308" s="12">
        <v>66.48</v>
      </c>
      <c r="G308" s="6">
        <f t="shared" si="77"/>
        <v>0</v>
      </c>
      <c r="H308" s="7">
        <f t="shared" si="78"/>
        <v>0</v>
      </c>
      <c r="I308" s="8">
        <v>91.32</v>
      </c>
      <c r="J308" s="9">
        <f t="shared" si="79"/>
        <v>91.32</v>
      </c>
      <c r="K308" s="3">
        <f t="shared" si="80"/>
        <v>0</v>
      </c>
      <c r="L308" s="7">
        <f t="shared" si="81"/>
        <v>0</v>
      </c>
      <c r="M308" t="s">
        <v>187</v>
      </c>
    </row>
    <row r="309" spans="1:13" x14ac:dyDescent="0.25">
      <c r="A309">
        <v>307</v>
      </c>
      <c r="B309" t="s">
        <v>305</v>
      </c>
      <c r="C309" t="s">
        <v>291</v>
      </c>
      <c r="D309" s="4" t="s">
        <v>306</v>
      </c>
      <c r="E309" s="12">
        <v>26.81</v>
      </c>
      <c r="F309" s="12">
        <v>26.81</v>
      </c>
      <c r="G309" s="13">
        <f t="shared" si="77"/>
        <v>0</v>
      </c>
      <c r="H309" s="7">
        <f t="shared" si="78"/>
        <v>0</v>
      </c>
      <c r="I309" s="8">
        <v>41.25</v>
      </c>
      <c r="J309" s="9">
        <f t="shared" si="79"/>
        <v>41.25</v>
      </c>
      <c r="K309" s="3">
        <f t="shared" si="80"/>
        <v>0</v>
      </c>
      <c r="L309" s="7">
        <f t="shared" si="81"/>
        <v>0</v>
      </c>
      <c r="M309" t="s">
        <v>187</v>
      </c>
    </row>
    <row r="310" spans="1:13" x14ac:dyDescent="0.25">
      <c r="A310">
        <v>308</v>
      </c>
      <c r="B310" t="s">
        <v>303</v>
      </c>
      <c r="C310" t="s">
        <v>291</v>
      </c>
      <c r="D310" s="4" t="s">
        <v>307</v>
      </c>
      <c r="E310" s="12">
        <v>38.020000000000003</v>
      </c>
      <c r="F310" s="12">
        <v>38.020000000000003</v>
      </c>
      <c r="G310" s="6">
        <f t="shared" si="77"/>
        <v>0</v>
      </c>
      <c r="H310" s="7">
        <f t="shared" si="78"/>
        <v>0</v>
      </c>
      <c r="I310" s="8">
        <v>52.23</v>
      </c>
      <c r="J310" s="9">
        <f t="shared" si="79"/>
        <v>52.23</v>
      </c>
      <c r="K310" s="3">
        <f t="shared" si="80"/>
        <v>0</v>
      </c>
      <c r="L310" s="7">
        <f t="shared" si="81"/>
        <v>0</v>
      </c>
      <c r="M310" t="s">
        <v>187</v>
      </c>
    </row>
    <row r="311" spans="1:13" x14ac:dyDescent="0.25">
      <c r="A311">
        <v>309</v>
      </c>
      <c r="B311" t="s">
        <v>303</v>
      </c>
      <c r="C311" t="s">
        <v>291</v>
      </c>
      <c r="D311" s="4" t="s">
        <v>308</v>
      </c>
      <c r="E311" s="12">
        <v>95.36</v>
      </c>
      <c r="F311" s="12">
        <v>95.36</v>
      </c>
      <c r="G311" s="6">
        <f t="shared" si="77"/>
        <v>0</v>
      </c>
      <c r="H311" s="7">
        <f t="shared" si="78"/>
        <v>0</v>
      </c>
      <c r="I311" s="8">
        <v>130.96011922503726</v>
      </c>
      <c r="J311" s="9">
        <f t="shared" si="79"/>
        <v>130.96011922503726</v>
      </c>
      <c r="K311" s="3">
        <f t="shared" si="80"/>
        <v>0</v>
      </c>
      <c r="L311" s="7">
        <f t="shared" si="81"/>
        <v>0</v>
      </c>
      <c r="M311" t="s">
        <v>187</v>
      </c>
    </row>
    <row r="312" spans="1:13" x14ac:dyDescent="0.25">
      <c r="A312">
        <v>310</v>
      </c>
      <c r="B312" t="s">
        <v>303</v>
      </c>
      <c r="C312" t="s">
        <v>291</v>
      </c>
      <c r="D312" s="4" t="s">
        <v>309</v>
      </c>
      <c r="E312" s="12">
        <v>15.89</v>
      </c>
      <c r="F312" s="12">
        <v>15.89</v>
      </c>
      <c r="G312" s="6">
        <f t="shared" si="77"/>
        <v>0</v>
      </c>
      <c r="H312" s="7">
        <f t="shared" si="78"/>
        <v>0</v>
      </c>
      <c r="I312" s="8">
        <v>21.821258516129031</v>
      </c>
      <c r="J312" s="9">
        <f t="shared" si="79"/>
        <v>21.821258516129031</v>
      </c>
      <c r="K312" s="3">
        <f t="shared" si="80"/>
        <v>0</v>
      </c>
      <c r="L312" s="7">
        <f t="shared" si="81"/>
        <v>0</v>
      </c>
      <c r="M312" t="s">
        <v>187</v>
      </c>
    </row>
    <row r="313" spans="1:13" x14ac:dyDescent="0.25">
      <c r="A313">
        <v>311</v>
      </c>
      <c r="B313" t="s">
        <v>303</v>
      </c>
      <c r="C313" t="s">
        <v>291</v>
      </c>
      <c r="D313" s="4" t="s">
        <v>310</v>
      </c>
      <c r="E313" s="12">
        <v>8.59</v>
      </c>
      <c r="F313" s="12">
        <v>8.59</v>
      </c>
      <c r="G313" s="6">
        <f t="shared" si="77"/>
        <v>0</v>
      </c>
      <c r="H313" s="7">
        <f t="shared" si="78"/>
        <v>0</v>
      </c>
      <c r="I313" s="8">
        <v>11.8</v>
      </c>
      <c r="J313" s="9">
        <f t="shared" si="79"/>
        <v>11.8</v>
      </c>
      <c r="K313" s="3">
        <f t="shared" si="80"/>
        <v>0</v>
      </c>
      <c r="L313" s="7">
        <f t="shared" si="81"/>
        <v>0</v>
      </c>
      <c r="M313" t="s">
        <v>187</v>
      </c>
    </row>
    <row r="314" spans="1:13" x14ac:dyDescent="0.25">
      <c r="A314">
        <v>312</v>
      </c>
      <c r="B314" t="s">
        <v>319</v>
      </c>
      <c r="C314" t="s">
        <v>291</v>
      </c>
      <c r="D314" s="4" t="s">
        <v>311</v>
      </c>
      <c r="E314" s="12">
        <v>11.51</v>
      </c>
      <c r="F314" s="12">
        <v>11.51</v>
      </c>
      <c r="G314" s="6">
        <f t="shared" si="77"/>
        <v>0</v>
      </c>
      <c r="H314" s="7">
        <f t="shared" si="78"/>
        <v>0</v>
      </c>
      <c r="I314" s="8">
        <v>21.72</v>
      </c>
      <c r="J314" s="9">
        <f t="shared" si="79"/>
        <v>21.72</v>
      </c>
      <c r="K314" s="3">
        <f t="shared" si="80"/>
        <v>0</v>
      </c>
      <c r="L314" s="7">
        <f t="shared" si="81"/>
        <v>0</v>
      </c>
      <c r="M314" t="s">
        <v>187</v>
      </c>
    </row>
    <row r="315" spans="1:13" x14ac:dyDescent="0.25">
      <c r="A315">
        <v>313</v>
      </c>
      <c r="B315" t="s">
        <v>303</v>
      </c>
      <c r="C315" t="s">
        <v>291</v>
      </c>
      <c r="D315" s="4" t="s">
        <v>312</v>
      </c>
      <c r="E315" s="12">
        <v>175</v>
      </c>
      <c r="F315" s="12">
        <v>175</v>
      </c>
      <c r="G315" s="6">
        <f t="shared" si="77"/>
        <v>0</v>
      </c>
      <c r="H315" s="7">
        <f t="shared" si="78"/>
        <v>0</v>
      </c>
      <c r="I315" s="8">
        <v>284.09826122118881</v>
      </c>
      <c r="J315" s="9">
        <f t="shared" si="79"/>
        <v>284.09826122118881</v>
      </c>
      <c r="K315" s="3">
        <f t="shared" si="80"/>
        <v>0</v>
      </c>
      <c r="L315" s="7">
        <f t="shared" si="81"/>
        <v>0</v>
      </c>
      <c r="M315" t="s">
        <v>187</v>
      </c>
    </row>
    <row r="316" spans="1:13" x14ac:dyDescent="0.25">
      <c r="A316">
        <v>314</v>
      </c>
      <c r="B316" t="s">
        <v>470</v>
      </c>
      <c r="C316" t="s">
        <v>291</v>
      </c>
      <c r="D316" s="4" t="s">
        <v>313</v>
      </c>
      <c r="E316" s="12">
        <v>175</v>
      </c>
      <c r="F316" s="12">
        <v>175</v>
      </c>
      <c r="G316" s="6">
        <f t="shared" si="77"/>
        <v>0</v>
      </c>
      <c r="H316" s="7">
        <f t="shared" si="78"/>
        <v>0</v>
      </c>
      <c r="I316" s="8">
        <v>284.09826122118881</v>
      </c>
      <c r="J316" s="9">
        <f t="shared" si="79"/>
        <v>284.09826122118881</v>
      </c>
      <c r="K316" s="3">
        <f t="shared" si="80"/>
        <v>0</v>
      </c>
      <c r="L316" s="7">
        <f t="shared" si="81"/>
        <v>0</v>
      </c>
      <c r="M316" t="s">
        <v>187</v>
      </c>
    </row>
    <row r="317" spans="1:13" x14ac:dyDescent="0.25">
      <c r="A317">
        <v>315</v>
      </c>
      <c r="B317" t="s">
        <v>303</v>
      </c>
      <c r="C317" t="s">
        <v>291</v>
      </c>
      <c r="D317" s="4" t="s">
        <v>314</v>
      </c>
      <c r="E317" s="12">
        <v>20.73</v>
      </c>
      <c r="F317" s="12">
        <v>20.73</v>
      </c>
      <c r="G317" s="6">
        <f t="shared" si="77"/>
        <v>0</v>
      </c>
      <c r="H317" s="7">
        <f t="shared" si="78"/>
        <v>0</v>
      </c>
      <c r="I317" s="8">
        <v>33.65</v>
      </c>
      <c r="J317" s="9">
        <f t="shared" si="79"/>
        <v>33.65</v>
      </c>
      <c r="K317" s="3">
        <f t="shared" si="80"/>
        <v>0</v>
      </c>
      <c r="L317" s="7">
        <f t="shared" si="81"/>
        <v>0</v>
      </c>
      <c r="M317" t="s">
        <v>187</v>
      </c>
    </row>
    <row r="318" spans="1:13" x14ac:dyDescent="0.25">
      <c r="A318">
        <v>316</v>
      </c>
      <c r="B318" t="s">
        <v>470</v>
      </c>
      <c r="C318" t="s">
        <v>291</v>
      </c>
      <c r="D318" s="4" t="s">
        <v>315</v>
      </c>
      <c r="E318" s="12">
        <v>11.34</v>
      </c>
      <c r="F318" s="12">
        <v>11.34</v>
      </c>
      <c r="G318" s="6">
        <f t="shared" si="77"/>
        <v>0</v>
      </c>
      <c r="H318" s="7">
        <f t="shared" si="78"/>
        <v>0</v>
      </c>
      <c r="I318" s="8">
        <v>17.673479758926415</v>
      </c>
      <c r="J318" s="9">
        <f t="shared" si="79"/>
        <v>17.673479758926415</v>
      </c>
      <c r="K318" s="3">
        <f t="shared" si="80"/>
        <v>0</v>
      </c>
      <c r="L318" s="7">
        <f t="shared" si="81"/>
        <v>0</v>
      </c>
      <c r="M318" t="s">
        <v>187</v>
      </c>
    </row>
    <row r="319" spans="1:13" x14ac:dyDescent="0.25">
      <c r="A319">
        <v>317</v>
      </c>
      <c r="B319" t="s">
        <v>473</v>
      </c>
      <c r="C319" t="s">
        <v>291</v>
      </c>
      <c r="D319" s="4" t="s">
        <v>316</v>
      </c>
      <c r="E319" s="12">
        <v>36.4</v>
      </c>
      <c r="F319" s="12">
        <v>36.4</v>
      </c>
      <c r="G319" s="6">
        <f t="shared" si="77"/>
        <v>0</v>
      </c>
      <c r="H319" s="7">
        <f t="shared" si="78"/>
        <v>0</v>
      </c>
      <c r="I319" s="8">
        <v>56</v>
      </c>
      <c r="J319" s="9">
        <f t="shared" si="79"/>
        <v>56</v>
      </c>
      <c r="K319" s="3">
        <f t="shared" si="80"/>
        <v>0</v>
      </c>
      <c r="L319" s="7">
        <f t="shared" si="81"/>
        <v>0</v>
      </c>
      <c r="M319" t="s">
        <v>187</v>
      </c>
    </row>
    <row r="320" spans="1:13" x14ac:dyDescent="0.25">
      <c r="A320">
        <v>318</v>
      </c>
      <c r="B320" t="s">
        <v>470</v>
      </c>
      <c r="C320" t="s">
        <v>291</v>
      </c>
      <c r="D320" s="4" t="s">
        <v>317</v>
      </c>
      <c r="E320" s="12">
        <v>32.81</v>
      </c>
      <c r="F320" s="12">
        <v>32.81</v>
      </c>
      <c r="G320" s="6">
        <f t="shared" si="77"/>
        <v>0</v>
      </c>
      <c r="H320" s="7">
        <f t="shared" si="78"/>
        <v>0</v>
      </c>
      <c r="I320" s="8">
        <v>85.12</v>
      </c>
      <c r="J320" s="9">
        <f t="shared" si="79"/>
        <v>85.12</v>
      </c>
      <c r="K320" s="3">
        <f t="shared" si="80"/>
        <v>0</v>
      </c>
      <c r="L320" s="7">
        <f t="shared" si="81"/>
        <v>0</v>
      </c>
      <c r="M320" t="s">
        <v>187</v>
      </c>
    </row>
    <row r="321" spans="1:13" x14ac:dyDescent="0.25">
      <c r="A321">
        <v>319</v>
      </c>
      <c r="B321" t="s">
        <v>473</v>
      </c>
      <c r="C321" t="s">
        <v>291</v>
      </c>
      <c r="D321" s="4" t="s">
        <v>318</v>
      </c>
      <c r="E321" s="12">
        <v>21.15</v>
      </c>
      <c r="F321" s="12">
        <v>21.15</v>
      </c>
      <c r="G321" s="6">
        <f t="shared" si="77"/>
        <v>0</v>
      </c>
      <c r="H321" s="7">
        <f t="shared" si="78"/>
        <v>0</v>
      </c>
      <c r="I321" s="8">
        <v>32.590000000000003</v>
      </c>
      <c r="J321" s="9">
        <f t="shared" si="79"/>
        <v>32.590000000000003</v>
      </c>
      <c r="K321" s="3">
        <f t="shared" si="80"/>
        <v>0</v>
      </c>
      <c r="L321" s="7">
        <f t="shared" si="81"/>
        <v>0</v>
      </c>
      <c r="M321" t="s">
        <v>187</v>
      </c>
    </row>
    <row r="322" spans="1:13" x14ac:dyDescent="0.25">
      <c r="A322">
        <v>320</v>
      </c>
      <c r="B322" t="s">
        <v>319</v>
      </c>
      <c r="C322" t="s">
        <v>291</v>
      </c>
      <c r="D322" s="4" t="s">
        <v>320</v>
      </c>
      <c r="E322" s="12">
        <v>1.34</v>
      </c>
      <c r="F322" s="12">
        <v>1.34</v>
      </c>
      <c r="G322" s="6">
        <f t="shared" si="77"/>
        <v>0</v>
      </c>
      <c r="H322" s="7">
        <f t="shared" si="78"/>
        <v>0</v>
      </c>
      <c r="I322" s="8">
        <v>2.5299999999999998</v>
      </c>
      <c r="J322" s="9">
        <f t="shared" si="79"/>
        <v>2.5299999999999998</v>
      </c>
      <c r="K322" s="3">
        <f t="shared" si="80"/>
        <v>0</v>
      </c>
      <c r="L322" s="7">
        <f t="shared" si="81"/>
        <v>0</v>
      </c>
      <c r="M322" t="s">
        <v>187</v>
      </c>
    </row>
    <row r="323" spans="1:13" x14ac:dyDescent="0.25">
      <c r="A323">
        <v>321</v>
      </c>
      <c r="B323" t="s">
        <v>473</v>
      </c>
      <c r="C323" t="s">
        <v>291</v>
      </c>
      <c r="D323" s="4" t="s">
        <v>321</v>
      </c>
      <c r="E323" s="12">
        <v>1.7</v>
      </c>
      <c r="F323" s="12">
        <v>1.7</v>
      </c>
      <c r="G323" s="6">
        <f t="shared" si="77"/>
        <v>0</v>
      </c>
      <c r="H323" s="7">
        <f t="shared" si="78"/>
        <v>0</v>
      </c>
      <c r="I323" s="8">
        <v>2.62</v>
      </c>
      <c r="J323" s="9">
        <f t="shared" si="79"/>
        <v>2.62</v>
      </c>
      <c r="K323" s="3">
        <f t="shared" si="80"/>
        <v>0</v>
      </c>
      <c r="L323" s="7">
        <f t="shared" si="81"/>
        <v>0</v>
      </c>
      <c r="M323" t="s">
        <v>187</v>
      </c>
    </row>
    <row r="324" spans="1:13" x14ac:dyDescent="0.25">
      <c r="A324">
        <v>322</v>
      </c>
      <c r="B324" t="s">
        <v>474</v>
      </c>
      <c r="C324" t="s">
        <v>291</v>
      </c>
      <c r="D324" s="4" t="s">
        <v>323</v>
      </c>
      <c r="E324" s="16">
        <v>35.229999999999997</v>
      </c>
      <c r="F324" s="12">
        <v>35.229999999999997</v>
      </c>
      <c r="G324" s="6">
        <f t="shared" si="77"/>
        <v>0</v>
      </c>
      <c r="H324" s="7">
        <f t="shared" si="78"/>
        <v>0</v>
      </c>
      <c r="I324" s="8">
        <v>54.21</v>
      </c>
      <c r="J324" s="9">
        <f t="shared" si="79"/>
        <v>54.21</v>
      </c>
      <c r="K324" s="3">
        <f t="shared" si="80"/>
        <v>0</v>
      </c>
      <c r="L324" s="7">
        <f t="shared" si="81"/>
        <v>0</v>
      </c>
      <c r="M324" t="s">
        <v>187</v>
      </c>
    </row>
    <row r="325" spans="1:13" x14ac:dyDescent="0.25">
      <c r="A325">
        <v>323</v>
      </c>
      <c r="B325" t="s">
        <v>474</v>
      </c>
      <c r="C325" t="s">
        <v>291</v>
      </c>
      <c r="D325" s="4" t="s">
        <v>324</v>
      </c>
      <c r="E325" s="16">
        <v>19.350000000000001</v>
      </c>
      <c r="F325" s="12">
        <v>19.350000000000001</v>
      </c>
      <c r="G325" s="6">
        <f t="shared" si="77"/>
        <v>0</v>
      </c>
      <c r="H325" s="7">
        <f t="shared" si="78"/>
        <v>0</v>
      </c>
      <c r="I325" s="8">
        <v>34.01</v>
      </c>
      <c r="J325" s="9">
        <f t="shared" si="79"/>
        <v>34.01</v>
      </c>
      <c r="K325" s="3">
        <f t="shared" si="80"/>
        <v>0</v>
      </c>
      <c r="L325" s="7">
        <f t="shared" si="81"/>
        <v>0</v>
      </c>
      <c r="M325" t="s">
        <v>187</v>
      </c>
    </row>
    <row r="326" spans="1:13" x14ac:dyDescent="0.25">
      <c r="A326">
        <v>324</v>
      </c>
      <c r="B326" t="s">
        <v>474</v>
      </c>
      <c r="C326" t="s">
        <v>291</v>
      </c>
      <c r="D326" s="4" t="s">
        <v>325</v>
      </c>
      <c r="E326" s="16">
        <v>13.97</v>
      </c>
      <c r="F326" s="12">
        <v>13.97</v>
      </c>
      <c r="G326" s="6">
        <f t="shared" si="77"/>
        <v>0</v>
      </c>
      <c r="H326" s="7">
        <f t="shared" si="78"/>
        <v>0</v>
      </c>
      <c r="I326" s="8">
        <v>21.5</v>
      </c>
      <c r="J326" s="9">
        <f t="shared" si="79"/>
        <v>21.5</v>
      </c>
      <c r="K326" s="3">
        <f t="shared" si="80"/>
        <v>0</v>
      </c>
      <c r="L326" s="7">
        <f t="shared" si="81"/>
        <v>0</v>
      </c>
      <c r="M326" t="s">
        <v>187</v>
      </c>
    </row>
    <row r="327" spans="1:13" x14ac:dyDescent="0.25">
      <c r="A327">
        <v>325</v>
      </c>
      <c r="B327" t="s">
        <v>474</v>
      </c>
      <c r="C327" t="s">
        <v>291</v>
      </c>
      <c r="D327" s="4" t="s">
        <v>326</v>
      </c>
      <c r="E327" s="16">
        <v>4.5599999999999996</v>
      </c>
      <c r="F327" s="12">
        <v>4.5599999999999996</v>
      </c>
      <c r="G327" s="6">
        <f t="shared" si="77"/>
        <v>0</v>
      </c>
      <c r="H327" s="7">
        <f t="shared" si="78"/>
        <v>0</v>
      </c>
      <c r="I327" s="8">
        <v>9.14</v>
      </c>
      <c r="J327" s="9">
        <f t="shared" si="79"/>
        <v>9.14</v>
      </c>
      <c r="K327" s="3">
        <f t="shared" si="80"/>
        <v>0</v>
      </c>
      <c r="L327" s="7">
        <f t="shared" si="81"/>
        <v>0</v>
      </c>
      <c r="M327" t="s">
        <v>187</v>
      </c>
    </row>
    <row r="328" spans="1:13" x14ac:dyDescent="0.25">
      <c r="A328">
        <v>326</v>
      </c>
      <c r="B328" t="s">
        <v>475</v>
      </c>
      <c r="C328" t="s">
        <v>291</v>
      </c>
      <c r="D328" s="4" t="s">
        <v>327</v>
      </c>
      <c r="E328" s="16">
        <v>3.49</v>
      </c>
      <c r="F328" s="12">
        <v>3.49</v>
      </c>
      <c r="G328" s="6">
        <f t="shared" si="77"/>
        <v>0</v>
      </c>
      <c r="H328" s="7">
        <f t="shared" si="78"/>
        <v>0</v>
      </c>
      <c r="I328" s="8">
        <v>6.59</v>
      </c>
      <c r="J328" s="9">
        <f t="shared" si="79"/>
        <v>6.59</v>
      </c>
      <c r="K328" s="3">
        <f t="shared" si="80"/>
        <v>0</v>
      </c>
      <c r="L328" s="7">
        <f t="shared" si="81"/>
        <v>0</v>
      </c>
      <c r="M328" t="s">
        <v>187</v>
      </c>
    </row>
    <row r="329" spans="1:13" x14ac:dyDescent="0.25">
      <c r="A329">
        <v>327</v>
      </c>
      <c r="B329" t="s">
        <v>474</v>
      </c>
      <c r="C329" t="s">
        <v>291</v>
      </c>
      <c r="D329" s="4" t="s">
        <v>328</v>
      </c>
      <c r="E329" s="16">
        <v>5.68</v>
      </c>
      <c r="F329" s="12">
        <v>5.68</v>
      </c>
      <c r="G329" s="6">
        <f t="shared" si="77"/>
        <v>0</v>
      </c>
      <c r="H329" s="7">
        <f t="shared" si="78"/>
        <v>0</v>
      </c>
      <c r="I329" s="8">
        <v>8.77</v>
      </c>
      <c r="J329" s="9">
        <f t="shared" si="79"/>
        <v>8.77</v>
      </c>
      <c r="K329" s="3">
        <f t="shared" si="80"/>
        <v>0</v>
      </c>
      <c r="L329" s="7">
        <f t="shared" si="81"/>
        <v>0</v>
      </c>
      <c r="M329" t="s">
        <v>187</v>
      </c>
    </row>
    <row r="330" spans="1:13" x14ac:dyDescent="0.25">
      <c r="A330">
        <v>328</v>
      </c>
      <c r="B330" t="s">
        <v>473</v>
      </c>
      <c r="C330" t="s">
        <v>291</v>
      </c>
      <c r="D330" s="4" t="s">
        <v>329</v>
      </c>
      <c r="E330" s="16">
        <v>5.22</v>
      </c>
      <c r="F330" s="12">
        <v>5.22</v>
      </c>
      <c r="G330" s="6">
        <f t="shared" si="77"/>
        <v>0</v>
      </c>
      <c r="H330" s="7">
        <f t="shared" si="78"/>
        <v>0</v>
      </c>
      <c r="I330" s="8">
        <v>8.0399999999999991</v>
      </c>
      <c r="J330" s="9">
        <f t="shared" si="79"/>
        <v>8.0399999999999991</v>
      </c>
      <c r="K330" s="3">
        <f t="shared" si="80"/>
        <v>0</v>
      </c>
      <c r="L330" s="7">
        <f t="shared" si="81"/>
        <v>0</v>
      </c>
      <c r="M330" t="s">
        <v>187</v>
      </c>
    </row>
    <row r="331" spans="1:13" x14ac:dyDescent="0.25">
      <c r="A331">
        <v>329</v>
      </c>
      <c r="B331" t="s">
        <v>474</v>
      </c>
      <c r="C331" t="s">
        <v>291</v>
      </c>
      <c r="D331" s="4" t="s">
        <v>330</v>
      </c>
      <c r="E331" s="16">
        <v>34.32</v>
      </c>
      <c r="F331" s="12">
        <v>34.32</v>
      </c>
      <c r="G331" s="6">
        <f t="shared" si="77"/>
        <v>0</v>
      </c>
      <c r="H331" s="7">
        <f t="shared" si="78"/>
        <v>0</v>
      </c>
      <c r="I331" s="8">
        <v>52.8</v>
      </c>
      <c r="J331" s="9">
        <f t="shared" si="79"/>
        <v>52.8</v>
      </c>
      <c r="K331" s="3">
        <f t="shared" si="80"/>
        <v>0</v>
      </c>
      <c r="L331" s="7">
        <f t="shared" si="81"/>
        <v>0</v>
      </c>
      <c r="M331" t="s">
        <v>187</v>
      </c>
    </row>
    <row r="332" spans="1:13" x14ac:dyDescent="0.25">
      <c r="A332">
        <v>330</v>
      </c>
      <c r="B332" t="s">
        <v>474</v>
      </c>
      <c r="C332" t="s">
        <v>291</v>
      </c>
      <c r="D332" s="4" t="s">
        <v>331</v>
      </c>
      <c r="E332" s="16">
        <v>2.96</v>
      </c>
      <c r="F332" s="12">
        <v>2.96</v>
      </c>
      <c r="G332" s="6">
        <f>+F332-E332</f>
        <v>0</v>
      </c>
      <c r="H332" s="7">
        <f>(F332-E332)/ABS(E332)</f>
        <v>0</v>
      </c>
      <c r="I332" s="8">
        <v>4.5599999999999996</v>
      </c>
      <c r="J332" s="9">
        <f>(I332*H332)+I332</f>
        <v>4.5599999999999996</v>
      </c>
      <c r="K332" s="3">
        <f>J332-I332</f>
        <v>0</v>
      </c>
      <c r="L332" s="7">
        <f>(J332-I332)/ABS(I332)</f>
        <v>0</v>
      </c>
      <c r="M332" t="s">
        <v>187</v>
      </c>
    </row>
    <row r="333" spans="1:13" x14ac:dyDescent="0.25">
      <c r="A333">
        <v>331</v>
      </c>
      <c r="B333" t="s">
        <v>473</v>
      </c>
      <c r="C333" t="s">
        <v>291</v>
      </c>
      <c r="D333" s="4" t="s">
        <v>332</v>
      </c>
      <c r="E333" s="12">
        <v>197</v>
      </c>
      <c r="F333" s="12">
        <v>197</v>
      </c>
      <c r="G333" s="6">
        <f t="shared" ref="G333:G345" si="82">+F333-E333</f>
        <v>0</v>
      </c>
      <c r="H333" s="7">
        <f t="shared" ref="H333:H345" si="83">(F333-E333)/ABS(E333)</f>
        <v>0</v>
      </c>
      <c r="I333" s="8">
        <v>303.08</v>
      </c>
      <c r="J333" s="9">
        <f t="shared" ref="J333:J345" si="84">(I333*H333)+I333</f>
        <v>303.08</v>
      </c>
      <c r="K333" s="3">
        <f t="shared" ref="K333:K345" si="85">J333-I333</f>
        <v>0</v>
      </c>
      <c r="L333" s="7">
        <f t="shared" ref="L333:L345" si="86">(J333-I333)/ABS(I333)</f>
        <v>0</v>
      </c>
      <c r="M333" t="s">
        <v>187</v>
      </c>
    </row>
    <row r="334" spans="1:13" x14ac:dyDescent="0.25">
      <c r="A334">
        <v>332</v>
      </c>
      <c r="B334" t="s">
        <v>319</v>
      </c>
      <c r="C334" t="s">
        <v>291</v>
      </c>
      <c r="D334" s="4" t="s">
        <v>333</v>
      </c>
      <c r="E334" s="12">
        <v>83</v>
      </c>
      <c r="F334" s="12">
        <v>83</v>
      </c>
      <c r="G334" s="6">
        <f t="shared" si="82"/>
        <v>0</v>
      </c>
      <c r="H334" s="7">
        <f t="shared" si="83"/>
        <v>0</v>
      </c>
      <c r="I334" s="8">
        <v>100.7</v>
      </c>
      <c r="J334" s="9">
        <f t="shared" si="84"/>
        <v>100.7</v>
      </c>
      <c r="K334" s="3">
        <f t="shared" si="85"/>
        <v>0</v>
      </c>
      <c r="L334" s="7">
        <f t="shared" si="86"/>
        <v>0</v>
      </c>
      <c r="M334" t="s">
        <v>187</v>
      </c>
    </row>
    <row r="335" spans="1:13" x14ac:dyDescent="0.25">
      <c r="A335">
        <v>333</v>
      </c>
      <c r="B335" t="s">
        <v>305</v>
      </c>
      <c r="C335" t="s">
        <v>291</v>
      </c>
      <c r="D335" s="4" t="s">
        <v>334</v>
      </c>
      <c r="E335" s="12">
        <v>10</v>
      </c>
      <c r="F335" s="12">
        <v>10</v>
      </c>
      <c r="G335" s="6">
        <f t="shared" si="82"/>
        <v>0</v>
      </c>
      <c r="H335" s="7">
        <f t="shared" si="83"/>
        <v>0</v>
      </c>
      <c r="I335" s="8">
        <v>15.39</v>
      </c>
      <c r="J335" s="9">
        <f t="shared" si="84"/>
        <v>15.39</v>
      </c>
      <c r="K335" s="3">
        <f t="shared" si="85"/>
        <v>0</v>
      </c>
      <c r="L335" s="7">
        <f t="shared" si="86"/>
        <v>0</v>
      </c>
      <c r="M335" t="s">
        <v>187</v>
      </c>
    </row>
    <row r="336" spans="1:13" x14ac:dyDescent="0.25">
      <c r="A336">
        <v>334</v>
      </c>
      <c r="B336" t="s">
        <v>476</v>
      </c>
      <c r="C336" t="s">
        <v>291</v>
      </c>
      <c r="D336" s="4" t="s">
        <v>335</v>
      </c>
      <c r="E336" s="12">
        <v>2.5099999999999998</v>
      </c>
      <c r="F336" s="12">
        <v>2.5099999999999998</v>
      </c>
      <c r="G336" s="6">
        <f t="shared" si="82"/>
        <v>0</v>
      </c>
      <c r="H336" s="7">
        <f t="shared" si="83"/>
        <v>0</v>
      </c>
      <c r="I336" s="8">
        <v>5.14</v>
      </c>
      <c r="J336" s="9">
        <f t="shared" si="84"/>
        <v>5.14</v>
      </c>
      <c r="K336" s="3">
        <f t="shared" si="85"/>
        <v>0</v>
      </c>
      <c r="L336" s="7">
        <f t="shared" si="86"/>
        <v>0</v>
      </c>
      <c r="M336" t="s">
        <v>187</v>
      </c>
    </row>
    <row r="337" spans="1:13" x14ac:dyDescent="0.25">
      <c r="A337">
        <v>335</v>
      </c>
      <c r="B337" t="s">
        <v>477</v>
      </c>
      <c r="C337" t="s">
        <v>291</v>
      </c>
      <c r="D337" s="4" t="s">
        <v>336</v>
      </c>
      <c r="E337" s="12">
        <v>5.44</v>
      </c>
      <c r="F337" s="12">
        <v>5.44</v>
      </c>
      <c r="G337" s="6">
        <f t="shared" si="82"/>
        <v>0</v>
      </c>
      <c r="H337" s="7">
        <f t="shared" si="83"/>
        <v>0</v>
      </c>
      <c r="I337" s="8">
        <v>9.49</v>
      </c>
      <c r="J337" s="9">
        <f t="shared" si="84"/>
        <v>9.49</v>
      </c>
      <c r="K337" s="3">
        <f t="shared" si="85"/>
        <v>0</v>
      </c>
      <c r="L337" s="7">
        <f t="shared" si="86"/>
        <v>0</v>
      </c>
      <c r="M337" t="s">
        <v>187</v>
      </c>
    </row>
    <row r="338" spans="1:13" x14ac:dyDescent="0.25">
      <c r="A338">
        <v>336</v>
      </c>
      <c r="B338" t="s">
        <v>463</v>
      </c>
      <c r="C338" t="s">
        <v>291</v>
      </c>
      <c r="D338" s="4" t="s">
        <v>337</v>
      </c>
      <c r="E338" s="12">
        <v>115.32</v>
      </c>
      <c r="F338" s="12">
        <v>115.32</v>
      </c>
      <c r="G338" s="6">
        <f t="shared" si="82"/>
        <v>0</v>
      </c>
      <c r="H338" s="7">
        <f t="shared" si="83"/>
        <v>0</v>
      </c>
      <c r="I338" s="8">
        <v>177.42</v>
      </c>
      <c r="J338" s="9">
        <f t="shared" si="84"/>
        <v>177.42</v>
      </c>
      <c r="K338" s="3">
        <f t="shared" si="85"/>
        <v>0</v>
      </c>
      <c r="L338" s="7">
        <f t="shared" si="86"/>
        <v>0</v>
      </c>
      <c r="M338" t="s">
        <v>187</v>
      </c>
    </row>
    <row r="339" spans="1:13" x14ac:dyDescent="0.25">
      <c r="A339">
        <v>337</v>
      </c>
      <c r="B339" t="s">
        <v>463</v>
      </c>
      <c r="C339" t="s">
        <v>291</v>
      </c>
      <c r="D339" s="4" t="s">
        <v>338</v>
      </c>
      <c r="E339" s="12">
        <v>0.89</v>
      </c>
      <c r="F339" s="12">
        <v>0.89</v>
      </c>
      <c r="G339" s="6">
        <f t="shared" si="82"/>
        <v>0</v>
      </c>
      <c r="H339" s="7">
        <f t="shared" si="83"/>
        <v>0</v>
      </c>
      <c r="I339" s="8">
        <v>1.37</v>
      </c>
      <c r="J339" s="9">
        <f t="shared" si="84"/>
        <v>1.37</v>
      </c>
      <c r="K339" s="3">
        <f t="shared" si="85"/>
        <v>0</v>
      </c>
      <c r="L339" s="7">
        <f t="shared" si="86"/>
        <v>0</v>
      </c>
      <c r="M339" t="s">
        <v>187</v>
      </c>
    </row>
    <row r="340" spans="1:13" x14ac:dyDescent="0.25">
      <c r="A340">
        <v>338</v>
      </c>
      <c r="B340" t="s">
        <v>463</v>
      </c>
      <c r="C340" t="s">
        <v>291</v>
      </c>
      <c r="D340" s="4" t="s">
        <v>339</v>
      </c>
      <c r="E340" s="12">
        <v>33.590000000000003</v>
      </c>
      <c r="F340" s="12">
        <v>33.590000000000003</v>
      </c>
      <c r="G340" s="6">
        <f t="shared" si="82"/>
        <v>0</v>
      </c>
      <c r="H340" s="7">
        <f t="shared" si="83"/>
        <v>0</v>
      </c>
      <c r="I340" s="8">
        <v>51.68</v>
      </c>
      <c r="J340" s="9">
        <f t="shared" si="84"/>
        <v>51.68</v>
      </c>
      <c r="K340" s="3">
        <f t="shared" si="85"/>
        <v>0</v>
      </c>
      <c r="L340" s="7">
        <f t="shared" si="86"/>
        <v>0</v>
      </c>
      <c r="M340" t="s">
        <v>187</v>
      </c>
    </row>
    <row r="341" spans="1:13" x14ac:dyDescent="0.25">
      <c r="A341">
        <v>339</v>
      </c>
      <c r="B341" t="s">
        <v>463</v>
      </c>
      <c r="C341" t="s">
        <v>291</v>
      </c>
      <c r="D341" s="4" t="s">
        <v>464</v>
      </c>
      <c r="E341" s="12">
        <v>14.78</v>
      </c>
      <c r="F341" s="12">
        <v>14.78</v>
      </c>
      <c r="G341" s="6">
        <f t="shared" si="82"/>
        <v>0</v>
      </c>
      <c r="H341" s="7">
        <f t="shared" si="83"/>
        <v>0</v>
      </c>
      <c r="I341" s="8">
        <v>22.74</v>
      </c>
      <c r="J341" s="9">
        <f t="shared" si="84"/>
        <v>22.74</v>
      </c>
      <c r="K341" s="3">
        <f t="shared" si="85"/>
        <v>0</v>
      </c>
      <c r="L341" s="7">
        <f t="shared" si="86"/>
        <v>0</v>
      </c>
      <c r="M341" t="s">
        <v>187</v>
      </c>
    </row>
    <row r="342" spans="1:13" x14ac:dyDescent="0.25">
      <c r="A342">
        <v>340</v>
      </c>
      <c r="B342" t="s">
        <v>463</v>
      </c>
      <c r="C342" t="s">
        <v>291</v>
      </c>
      <c r="D342" s="4" t="s">
        <v>466</v>
      </c>
      <c r="E342" s="12">
        <v>2.21</v>
      </c>
      <c r="F342" s="12">
        <v>2.21</v>
      </c>
      <c r="G342" s="6">
        <f t="shared" si="82"/>
        <v>0</v>
      </c>
      <c r="H342" s="7">
        <f t="shared" si="83"/>
        <v>0</v>
      </c>
      <c r="I342" s="8">
        <v>3.8</v>
      </c>
      <c r="J342" s="9">
        <f t="shared" si="84"/>
        <v>3.8</v>
      </c>
      <c r="K342" s="3">
        <f t="shared" si="85"/>
        <v>0</v>
      </c>
      <c r="L342" s="7">
        <f t="shared" si="86"/>
        <v>0</v>
      </c>
      <c r="M342" t="s">
        <v>187</v>
      </c>
    </row>
    <row r="343" spans="1:13" x14ac:dyDescent="0.25">
      <c r="A343">
        <v>341</v>
      </c>
      <c r="B343" t="s">
        <v>463</v>
      </c>
      <c r="C343" t="s">
        <v>291</v>
      </c>
      <c r="D343" s="4" t="s">
        <v>467</v>
      </c>
      <c r="E343" s="12">
        <v>30.62</v>
      </c>
      <c r="F343" s="12">
        <v>30.62</v>
      </c>
      <c r="G343" s="6">
        <f t="shared" si="82"/>
        <v>0</v>
      </c>
      <c r="H343" s="7">
        <f t="shared" si="83"/>
        <v>0</v>
      </c>
      <c r="I343" s="8">
        <v>52.76</v>
      </c>
      <c r="J343" s="9">
        <f t="shared" si="84"/>
        <v>52.76</v>
      </c>
      <c r="K343" s="3">
        <f t="shared" si="85"/>
        <v>0</v>
      </c>
      <c r="L343" s="7">
        <f t="shared" si="86"/>
        <v>0</v>
      </c>
      <c r="M343" t="s">
        <v>187</v>
      </c>
    </row>
    <row r="344" spans="1:13" x14ac:dyDescent="0.25">
      <c r="A344">
        <v>342</v>
      </c>
      <c r="B344" t="s">
        <v>485</v>
      </c>
      <c r="C344" t="s">
        <v>291</v>
      </c>
      <c r="D344" s="4" t="s">
        <v>488</v>
      </c>
      <c r="E344" s="12">
        <v>147</v>
      </c>
      <c r="F344" s="12">
        <v>147</v>
      </c>
      <c r="G344" s="6">
        <f t="shared" si="82"/>
        <v>0</v>
      </c>
      <c r="H344" s="7">
        <f t="shared" si="83"/>
        <v>0</v>
      </c>
      <c r="I344" s="8">
        <v>226.16</v>
      </c>
      <c r="J344" s="9">
        <f t="shared" si="84"/>
        <v>226.16</v>
      </c>
      <c r="K344" s="3">
        <f t="shared" si="85"/>
        <v>0</v>
      </c>
      <c r="L344" s="7">
        <f t="shared" si="86"/>
        <v>0</v>
      </c>
      <c r="M344" t="s">
        <v>187</v>
      </c>
    </row>
    <row r="345" spans="1:13" x14ac:dyDescent="0.25">
      <c r="A345">
        <v>343</v>
      </c>
      <c r="B345" t="s">
        <v>290</v>
      </c>
      <c r="C345" t="s">
        <v>291</v>
      </c>
      <c r="D345" s="4" t="s">
        <v>489</v>
      </c>
      <c r="E345" s="12">
        <v>66.349999999999994</v>
      </c>
      <c r="F345" s="12">
        <v>66.349999999999994</v>
      </c>
      <c r="G345" s="6">
        <f t="shared" si="82"/>
        <v>0</v>
      </c>
      <c r="H345" s="7">
        <f t="shared" si="83"/>
        <v>0</v>
      </c>
      <c r="I345" s="8">
        <v>102.08</v>
      </c>
      <c r="J345" s="9">
        <f t="shared" si="84"/>
        <v>102.08</v>
      </c>
      <c r="K345" s="3">
        <f t="shared" si="85"/>
        <v>0</v>
      </c>
      <c r="L345" s="7">
        <f t="shared" si="86"/>
        <v>0</v>
      </c>
      <c r="M345" t="s">
        <v>187</v>
      </c>
    </row>
    <row r="346" spans="1:13" x14ac:dyDescent="0.25">
      <c r="A346">
        <v>344</v>
      </c>
      <c r="D346" s="2" t="s">
        <v>340</v>
      </c>
      <c r="H346" s="10">
        <f>AVERAGE(H298:H343)</f>
        <v>0</v>
      </c>
      <c r="I346"/>
    </row>
    <row r="347" spans="1:13" x14ac:dyDescent="0.25">
      <c r="A347">
        <v>345</v>
      </c>
      <c r="D347" s="2" t="s">
        <v>341</v>
      </c>
      <c r="I347"/>
      <c r="M347" t="s">
        <v>7</v>
      </c>
    </row>
    <row r="348" spans="1:13" x14ac:dyDescent="0.25">
      <c r="A348">
        <v>346</v>
      </c>
      <c r="D348" s="2" t="s">
        <v>342</v>
      </c>
      <c r="I348"/>
    </row>
    <row r="349" spans="1:13" x14ac:dyDescent="0.25">
      <c r="A349">
        <v>347</v>
      </c>
      <c r="B349" t="s">
        <v>470</v>
      </c>
      <c r="C349" s="28" t="s">
        <v>454</v>
      </c>
      <c r="D349" s="4" t="s">
        <v>497</v>
      </c>
      <c r="E349" s="11">
        <v>1485</v>
      </c>
      <c r="F349" s="11">
        <v>1430</v>
      </c>
      <c r="G349" s="6">
        <f t="shared" ref="G349:G356" si="87">+F349-E349</f>
        <v>-55</v>
      </c>
      <c r="H349" s="7">
        <f t="shared" ref="H349:H356" si="88">(F349-E349)/ABS(E349)</f>
        <v>-3.7037037037037035E-2</v>
      </c>
      <c r="I349" s="9">
        <v>118.24570098910753</v>
      </c>
      <c r="J349" s="8">
        <f t="shared" ref="J349:J356" si="89">(I349*H349)+I349</f>
        <v>113.86623058210355</v>
      </c>
      <c r="K349" s="3">
        <f t="shared" ref="K349:K356" si="90">J349-I349</f>
        <v>-4.3794704070039785</v>
      </c>
      <c r="L349" s="7">
        <f t="shared" ref="L349:L356" si="91">(J349-I349)/ABS(I349)</f>
        <v>-3.7037037037037E-2</v>
      </c>
      <c r="M349" t="s">
        <v>7</v>
      </c>
    </row>
    <row r="350" spans="1:13" x14ac:dyDescent="0.25">
      <c r="A350">
        <v>348</v>
      </c>
      <c r="B350" t="s">
        <v>290</v>
      </c>
      <c r="C350" s="28" t="s">
        <v>344</v>
      </c>
      <c r="D350" s="4" t="s">
        <v>345</v>
      </c>
      <c r="E350" s="11">
        <v>4.93</v>
      </c>
      <c r="F350" s="11">
        <v>4.93</v>
      </c>
      <c r="G350" s="6">
        <f t="shared" si="87"/>
        <v>0</v>
      </c>
      <c r="H350" s="7">
        <f t="shared" si="88"/>
        <v>0</v>
      </c>
      <c r="I350" s="8">
        <v>10.18301417057406</v>
      </c>
      <c r="J350" s="9">
        <f t="shared" si="89"/>
        <v>10.18301417057406</v>
      </c>
      <c r="K350" s="3">
        <f t="shared" si="90"/>
        <v>0</v>
      </c>
      <c r="L350" s="7">
        <f t="shared" si="91"/>
        <v>0</v>
      </c>
      <c r="M350" t="s">
        <v>7</v>
      </c>
    </row>
    <row r="351" spans="1:13" x14ac:dyDescent="0.25">
      <c r="A351">
        <v>349</v>
      </c>
      <c r="B351" t="s">
        <v>463</v>
      </c>
      <c r="C351" s="28" t="s">
        <v>344</v>
      </c>
      <c r="D351" s="4" t="s">
        <v>346</v>
      </c>
      <c r="E351" s="11">
        <v>6.5</v>
      </c>
      <c r="F351" s="11">
        <v>6.5</v>
      </c>
      <c r="G351" s="6">
        <f t="shared" si="87"/>
        <v>0</v>
      </c>
      <c r="H351" s="7">
        <f t="shared" si="88"/>
        <v>0</v>
      </c>
      <c r="I351" s="8">
        <v>11.46</v>
      </c>
      <c r="J351" s="9">
        <f t="shared" si="89"/>
        <v>11.46</v>
      </c>
      <c r="K351" s="3">
        <f t="shared" si="90"/>
        <v>0</v>
      </c>
      <c r="L351" s="7">
        <f t="shared" si="91"/>
        <v>0</v>
      </c>
      <c r="M351" t="s">
        <v>7</v>
      </c>
    </row>
    <row r="352" spans="1:13" x14ac:dyDescent="0.25">
      <c r="A352">
        <v>350</v>
      </c>
      <c r="B352" t="s">
        <v>463</v>
      </c>
      <c r="C352" s="28" t="s">
        <v>347</v>
      </c>
      <c r="D352" s="4" t="s">
        <v>348</v>
      </c>
      <c r="E352" s="11">
        <v>4.7699999999999996</v>
      </c>
      <c r="F352" s="11">
        <v>4.7699999999999996</v>
      </c>
      <c r="G352" s="6">
        <f t="shared" si="87"/>
        <v>0</v>
      </c>
      <c r="H352" s="7">
        <f t="shared" si="88"/>
        <v>0</v>
      </c>
      <c r="I352" s="8">
        <v>6.82</v>
      </c>
      <c r="J352" s="9">
        <f t="shared" si="89"/>
        <v>6.82</v>
      </c>
      <c r="K352" s="3">
        <f t="shared" si="90"/>
        <v>0</v>
      </c>
      <c r="L352" s="7">
        <f t="shared" si="91"/>
        <v>0</v>
      </c>
      <c r="M352" t="s">
        <v>7</v>
      </c>
    </row>
    <row r="353" spans="1:13" x14ac:dyDescent="0.25">
      <c r="A353">
        <v>351</v>
      </c>
      <c r="B353" t="s">
        <v>463</v>
      </c>
      <c r="C353" s="28" t="s">
        <v>347</v>
      </c>
      <c r="D353" s="4" t="s">
        <v>349</v>
      </c>
      <c r="E353" s="11">
        <v>104</v>
      </c>
      <c r="F353" s="11">
        <v>104</v>
      </c>
      <c r="G353" s="6">
        <f t="shared" si="87"/>
        <v>0</v>
      </c>
      <c r="H353" s="7">
        <f t="shared" si="88"/>
        <v>0</v>
      </c>
      <c r="I353" s="8">
        <v>159.78</v>
      </c>
      <c r="J353" s="9">
        <f t="shared" si="89"/>
        <v>159.78</v>
      </c>
      <c r="K353" s="3">
        <f t="shared" si="90"/>
        <v>0</v>
      </c>
      <c r="L353" s="7">
        <f t="shared" si="91"/>
        <v>0</v>
      </c>
      <c r="M353" t="s">
        <v>7</v>
      </c>
    </row>
    <row r="354" spans="1:13" x14ac:dyDescent="0.25">
      <c r="A354">
        <v>352</v>
      </c>
      <c r="B354" t="s">
        <v>445</v>
      </c>
      <c r="C354" s="28" t="s">
        <v>343</v>
      </c>
      <c r="D354" s="4" t="s">
        <v>446</v>
      </c>
      <c r="E354" s="11">
        <v>49.22</v>
      </c>
      <c r="F354" s="11">
        <v>49.22</v>
      </c>
      <c r="G354" s="6">
        <f t="shared" si="87"/>
        <v>0</v>
      </c>
      <c r="H354" s="7">
        <f t="shared" si="88"/>
        <v>0</v>
      </c>
      <c r="I354" s="8">
        <v>65.413333333333341</v>
      </c>
      <c r="J354" s="9">
        <f t="shared" si="89"/>
        <v>65.413333333333341</v>
      </c>
      <c r="K354" s="3">
        <f t="shared" si="90"/>
        <v>0</v>
      </c>
      <c r="L354" s="7">
        <f t="shared" si="91"/>
        <v>0</v>
      </c>
      <c r="M354" t="s">
        <v>7</v>
      </c>
    </row>
    <row r="355" spans="1:13" x14ac:dyDescent="0.25">
      <c r="A355">
        <v>353</v>
      </c>
      <c r="B355" t="s">
        <v>303</v>
      </c>
      <c r="C355" s="28" t="s">
        <v>343</v>
      </c>
      <c r="D355" s="4" t="s">
        <v>350</v>
      </c>
      <c r="E355" s="11">
        <v>28.21</v>
      </c>
      <c r="F355" s="11">
        <v>28.21</v>
      </c>
      <c r="G355" s="6">
        <f t="shared" si="87"/>
        <v>0</v>
      </c>
      <c r="H355" s="7">
        <f t="shared" si="88"/>
        <v>0</v>
      </c>
      <c r="I355" s="8">
        <v>60.400819101768519</v>
      </c>
      <c r="J355" s="9">
        <f t="shared" si="89"/>
        <v>60.400819101768519</v>
      </c>
      <c r="K355" s="3">
        <f t="shared" si="90"/>
        <v>0</v>
      </c>
      <c r="L355" s="7">
        <f t="shared" si="91"/>
        <v>0</v>
      </c>
      <c r="M355" t="s">
        <v>7</v>
      </c>
    </row>
    <row r="356" spans="1:13" x14ac:dyDescent="0.25">
      <c r="A356">
        <v>354</v>
      </c>
      <c r="B356" t="s">
        <v>303</v>
      </c>
      <c r="C356" s="28" t="s">
        <v>351</v>
      </c>
      <c r="D356" s="4" t="s">
        <v>352</v>
      </c>
      <c r="E356" s="11">
        <v>20.36</v>
      </c>
      <c r="F356" s="11">
        <v>20.36</v>
      </c>
      <c r="G356" s="6">
        <f t="shared" si="87"/>
        <v>0</v>
      </c>
      <c r="H356" s="7">
        <f t="shared" si="88"/>
        <v>0</v>
      </c>
      <c r="I356" s="8">
        <v>33.75</v>
      </c>
      <c r="J356" s="9">
        <f t="shared" si="89"/>
        <v>33.75</v>
      </c>
      <c r="K356" s="3">
        <f t="shared" si="90"/>
        <v>0</v>
      </c>
      <c r="L356" s="7">
        <f t="shared" si="91"/>
        <v>0</v>
      </c>
      <c r="M356" t="s">
        <v>7</v>
      </c>
    </row>
    <row r="357" spans="1:13" x14ac:dyDescent="0.25">
      <c r="A357">
        <v>355</v>
      </c>
      <c r="C357" s="28"/>
      <c r="D357" s="2" t="s">
        <v>353</v>
      </c>
      <c r="I357"/>
    </row>
    <row r="358" spans="1:13" x14ac:dyDescent="0.25">
      <c r="A358">
        <v>356</v>
      </c>
      <c r="B358" t="s">
        <v>294</v>
      </c>
      <c r="C358" s="28" t="s">
        <v>354</v>
      </c>
      <c r="D358" s="4" t="s">
        <v>355</v>
      </c>
      <c r="E358" s="12">
        <v>5.98</v>
      </c>
      <c r="F358" s="12">
        <v>5.98</v>
      </c>
      <c r="G358" s="6">
        <f>+F358-E358</f>
        <v>0</v>
      </c>
      <c r="H358" s="7">
        <f>(F358-E358)/ABS(E358)</f>
        <v>0</v>
      </c>
      <c r="I358" s="12">
        <v>10.64931506849315</v>
      </c>
      <c r="J358" s="12">
        <f>(I358*H358)+I358</f>
        <v>10.64931506849315</v>
      </c>
      <c r="K358" s="3">
        <f>J358-I358</f>
        <v>0</v>
      </c>
      <c r="L358" s="7">
        <f>(J358-I358)/ABS(I358)</f>
        <v>0</v>
      </c>
      <c r="M358" t="s">
        <v>150</v>
      </c>
    </row>
    <row r="359" spans="1:13" x14ac:dyDescent="0.25">
      <c r="A359">
        <v>357</v>
      </c>
      <c r="C359" s="28"/>
      <c r="D359" s="2" t="s">
        <v>356</v>
      </c>
      <c r="I359"/>
    </row>
    <row r="360" spans="1:13" x14ac:dyDescent="0.25">
      <c r="A360">
        <v>358</v>
      </c>
      <c r="B360" t="s">
        <v>502</v>
      </c>
      <c r="C360" s="28" t="s">
        <v>454</v>
      </c>
      <c r="D360" s="4" t="s">
        <v>503</v>
      </c>
      <c r="E360" s="11">
        <v>1687</v>
      </c>
      <c r="F360" s="11">
        <v>1754</v>
      </c>
      <c r="G360" s="13">
        <f t="shared" ref="G360:G394" si="92">+F360-E360</f>
        <v>67</v>
      </c>
      <c r="H360" s="7">
        <f t="shared" ref="H360:H394" si="93">(F360-E360)/ABS(E360)</f>
        <v>3.9715471250740958E-2</v>
      </c>
      <c r="I360" s="8">
        <v>80.329870689655166</v>
      </c>
      <c r="J360" s="9">
        <f t="shared" ref="J360:J394" si="94">(I360*H360)+I360</f>
        <v>83.5202093596059</v>
      </c>
      <c r="K360" s="3">
        <f t="shared" ref="K360:K394" si="95">J360-I360</f>
        <v>3.1903386699507337</v>
      </c>
      <c r="L360" s="7">
        <f t="shared" ref="L360:L394" si="96">(J360-I360)/ABS(I360)</f>
        <v>3.9715471250740896E-2</v>
      </c>
      <c r="M360" t="s">
        <v>7</v>
      </c>
    </row>
    <row r="361" spans="1:13" x14ac:dyDescent="0.25">
      <c r="A361">
        <v>359</v>
      </c>
      <c r="B361" t="s">
        <v>290</v>
      </c>
      <c r="C361" s="28" t="s">
        <v>454</v>
      </c>
      <c r="D361" s="4" t="s">
        <v>498</v>
      </c>
      <c r="E361" s="11">
        <v>1670</v>
      </c>
      <c r="F361" s="11">
        <v>1670</v>
      </c>
      <c r="G361" s="13">
        <f t="shared" si="92"/>
        <v>0</v>
      </c>
      <c r="H361" s="7">
        <f t="shared" si="93"/>
        <v>0</v>
      </c>
      <c r="I361" s="8">
        <v>40.460441510876777</v>
      </c>
      <c r="J361" s="9">
        <f t="shared" si="94"/>
        <v>40.460441510876777</v>
      </c>
      <c r="K361" s="3">
        <f t="shared" si="95"/>
        <v>0</v>
      </c>
      <c r="L361" s="7">
        <f t="shared" si="96"/>
        <v>0</v>
      </c>
      <c r="M361" t="s">
        <v>7</v>
      </c>
    </row>
    <row r="362" spans="1:13" x14ac:dyDescent="0.25">
      <c r="A362">
        <v>360</v>
      </c>
      <c r="B362" t="s">
        <v>290</v>
      </c>
      <c r="C362" s="28" t="s">
        <v>454</v>
      </c>
      <c r="D362" s="4" t="s">
        <v>495</v>
      </c>
      <c r="E362" s="11">
        <v>76.16</v>
      </c>
      <c r="F362" s="11">
        <v>76.16</v>
      </c>
      <c r="G362" s="13">
        <f t="shared" si="92"/>
        <v>0</v>
      </c>
      <c r="H362" s="7">
        <f t="shared" si="93"/>
        <v>0</v>
      </c>
      <c r="I362" s="8">
        <v>118.41812494751909</v>
      </c>
      <c r="J362" s="9">
        <f t="shared" si="94"/>
        <v>118.41812494751909</v>
      </c>
      <c r="K362" s="3">
        <f t="shared" si="95"/>
        <v>0</v>
      </c>
      <c r="L362" s="7">
        <f t="shared" si="96"/>
        <v>0</v>
      </c>
      <c r="M362" t="s">
        <v>7</v>
      </c>
    </row>
    <row r="363" spans="1:13" x14ac:dyDescent="0.25">
      <c r="A363">
        <v>361</v>
      </c>
      <c r="B363" t="s">
        <v>290</v>
      </c>
      <c r="C363" s="28" t="s">
        <v>454</v>
      </c>
      <c r="D363" s="4" t="s">
        <v>496</v>
      </c>
      <c r="E363" s="11">
        <v>1840</v>
      </c>
      <c r="F363" s="11">
        <v>1840</v>
      </c>
      <c r="G363" s="13">
        <f t="shared" si="92"/>
        <v>0</v>
      </c>
      <c r="H363" s="7">
        <f t="shared" si="93"/>
        <v>0</v>
      </c>
      <c r="I363" s="8">
        <v>246.84337380502768</v>
      </c>
      <c r="J363" s="9">
        <f t="shared" si="94"/>
        <v>246.84337380502768</v>
      </c>
      <c r="K363" s="3">
        <f t="shared" si="95"/>
        <v>0</v>
      </c>
      <c r="L363" s="7">
        <f t="shared" si="96"/>
        <v>0</v>
      </c>
      <c r="M363" t="s">
        <v>7</v>
      </c>
    </row>
    <row r="364" spans="1:13" x14ac:dyDescent="0.25">
      <c r="A364">
        <v>362</v>
      </c>
      <c r="B364" t="s">
        <v>483</v>
      </c>
      <c r="C364" s="28" t="s">
        <v>351</v>
      </c>
      <c r="D364" s="4" t="s">
        <v>357</v>
      </c>
      <c r="E364" s="11">
        <v>2709</v>
      </c>
      <c r="F364" s="11">
        <v>2709</v>
      </c>
      <c r="G364" s="13">
        <f t="shared" si="92"/>
        <v>0</v>
      </c>
      <c r="H364" s="7">
        <f t="shared" si="93"/>
        <v>0</v>
      </c>
      <c r="I364" s="8">
        <v>5.1687034714890512</v>
      </c>
      <c r="J364" s="9">
        <f t="shared" si="94"/>
        <v>5.1687034714890512</v>
      </c>
      <c r="K364" s="3">
        <f t="shared" si="95"/>
        <v>0</v>
      </c>
      <c r="L364" s="7">
        <f t="shared" si="96"/>
        <v>0</v>
      </c>
      <c r="M364" t="s">
        <v>7</v>
      </c>
    </row>
    <row r="365" spans="1:13" x14ac:dyDescent="0.25">
      <c r="A365">
        <v>363</v>
      </c>
      <c r="B365" t="s">
        <v>484</v>
      </c>
      <c r="C365" s="28" t="s">
        <v>351</v>
      </c>
      <c r="D365" s="4" t="s">
        <v>358</v>
      </c>
      <c r="E365" s="11">
        <v>2709</v>
      </c>
      <c r="F365" s="11">
        <v>2709</v>
      </c>
      <c r="G365" s="13">
        <f t="shared" si="92"/>
        <v>0</v>
      </c>
      <c r="H365" s="7">
        <f t="shared" si="93"/>
        <v>0</v>
      </c>
      <c r="I365" s="8">
        <v>8.0702736339232413</v>
      </c>
      <c r="J365" s="9">
        <f t="shared" si="94"/>
        <v>8.0702736339232413</v>
      </c>
      <c r="K365" s="3">
        <f t="shared" si="95"/>
        <v>0</v>
      </c>
      <c r="L365" s="7">
        <f t="shared" si="96"/>
        <v>0</v>
      </c>
      <c r="M365" t="s">
        <v>7</v>
      </c>
    </row>
    <row r="366" spans="1:13" x14ac:dyDescent="0.25">
      <c r="A366">
        <v>364</v>
      </c>
      <c r="B366" t="s">
        <v>290</v>
      </c>
      <c r="C366" s="28" t="s">
        <v>351</v>
      </c>
      <c r="D366" s="4" t="s">
        <v>359</v>
      </c>
      <c r="E366" s="11">
        <v>2709</v>
      </c>
      <c r="F366" s="11">
        <v>2709</v>
      </c>
      <c r="G366" s="13">
        <f t="shared" si="92"/>
        <v>0</v>
      </c>
      <c r="H366" s="7">
        <f t="shared" si="93"/>
        <v>0</v>
      </c>
      <c r="I366" s="8">
        <v>11.040593760943526</v>
      </c>
      <c r="J366" s="9">
        <f t="shared" si="94"/>
        <v>11.040593760943526</v>
      </c>
      <c r="K366" s="3">
        <f t="shared" si="95"/>
        <v>0</v>
      </c>
      <c r="L366" s="7">
        <f t="shared" si="96"/>
        <v>0</v>
      </c>
      <c r="M366" t="s">
        <v>7</v>
      </c>
    </row>
    <row r="367" spans="1:13" x14ac:dyDescent="0.25">
      <c r="A367">
        <v>365</v>
      </c>
      <c r="B367" t="s">
        <v>476</v>
      </c>
      <c r="C367" s="28" t="s">
        <v>351</v>
      </c>
      <c r="D367" s="4" t="s">
        <v>360</v>
      </c>
      <c r="E367" s="11">
        <v>3148</v>
      </c>
      <c r="F367" s="11">
        <v>3148</v>
      </c>
      <c r="G367" s="13">
        <f t="shared" si="92"/>
        <v>0</v>
      </c>
      <c r="H367" s="7">
        <f t="shared" si="93"/>
        <v>0</v>
      </c>
      <c r="I367" s="8">
        <v>14.3</v>
      </c>
      <c r="J367" s="9">
        <f t="shared" si="94"/>
        <v>14.3</v>
      </c>
      <c r="K367" s="3">
        <f t="shared" si="95"/>
        <v>0</v>
      </c>
      <c r="L367" s="7">
        <f t="shared" si="96"/>
        <v>0</v>
      </c>
      <c r="M367" t="s">
        <v>7</v>
      </c>
    </row>
    <row r="368" spans="1:13" x14ac:dyDescent="0.25">
      <c r="A368">
        <v>366</v>
      </c>
      <c r="B368" t="s">
        <v>478</v>
      </c>
      <c r="C368" s="28" t="s">
        <v>351</v>
      </c>
      <c r="D368" s="4" t="s">
        <v>361</v>
      </c>
      <c r="E368" s="11">
        <v>3065</v>
      </c>
      <c r="F368" s="11">
        <v>3065</v>
      </c>
      <c r="G368" s="13">
        <f t="shared" si="92"/>
        <v>0</v>
      </c>
      <c r="H368" s="7">
        <f t="shared" si="93"/>
        <v>0</v>
      </c>
      <c r="I368" s="8">
        <v>19.904756025519848</v>
      </c>
      <c r="J368" s="9">
        <f t="shared" si="94"/>
        <v>19.904756025519848</v>
      </c>
      <c r="K368" s="3">
        <f t="shared" si="95"/>
        <v>0</v>
      </c>
      <c r="L368" s="7">
        <f t="shared" si="96"/>
        <v>0</v>
      </c>
      <c r="M368" t="s">
        <v>7</v>
      </c>
    </row>
    <row r="369" spans="1:13" x14ac:dyDescent="0.25">
      <c r="A369">
        <v>367</v>
      </c>
      <c r="B369" t="s">
        <v>445</v>
      </c>
      <c r="C369" s="28" t="s">
        <v>351</v>
      </c>
      <c r="D369" s="4" t="s">
        <v>362</v>
      </c>
      <c r="E369" s="11">
        <v>3065</v>
      </c>
      <c r="F369" s="11">
        <v>3065</v>
      </c>
      <c r="G369" s="13">
        <f t="shared" si="92"/>
        <v>0</v>
      </c>
      <c r="H369" s="7">
        <f t="shared" si="93"/>
        <v>0</v>
      </c>
      <c r="I369" s="8">
        <v>23.00692071335494</v>
      </c>
      <c r="J369" s="9">
        <f t="shared" si="94"/>
        <v>23.00692071335494</v>
      </c>
      <c r="K369" s="3">
        <f t="shared" si="95"/>
        <v>0</v>
      </c>
      <c r="L369" s="7">
        <f t="shared" si="96"/>
        <v>0</v>
      </c>
      <c r="M369" t="s">
        <v>7</v>
      </c>
    </row>
    <row r="370" spans="1:13" x14ac:dyDescent="0.25">
      <c r="A370">
        <v>368</v>
      </c>
      <c r="B370" t="s">
        <v>478</v>
      </c>
      <c r="C370" s="28" t="s">
        <v>351</v>
      </c>
      <c r="D370" s="4" t="s">
        <v>363</v>
      </c>
      <c r="E370" s="11">
        <v>3135</v>
      </c>
      <c r="F370" s="11">
        <v>3135</v>
      </c>
      <c r="G370" s="13">
        <f t="shared" si="92"/>
        <v>0</v>
      </c>
      <c r="H370" s="7">
        <f t="shared" si="93"/>
        <v>0</v>
      </c>
      <c r="I370" s="8">
        <v>26.876311326468805</v>
      </c>
      <c r="J370" s="9">
        <f t="shared" si="94"/>
        <v>26.876311326468805</v>
      </c>
      <c r="K370" s="3">
        <f t="shared" si="95"/>
        <v>0</v>
      </c>
      <c r="L370" s="7">
        <f t="shared" si="96"/>
        <v>0</v>
      </c>
      <c r="M370" t="s">
        <v>7</v>
      </c>
    </row>
    <row r="371" spans="1:13" x14ac:dyDescent="0.25">
      <c r="A371">
        <v>369</v>
      </c>
      <c r="B371" t="s">
        <v>481</v>
      </c>
      <c r="C371" s="28" t="s">
        <v>351</v>
      </c>
      <c r="D371" s="4" t="s">
        <v>364</v>
      </c>
      <c r="E371" s="11">
        <v>2931</v>
      </c>
      <c r="F371" s="11">
        <v>2931</v>
      </c>
      <c r="G371" s="13">
        <f t="shared" si="92"/>
        <v>0</v>
      </c>
      <c r="H371" s="7">
        <f t="shared" si="93"/>
        <v>0</v>
      </c>
      <c r="I371" s="8">
        <v>5.5842827924987404</v>
      </c>
      <c r="J371" s="9">
        <f t="shared" si="94"/>
        <v>5.5842827924987404</v>
      </c>
      <c r="K371" s="3">
        <f t="shared" si="95"/>
        <v>0</v>
      </c>
      <c r="L371" s="7">
        <f t="shared" si="96"/>
        <v>0</v>
      </c>
      <c r="M371" t="s">
        <v>7</v>
      </c>
    </row>
    <row r="372" spans="1:13" x14ac:dyDescent="0.25">
      <c r="A372">
        <v>370</v>
      </c>
      <c r="B372" t="s">
        <v>479</v>
      </c>
      <c r="C372" t="s">
        <v>365</v>
      </c>
      <c r="D372" s="4" t="s">
        <v>366</v>
      </c>
      <c r="E372" s="11">
        <v>3205</v>
      </c>
      <c r="F372" s="11">
        <v>3205</v>
      </c>
      <c r="G372" s="13">
        <f t="shared" si="92"/>
        <v>0</v>
      </c>
      <c r="H372" s="7">
        <f t="shared" si="93"/>
        <v>0</v>
      </c>
      <c r="I372" s="8">
        <v>12.576720322698609</v>
      </c>
      <c r="J372" s="9">
        <f t="shared" si="94"/>
        <v>12.576720322698609</v>
      </c>
      <c r="K372" s="3">
        <f t="shared" si="95"/>
        <v>0</v>
      </c>
      <c r="L372" s="7">
        <f t="shared" si="96"/>
        <v>0</v>
      </c>
      <c r="M372" t="s">
        <v>7</v>
      </c>
    </row>
    <row r="373" spans="1:13" x14ac:dyDescent="0.25">
      <c r="A373">
        <v>371</v>
      </c>
      <c r="B373" t="s">
        <v>470</v>
      </c>
      <c r="C373" t="s">
        <v>365</v>
      </c>
      <c r="D373" s="4" t="s">
        <v>367</v>
      </c>
      <c r="E373" s="11">
        <v>2952</v>
      </c>
      <c r="F373" s="11">
        <v>2952</v>
      </c>
      <c r="G373" s="13">
        <f t="shared" si="92"/>
        <v>0</v>
      </c>
      <c r="H373" s="7">
        <f t="shared" si="93"/>
        <v>0</v>
      </c>
      <c r="I373" s="8">
        <v>24.324911704207679</v>
      </c>
      <c r="J373" s="9">
        <f t="shared" si="94"/>
        <v>24.324911704207679</v>
      </c>
      <c r="K373" s="3">
        <f t="shared" si="95"/>
        <v>0</v>
      </c>
      <c r="L373" s="7">
        <f t="shared" si="96"/>
        <v>0</v>
      </c>
      <c r="M373" t="s">
        <v>7</v>
      </c>
    </row>
    <row r="374" spans="1:13" x14ac:dyDescent="0.25">
      <c r="A374">
        <v>372</v>
      </c>
      <c r="B374" t="s">
        <v>303</v>
      </c>
      <c r="C374" t="s">
        <v>365</v>
      </c>
      <c r="D374" s="4" t="s">
        <v>368</v>
      </c>
      <c r="E374" s="11">
        <v>2702</v>
      </c>
      <c r="F374" s="11">
        <v>2702</v>
      </c>
      <c r="G374" s="13">
        <f t="shared" si="92"/>
        <v>0</v>
      </c>
      <c r="H374" s="7">
        <f t="shared" si="93"/>
        <v>0</v>
      </c>
      <c r="I374" s="8">
        <v>40.51093209547124</v>
      </c>
      <c r="J374" s="9">
        <f t="shared" si="94"/>
        <v>40.51093209547124</v>
      </c>
      <c r="K374" s="3">
        <f t="shared" si="95"/>
        <v>0</v>
      </c>
      <c r="L374" s="7">
        <f t="shared" si="96"/>
        <v>0</v>
      </c>
      <c r="M374" t="s">
        <v>7</v>
      </c>
    </row>
    <row r="375" spans="1:13" x14ac:dyDescent="0.25">
      <c r="A375">
        <v>373</v>
      </c>
      <c r="B375" t="s">
        <v>290</v>
      </c>
      <c r="C375" t="s">
        <v>365</v>
      </c>
      <c r="D375" s="4" t="s">
        <v>369</v>
      </c>
      <c r="E375" s="11">
        <v>2702</v>
      </c>
      <c r="F375" s="11">
        <v>2702</v>
      </c>
      <c r="G375" s="13">
        <f t="shared" si="92"/>
        <v>0</v>
      </c>
      <c r="H375" s="7">
        <f t="shared" si="93"/>
        <v>0</v>
      </c>
      <c r="I375" s="8">
        <v>50.641879791355422</v>
      </c>
      <c r="J375" s="9">
        <f t="shared" si="94"/>
        <v>50.641879791355422</v>
      </c>
      <c r="K375" s="3">
        <f t="shared" si="95"/>
        <v>0</v>
      </c>
      <c r="L375" s="7">
        <f t="shared" si="96"/>
        <v>0</v>
      </c>
      <c r="M375" t="s">
        <v>7</v>
      </c>
    </row>
    <row r="376" spans="1:13" x14ac:dyDescent="0.25">
      <c r="A376">
        <v>374</v>
      </c>
      <c r="B376" t="s">
        <v>470</v>
      </c>
      <c r="C376" t="s">
        <v>365</v>
      </c>
      <c r="D376" s="4" t="s">
        <v>370</v>
      </c>
      <c r="E376" s="11">
        <v>2702</v>
      </c>
      <c r="F376" s="11">
        <v>2702</v>
      </c>
      <c r="G376" s="13">
        <f t="shared" si="92"/>
        <v>0</v>
      </c>
      <c r="H376" s="7">
        <f t="shared" si="93"/>
        <v>0</v>
      </c>
      <c r="I376" s="8">
        <v>60.769079441442358</v>
      </c>
      <c r="J376" s="9">
        <f t="shared" si="94"/>
        <v>60.769079441442358</v>
      </c>
      <c r="K376" s="3">
        <f t="shared" si="95"/>
        <v>0</v>
      </c>
      <c r="L376" s="7">
        <f t="shared" si="96"/>
        <v>0</v>
      </c>
      <c r="M376" t="s">
        <v>7</v>
      </c>
    </row>
    <row r="377" spans="1:13" x14ac:dyDescent="0.25">
      <c r="A377">
        <v>375</v>
      </c>
      <c r="B377" t="s">
        <v>479</v>
      </c>
      <c r="C377" t="s">
        <v>365</v>
      </c>
      <c r="D377" s="4" t="s">
        <v>371</v>
      </c>
      <c r="E377" s="11">
        <v>3868</v>
      </c>
      <c r="F377" s="11">
        <v>3868</v>
      </c>
      <c r="G377" s="13">
        <f t="shared" si="92"/>
        <v>0</v>
      </c>
      <c r="H377" s="7">
        <f t="shared" si="93"/>
        <v>0</v>
      </c>
      <c r="I377" s="8">
        <v>63.401973632327376</v>
      </c>
      <c r="J377" s="9">
        <f t="shared" si="94"/>
        <v>63.401973632327376</v>
      </c>
      <c r="K377" s="3">
        <f t="shared" si="95"/>
        <v>0</v>
      </c>
      <c r="L377" s="7">
        <f t="shared" si="96"/>
        <v>0</v>
      </c>
      <c r="M377" t="s">
        <v>7</v>
      </c>
    </row>
    <row r="378" spans="1:13" x14ac:dyDescent="0.25">
      <c r="A378">
        <v>376</v>
      </c>
      <c r="B378" t="s">
        <v>479</v>
      </c>
      <c r="C378" t="s">
        <v>365</v>
      </c>
      <c r="D378" s="4" t="s">
        <v>372</v>
      </c>
      <c r="E378" s="11">
        <v>3928</v>
      </c>
      <c r="F378" s="11">
        <v>3928</v>
      </c>
      <c r="G378" s="13">
        <f t="shared" si="92"/>
        <v>0</v>
      </c>
      <c r="H378" s="7">
        <f t="shared" si="93"/>
        <v>0</v>
      </c>
      <c r="I378" s="8">
        <v>80.721941958125299</v>
      </c>
      <c r="J378" s="9">
        <f t="shared" si="94"/>
        <v>80.721941958125299</v>
      </c>
      <c r="K378" s="3">
        <f t="shared" si="95"/>
        <v>0</v>
      </c>
      <c r="L378" s="7">
        <f t="shared" si="96"/>
        <v>0</v>
      </c>
      <c r="M378" t="s">
        <v>7</v>
      </c>
    </row>
    <row r="379" spans="1:13" x14ac:dyDescent="0.25">
      <c r="A379">
        <v>377</v>
      </c>
      <c r="B379" t="s">
        <v>473</v>
      </c>
      <c r="C379" t="s">
        <v>365</v>
      </c>
      <c r="D379" s="4" t="s">
        <v>373</v>
      </c>
      <c r="E379" s="11">
        <v>3928</v>
      </c>
      <c r="F379" s="11">
        <v>3928</v>
      </c>
      <c r="G379" s="13">
        <f t="shared" si="92"/>
        <v>0</v>
      </c>
      <c r="H379" s="7">
        <f t="shared" si="93"/>
        <v>0</v>
      </c>
      <c r="I379" s="8">
        <v>100.90409723646053</v>
      </c>
      <c r="J379" s="9">
        <f t="shared" si="94"/>
        <v>100.90409723646053</v>
      </c>
      <c r="K379" s="3">
        <f t="shared" si="95"/>
        <v>0</v>
      </c>
      <c r="L379" s="7">
        <f t="shared" si="96"/>
        <v>0</v>
      </c>
      <c r="M379" t="s">
        <v>7</v>
      </c>
    </row>
    <row r="380" spans="1:13" x14ac:dyDescent="0.25">
      <c r="A380">
        <v>378</v>
      </c>
      <c r="B380" t="s">
        <v>470</v>
      </c>
      <c r="C380" t="s">
        <v>365</v>
      </c>
      <c r="D380" s="4" t="s">
        <v>374</v>
      </c>
      <c r="E380" s="11">
        <v>3928</v>
      </c>
      <c r="F380" s="11">
        <v>3928</v>
      </c>
      <c r="G380" s="13">
        <f t="shared" si="92"/>
        <v>0</v>
      </c>
      <c r="H380" s="7">
        <f t="shared" si="93"/>
        <v>0</v>
      </c>
      <c r="I380" s="8">
        <v>121.08871182445142</v>
      </c>
      <c r="J380" s="9">
        <f t="shared" si="94"/>
        <v>121.08871182445142</v>
      </c>
      <c r="K380" s="3">
        <f t="shared" si="95"/>
        <v>0</v>
      </c>
      <c r="L380" s="7">
        <f t="shared" si="96"/>
        <v>0</v>
      </c>
      <c r="M380" t="s">
        <v>7</v>
      </c>
    </row>
    <row r="381" spans="1:13" x14ac:dyDescent="0.25">
      <c r="A381">
        <v>379</v>
      </c>
      <c r="B381" t="s">
        <v>470</v>
      </c>
      <c r="C381" t="s">
        <v>365</v>
      </c>
      <c r="D381" s="4" t="s">
        <v>375</v>
      </c>
      <c r="E381" s="11">
        <v>3700</v>
      </c>
      <c r="F381" s="11">
        <v>3700</v>
      </c>
      <c r="G381" s="13">
        <f t="shared" si="92"/>
        <v>0</v>
      </c>
      <c r="H381" s="7">
        <f t="shared" si="93"/>
        <v>0</v>
      </c>
      <c r="I381" s="8">
        <v>119.12776534176258</v>
      </c>
      <c r="J381" s="9">
        <f t="shared" si="94"/>
        <v>119.12776534176258</v>
      </c>
      <c r="K381" s="3">
        <f t="shared" si="95"/>
        <v>0</v>
      </c>
      <c r="L381" s="7">
        <f t="shared" si="96"/>
        <v>0</v>
      </c>
      <c r="M381" t="s">
        <v>7</v>
      </c>
    </row>
    <row r="382" spans="1:13" x14ac:dyDescent="0.25">
      <c r="A382">
        <v>380</v>
      </c>
      <c r="B382" t="s">
        <v>290</v>
      </c>
      <c r="C382" t="s">
        <v>365</v>
      </c>
      <c r="D382" s="4" t="s">
        <v>376</v>
      </c>
      <c r="E382" s="11">
        <v>3700</v>
      </c>
      <c r="F382" s="11">
        <v>3700</v>
      </c>
      <c r="G382" s="13">
        <f t="shared" si="92"/>
        <v>0</v>
      </c>
      <c r="H382" s="7">
        <f t="shared" si="93"/>
        <v>0</v>
      </c>
      <c r="I382" s="8">
        <v>208.45869530604656</v>
      </c>
      <c r="J382" s="9">
        <f t="shared" si="94"/>
        <v>208.45869530604656</v>
      </c>
      <c r="K382" s="3">
        <f t="shared" si="95"/>
        <v>0</v>
      </c>
      <c r="L382" s="7">
        <f t="shared" si="96"/>
        <v>0</v>
      </c>
      <c r="M382" t="s">
        <v>7</v>
      </c>
    </row>
    <row r="383" spans="1:13" x14ac:dyDescent="0.25">
      <c r="A383">
        <v>381</v>
      </c>
      <c r="B383" t="s">
        <v>303</v>
      </c>
      <c r="C383" t="s">
        <v>365</v>
      </c>
      <c r="D383" s="4" t="s">
        <v>377</v>
      </c>
      <c r="E383" s="11">
        <v>5269</v>
      </c>
      <c r="F383" s="11">
        <v>5269</v>
      </c>
      <c r="G383" s="13">
        <f t="shared" si="92"/>
        <v>0</v>
      </c>
      <c r="H383" s="7">
        <f t="shared" si="93"/>
        <v>0</v>
      </c>
      <c r="I383" s="8">
        <v>195.32781627941307</v>
      </c>
      <c r="J383" s="9">
        <f t="shared" si="94"/>
        <v>195.32781627941307</v>
      </c>
      <c r="K383" s="3">
        <f t="shared" si="95"/>
        <v>0</v>
      </c>
      <c r="L383" s="7">
        <f t="shared" si="96"/>
        <v>0</v>
      </c>
      <c r="M383" t="s">
        <v>7</v>
      </c>
    </row>
    <row r="384" spans="1:13" x14ac:dyDescent="0.25">
      <c r="A384">
        <v>382</v>
      </c>
      <c r="B384" t="s">
        <v>303</v>
      </c>
      <c r="C384" t="s">
        <v>365</v>
      </c>
      <c r="D384" s="4" t="s">
        <v>378</v>
      </c>
      <c r="E384" s="11">
        <v>5395</v>
      </c>
      <c r="F384" s="11">
        <v>5395</v>
      </c>
      <c r="G384" s="13">
        <f t="shared" si="92"/>
        <v>0</v>
      </c>
      <c r="H384" s="7">
        <f t="shared" si="93"/>
        <v>0</v>
      </c>
      <c r="I384" s="8">
        <v>519.78770475648537</v>
      </c>
      <c r="J384" s="9">
        <f t="shared" si="94"/>
        <v>519.78770475648537</v>
      </c>
      <c r="K384" s="3">
        <f t="shared" si="95"/>
        <v>0</v>
      </c>
      <c r="L384" s="7">
        <f t="shared" si="96"/>
        <v>0</v>
      </c>
      <c r="M384" t="s">
        <v>7</v>
      </c>
    </row>
    <row r="385" spans="1:13" x14ac:dyDescent="0.25">
      <c r="A385">
        <v>383</v>
      </c>
      <c r="B385" t="s">
        <v>290</v>
      </c>
      <c r="C385" t="s">
        <v>365</v>
      </c>
      <c r="D385" s="4" t="s">
        <v>379</v>
      </c>
      <c r="E385" s="11">
        <v>5200</v>
      </c>
      <c r="F385" s="11">
        <v>5200</v>
      </c>
      <c r="G385" s="13">
        <f t="shared" si="92"/>
        <v>0</v>
      </c>
      <c r="H385" s="7">
        <f t="shared" si="93"/>
        <v>0</v>
      </c>
      <c r="I385" s="8">
        <v>341.80468131321027</v>
      </c>
      <c r="J385" s="9">
        <f t="shared" si="94"/>
        <v>341.80468131321027</v>
      </c>
      <c r="K385" s="3">
        <f t="shared" si="95"/>
        <v>0</v>
      </c>
      <c r="L385" s="7">
        <f t="shared" si="96"/>
        <v>0</v>
      </c>
      <c r="M385" t="s">
        <v>7</v>
      </c>
    </row>
    <row r="386" spans="1:13" x14ac:dyDescent="0.25">
      <c r="A386">
        <v>384</v>
      </c>
      <c r="B386" t="s">
        <v>485</v>
      </c>
      <c r="C386" t="s">
        <v>343</v>
      </c>
      <c r="D386" s="4" t="s">
        <v>380</v>
      </c>
      <c r="E386" s="12">
        <v>8.6</v>
      </c>
      <c r="F386" s="12">
        <v>8.6</v>
      </c>
      <c r="G386" s="13">
        <f t="shared" si="92"/>
        <v>0</v>
      </c>
      <c r="H386" s="7">
        <f t="shared" si="93"/>
        <v>0</v>
      </c>
      <c r="I386" s="8">
        <v>10.406656000000002</v>
      </c>
      <c r="J386" s="9">
        <f t="shared" si="94"/>
        <v>10.406656000000002</v>
      </c>
      <c r="K386" s="3">
        <f t="shared" si="95"/>
        <v>0</v>
      </c>
      <c r="L386" s="7">
        <f t="shared" si="96"/>
        <v>0</v>
      </c>
      <c r="M386" t="s">
        <v>121</v>
      </c>
    </row>
    <row r="387" spans="1:13" x14ac:dyDescent="0.25">
      <c r="A387">
        <v>385</v>
      </c>
      <c r="B387" t="s">
        <v>290</v>
      </c>
      <c r="C387" t="s">
        <v>343</v>
      </c>
      <c r="D387" s="4" t="s">
        <v>381</v>
      </c>
      <c r="E387" s="12">
        <v>16.510000000000002</v>
      </c>
      <c r="F387" s="12">
        <v>16.510000000000002</v>
      </c>
      <c r="G387" s="13">
        <f t="shared" si="92"/>
        <v>0</v>
      </c>
      <c r="H387" s="7">
        <f t="shared" si="93"/>
        <v>0</v>
      </c>
      <c r="I387" s="8">
        <v>19.966543999999999</v>
      </c>
      <c r="J387" s="9">
        <f t="shared" si="94"/>
        <v>19.966543999999999</v>
      </c>
      <c r="K387" s="3">
        <f t="shared" si="95"/>
        <v>0</v>
      </c>
      <c r="L387" s="7">
        <f t="shared" si="96"/>
        <v>0</v>
      </c>
      <c r="M387" t="s">
        <v>121</v>
      </c>
    </row>
    <row r="388" spans="1:13" x14ac:dyDescent="0.25">
      <c r="A388">
        <v>386</v>
      </c>
      <c r="B388" t="s">
        <v>481</v>
      </c>
      <c r="C388" s="28" t="s">
        <v>382</v>
      </c>
      <c r="D388" s="4" t="s">
        <v>383</v>
      </c>
      <c r="E388" s="14">
        <v>112.02</v>
      </c>
      <c r="F388" s="14">
        <v>112.02</v>
      </c>
      <c r="G388" s="6">
        <f t="shared" si="92"/>
        <v>0</v>
      </c>
      <c r="H388" s="7">
        <f t="shared" si="93"/>
        <v>0</v>
      </c>
      <c r="I388" s="8">
        <v>334.74445542845763</v>
      </c>
      <c r="J388" s="9">
        <f t="shared" si="94"/>
        <v>334.74445542845763</v>
      </c>
      <c r="K388" s="3">
        <f t="shared" si="95"/>
        <v>0</v>
      </c>
      <c r="L388" s="7">
        <f t="shared" si="96"/>
        <v>0</v>
      </c>
      <c r="M388" t="s">
        <v>121</v>
      </c>
    </row>
    <row r="389" spans="1:13" x14ac:dyDescent="0.25">
      <c r="A389">
        <v>387</v>
      </c>
      <c r="B389" t="s">
        <v>482</v>
      </c>
      <c r="C389" s="28" t="s">
        <v>343</v>
      </c>
      <c r="D389" s="4" t="s">
        <v>384</v>
      </c>
      <c r="E389" s="11">
        <v>35.4</v>
      </c>
      <c r="F389" s="11">
        <v>35.4</v>
      </c>
      <c r="G389" s="6">
        <f t="shared" si="92"/>
        <v>0</v>
      </c>
      <c r="H389" s="7">
        <f t="shared" si="93"/>
        <v>0</v>
      </c>
      <c r="I389" s="8">
        <v>53.73333333333332</v>
      </c>
      <c r="J389" s="9">
        <f t="shared" si="94"/>
        <v>53.73333333333332</v>
      </c>
      <c r="K389" s="3">
        <f t="shared" si="95"/>
        <v>0</v>
      </c>
      <c r="L389" s="7">
        <f t="shared" si="96"/>
        <v>0</v>
      </c>
      <c r="M389" t="s">
        <v>150</v>
      </c>
    </row>
    <row r="390" spans="1:13" x14ac:dyDescent="0.25">
      <c r="A390">
        <v>388</v>
      </c>
      <c r="B390" t="s">
        <v>476</v>
      </c>
      <c r="C390" s="28" t="s">
        <v>385</v>
      </c>
      <c r="D390" s="4" t="s">
        <v>386</v>
      </c>
      <c r="E390" s="11">
        <v>70.2</v>
      </c>
      <c r="F390" s="11">
        <v>70.2</v>
      </c>
      <c r="G390" s="6">
        <f t="shared" si="92"/>
        <v>0</v>
      </c>
      <c r="H390" s="7">
        <f t="shared" si="93"/>
        <v>0</v>
      </c>
      <c r="I390" s="8">
        <v>114.84819573542534</v>
      </c>
      <c r="J390" s="9">
        <f t="shared" si="94"/>
        <v>114.84819573542534</v>
      </c>
      <c r="K390" s="3">
        <f t="shared" si="95"/>
        <v>0</v>
      </c>
      <c r="L390" s="7">
        <f t="shared" si="96"/>
        <v>0</v>
      </c>
      <c r="M390" t="s">
        <v>150</v>
      </c>
    </row>
    <row r="391" spans="1:13" x14ac:dyDescent="0.25">
      <c r="A391">
        <v>389</v>
      </c>
      <c r="B391" t="s">
        <v>445</v>
      </c>
      <c r="C391" s="28" t="s">
        <v>351</v>
      </c>
      <c r="D391" s="4" t="s">
        <v>500</v>
      </c>
      <c r="E391" s="11">
        <v>208</v>
      </c>
      <c r="F391" s="11">
        <v>208</v>
      </c>
      <c r="G391" s="6">
        <f t="shared" si="92"/>
        <v>0</v>
      </c>
      <c r="H391" s="7">
        <f t="shared" si="93"/>
        <v>0</v>
      </c>
      <c r="I391" s="8">
        <v>297.15636363636361</v>
      </c>
      <c r="J391" s="9">
        <f t="shared" si="94"/>
        <v>297.15636363636361</v>
      </c>
      <c r="K391" s="3">
        <f t="shared" si="95"/>
        <v>0</v>
      </c>
      <c r="L391" s="7">
        <f t="shared" si="96"/>
        <v>0</v>
      </c>
      <c r="M391" t="s">
        <v>150</v>
      </c>
    </row>
    <row r="392" spans="1:13" x14ac:dyDescent="0.25">
      <c r="A392">
        <v>390</v>
      </c>
      <c r="B392" t="s">
        <v>387</v>
      </c>
      <c r="C392" s="28" t="s">
        <v>351</v>
      </c>
      <c r="D392" s="4" t="s">
        <v>388</v>
      </c>
      <c r="E392" s="12">
        <v>13.11</v>
      </c>
      <c r="F392" s="12">
        <v>13.11</v>
      </c>
      <c r="G392" s="6">
        <f t="shared" si="92"/>
        <v>0</v>
      </c>
      <c r="H392" s="7">
        <f t="shared" si="93"/>
        <v>0</v>
      </c>
      <c r="I392" s="8">
        <v>15.06</v>
      </c>
      <c r="J392" s="9">
        <f t="shared" si="94"/>
        <v>15.06</v>
      </c>
      <c r="K392" s="3">
        <f t="shared" si="95"/>
        <v>0</v>
      </c>
      <c r="L392" s="7">
        <f t="shared" si="96"/>
        <v>0</v>
      </c>
      <c r="M392" t="s">
        <v>150</v>
      </c>
    </row>
    <row r="393" spans="1:13" x14ac:dyDescent="0.25">
      <c r="A393">
        <v>391</v>
      </c>
      <c r="B393" t="s">
        <v>387</v>
      </c>
      <c r="C393" s="28" t="s">
        <v>351</v>
      </c>
      <c r="D393" s="4" t="s">
        <v>389</v>
      </c>
      <c r="E393" s="12">
        <v>27.99</v>
      </c>
      <c r="F393" s="12">
        <v>27.99</v>
      </c>
      <c r="G393" s="6">
        <f t="shared" si="92"/>
        <v>0</v>
      </c>
      <c r="H393" s="7">
        <f t="shared" si="93"/>
        <v>0</v>
      </c>
      <c r="I393" s="8">
        <v>32.15</v>
      </c>
      <c r="J393" s="9">
        <f t="shared" si="94"/>
        <v>32.15</v>
      </c>
      <c r="K393" s="3">
        <f t="shared" si="95"/>
        <v>0</v>
      </c>
      <c r="L393" s="7">
        <f t="shared" si="96"/>
        <v>0</v>
      </c>
      <c r="M393" t="s">
        <v>150</v>
      </c>
    </row>
    <row r="394" spans="1:13" x14ac:dyDescent="0.25">
      <c r="A394">
        <v>392</v>
      </c>
      <c r="B394" t="s">
        <v>387</v>
      </c>
      <c r="C394" s="28" t="s">
        <v>351</v>
      </c>
      <c r="D394" s="4" t="s">
        <v>390</v>
      </c>
      <c r="E394" s="12">
        <v>24.27</v>
      </c>
      <c r="F394" s="12">
        <v>24.27</v>
      </c>
      <c r="G394" s="6">
        <f t="shared" si="92"/>
        <v>0</v>
      </c>
      <c r="H394" s="7">
        <f t="shared" si="93"/>
        <v>0</v>
      </c>
      <c r="I394" s="8">
        <v>27.88</v>
      </c>
      <c r="J394" s="9">
        <f t="shared" si="94"/>
        <v>27.88</v>
      </c>
      <c r="K394" s="3">
        <f t="shared" si="95"/>
        <v>0</v>
      </c>
      <c r="L394" s="7">
        <f t="shared" si="96"/>
        <v>0</v>
      </c>
      <c r="M394" t="s">
        <v>150</v>
      </c>
    </row>
    <row r="395" spans="1:13" x14ac:dyDescent="0.25">
      <c r="A395">
        <v>393</v>
      </c>
      <c r="C395" s="28"/>
      <c r="D395" s="2" t="s">
        <v>391</v>
      </c>
      <c r="M395" t="s">
        <v>150</v>
      </c>
    </row>
    <row r="396" spans="1:13" x14ac:dyDescent="0.25">
      <c r="A396">
        <v>394</v>
      </c>
      <c r="B396" t="s">
        <v>322</v>
      </c>
      <c r="C396" s="28" t="s">
        <v>354</v>
      </c>
      <c r="D396" s="4" t="s">
        <v>392</v>
      </c>
      <c r="E396" s="12">
        <v>3.7791000000000001</v>
      </c>
      <c r="F396" s="12">
        <v>3.7791000000000001</v>
      </c>
      <c r="G396" s="6">
        <f t="shared" ref="G396:G413" si="97">+F396-E396</f>
        <v>0</v>
      </c>
      <c r="H396" s="7">
        <f t="shared" ref="H396:H413" si="98">(F396-E396)/ABS(E396)</f>
        <v>0</v>
      </c>
      <c r="I396" s="8">
        <v>7.5582000000000003</v>
      </c>
      <c r="J396" s="9">
        <f t="shared" ref="J396:J413" si="99">(I396*H396)+I396</f>
        <v>7.5582000000000003</v>
      </c>
      <c r="K396" s="3">
        <f t="shared" ref="K396:K413" si="100">J396-I396</f>
        <v>0</v>
      </c>
      <c r="L396" s="7">
        <f t="shared" ref="L396:L413" si="101">(J396-I396)/ABS(I396)</f>
        <v>0</v>
      </c>
      <c r="M396" t="s">
        <v>150</v>
      </c>
    </row>
    <row r="397" spans="1:13" x14ac:dyDescent="0.25">
      <c r="A397">
        <v>395</v>
      </c>
      <c r="B397" t="s">
        <v>476</v>
      </c>
      <c r="C397" s="28" t="s">
        <v>354</v>
      </c>
      <c r="D397" s="4" t="s">
        <v>393</v>
      </c>
      <c r="E397" s="12">
        <v>1.81</v>
      </c>
      <c r="F397" s="12">
        <v>1.81</v>
      </c>
      <c r="G397" s="6">
        <f t="shared" si="97"/>
        <v>0</v>
      </c>
      <c r="H397" s="7">
        <f t="shared" si="98"/>
        <v>0</v>
      </c>
      <c r="I397" s="8">
        <v>3.62</v>
      </c>
      <c r="J397" s="9">
        <f t="shared" si="99"/>
        <v>3.62</v>
      </c>
      <c r="K397" s="3">
        <f t="shared" si="100"/>
        <v>0</v>
      </c>
      <c r="L397" s="7">
        <f t="shared" si="101"/>
        <v>0</v>
      </c>
      <c r="M397" t="s">
        <v>150</v>
      </c>
    </row>
    <row r="398" spans="1:13" x14ac:dyDescent="0.25">
      <c r="A398">
        <v>396</v>
      </c>
      <c r="B398" t="s">
        <v>480</v>
      </c>
      <c r="C398" s="28" t="s">
        <v>354</v>
      </c>
      <c r="D398" s="4" t="s">
        <v>394</v>
      </c>
      <c r="E398" s="12">
        <v>3.01</v>
      </c>
      <c r="F398" s="12">
        <v>3.01</v>
      </c>
      <c r="G398" s="6">
        <f t="shared" si="97"/>
        <v>0</v>
      </c>
      <c r="H398" s="7">
        <f t="shared" si="98"/>
        <v>0</v>
      </c>
      <c r="I398" s="8">
        <v>6.02</v>
      </c>
      <c r="J398" s="9">
        <f t="shared" si="99"/>
        <v>6.02</v>
      </c>
      <c r="K398" s="3">
        <f t="shared" si="100"/>
        <v>0</v>
      </c>
      <c r="L398" s="7">
        <f t="shared" si="101"/>
        <v>0</v>
      </c>
      <c r="M398" t="s">
        <v>150</v>
      </c>
    </row>
    <row r="399" spans="1:13" x14ac:dyDescent="0.25">
      <c r="A399">
        <v>397</v>
      </c>
      <c r="B399" t="s">
        <v>470</v>
      </c>
      <c r="C399" s="28" t="s">
        <v>354</v>
      </c>
      <c r="D399" s="4" t="s">
        <v>395</v>
      </c>
      <c r="E399" s="12">
        <v>27.08</v>
      </c>
      <c r="F399" s="12">
        <v>27.08</v>
      </c>
      <c r="G399" s="6">
        <f t="shared" si="97"/>
        <v>0</v>
      </c>
      <c r="H399" s="7">
        <f t="shared" si="98"/>
        <v>0</v>
      </c>
      <c r="I399" s="8">
        <v>54.16</v>
      </c>
      <c r="J399" s="9">
        <f t="shared" si="99"/>
        <v>54.16</v>
      </c>
      <c r="K399" s="3">
        <f t="shared" si="100"/>
        <v>0</v>
      </c>
      <c r="L399" s="7">
        <f t="shared" si="101"/>
        <v>0</v>
      </c>
      <c r="M399" t="s">
        <v>150</v>
      </c>
    </row>
    <row r="400" spans="1:13" x14ac:dyDescent="0.25">
      <c r="A400">
        <v>398</v>
      </c>
      <c r="B400" t="s">
        <v>303</v>
      </c>
      <c r="C400" s="28" t="s">
        <v>354</v>
      </c>
      <c r="D400" s="4" t="s">
        <v>396</v>
      </c>
      <c r="E400" s="12">
        <v>18.07</v>
      </c>
      <c r="F400" s="12">
        <v>18.07</v>
      </c>
      <c r="G400" s="6">
        <f t="shared" si="97"/>
        <v>0</v>
      </c>
      <c r="H400" s="7">
        <f t="shared" si="98"/>
        <v>0</v>
      </c>
      <c r="I400" s="8">
        <v>32.273257621040045</v>
      </c>
      <c r="J400" s="9">
        <f t="shared" si="99"/>
        <v>32.273257621040045</v>
      </c>
      <c r="K400" s="3">
        <f t="shared" si="100"/>
        <v>0</v>
      </c>
      <c r="L400" s="7">
        <f t="shared" si="101"/>
        <v>0</v>
      </c>
      <c r="M400" t="s">
        <v>150</v>
      </c>
    </row>
    <row r="401" spans="1:13" x14ac:dyDescent="0.25">
      <c r="A401">
        <v>399</v>
      </c>
      <c r="B401" t="s">
        <v>303</v>
      </c>
      <c r="C401" s="28" t="s">
        <v>354</v>
      </c>
      <c r="D401" s="4" t="s">
        <v>397</v>
      </c>
      <c r="E401" s="12">
        <v>11.92</v>
      </c>
      <c r="F401" s="12">
        <v>11.92</v>
      </c>
      <c r="G401" s="6">
        <f t="shared" si="97"/>
        <v>0</v>
      </c>
      <c r="H401" s="7">
        <f t="shared" si="98"/>
        <v>0</v>
      </c>
      <c r="I401" s="8">
        <v>23.863213242453746</v>
      </c>
      <c r="J401" s="9">
        <f t="shared" si="99"/>
        <v>23.863213242453746</v>
      </c>
      <c r="K401" s="3">
        <f t="shared" si="100"/>
        <v>0</v>
      </c>
      <c r="L401" s="7">
        <f t="shared" si="101"/>
        <v>0</v>
      </c>
      <c r="M401" t="s">
        <v>150</v>
      </c>
    </row>
    <row r="402" spans="1:13" x14ac:dyDescent="0.25">
      <c r="A402">
        <v>400</v>
      </c>
      <c r="B402" t="s">
        <v>303</v>
      </c>
      <c r="C402" s="28" t="s">
        <v>354</v>
      </c>
      <c r="D402" s="4" t="s">
        <v>398</v>
      </c>
      <c r="E402" s="12">
        <v>12.97</v>
      </c>
      <c r="F402" s="12">
        <v>12.97</v>
      </c>
      <c r="G402" s="6">
        <f t="shared" si="97"/>
        <v>0</v>
      </c>
      <c r="H402" s="7">
        <f t="shared" si="98"/>
        <v>0</v>
      </c>
      <c r="I402" s="8">
        <v>25.96322291853178</v>
      </c>
      <c r="J402" s="9">
        <f t="shared" si="99"/>
        <v>25.96322291853178</v>
      </c>
      <c r="K402" s="3">
        <f t="shared" si="100"/>
        <v>0</v>
      </c>
      <c r="L402" s="7">
        <f t="shared" si="101"/>
        <v>0</v>
      </c>
      <c r="M402" t="s">
        <v>150</v>
      </c>
    </row>
    <row r="403" spans="1:13" x14ac:dyDescent="0.25">
      <c r="A403">
        <v>401</v>
      </c>
      <c r="B403" t="s">
        <v>475</v>
      </c>
      <c r="C403" s="28" t="s">
        <v>354</v>
      </c>
      <c r="D403" s="4" t="s">
        <v>399</v>
      </c>
      <c r="E403" s="12">
        <v>51.3</v>
      </c>
      <c r="F403" s="12">
        <v>51.3</v>
      </c>
      <c r="G403" s="6">
        <f t="shared" si="97"/>
        <v>0</v>
      </c>
      <c r="H403" s="7">
        <f t="shared" si="98"/>
        <v>0</v>
      </c>
      <c r="I403" s="8">
        <v>102.6</v>
      </c>
      <c r="J403" s="9">
        <f t="shared" si="99"/>
        <v>102.6</v>
      </c>
      <c r="K403" s="3">
        <f t="shared" si="100"/>
        <v>0</v>
      </c>
      <c r="L403" s="7">
        <f t="shared" si="101"/>
        <v>0</v>
      </c>
      <c r="M403" t="s">
        <v>150</v>
      </c>
    </row>
    <row r="404" spans="1:13" x14ac:dyDescent="0.25">
      <c r="A404">
        <v>402</v>
      </c>
      <c r="B404" t="s">
        <v>479</v>
      </c>
      <c r="C404" s="28" t="s">
        <v>354</v>
      </c>
      <c r="D404" s="4" t="s">
        <v>400</v>
      </c>
      <c r="E404" s="12">
        <v>21.37</v>
      </c>
      <c r="F404" s="12">
        <v>21.37</v>
      </c>
      <c r="G404" s="6">
        <f t="shared" si="97"/>
        <v>0</v>
      </c>
      <c r="H404" s="7">
        <f t="shared" si="98"/>
        <v>0</v>
      </c>
      <c r="I404" s="8">
        <v>42.74</v>
      </c>
      <c r="J404" s="9">
        <f t="shared" si="99"/>
        <v>42.74</v>
      </c>
      <c r="K404" s="3">
        <f t="shared" si="100"/>
        <v>0</v>
      </c>
      <c r="L404" s="7">
        <f t="shared" si="101"/>
        <v>0</v>
      </c>
      <c r="M404" t="s">
        <v>150</v>
      </c>
    </row>
    <row r="405" spans="1:13" x14ac:dyDescent="0.25">
      <c r="A405">
        <v>403</v>
      </c>
      <c r="B405" t="s">
        <v>476</v>
      </c>
      <c r="C405" s="28" t="s">
        <v>354</v>
      </c>
      <c r="D405" s="4" t="s">
        <v>401</v>
      </c>
      <c r="E405" s="12">
        <v>37.51</v>
      </c>
      <c r="F405" s="12">
        <v>37.51</v>
      </c>
      <c r="G405" s="6">
        <f t="shared" si="97"/>
        <v>0</v>
      </c>
      <c r="H405" s="7">
        <f t="shared" si="98"/>
        <v>0</v>
      </c>
      <c r="I405" s="8">
        <v>75.02</v>
      </c>
      <c r="J405" s="9">
        <f t="shared" si="99"/>
        <v>75.02</v>
      </c>
      <c r="K405" s="3">
        <f t="shared" si="100"/>
        <v>0</v>
      </c>
      <c r="L405" s="7">
        <f t="shared" si="101"/>
        <v>0</v>
      </c>
      <c r="M405" t="s">
        <v>150</v>
      </c>
    </row>
    <row r="406" spans="1:13" x14ac:dyDescent="0.25">
      <c r="A406">
        <v>404</v>
      </c>
      <c r="B406" t="s">
        <v>476</v>
      </c>
      <c r="C406" s="28" t="s">
        <v>354</v>
      </c>
      <c r="D406" s="4" t="s">
        <v>402</v>
      </c>
      <c r="E406" s="12">
        <v>1.79</v>
      </c>
      <c r="F406" s="12">
        <v>1.79</v>
      </c>
      <c r="G406" s="6">
        <f t="shared" si="97"/>
        <v>0</v>
      </c>
      <c r="H406" s="7">
        <f t="shared" si="98"/>
        <v>0</v>
      </c>
      <c r="I406" s="8">
        <v>4</v>
      </c>
      <c r="J406" s="9">
        <f t="shared" si="99"/>
        <v>4</v>
      </c>
      <c r="K406" s="3">
        <f t="shared" si="100"/>
        <v>0</v>
      </c>
      <c r="L406" s="7">
        <f t="shared" si="101"/>
        <v>0</v>
      </c>
      <c r="M406" t="s">
        <v>150</v>
      </c>
    </row>
    <row r="407" spans="1:13" x14ac:dyDescent="0.25">
      <c r="A407">
        <v>405</v>
      </c>
      <c r="B407" t="s">
        <v>476</v>
      </c>
      <c r="C407" s="28" t="s">
        <v>354</v>
      </c>
      <c r="D407" s="4" t="s">
        <v>403</v>
      </c>
      <c r="E407" s="12">
        <v>2.4700000000000002</v>
      </c>
      <c r="F407" s="12">
        <v>2.4700000000000002</v>
      </c>
      <c r="G407" s="6">
        <f t="shared" si="97"/>
        <v>0</v>
      </c>
      <c r="H407" s="7">
        <f t="shared" si="98"/>
        <v>0</v>
      </c>
      <c r="I407" s="8">
        <v>5</v>
      </c>
      <c r="J407" s="9">
        <f t="shared" si="99"/>
        <v>5</v>
      </c>
      <c r="K407" s="3">
        <f t="shared" si="100"/>
        <v>0</v>
      </c>
      <c r="L407" s="7">
        <f t="shared" si="101"/>
        <v>0</v>
      </c>
      <c r="M407" t="s">
        <v>150</v>
      </c>
    </row>
    <row r="408" spans="1:13" x14ac:dyDescent="0.25">
      <c r="A408">
        <v>406</v>
      </c>
      <c r="B408" t="s">
        <v>474</v>
      </c>
      <c r="C408" s="28" t="s">
        <v>354</v>
      </c>
      <c r="D408" s="4" t="s">
        <v>404</v>
      </c>
      <c r="E408" s="12">
        <v>6.48</v>
      </c>
      <c r="F408" s="12">
        <v>6.48</v>
      </c>
      <c r="G408" s="6">
        <f t="shared" si="97"/>
        <v>0</v>
      </c>
      <c r="H408" s="7">
        <f t="shared" si="98"/>
        <v>0</v>
      </c>
      <c r="I408" s="8">
        <v>12.96</v>
      </c>
      <c r="J408" s="9">
        <f t="shared" si="99"/>
        <v>12.96</v>
      </c>
      <c r="K408" s="3">
        <f t="shared" si="100"/>
        <v>0</v>
      </c>
      <c r="L408" s="7">
        <f t="shared" si="101"/>
        <v>0</v>
      </c>
      <c r="M408" t="s">
        <v>150</v>
      </c>
    </row>
    <row r="409" spans="1:13" x14ac:dyDescent="0.25">
      <c r="A409">
        <v>407</v>
      </c>
      <c r="B409" t="s">
        <v>474</v>
      </c>
      <c r="C409" s="28" t="s">
        <v>354</v>
      </c>
      <c r="D409" s="4" t="s">
        <v>405</v>
      </c>
      <c r="E409" s="12">
        <v>10.78</v>
      </c>
      <c r="F409" s="12">
        <v>10.78</v>
      </c>
      <c r="G409" s="6">
        <f t="shared" si="97"/>
        <v>0</v>
      </c>
      <c r="H409" s="7">
        <f t="shared" si="98"/>
        <v>0</v>
      </c>
      <c r="I409" s="8">
        <v>21.56</v>
      </c>
      <c r="J409" s="9">
        <f t="shared" si="99"/>
        <v>21.56</v>
      </c>
      <c r="K409" s="3">
        <f t="shared" si="100"/>
        <v>0</v>
      </c>
      <c r="L409" s="7">
        <f t="shared" si="101"/>
        <v>0</v>
      </c>
      <c r="M409" t="s">
        <v>150</v>
      </c>
    </row>
    <row r="410" spans="1:13" x14ac:dyDescent="0.25">
      <c r="A410">
        <v>408</v>
      </c>
      <c r="B410" t="s">
        <v>474</v>
      </c>
      <c r="C410" s="28" t="s">
        <v>354</v>
      </c>
      <c r="D410" s="4" t="s">
        <v>406</v>
      </c>
      <c r="E410" s="12">
        <v>13.22</v>
      </c>
      <c r="F410" s="12">
        <v>13.22</v>
      </c>
      <c r="G410" s="6">
        <f t="shared" si="97"/>
        <v>0</v>
      </c>
      <c r="H410" s="7">
        <f t="shared" si="98"/>
        <v>0</v>
      </c>
      <c r="I410" s="8">
        <v>26.44</v>
      </c>
      <c r="J410" s="9">
        <f t="shared" si="99"/>
        <v>26.44</v>
      </c>
      <c r="K410" s="3">
        <f t="shared" si="100"/>
        <v>0</v>
      </c>
      <c r="L410" s="7">
        <f t="shared" si="101"/>
        <v>0</v>
      </c>
      <c r="M410" t="s">
        <v>150</v>
      </c>
    </row>
    <row r="411" spans="1:13" x14ac:dyDescent="0.25">
      <c r="A411">
        <v>409</v>
      </c>
      <c r="B411" t="s">
        <v>476</v>
      </c>
      <c r="C411" s="28" t="s">
        <v>354</v>
      </c>
      <c r="D411" s="4" t="s">
        <v>407</v>
      </c>
      <c r="E411" s="12">
        <v>14.72</v>
      </c>
      <c r="F411" s="12">
        <v>14.72</v>
      </c>
      <c r="G411" s="6">
        <f t="shared" si="97"/>
        <v>0</v>
      </c>
      <c r="H411" s="7">
        <f t="shared" si="98"/>
        <v>0</v>
      </c>
      <c r="I411" s="8">
        <v>29.44</v>
      </c>
      <c r="J411" s="9">
        <f t="shared" si="99"/>
        <v>29.44</v>
      </c>
      <c r="K411" s="3">
        <f t="shared" si="100"/>
        <v>0</v>
      </c>
      <c r="L411" s="7">
        <f t="shared" si="101"/>
        <v>0</v>
      </c>
      <c r="M411" t="s">
        <v>150</v>
      </c>
    </row>
    <row r="412" spans="1:13" x14ac:dyDescent="0.25">
      <c r="A412">
        <v>410</v>
      </c>
      <c r="B412" t="s">
        <v>476</v>
      </c>
      <c r="C412" s="28" t="s">
        <v>354</v>
      </c>
      <c r="D412" s="4" t="s">
        <v>408</v>
      </c>
      <c r="E412" s="12">
        <v>3.74</v>
      </c>
      <c r="F412" s="12">
        <v>3.74</v>
      </c>
      <c r="G412" s="6">
        <f t="shared" si="97"/>
        <v>0</v>
      </c>
      <c r="H412" s="7">
        <f t="shared" si="98"/>
        <v>0</v>
      </c>
      <c r="I412" s="8">
        <v>7.48</v>
      </c>
      <c r="J412" s="9">
        <f t="shared" si="99"/>
        <v>7.48</v>
      </c>
      <c r="K412" s="3">
        <f t="shared" si="100"/>
        <v>0</v>
      </c>
      <c r="L412" s="7">
        <f t="shared" si="101"/>
        <v>0</v>
      </c>
      <c r="M412" t="s">
        <v>150</v>
      </c>
    </row>
    <row r="413" spans="1:13" x14ac:dyDescent="0.25">
      <c r="A413">
        <v>411</v>
      </c>
      <c r="B413" t="s">
        <v>476</v>
      </c>
      <c r="C413" s="28" t="s">
        <v>354</v>
      </c>
      <c r="D413" s="4" t="s">
        <v>409</v>
      </c>
      <c r="E413" s="12">
        <v>5.12</v>
      </c>
      <c r="F413" s="12">
        <v>5.12</v>
      </c>
      <c r="G413" s="6">
        <f t="shared" si="97"/>
        <v>0</v>
      </c>
      <c r="H413" s="7">
        <f t="shared" si="98"/>
        <v>0</v>
      </c>
      <c r="I413" s="8">
        <v>10.24</v>
      </c>
      <c r="J413" s="9">
        <f t="shared" si="99"/>
        <v>10.24</v>
      </c>
      <c r="K413" s="3">
        <f t="shared" si="100"/>
        <v>0</v>
      </c>
      <c r="L413" s="7">
        <f t="shared" si="101"/>
        <v>0</v>
      </c>
      <c r="M413" t="s">
        <v>150</v>
      </c>
    </row>
    <row r="414" spans="1:13" x14ac:dyDescent="0.25">
      <c r="A414">
        <v>412</v>
      </c>
      <c r="D414" s="2" t="s">
        <v>410</v>
      </c>
      <c r="H414" s="10">
        <f>AVERAGE(H349:H410)</f>
        <v>4.5397190062778354E-5</v>
      </c>
    </row>
    <row r="415" spans="1:13" x14ac:dyDescent="0.25">
      <c r="D415" s="2" t="s">
        <v>411</v>
      </c>
    </row>
    <row r="416" spans="1:13" x14ac:dyDescent="0.25">
      <c r="D416" s="17" t="s">
        <v>412</v>
      </c>
      <c r="E416" s="5">
        <v>497</v>
      </c>
      <c r="F416" s="5">
        <v>515</v>
      </c>
      <c r="G416" s="6">
        <f t="shared" ref="G416:G425" si="102">+F416-E416</f>
        <v>18</v>
      </c>
      <c r="H416" s="7">
        <f t="shared" ref="H416:H425" si="103">(F416-E416)/ABS(E416)</f>
        <v>3.6217303822937627E-2</v>
      </c>
      <c r="J416" s="3"/>
      <c r="K416" s="3"/>
      <c r="L416" s="7"/>
    </row>
    <row r="417" spans="1:16" x14ac:dyDescent="0.25">
      <c r="D417" s="17" t="s">
        <v>413</v>
      </c>
      <c r="E417" s="5">
        <v>435</v>
      </c>
      <c r="F417" s="5">
        <v>460</v>
      </c>
      <c r="G417" s="6">
        <f t="shared" si="102"/>
        <v>25</v>
      </c>
      <c r="H417" s="7">
        <f t="shared" si="103"/>
        <v>5.7471264367816091E-2</v>
      </c>
      <c r="J417" s="3"/>
      <c r="K417" s="3"/>
      <c r="L417" s="7"/>
    </row>
    <row r="418" spans="1:16" x14ac:dyDescent="0.25">
      <c r="D418" s="17" t="s">
        <v>414</v>
      </c>
      <c r="E418" s="5">
        <v>888</v>
      </c>
      <c r="F418" s="5">
        <v>843</v>
      </c>
      <c r="G418" s="6">
        <f t="shared" si="102"/>
        <v>-45</v>
      </c>
      <c r="H418" s="7">
        <f t="shared" si="103"/>
        <v>-5.0675675675675678E-2</v>
      </c>
      <c r="J418" s="3"/>
      <c r="K418" s="3"/>
      <c r="L418" s="7"/>
    </row>
    <row r="419" spans="1:16" x14ac:dyDescent="0.25">
      <c r="D419" s="4" t="s">
        <v>415</v>
      </c>
      <c r="E419" s="5">
        <v>769</v>
      </c>
      <c r="F419" s="5">
        <v>749</v>
      </c>
      <c r="G419" s="6">
        <f t="shared" si="102"/>
        <v>-20</v>
      </c>
      <c r="H419" s="7">
        <f t="shared" si="103"/>
        <v>-2.600780234070221E-2</v>
      </c>
      <c r="J419" s="3"/>
      <c r="K419" s="3"/>
      <c r="L419" s="7"/>
    </row>
    <row r="420" spans="1:16" x14ac:dyDescent="0.25">
      <c r="D420" s="4" t="s">
        <v>416</v>
      </c>
      <c r="E420" s="5">
        <v>614</v>
      </c>
      <c r="F420" s="5">
        <v>599</v>
      </c>
      <c r="G420" s="6">
        <f t="shared" si="102"/>
        <v>-15</v>
      </c>
      <c r="H420" s="7">
        <f t="shared" si="103"/>
        <v>-2.4429967426710098E-2</v>
      </c>
      <c r="J420" s="3"/>
      <c r="K420" s="3"/>
      <c r="L420" s="7"/>
    </row>
    <row r="421" spans="1:16" x14ac:dyDescent="0.25">
      <c r="D421" s="4" t="s">
        <v>417</v>
      </c>
      <c r="E421" s="5">
        <v>1550</v>
      </c>
      <c r="F421" s="5">
        <v>1475</v>
      </c>
      <c r="G421" s="6">
        <f t="shared" si="102"/>
        <v>-75</v>
      </c>
      <c r="H421" s="7">
        <f t="shared" si="103"/>
        <v>-4.8387096774193547E-2</v>
      </c>
      <c r="J421" s="3"/>
      <c r="K421" s="3"/>
      <c r="L421" s="7"/>
    </row>
    <row r="422" spans="1:16" x14ac:dyDescent="0.25">
      <c r="D422" s="4" t="s">
        <v>418</v>
      </c>
      <c r="E422" s="5">
        <v>1550</v>
      </c>
      <c r="F422" s="5">
        <v>1460</v>
      </c>
      <c r="G422" s="6">
        <f t="shared" si="102"/>
        <v>-90</v>
      </c>
      <c r="H422" s="7">
        <f t="shared" si="103"/>
        <v>-5.8064516129032261E-2</v>
      </c>
      <c r="J422" s="3"/>
      <c r="K422" s="3"/>
      <c r="L422" s="7"/>
    </row>
    <row r="423" spans="1:16" x14ac:dyDescent="0.25">
      <c r="D423" s="4" t="s">
        <v>419</v>
      </c>
      <c r="E423" s="5">
        <v>839</v>
      </c>
      <c r="F423" s="5">
        <v>844</v>
      </c>
      <c r="G423" s="6">
        <f t="shared" si="102"/>
        <v>5</v>
      </c>
      <c r="H423" s="7">
        <f t="shared" si="103"/>
        <v>5.9594755661501785E-3</v>
      </c>
      <c r="J423" s="3"/>
      <c r="K423" s="3"/>
      <c r="L423" s="7"/>
    </row>
    <row r="424" spans="1:16" x14ac:dyDescent="0.25">
      <c r="D424" s="4" t="s">
        <v>420</v>
      </c>
      <c r="E424" s="5">
        <v>759</v>
      </c>
      <c r="F424" s="5">
        <v>759</v>
      </c>
      <c r="G424" s="6">
        <f t="shared" si="102"/>
        <v>0</v>
      </c>
      <c r="H424" s="7">
        <f t="shared" si="103"/>
        <v>0</v>
      </c>
      <c r="J424" s="3"/>
      <c r="K424" s="3"/>
      <c r="L424" s="7"/>
    </row>
    <row r="425" spans="1:16" x14ac:dyDescent="0.25">
      <c r="D425" s="4" t="s">
        <v>421</v>
      </c>
      <c r="E425" s="5">
        <v>1012</v>
      </c>
      <c r="F425" s="5">
        <v>1017</v>
      </c>
      <c r="G425" s="6">
        <f t="shared" si="102"/>
        <v>5</v>
      </c>
      <c r="H425" s="7">
        <f t="shared" si="103"/>
        <v>4.940711462450593E-3</v>
      </c>
      <c r="J425" s="3"/>
      <c r="K425" s="3"/>
      <c r="L425" s="7"/>
    </row>
    <row r="426" spans="1:16" s="3" customFormat="1" x14ac:dyDescent="0.25">
      <c r="A426"/>
      <c r="B426"/>
      <c r="C426"/>
      <c r="D426" s="2" t="s">
        <v>422</v>
      </c>
      <c r="H426" s="10">
        <f>AVERAGE(H416:H425)</f>
        <v>-1.029763031269593E-2</v>
      </c>
      <c r="J426"/>
      <c r="K426"/>
      <c r="L426"/>
      <c r="M426"/>
      <c r="N426"/>
      <c r="P426" s="30"/>
    </row>
  </sheetData>
  <autoFilter ref="A1:M426" xr:uid="{00000000-0009-0000-0000-000001000000}"/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317421 - P1024 (2)</vt:lpstr>
      <vt:lpstr>317421 - P1024</vt:lpstr>
      <vt:lpstr>316556 - P0924</vt:lpstr>
      <vt:lpstr>315805 - P0824</vt:lpstr>
      <vt:lpstr>315019 - P0724</vt:lpstr>
      <vt:lpstr>314020 - P0624</vt:lpstr>
      <vt:lpstr>310785 - P0524</vt:lpstr>
      <vt:lpstr>305245 - P0424</vt:lpstr>
      <vt:lpstr>301055 - P0324</vt:lpstr>
      <vt:lpstr>297195 - P0224</vt:lpstr>
      <vt:lpstr>294130 - P0124</vt:lpstr>
      <vt:lpstr>290710 - P1223</vt:lpstr>
    </vt:vector>
  </TitlesOfParts>
  <Company>Builders Warehouse,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Conley</dc:creator>
  <cp:lastModifiedBy>Craig Overturf</cp:lastModifiedBy>
  <dcterms:created xsi:type="dcterms:W3CDTF">2022-12-09T22:08:13Z</dcterms:created>
  <dcterms:modified xsi:type="dcterms:W3CDTF">2026-02-02T22:26:31Z</dcterms:modified>
</cp:coreProperties>
</file>